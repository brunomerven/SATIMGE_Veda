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C096645C-EB1C-4B90-AF1A-4361F4F7D712}" xr6:coauthVersionLast="47" xr6:coauthVersionMax="47" xr10:uidLastSave="{00000000-0000-0000-0000-000000000000}"/>
  <bookViews>
    <workbookView xWindow="0" yWindow="0" windowWidth="28800" windowHeight="14985" activeTab="2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" l="1"/>
  <c r="D94" i="6"/>
  <c r="E94" i="6"/>
  <c r="F94" i="6" s="1"/>
  <c r="G94" i="6" s="1"/>
  <c r="H94" i="6" s="1"/>
  <c r="I94" i="6" s="1"/>
  <c r="J94" i="6" s="1"/>
  <c r="K94" i="6" s="1"/>
  <c r="L94" i="6" s="1"/>
  <c r="M94" i="6" s="1"/>
  <c r="N94" i="6"/>
  <c r="O94" i="6" s="1"/>
  <c r="P94" i="6" s="1"/>
  <c r="Q94" i="6" s="1"/>
  <c r="R94" i="6" s="1"/>
  <c r="S94" i="6"/>
  <c r="T94" i="6"/>
  <c r="U94" i="6" s="1"/>
  <c r="V94" i="6" s="1"/>
  <c r="W94" i="6" s="1"/>
  <c r="X94" i="6" s="1"/>
  <c r="Y94" i="6" s="1"/>
  <c r="Z94" i="6" s="1"/>
  <c r="AA94" i="6" s="1"/>
  <c r="AB94" i="6" s="1"/>
  <c r="AC94" i="6" s="1"/>
  <c r="AD94" i="6" s="1"/>
  <c r="AE94" i="6" s="1"/>
  <c r="AF94" i="6" s="1"/>
  <c r="AG94" i="6" s="1"/>
  <c r="AH94" i="6" s="1"/>
  <c r="AI94" i="6" s="1"/>
  <c r="AJ94" i="6" s="1"/>
  <c r="AK94" i="6" s="1"/>
  <c r="AL94" i="6" s="1"/>
  <c r="D95" i="6"/>
  <c r="E95" i="6" s="1"/>
  <c r="F95" i="6" s="1"/>
  <c r="G95" i="6" s="1"/>
  <c r="H95" i="6"/>
  <c r="I95" i="6"/>
  <c r="J95" i="6" s="1"/>
  <c r="K95" i="6" s="1"/>
  <c r="L95" i="6" s="1"/>
  <c r="M95" i="6" s="1"/>
  <c r="N95" i="6" s="1"/>
  <c r="O95" i="6" s="1"/>
  <c r="P95" i="6" s="1"/>
  <c r="Q95" i="6" s="1"/>
  <c r="R95" i="6" s="1"/>
  <c r="S95" i="6" s="1"/>
  <c r="T95" i="6" s="1"/>
  <c r="U95" i="6" s="1"/>
  <c r="V95" i="6" s="1"/>
  <c r="W95" i="6" s="1"/>
  <c r="X95" i="6" s="1"/>
  <c r="Y95" i="6" s="1"/>
  <c r="Z95" i="6" s="1"/>
  <c r="AA95" i="6" s="1"/>
  <c r="AB95" i="6" s="1"/>
  <c r="AC95" i="6" s="1"/>
  <c r="AD95" i="6" s="1"/>
  <c r="AE95" i="6" s="1"/>
  <c r="AF95" i="6" s="1"/>
  <c r="AG95" i="6" s="1"/>
  <c r="AH95" i="6" s="1"/>
  <c r="AI95" i="6" s="1"/>
  <c r="AJ95" i="6" s="1"/>
  <c r="AK95" i="6" s="1"/>
  <c r="AL95" i="6" s="1"/>
  <c r="D96" i="6"/>
  <c r="E96" i="6" s="1"/>
  <c r="F96" i="6" s="1"/>
  <c r="G96" i="6" s="1"/>
  <c r="H96" i="6" s="1"/>
  <c r="I96" i="6"/>
  <c r="J96" i="6"/>
  <c r="K96" i="6" s="1"/>
  <c r="L96" i="6" s="1"/>
  <c r="M96" i="6" s="1"/>
  <c r="N96" i="6" s="1"/>
  <c r="O96" i="6" s="1"/>
  <c r="P96" i="6" s="1"/>
  <c r="Q96" i="6" s="1"/>
  <c r="R96" i="6" s="1"/>
  <c r="S96" i="6" s="1"/>
  <c r="T96" i="6" s="1"/>
  <c r="U96" i="6" s="1"/>
  <c r="V96" i="6" s="1"/>
  <c r="W96" i="6" s="1"/>
  <c r="X96" i="6" s="1"/>
  <c r="Y96" i="6" s="1"/>
  <c r="Z96" i="6" s="1"/>
  <c r="AA96" i="6" s="1"/>
  <c r="AB96" i="6" s="1"/>
  <c r="AC96" i="6" s="1"/>
  <c r="AD96" i="6" s="1"/>
  <c r="AE96" i="6" s="1"/>
  <c r="AF96" i="6" s="1"/>
  <c r="AG96" i="6" s="1"/>
  <c r="AH96" i="6" s="1"/>
  <c r="AI96" i="6" s="1"/>
  <c r="AJ96" i="6" s="1"/>
  <c r="AK96" i="6" s="1"/>
  <c r="AL96" i="6" s="1"/>
  <c r="D97" i="6"/>
  <c r="E97" i="6"/>
  <c r="F97" i="6" s="1"/>
  <c r="G97" i="6" s="1"/>
  <c r="H97" i="6" s="1"/>
  <c r="I97" i="6" s="1"/>
  <c r="J97" i="6"/>
  <c r="K97" i="6"/>
  <c r="L97" i="6" s="1"/>
  <c r="M97" i="6" s="1"/>
  <c r="N97" i="6" s="1"/>
  <c r="O97" i="6" s="1"/>
  <c r="P97" i="6" s="1"/>
  <c r="Q97" i="6" s="1"/>
  <c r="R97" i="6" s="1"/>
  <c r="S97" i="6" s="1"/>
  <c r="T97" i="6" s="1"/>
  <c r="U97" i="6" s="1"/>
  <c r="V97" i="6" s="1"/>
  <c r="W97" i="6" s="1"/>
  <c r="X97" i="6" s="1"/>
  <c r="Y97" i="6" s="1"/>
  <c r="Z97" i="6" s="1"/>
  <c r="AA97" i="6" s="1"/>
  <c r="AB97" i="6" s="1"/>
  <c r="AC97" i="6" s="1"/>
  <c r="AD97" i="6" s="1"/>
  <c r="AE97" i="6" s="1"/>
  <c r="AF97" i="6" s="1"/>
  <c r="AG97" i="6" s="1"/>
  <c r="AH97" i="6" s="1"/>
  <c r="AI97" i="6" s="1"/>
  <c r="AJ97" i="6" s="1"/>
  <c r="AK97" i="6" s="1"/>
  <c r="AL97" i="6" s="1"/>
  <c r="D98" i="6"/>
  <c r="E98" i="6"/>
  <c r="F98" i="6"/>
  <c r="G98" i="6" s="1"/>
  <c r="H98" i="6" s="1"/>
  <c r="I98" i="6" s="1"/>
  <c r="J98" i="6" s="1"/>
  <c r="K98" i="6"/>
  <c r="L98" i="6" s="1"/>
  <c r="M98" i="6" s="1"/>
  <c r="N98" i="6" s="1"/>
  <c r="O98" i="6" s="1"/>
  <c r="P98" i="6" s="1"/>
  <c r="Q98" i="6" s="1"/>
  <c r="R98" i="6" s="1"/>
  <c r="S98" i="6" s="1"/>
  <c r="T98" i="6" s="1"/>
  <c r="U98" i="6" s="1"/>
  <c r="V98" i="6" s="1"/>
  <c r="W98" i="6" s="1"/>
  <c r="X98" i="6" s="1"/>
  <c r="Y98" i="6" s="1"/>
  <c r="Z98" i="6" s="1"/>
  <c r="AA98" i="6" s="1"/>
  <c r="AB98" i="6" s="1"/>
  <c r="AC98" i="6" s="1"/>
  <c r="AD98" i="6" s="1"/>
  <c r="AE98" i="6" s="1"/>
  <c r="AF98" i="6" s="1"/>
  <c r="AG98" i="6" s="1"/>
  <c r="AH98" i="6" s="1"/>
  <c r="AI98" i="6" s="1"/>
  <c r="AJ98" i="6" s="1"/>
  <c r="AK98" i="6" s="1"/>
  <c r="AL98" i="6" s="1"/>
  <c r="D99" i="6"/>
  <c r="E99" i="6"/>
  <c r="F99" i="6"/>
  <c r="G99" i="6" s="1"/>
  <c r="H99" i="6" s="1"/>
  <c r="I99" i="6" s="1"/>
  <c r="J99" i="6" s="1"/>
  <c r="K99" i="6" s="1"/>
  <c r="L99" i="6" s="1"/>
  <c r="M99" i="6" s="1"/>
  <c r="N99" i="6" s="1"/>
  <c r="O99" i="6" s="1"/>
  <c r="P99" i="6" s="1"/>
  <c r="Q99" i="6" s="1"/>
  <c r="R99" i="6" s="1"/>
  <c r="S99" i="6" s="1"/>
  <c r="T99" i="6" s="1"/>
  <c r="U99" i="6" s="1"/>
  <c r="V99" i="6" s="1"/>
  <c r="W99" i="6" s="1"/>
  <c r="X99" i="6" s="1"/>
  <c r="Y99" i="6" s="1"/>
  <c r="Z99" i="6" s="1"/>
  <c r="AA99" i="6" s="1"/>
  <c r="AB99" i="6" s="1"/>
  <c r="AC99" i="6" s="1"/>
  <c r="AD99" i="6" s="1"/>
  <c r="AE99" i="6" s="1"/>
  <c r="AF99" i="6" s="1"/>
  <c r="AG99" i="6" s="1"/>
  <c r="AH99" i="6" s="1"/>
  <c r="AI99" i="6" s="1"/>
  <c r="AJ99" i="6" s="1"/>
  <c r="AK99" i="6" s="1"/>
  <c r="AL99" i="6" s="1"/>
  <c r="D100" i="6"/>
  <c r="E100" i="6" s="1"/>
  <c r="F100" i="6" s="1"/>
  <c r="G100" i="6" s="1"/>
  <c r="H100" i="6" s="1"/>
  <c r="I100" i="6" s="1"/>
  <c r="J100" i="6" s="1"/>
  <c r="K100" i="6" s="1"/>
  <c r="L100" i="6" s="1"/>
  <c r="M100" i="6" s="1"/>
  <c r="N100" i="6" s="1"/>
  <c r="O100" i="6" s="1"/>
  <c r="P100" i="6" s="1"/>
  <c r="Q100" i="6" s="1"/>
  <c r="R100" i="6" s="1"/>
  <c r="S100" i="6" s="1"/>
  <c r="T100" i="6" s="1"/>
  <c r="U100" i="6" s="1"/>
  <c r="V100" i="6" s="1"/>
  <c r="W100" i="6" s="1"/>
  <c r="X100" i="6" s="1"/>
  <c r="Y100" i="6" s="1"/>
  <c r="Z100" i="6" s="1"/>
  <c r="AA100" i="6" s="1"/>
  <c r="AB100" i="6" s="1"/>
  <c r="AC100" i="6" s="1"/>
  <c r="AD100" i="6" s="1"/>
  <c r="AE100" i="6" s="1"/>
  <c r="AF100" i="6" s="1"/>
  <c r="AG100" i="6" s="1"/>
  <c r="AH100" i="6" s="1"/>
  <c r="AI100" i="6" s="1"/>
  <c r="AJ100" i="6" s="1"/>
  <c r="AK100" i="6" s="1"/>
  <c r="AL100" i="6" s="1"/>
  <c r="D101" i="6"/>
  <c r="E101" i="6"/>
  <c r="F101" i="6" s="1"/>
  <c r="G101" i="6" s="1"/>
  <c r="H101" i="6"/>
  <c r="I101" i="6"/>
  <c r="J101" i="6" s="1"/>
  <c r="K101" i="6" s="1"/>
  <c r="L101" i="6" s="1"/>
  <c r="M101" i="6" s="1"/>
  <c r="N101" i="6" s="1"/>
  <c r="O101" i="6" s="1"/>
  <c r="P101" i="6" s="1"/>
  <c r="Q101" i="6" s="1"/>
  <c r="R101" i="6" s="1"/>
  <c r="S101" i="6" s="1"/>
  <c r="T101" i="6" s="1"/>
  <c r="U101" i="6" s="1"/>
  <c r="V101" i="6" s="1"/>
  <c r="W101" i="6" s="1"/>
  <c r="X101" i="6" s="1"/>
  <c r="Y101" i="6" s="1"/>
  <c r="Z101" i="6" s="1"/>
  <c r="AA101" i="6" s="1"/>
  <c r="AB101" i="6" s="1"/>
  <c r="AC101" i="6" s="1"/>
  <c r="AD101" i="6" s="1"/>
  <c r="AE101" i="6" s="1"/>
  <c r="AF101" i="6" s="1"/>
  <c r="AG101" i="6" s="1"/>
  <c r="AH101" i="6" s="1"/>
  <c r="AI101" i="6" s="1"/>
  <c r="AJ101" i="6" s="1"/>
  <c r="AK101" i="6" s="1"/>
  <c r="AL101" i="6" s="1"/>
  <c r="D102" i="6"/>
  <c r="E102" i="6" s="1"/>
  <c r="F102" i="6" s="1"/>
  <c r="G102" i="6" s="1"/>
  <c r="H102" i="6" s="1"/>
  <c r="I102" i="6"/>
  <c r="J102" i="6"/>
  <c r="K102" i="6" s="1"/>
  <c r="L102" i="6" s="1"/>
  <c r="M102" i="6" s="1"/>
  <c r="N102" i="6" s="1"/>
  <c r="O102" i="6" s="1"/>
  <c r="P102" i="6" s="1"/>
  <c r="Q102" i="6" s="1"/>
  <c r="R102" i="6" s="1"/>
  <c r="S102" i="6" s="1"/>
  <c r="T102" i="6" s="1"/>
  <c r="U102" i="6" s="1"/>
  <c r="V102" i="6" s="1"/>
  <c r="W102" i="6" s="1"/>
  <c r="X102" i="6" s="1"/>
  <c r="Y102" i="6" s="1"/>
  <c r="Z102" i="6" s="1"/>
  <c r="AA102" i="6" s="1"/>
  <c r="AB102" i="6" s="1"/>
  <c r="AC102" i="6" s="1"/>
  <c r="AD102" i="6" s="1"/>
  <c r="AE102" i="6" s="1"/>
  <c r="AF102" i="6" s="1"/>
  <c r="AG102" i="6" s="1"/>
  <c r="AH102" i="6" s="1"/>
  <c r="AI102" i="6" s="1"/>
  <c r="AJ102" i="6" s="1"/>
  <c r="AK102" i="6" s="1"/>
  <c r="AL102" i="6" s="1"/>
  <c r="D103" i="6"/>
  <c r="E103" i="6"/>
  <c r="F103" i="6" s="1"/>
  <c r="G103" i="6" s="1"/>
  <c r="H103" i="6" s="1"/>
  <c r="I103" i="6" s="1"/>
  <c r="J103" i="6"/>
  <c r="K103" i="6"/>
  <c r="L103" i="6" s="1"/>
  <c r="M103" i="6" s="1"/>
  <c r="N103" i="6" s="1"/>
  <c r="O103" i="6" s="1"/>
  <c r="P103" i="6" s="1"/>
  <c r="Q103" i="6" s="1"/>
  <c r="R103" i="6" s="1"/>
  <c r="S103" i="6" s="1"/>
  <c r="T103" i="6" s="1"/>
  <c r="U103" i="6" s="1"/>
  <c r="V103" i="6" s="1"/>
  <c r="W103" i="6" s="1"/>
  <c r="X103" i="6" s="1"/>
  <c r="Y103" i="6" s="1"/>
  <c r="Z103" i="6" s="1"/>
  <c r="AA103" i="6" s="1"/>
  <c r="AB103" i="6" s="1"/>
  <c r="AC103" i="6" s="1"/>
  <c r="AD103" i="6" s="1"/>
  <c r="AE103" i="6" s="1"/>
  <c r="AF103" i="6" s="1"/>
  <c r="AG103" i="6" s="1"/>
  <c r="AH103" i="6" s="1"/>
  <c r="AI103" i="6" s="1"/>
  <c r="AJ103" i="6" s="1"/>
  <c r="AK103" i="6" s="1"/>
  <c r="AL103" i="6" s="1"/>
  <c r="D104" i="6"/>
  <c r="E104" i="6"/>
  <c r="F104" i="6"/>
  <c r="G104" i="6" s="1"/>
  <c r="H104" i="6" s="1"/>
  <c r="I104" i="6" s="1"/>
  <c r="J104" i="6" s="1"/>
  <c r="K104" i="6"/>
  <c r="L104" i="6" s="1"/>
  <c r="M104" i="6" s="1"/>
  <c r="N104" i="6" s="1"/>
  <c r="O104" i="6" s="1"/>
  <c r="P104" i="6" s="1"/>
  <c r="Q104" i="6" s="1"/>
  <c r="R104" i="6" s="1"/>
  <c r="S104" i="6" s="1"/>
  <c r="T104" i="6" s="1"/>
  <c r="U104" i="6" s="1"/>
  <c r="V104" i="6" s="1"/>
  <c r="W104" i="6" s="1"/>
  <c r="X104" i="6" s="1"/>
  <c r="Y104" i="6" s="1"/>
  <c r="Z104" i="6" s="1"/>
  <c r="AA104" i="6" s="1"/>
  <c r="AB104" i="6" s="1"/>
  <c r="AC104" i="6" s="1"/>
  <c r="AD104" i="6" s="1"/>
  <c r="AE104" i="6" s="1"/>
  <c r="AF104" i="6" s="1"/>
  <c r="AG104" i="6" s="1"/>
  <c r="AH104" i="6" s="1"/>
  <c r="AI104" i="6" s="1"/>
  <c r="AJ104" i="6" s="1"/>
  <c r="AK104" i="6" s="1"/>
  <c r="AL104" i="6" s="1"/>
  <c r="D105" i="6"/>
  <c r="E105" i="6"/>
  <c r="F105" i="6"/>
  <c r="G105" i="6" s="1"/>
  <c r="H105" i="6" s="1"/>
  <c r="I105" i="6" s="1"/>
  <c r="J105" i="6" s="1"/>
  <c r="K105" i="6" s="1"/>
  <c r="L105" i="6" s="1"/>
  <c r="M105" i="6" s="1"/>
  <c r="N105" i="6" s="1"/>
  <c r="O105" i="6" s="1"/>
  <c r="P105" i="6" s="1"/>
  <c r="Q105" i="6" s="1"/>
  <c r="R105" i="6" s="1"/>
  <c r="S105" i="6" s="1"/>
  <c r="T105" i="6" s="1"/>
  <c r="U105" i="6" s="1"/>
  <c r="V105" i="6" s="1"/>
  <c r="W105" i="6" s="1"/>
  <c r="X105" i="6" s="1"/>
  <c r="Y105" i="6" s="1"/>
  <c r="Z105" i="6" s="1"/>
  <c r="AA105" i="6" s="1"/>
  <c r="AB105" i="6" s="1"/>
  <c r="AC105" i="6" s="1"/>
  <c r="AD105" i="6" s="1"/>
  <c r="AE105" i="6" s="1"/>
  <c r="AF105" i="6" s="1"/>
  <c r="AG105" i="6" s="1"/>
  <c r="AH105" i="6" s="1"/>
  <c r="AI105" i="6" s="1"/>
  <c r="AJ105" i="6" s="1"/>
  <c r="AK105" i="6" s="1"/>
  <c r="AL105" i="6" s="1"/>
  <c r="D106" i="6"/>
  <c r="E106" i="6"/>
  <c r="F106" i="6"/>
  <c r="G106" i="6"/>
  <c r="H106" i="6"/>
  <c r="I106" i="6" s="1"/>
  <c r="J106" i="6" s="1"/>
  <c r="K106" i="6" s="1"/>
  <c r="L106" i="6" s="1"/>
  <c r="M106" i="6" s="1"/>
  <c r="N106" i="6" s="1"/>
  <c r="O106" i="6" s="1"/>
  <c r="P106" i="6" s="1"/>
  <c r="Q106" i="6" s="1"/>
  <c r="R106" i="6" s="1"/>
  <c r="S106" i="6" s="1"/>
  <c r="T106" i="6" s="1"/>
  <c r="U106" i="6" s="1"/>
  <c r="V106" i="6" s="1"/>
  <c r="W106" i="6" s="1"/>
  <c r="X106" i="6" s="1"/>
  <c r="Y106" i="6" s="1"/>
  <c r="Z106" i="6" s="1"/>
  <c r="AA106" i="6" s="1"/>
  <c r="AB106" i="6" s="1"/>
  <c r="AC106" i="6" s="1"/>
  <c r="AD106" i="6" s="1"/>
  <c r="AE106" i="6" s="1"/>
  <c r="AF106" i="6" s="1"/>
  <c r="AG106" i="6" s="1"/>
  <c r="AH106" i="6" s="1"/>
  <c r="AI106" i="6" s="1"/>
  <c r="AJ106" i="6" s="1"/>
  <c r="AK106" i="6" s="1"/>
  <c r="AL106" i="6" s="1"/>
  <c r="D107" i="6"/>
  <c r="E107" i="6" s="1"/>
  <c r="F107" i="6" s="1"/>
  <c r="G107" i="6"/>
  <c r="H107" i="6"/>
  <c r="I107" i="6"/>
  <c r="J107" i="6" s="1"/>
  <c r="K107" i="6" s="1"/>
  <c r="L107" i="6" s="1"/>
  <c r="M107" i="6" s="1"/>
  <c r="N107" i="6" s="1"/>
  <c r="O107" i="6" s="1"/>
  <c r="P107" i="6" s="1"/>
  <c r="Q107" i="6" s="1"/>
  <c r="R107" i="6" s="1"/>
  <c r="S107" i="6" s="1"/>
  <c r="T107" i="6" s="1"/>
  <c r="U107" i="6" s="1"/>
  <c r="V107" i="6" s="1"/>
  <c r="W107" i="6" s="1"/>
  <c r="X107" i="6" s="1"/>
  <c r="Y107" i="6" s="1"/>
  <c r="Z107" i="6" s="1"/>
  <c r="AA107" i="6" s="1"/>
  <c r="AB107" i="6" s="1"/>
  <c r="AC107" i="6" s="1"/>
  <c r="AD107" i="6" s="1"/>
  <c r="AE107" i="6" s="1"/>
  <c r="AF107" i="6" s="1"/>
  <c r="AG107" i="6" s="1"/>
  <c r="AH107" i="6" s="1"/>
  <c r="AI107" i="6" s="1"/>
  <c r="AJ107" i="6" s="1"/>
  <c r="AK107" i="6" s="1"/>
  <c r="AL107" i="6" s="1"/>
  <c r="D108" i="6"/>
  <c r="E108" i="6" s="1"/>
  <c r="F108" i="6" s="1"/>
  <c r="G108" i="6" s="1"/>
  <c r="H108" i="6" s="1"/>
  <c r="I108" i="6" s="1"/>
  <c r="J108" i="6" s="1"/>
  <c r="K108" i="6" s="1"/>
  <c r="L108" i="6" s="1"/>
  <c r="M108" i="6" s="1"/>
  <c r="N108" i="6" s="1"/>
  <c r="O108" i="6" s="1"/>
  <c r="P108" i="6" s="1"/>
  <c r="Q108" i="6" s="1"/>
  <c r="R108" i="6" s="1"/>
  <c r="S108" i="6" s="1"/>
  <c r="T108" i="6" s="1"/>
  <c r="U108" i="6" s="1"/>
  <c r="V108" i="6" s="1"/>
  <c r="W108" i="6" s="1"/>
  <c r="X108" i="6" s="1"/>
  <c r="Y108" i="6" s="1"/>
  <c r="Z108" i="6" s="1"/>
  <c r="AA108" i="6" s="1"/>
  <c r="AB108" i="6" s="1"/>
  <c r="AC108" i="6" s="1"/>
  <c r="AD108" i="6" s="1"/>
  <c r="AE108" i="6" s="1"/>
  <c r="AF108" i="6" s="1"/>
  <c r="AG108" i="6" s="1"/>
  <c r="AH108" i="6" s="1"/>
  <c r="AI108" i="6" s="1"/>
  <c r="AJ108" i="6" s="1"/>
  <c r="AK108" i="6" s="1"/>
  <c r="AL108" i="6" s="1"/>
  <c r="D109" i="6"/>
  <c r="E109" i="6"/>
  <c r="F109" i="6" s="1"/>
  <c r="G109" i="6" s="1"/>
  <c r="H109" i="6" s="1"/>
  <c r="I109" i="6"/>
  <c r="J109" i="6" s="1"/>
  <c r="K109" i="6" s="1"/>
  <c r="L109" i="6" s="1"/>
  <c r="M109" i="6" s="1"/>
  <c r="N109" i="6" s="1"/>
  <c r="O109" i="6" s="1"/>
  <c r="P109" i="6" s="1"/>
  <c r="Q109" i="6" s="1"/>
  <c r="R109" i="6" s="1"/>
  <c r="S109" i="6" s="1"/>
  <c r="T109" i="6" s="1"/>
  <c r="U109" i="6" s="1"/>
  <c r="V109" i="6" s="1"/>
  <c r="W109" i="6" s="1"/>
  <c r="X109" i="6" s="1"/>
  <c r="Y109" i="6" s="1"/>
  <c r="Z109" i="6" s="1"/>
  <c r="AA109" i="6" s="1"/>
  <c r="AB109" i="6" s="1"/>
  <c r="AC109" i="6" s="1"/>
  <c r="AD109" i="6" s="1"/>
  <c r="AE109" i="6" s="1"/>
  <c r="AF109" i="6" s="1"/>
  <c r="AG109" i="6" s="1"/>
  <c r="AH109" i="6" s="1"/>
  <c r="AI109" i="6" s="1"/>
  <c r="AJ109" i="6" s="1"/>
  <c r="AK109" i="6" s="1"/>
  <c r="AL109" i="6" s="1"/>
  <c r="D110" i="6"/>
  <c r="E110" i="6"/>
  <c r="F110" i="6" s="1"/>
  <c r="G110" i="6" s="1"/>
  <c r="H110" i="6" s="1"/>
  <c r="I110" i="6" s="1"/>
  <c r="J110" i="6" s="1"/>
  <c r="K110" i="6" s="1"/>
  <c r="L110" i="6" s="1"/>
  <c r="M110" i="6" s="1"/>
  <c r="N110" i="6" s="1"/>
  <c r="O110" i="6" s="1"/>
  <c r="P110" i="6" s="1"/>
  <c r="Q110" i="6" s="1"/>
  <c r="R110" i="6" s="1"/>
  <c r="S110" i="6" s="1"/>
  <c r="T110" i="6" s="1"/>
  <c r="U110" i="6" s="1"/>
  <c r="V110" i="6" s="1"/>
  <c r="W110" i="6" s="1"/>
  <c r="X110" i="6" s="1"/>
  <c r="Y110" i="6" s="1"/>
  <c r="Z110" i="6" s="1"/>
  <c r="AA110" i="6" s="1"/>
  <c r="AB110" i="6" s="1"/>
  <c r="AC110" i="6" s="1"/>
  <c r="AD110" i="6" s="1"/>
  <c r="AE110" i="6" s="1"/>
  <c r="AF110" i="6" s="1"/>
  <c r="AG110" i="6" s="1"/>
  <c r="AH110" i="6" s="1"/>
  <c r="AI110" i="6" s="1"/>
  <c r="AJ110" i="6" s="1"/>
  <c r="AK110" i="6" s="1"/>
  <c r="AL110" i="6" s="1"/>
  <c r="D111" i="6"/>
  <c r="E111" i="6"/>
  <c r="F111" i="6"/>
  <c r="G111" i="6" s="1"/>
  <c r="H111" i="6" s="1"/>
  <c r="I111" i="6" s="1"/>
  <c r="J111" i="6" s="1"/>
  <c r="K111" i="6" s="1"/>
  <c r="L111" i="6" s="1"/>
  <c r="M111" i="6" s="1"/>
  <c r="N111" i="6" s="1"/>
  <c r="O111" i="6" s="1"/>
  <c r="P111" i="6" s="1"/>
  <c r="Q111" i="6" s="1"/>
  <c r="R111" i="6" s="1"/>
  <c r="S111" i="6" s="1"/>
  <c r="T111" i="6" s="1"/>
  <c r="U111" i="6" s="1"/>
  <c r="V111" i="6" s="1"/>
  <c r="W111" i="6" s="1"/>
  <c r="X111" i="6" s="1"/>
  <c r="Y111" i="6" s="1"/>
  <c r="Z111" i="6" s="1"/>
  <c r="AA111" i="6" s="1"/>
  <c r="AB111" i="6" s="1"/>
  <c r="AC111" i="6" s="1"/>
  <c r="AD111" i="6" s="1"/>
  <c r="AE111" i="6" s="1"/>
  <c r="AF111" i="6" s="1"/>
  <c r="AG111" i="6" s="1"/>
  <c r="AH111" i="6" s="1"/>
  <c r="AI111" i="6" s="1"/>
  <c r="AJ111" i="6" s="1"/>
  <c r="AK111" i="6" s="1"/>
  <c r="AL111" i="6" s="1"/>
  <c r="D112" i="6"/>
  <c r="E112" i="6" s="1"/>
  <c r="F112" i="6" s="1"/>
  <c r="G112" i="6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T112" i="6" s="1"/>
  <c r="U112" i="6" s="1"/>
  <c r="V112" i="6" s="1"/>
  <c r="W112" i="6" s="1"/>
  <c r="X112" i="6" s="1"/>
  <c r="Y112" i="6" s="1"/>
  <c r="Z112" i="6" s="1"/>
  <c r="AA112" i="6" s="1"/>
  <c r="AB112" i="6" s="1"/>
  <c r="AC112" i="6" s="1"/>
  <c r="AD112" i="6" s="1"/>
  <c r="AE112" i="6" s="1"/>
  <c r="AF112" i="6" s="1"/>
  <c r="AG112" i="6" s="1"/>
  <c r="AH112" i="6" s="1"/>
  <c r="AI112" i="6" s="1"/>
  <c r="AJ112" i="6" s="1"/>
  <c r="AK112" i="6" s="1"/>
  <c r="AL112" i="6" s="1"/>
  <c r="D113" i="6"/>
  <c r="E113" i="6"/>
  <c r="F113" i="6" s="1"/>
  <c r="G113" i="6" s="1"/>
  <c r="H113" i="6"/>
  <c r="I113" i="6"/>
  <c r="J113" i="6" s="1"/>
  <c r="K113" i="6" s="1"/>
  <c r="L113" i="6"/>
  <c r="M113" i="6" s="1"/>
  <c r="N113" i="6" s="1"/>
  <c r="O113" i="6" s="1"/>
  <c r="P113" i="6" s="1"/>
  <c r="Q113" i="6" s="1"/>
  <c r="R113" i="6" s="1"/>
  <c r="S113" i="6" s="1"/>
  <c r="T113" i="6" s="1"/>
  <c r="U113" i="6" s="1"/>
  <c r="V113" i="6" s="1"/>
  <c r="W113" i="6" s="1"/>
  <c r="X113" i="6" s="1"/>
  <c r="Y113" i="6" s="1"/>
  <c r="Z113" i="6" s="1"/>
  <c r="AA113" i="6" s="1"/>
  <c r="AB113" i="6" s="1"/>
  <c r="AC113" i="6" s="1"/>
  <c r="AD113" i="6" s="1"/>
  <c r="AE113" i="6" s="1"/>
  <c r="AF113" i="6" s="1"/>
  <c r="AG113" i="6" s="1"/>
  <c r="AH113" i="6" s="1"/>
  <c r="AI113" i="6" s="1"/>
  <c r="AJ113" i="6" s="1"/>
  <c r="AK113" i="6" s="1"/>
  <c r="AL113" i="6" s="1"/>
  <c r="D114" i="6"/>
  <c r="E114" i="6" s="1"/>
  <c r="F114" i="6" s="1"/>
  <c r="G114" i="6" s="1"/>
  <c r="H114" i="6" s="1"/>
  <c r="I114" i="6"/>
  <c r="J114" i="6" s="1"/>
  <c r="K114" i="6" s="1"/>
  <c r="L114" i="6" s="1"/>
  <c r="M114" i="6" s="1"/>
  <c r="N114" i="6" s="1"/>
  <c r="O114" i="6" s="1"/>
  <c r="P114" i="6" s="1"/>
  <c r="Q114" i="6" s="1"/>
  <c r="R114" i="6" s="1"/>
  <c r="S114" i="6" s="1"/>
  <c r="T114" i="6" s="1"/>
  <c r="U114" i="6" s="1"/>
  <c r="V114" i="6" s="1"/>
  <c r="W114" i="6" s="1"/>
  <c r="X114" i="6" s="1"/>
  <c r="Y114" i="6" s="1"/>
  <c r="Z114" i="6" s="1"/>
  <c r="AA114" i="6" s="1"/>
  <c r="AB114" i="6" s="1"/>
  <c r="AC114" i="6" s="1"/>
  <c r="AD114" i="6" s="1"/>
  <c r="AE114" i="6" s="1"/>
  <c r="AF114" i="6" s="1"/>
  <c r="AG114" i="6" s="1"/>
  <c r="AH114" i="6" s="1"/>
  <c r="AI114" i="6" s="1"/>
  <c r="AJ114" i="6" s="1"/>
  <c r="AK114" i="6" s="1"/>
  <c r="AL114" i="6" s="1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94" i="6"/>
  <c r="AH86" i="6" l="1"/>
  <c r="AI86" i="6" s="1"/>
  <c r="AJ86" i="6" s="1"/>
  <c r="AK86" i="6" s="1"/>
  <c r="AL86" i="6" s="1"/>
  <c r="AI85" i="6"/>
  <c r="AJ85" i="6" s="1"/>
  <c r="AK85" i="6" s="1"/>
  <c r="AL85" i="6" s="1"/>
  <c r="AH85" i="6"/>
  <c r="AL54" i="6"/>
  <c r="AL55" i="6"/>
  <c r="AL56" i="6"/>
  <c r="AH54" i="6"/>
  <c r="AI54" i="6"/>
  <c r="AJ54" i="6"/>
  <c r="AK54" i="6"/>
  <c r="AH55" i="6"/>
  <c r="AI55" i="6"/>
  <c r="AJ55" i="6"/>
  <c r="AK55" i="6"/>
  <c r="AH56" i="6"/>
  <c r="AI56" i="6"/>
  <c r="AJ56" i="6"/>
  <c r="AK56" i="6"/>
  <c r="AG61" i="6"/>
  <c r="AH61" i="6"/>
  <c r="AI61" i="6"/>
  <c r="AJ61" i="6"/>
  <c r="AK61" i="6"/>
  <c r="AP155" i="5" l="1"/>
  <c r="AQ155" i="5"/>
  <c r="AR155" i="5"/>
  <c r="AS155" i="5"/>
  <c r="AT155" i="5"/>
  <c r="AU155" i="5" s="1"/>
  <c r="AV155" i="5" s="1"/>
  <c r="AW155" i="5" s="1"/>
  <c r="AX155" i="5" s="1"/>
  <c r="AY155" i="5" s="1"/>
  <c r="AZ155" i="5" s="1"/>
  <c r="BA155" i="5" s="1"/>
  <c r="BB155" i="5" s="1"/>
  <c r="BC155" i="5" s="1"/>
  <c r="BD155" i="5" s="1"/>
  <c r="BE155" i="5" s="1"/>
  <c r="BF155" i="5" s="1"/>
  <c r="BG155" i="5" s="1"/>
  <c r="BH155" i="5" s="1"/>
  <c r="BI155" i="5" s="1"/>
  <c r="BJ155" i="5" s="1"/>
  <c r="AP156" i="5"/>
  <c r="AQ156" i="5"/>
  <c r="AR156" i="5"/>
  <c r="AS156" i="5" s="1"/>
  <c r="AT156" i="5" s="1"/>
  <c r="AU156" i="5" s="1"/>
  <c r="AV156" i="5" s="1"/>
  <c r="AW156" i="5" s="1"/>
  <c r="AX156" i="5" s="1"/>
  <c r="AY156" i="5" s="1"/>
  <c r="AZ156" i="5" s="1"/>
  <c r="BA156" i="5" s="1"/>
  <c r="BB156" i="5" s="1"/>
  <c r="BC156" i="5" s="1"/>
  <c r="BD156" i="5" s="1"/>
  <c r="BE156" i="5" s="1"/>
  <c r="BF156" i="5" s="1"/>
  <c r="BG156" i="5" s="1"/>
  <c r="BH156" i="5" s="1"/>
  <c r="BI156" i="5" s="1"/>
  <c r="BJ156" i="5" s="1"/>
  <c r="AO155" i="5"/>
  <c r="AO156" i="5"/>
  <c r="AN49" i="5"/>
  <c r="AO49" i="5" s="1"/>
  <c r="AF42" i="5"/>
  <c r="AG42" i="5" s="1"/>
  <c r="AF43" i="5"/>
  <c r="AE43" i="5"/>
  <c r="AE42" i="5"/>
  <c r="AP44" i="5"/>
  <c r="AR44" i="5" s="1"/>
  <c r="AQ44" i="5"/>
  <c r="AO44" i="5"/>
  <c r="AO147" i="5"/>
  <c r="AO148" i="5"/>
  <c r="AO149" i="5"/>
  <c r="AP49" i="5" l="1"/>
  <c r="AQ49" i="5" s="1"/>
  <c r="AR49" i="5" s="1"/>
  <c r="AS49" i="5" s="1"/>
  <c r="AT49" i="5" s="1"/>
  <c r="AU49" i="5" s="1"/>
  <c r="AV49" i="5" s="1"/>
  <c r="AW49" i="5" s="1"/>
  <c r="AX49" i="5" s="1"/>
  <c r="AY49" i="5" s="1"/>
  <c r="AZ49" i="5" s="1"/>
  <c r="BA49" i="5" s="1"/>
  <c r="BB49" i="5" s="1"/>
  <c r="BC49" i="5" s="1"/>
  <c r="BD49" i="5" s="1"/>
  <c r="BE49" i="5" s="1"/>
  <c r="BF49" i="5" s="1"/>
  <c r="BG49" i="5" s="1"/>
  <c r="AG43" i="5"/>
  <c r="AH42" i="5"/>
  <c r="AS44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AI42" i="5" l="1"/>
  <c r="AJ42" i="5"/>
  <c r="AH43" i="5"/>
  <c r="AK42" i="5"/>
  <c r="AT44" i="5"/>
  <c r="AU44" i="5" s="1"/>
  <c r="C7" i="6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P8" i="5" s="1"/>
  <c r="Q70" i="5"/>
  <c r="Q7" i="5" s="1"/>
  <c r="Q8" i="5" s="1"/>
  <c r="R70" i="5"/>
  <c r="R7" i="5" s="1"/>
  <c r="S70" i="5"/>
  <c r="S7" i="5" s="1"/>
  <c r="T70" i="5"/>
  <c r="T7" i="5" s="1"/>
  <c r="T8" i="5" s="1"/>
  <c r="U70" i="5"/>
  <c r="U7" i="5" s="1"/>
  <c r="U8" i="5" s="1"/>
  <c r="V70" i="5"/>
  <c r="V7" i="5" s="1"/>
  <c r="W70" i="5"/>
  <c r="W7" i="5" s="1"/>
  <c r="W8" i="5" s="1"/>
  <c r="X70" i="5"/>
  <c r="X7" i="5" s="1"/>
  <c r="Y70" i="5"/>
  <c r="Y7" i="5" s="1"/>
  <c r="Z70" i="5"/>
  <c r="Z7" i="5" s="1"/>
  <c r="AA70" i="5"/>
  <c r="AA7" i="5" s="1"/>
  <c r="AA8" i="5" s="1"/>
  <c r="AB70" i="5"/>
  <c r="AB7" i="5" s="1"/>
  <c r="AB8" i="5" s="1"/>
  <c r="AC70" i="5"/>
  <c r="AC7" i="5" s="1"/>
  <c r="AC8" i="5" s="1"/>
  <c r="AD70" i="5"/>
  <c r="AD7" i="5" s="1"/>
  <c r="AE70" i="5"/>
  <c r="AE7" i="5" s="1"/>
  <c r="AF70" i="5"/>
  <c r="AF7" i="5" s="1"/>
  <c r="AF8" i="5" s="1"/>
  <c r="AG70" i="5"/>
  <c r="AG7" i="5" s="1"/>
  <c r="AH70" i="5"/>
  <c r="AH7" i="5" s="1"/>
  <c r="AI70" i="5"/>
  <c r="AI7" i="5" s="1"/>
  <c r="AI8" i="5" s="1"/>
  <c r="AJ70" i="5"/>
  <c r="AJ7" i="5" s="1"/>
  <c r="AK70" i="5"/>
  <c r="AK7" i="5" s="1"/>
  <c r="AL70" i="5"/>
  <c r="AL7" i="5" s="1"/>
  <c r="AM70" i="5"/>
  <c r="AM7" i="5" s="1"/>
  <c r="AN70" i="5"/>
  <c r="AN7" i="5" s="1"/>
  <c r="AN8" i="5" s="1"/>
  <c r="AO70" i="5"/>
  <c r="AO7" i="5" s="1"/>
  <c r="AO8" i="5" s="1"/>
  <c r="AP70" i="5"/>
  <c r="AP7" i="5" s="1"/>
  <c r="AQ70" i="5"/>
  <c r="AQ7" i="5" s="1"/>
  <c r="AR70" i="5"/>
  <c r="AR7" i="5" s="1"/>
  <c r="AR8" i="5" s="1"/>
  <c r="AS70" i="5"/>
  <c r="AS7" i="5" s="1"/>
  <c r="AS8" i="5" s="1"/>
  <c r="AT70" i="5"/>
  <c r="AT7" i="5" s="1"/>
  <c r="AU70" i="5"/>
  <c r="AU7" i="5" s="1"/>
  <c r="AU8" i="5" s="1"/>
  <c r="AV70" i="5"/>
  <c r="AV7" i="5" s="1"/>
  <c r="AW70" i="5"/>
  <c r="AW7" i="5" s="1"/>
  <c r="AX70" i="5"/>
  <c r="AX7" i="5" s="1"/>
  <c r="AY70" i="5"/>
  <c r="AY7" i="5" s="1"/>
  <c r="AY8" i="5" s="1"/>
  <c r="AZ70" i="5"/>
  <c r="AZ7" i="5" s="1"/>
  <c r="AZ8" i="5" s="1"/>
  <c r="BA70" i="5"/>
  <c r="BA7" i="5" s="1"/>
  <c r="BA8" i="5" s="1"/>
  <c r="BB70" i="5"/>
  <c r="BB7" i="5" s="1"/>
  <c r="BC70" i="5"/>
  <c r="BC7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BH8" i="5" s="1"/>
  <c r="BH2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G49" i="6"/>
  <c r="H49" i="6"/>
  <c r="I49" i="6"/>
  <c r="AL42" i="5" l="1"/>
  <c r="AI43" i="5"/>
  <c r="AK43" i="5"/>
  <c r="AJ43" i="5"/>
  <c r="AV44" i="5"/>
  <c r="AW44" i="5"/>
  <c r="AT8" i="5"/>
  <c r="AH8" i="5"/>
  <c r="BC8" i="5"/>
  <c r="AQ8" i="5"/>
  <c r="AE8" i="5"/>
  <c r="S8" i="5"/>
  <c r="V8" i="5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6" i="5"/>
  <c r="BH4" i="5"/>
  <c r="AG8" i="5"/>
  <c r="BG8" i="5"/>
  <c r="J35" i="5"/>
  <c r="K2" i="5" a="1"/>
  <c r="K2" i="5" s="1"/>
  <c r="K6" i="5" s="1"/>
  <c r="K14" i="5" s="1"/>
  <c r="D12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AL43" i="5" l="1"/>
  <c r="AM42" i="5"/>
  <c r="AO42" i="5" s="1"/>
  <c r="AN42" i="5"/>
  <c r="AY44" i="5"/>
  <c r="AZ44" i="5" s="1"/>
  <c r="AX44" i="5"/>
  <c r="M4" i="5"/>
  <c r="AN4" i="5"/>
  <c r="K4" i="5"/>
  <c r="K13" i="5" s="1"/>
  <c r="D11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AO43" i="5" l="1"/>
  <c r="AP42" i="5"/>
  <c r="AN43" i="5"/>
  <c r="AM43" i="5"/>
  <c r="BA44" i="5"/>
  <c r="L13" i="5"/>
  <c r="E11" i="6" s="1"/>
  <c r="M14" i="5"/>
  <c r="F12" i="6" s="1"/>
  <c r="AP2" i="5"/>
  <c r="AP6" i="5" s="1"/>
  <c r="AO4" i="5"/>
  <c r="AP43" i="5" l="1"/>
  <c r="AQ42" i="5"/>
  <c r="BB44" i="5"/>
  <c r="AP4" i="5"/>
  <c r="AQ2" i="5"/>
  <c r="AR2" i="5" s="1"/>
  <c r="M13" i="5"/>
  <c r="F11" i="6" s="1"/>
  <c r="N14" i="5"/>
  <c r="G12" i="6" s="1"/>
  <c r="AQ43" i="5" l="1"/>
  <c r="AR42" i="5"/>
  <c r="AS42" i="5" s="1"/>
  <c r="BC44" i="5"/>
  <c r="BD44" i="5" s="1"/>
  <c r="AQ4" i="5"/>
  <c r="AQ6" i="5"/>
  <c r="N13" i="5"/>
  <c r="G11" i="6" s="1"/>
  <c r="O14" i="5"/>
  <c r="H12" i="6" s="1"/>
  <c r="AR4" i="5"/>
  <c r="AS2" i="5"/>
  <c r="AR6" i="5"/>
  <c r="AS43" i="5" l="1"/>
  <c r="AR43" i="5"/>
  <c r="AT42" i="5"/>
  <c r="AU42" i="5" s="1"/>
  <c r="BE44" i="5"/>
  <c r="BF44" i="5" s="1"/>
  <c r="BG44" i="5" s="1"/>
  <c r="BH44" i="5" s="1"/>
  <c r="O13" i="5"/>
  <c r="H11" i="6" s="1"/>
  <c r="P14" i="5"/>
  <c r="I12" i="6" s="1"/>
  <c r="AT2" i="5"/>
  <c r="AS4" i="5"/>
  <c r="AS6" i="5"/>
  <c r="AU43" i="5" l="1"/>
  <c r="AV42" i="5"/>
  <c r="AT43" i="5"/>
  <c r="P13" i="5"/>
  <c r="I11" i="6" s="1"/>
  <c r="Q14" i="5"/>
  <c r="J12" i="6" s="1"/>
  <c r="Q13" i="5"/>
  <c r="J11" i="6" s="1"/>
  <c r="AU2" i="5"/>
  <c r="AT6" i="5"/>
  <c r="AT4" i="5"/>
  <c r="AV43" i="5" l="1"/>
  <c r="AW42" i="5"/>
  <c r="R13" i="5"/>
  <c r="K11" i="6" s="1"/>
  <c r="R14" i="5"/>
  <c r="K12" i="6" s="1"/>
  <c r="AV2" i="5"/>
  <c r="AU6" i="5"/>
  <c r="AU4" i="5"/>
  <c r="AW43" i="5" l="1"/>
  <c r="AX42" i="5"/>
  <c r="S14" i="5"/>
  <c r="L12" i="6" s="1"/>
  <c r="S13" i="5"/>
  <c r="L11" i="6" s="1"/>
  <c r="AW2" i="5"/>
  <c r="AV6" i="5"/>
  <c r="AV4" i="5"/>
  <c r="AX43" i="5" l="1"/>
  <c r="AY42" i="5"/>
  <c r="T13" i="5"/>
  <c r="M11" i="6" s="1"/>
  <c r="T14" i="5"/>
  <c r="M12" i="6" s="1"/>
  <c r="AX2" i="5"/>
  <c r="AW6" i="5"/>
  <c r="AW4" i="5"/>
  <c r="AY43" i="5" l="1"/>
  <c r="AZ42" i="5"/>
  <c r="U14" i="5"/>
  <c r="N12" i="6" s="1"/>
  <c r="U13" i="5"/>
  <c r="N11" i="6" s="1"/>
  <c r="AY2" i="5"/>
  <c r="AX6" i="5"/>
  <c r="AX4" i="5"/>
  <c r="AZ43" i="5" l="1"/>
  <c r="BA42" i="5"/>
  <c r="V13" i="5"/>
  <c r="O11" i="6" s="1"/>
  <c r="V14" i="5"/>
  <c r="O12" i="6" s="1"/>
  <c r="AZ2" i="5"/>
  <c r="AY4" i="5"/>
  <c r="AY6" i="5"/>
  <c r="BA43" i="5" l="1"/>
  <c r="BB42" i="5"/>
  <c r="W14" i="5"/>
  <c r="P12" i="6" s="1"/>
  <c r="W13" i="5"/>
  <c r="P11" i="6" s="1"/>
  <c r="BA2" i="5"/>
  <c r="AZ4" i="5"/>
  <c r="AZ6" i="5"/>
  <c r="BB43" i="5" l="1"/>
  <c r="BC42" i="5"/>
  <c r="X13" i="5"/>
  <c r="Q11" i="6" s="1"/>
  <c r="X14" i="5"/>
  <c r="Q12" i="6" s="1"/>
  <c r="BB2" i="5"/>
  <c r="BA6" i="5"/>
  <c r="BA4" i="5"/>
  <c r="BC43" i="5" l="1"/>
  <c r="BD42" i="5"/>
  <c r="Y14" i="5"/>
  <c r="R12" i="6" s="1"/>
  <c r="Y13" i="5"/>
  <c r="R11" i="6" s="1"/>
  <c r="BC2" i="5"/>
  <c r="BB6" i="5"/>
  <c r="BB4" i="5"/>
  <c r="BD43" i="5" l="1"/>
  <c r="BE42" i="5"/>
  <c r="Z13" i="5"/>
  <c r="S11" i="6" s="1"/>
  <c r="Z14" i="5"/>
  <c r="S12" i="6" s="1"/>
  <c r="BD2" i="5"/>
  <c r="BC4" i="5"/>
  <c r="BC6" i="5"/>
  <c r="BE43" i="5" l="1"/>
  <c r="BF42" i="5"/>
  <c r="AA14" i="5"/>
  <c r="T12" i="6" s="1"/>
  <c r="AA13" i="5"/>
  <c r="T11" i="6" s="1"/>
  <c r="BE2" i="5"/>
  <c r="BD4" i="5"/>
  <c r="BD6" i="5"/>
  <c r="BF43" i="5" l="1"/>
  <c r="BG42" i="5"/>
  <c r="AB13" i="5"/>
  <c r="U11" i="6" s="1"/>
  <c r="AB14" i="5"/>
  <c r="U12" i="6" s="1"/>
  <c r="BF2" i="5"/>
  <c r="BE4" i="5"/>
  <c r="BE6" i="5"/>
  <c r="BG43" i="5" l="1"/>
  <c r="BH42" i="5"/>
  <c r="BH43" i="5" s="1"/>
  <c r="AC14" i="5"/>
  <c r="V12" i="6" s="1"/>
  <c r="AC13" i="5"/>
  <c r="V11" i="6" s="1"/>
  <c r="BG2" i="5"/>
  <c r="BF6" i="5"/>
  <c r="BF4" i="5"/>
  <c r="AD13" i="5" l="1"/>
  <c r="W11" i="6" s="1"/>
  <c r="AD14" i="5"/>
  <c r="W12" i="6" s="1"/>
  <c r="BG6" i="5"/>
  <c r="BG4" i="5"/>
  <c r="AE14" i="5" l="1"/>
  <c r="X12" i="6" s="1"/>
  <c r="AE13" i="5"/>
  <c r="X11" i="6" s="1"/>
  <c r="AF13" i="5" l="1"/>
  <c r="Y11" i="6" s="1"/>
  <c r="AF14" i="5"/>
  <c r="Y12" i="6" s="1"/>
  <c r="AG14" i="5" l="1"/>
  <c r="Z12" i="6" s="1"/>
  <c r="AG13" i="5"/>
  <c r="Z11" i="6" s="1"/>
  <c r="AH13" i="5" l="1"/>
  <c r="AH14" i="5"/>
  <c r="AI14" i="5" l="1"/>
  <c r="AA12" i="6"/>
  <c r="AI13" i="5"/>
  <c r="AA11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J49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35" i="6"/>
  <c r="B35" i="6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J13" i="5" l="1"/>
  <c r="AB11" i="6"/>
  <c r="AJ14" i="5"/>
  <c r="AB12" i="6"/>
  <c r="J50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K14" i="5" l="1"/>
  <c r="AC12" i="6"/>
  <c r="AK13" i="5"/>
  <c r="AC11" i="6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L13" i="5" l="1"/>
  <c r="AD11" i="6"/>
  <c r="AL14" i="5"/>
  <c r="AD12" i="6"/>
  <c r="B61" i="6"/>
  <c r="A61" i="6"/>
  <c r="C56" i="6"/>
  <c r="B56" i="6"/>
  <c r="C55" i="6"/>
  <c r="B55" i="6"/>
  <c r="C54" i="6"/>
  <c r="B54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M13" i="5"/>
  <c r="AE11" i="6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AO146" i="5" s="1"/>
  <c r="AP146" i="5" s="1"/>
  <c r="AQ146" i="5" s="1"/>
  <c r="AR146" i="5" s="1"/>
  <c r="AS146" i="5" s="1"/>
  <c r="AT146" i="5" s="1"/>
  <c r="AU146" i="5" s="1"/>
  <c r="AV146" i="5" s="1"/>
  <c r="AW146" i="5" s="1"/>
  <c r="AX146" i="5" s="1"/>
  <c r="AY146" i="5" s="1"/>
  <c r="AZ146" i="5" s="1"/>
  <c r="BA146" i="5" s="1"/>
  <c r="BB146" i="5" s="1"/>
  <c r="BC146" i="5" s="1"/>
  <c r="BD146" i="5" s="1"/>
  <c r="BE146" i="5" s="1"/>
  <c r="BF146" i="5" s="1"/>
  <c r="BG146" i="5" s="1"/>
  <c r="BH146" i="5" s="1"/>
  <c r="BI146" i="5" s="1"/>
  <c r="BJ146" i="5" s="1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P147" i="5" s="1"/>
  <c r="AQ147" i="5" s="1"/>
  <c r="AR147" i="5" s="1"/>
  <c r="AS147" i="5" s="1"/>
  <c r="AT147" i="5" s="1"/>
  <c r="AU147" i="5" s="1"/>
  <c r="AV147" i="5" s="1"/>
  <c r="AW147" i="5" s="1"/>
  <c r="AX147" i="5" s="1"/>
  <c r="AY147" i="5" s="1"/>
  <c r="AZ147" i="5" s="1"/>
  <c r="BA147" i="5" s="1"/>
  <c r="BB147" i="5" s="1"/>
  <c r="BC147" i="5" s="1"/>
  <c r="BD147" i="5" s="1"/>
  <c r="BE147" i="5" s="1"/>
  <c r="BF147" i="5" s="1"/>
  <c r="BG147" i="5" s="1"/>
  <c r="BH147" i="5" s="1"/>
  <c r="BI147" i="5" s="1"/>
  <c r="BJ147" i="5" s="1"/>
  <c r="C147" i="5"/>
  <c r="C146" i="5"/>
  <c r="AN13" i="5" l="1"/>
  <c r="AF11" i="6"/>
  <c r="AN14" i="5"/>
  <c r="AF12" i="6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AO14" i="5"/>
  <c r="AG12" i="6"/>
  <c r="AO13" i="5"/>
  <c r="AG11" i="6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V130" i="5"/>
  <c r="V156" i="5" s="1"/>
  <c r="J130" i="5"/>
  <c r="J134" i="5" s="1"/>
  <c r="AC148" i="5"/>
  <c r="AC156" i="5"/>
  <c r="AC149" i="5"/>
  <c r="W131" i="5"/>
  <c r="G131" i="5"/>
  <c r="S130" i="5"/>
  <c r="S156" i="5" s="1"/>
  <c r="AJ130" i="5"/>
  <c r="AJ156" i="5" s="1"/>
  <c r="X130" i="5"/>
  <c r="X156" i="5" s="1"/>
  <c r="AG131" i="5"/>
  <c r="AK148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AH149" i="5" l="1"/>
  <c r="K148" i="5"/>
  <c r="AH136" i="5"/>
  <c r="Q148" i="5"/>
  <c r="AP13" i="5"/>
  <c r="AH11" i="6"/>
  <c r="Q134" i="5"/>
  <c r="AP14" i="5"/>
  <c r="AH12" i="6"/>
  <c r="AH134" i="5"/>
  <c r="Q156" i="5"/>
  <c r="W134" i="5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P149" i="5" s="1"/>
  <c r="AQ149" i="5" s="1"/>
  <c r="AR149" i="5" s="1"/>
  <c r="AS149" i="5" s="1"/>
  <c r="AT149" i="5" s="1"/>
  <c r="AU149" i="5" s="1"/>
  <c r="AV149" i="5" s="1"/>
  <c r="AW149" i="5" s="1"/>
  <c r="AX149" i="5" s="1"/>
  <c r="AY149" i="5" s="1"/>
  <c r="AZ149" i="5" s="1"/>
  <c r="BA149" i="5" s="1"/>
  <c r="BB149" i="5" s="1"/>
  <c r="BC149" i="5" s="1"/>
  <c r="BD149" i="5" s="1"/>
  <c r="BE149" i="5" s="1"/>
  <c r="BF149" i="5" s="1"/>
  <c r="BG149" i="5" s="1"/>
  <c r="BH149" i="5" s="1"/>
  <c r="BI149" i="5" s="1"/>
  <c r="BJ149" i="5" s="1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AQ14" i="5" l="1"/>
  <c r="AI12" i="6"/>
  <c r="AQ13" i="5"/>
  <c r="AI11" i="6"/>
  <c r="AP148" i="5"/>
  <c r="AQ148" i="5" s="1"/>
  <c r="AR148" i="5" s="1"/>
  <c r="AS148" i="5" s="1"/>
  <c r="AT148" i="5" s="1"/>
  <c r="AU148" i="5" s="1"/>
  <c r="AV148" i="5" s="1"/>
  <c r="AW148" i="5" s="1"/>
  <c r="AX148" i="5" s="1"/>
  <c r="AY148" i="5" s="1"/>
  <c r="AZ148" i="5" s="1"/>
  <c r="BA148" i="5" s="1"/>
  <c r="BB148" i="5" s="1"/>
  <c r="BC148" i="5" s="1"/>
  <c r="BD148" i="5" s="1"/>
  <c r="BE148" i="5" s="1"/>
  <c r="BF148" i="5" s="1"/>
  <c r="BG148" i="5" s="1"/>
  <c r="BH148" i="5" s="1"/>
  <c r="BI148" i="5" s="1"/>
  <c r="BJ148" i="5" s="1"/>
  <c r="F26" i="6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AR14" i="5" l="1"/>
  <c r="AJ12" i="6"/>
  <c r="AR13" i="5"/>
  <c r="AJ11" i="6"/>
  <c r="G26" i="6"/>
  <c r="O28" i="5"/>
  <c r="AK100" i="5"/>
  <c r="M100" i="5"/>
  <c r="M106" i="5" s="1"/>
  <c r="AF100" i="5"/>
  <c r="AF106" i="5" s="1"/>
  <c r="T100" i="5"/>
  <c r="T104" i="5" s="1"/>
  <c r="W100" i="5"/>
  <c r="W104" i="5" s="1"/>
  <c r="D100" i="5"/>
  <c r="D104" i="5" s="1"/>
  <c r="AI100" i="5"/>
  <c r="AI106" i="5" s="1"/>
  <c r="AA100" i="5"/>
  <c r="AA106" i="5" s="1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T106" i="5" l="1"/>
  <c r="AS13" i="5"/>
  <c r="AK11" i="6"/>
  <c r="W106" i="5"/>
  <c r="AS14" i="5"/>
  <c r="AK12" i="6"/>
  <c r="H26" i="6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C9" i="1"/>
  <c r="AT14" i="5" l="1"/>
  <c r="AL12" i="6"/>
  <c r="AT13" i="5"/>
  <c r="AL11" i="6"/>
  <c r="Q28" i="5"/>
  <c r="I26" i="6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U13" i="5" l="1"/>
  <c r="AM11" i="6"/>
  <c r="AU14" i="5"/>
  <c r="AM12" i="6"/>
  <c r="R28" i="5"/>
  <c r="J26" i="6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AV14" i="5" l="1"/>
  <c r="AN12" i="6"/>
  <c r="AV13" i="5"/>
  <c r="AN11" i="6"/>
  <c r="S28" i="5"/>
  <c r="K26" i="6"/>
  <c r="C12" i="1"/>
  <c r="C10" i="1"/>
  <c r="C8" i="1"/>
  <c r="AW13" i="5" l="1"/>
  <c r="AO11" i="6"/>
  <c r="AW14" i="5"/>
  <c r="AO12" i="6"/>
  <c r="T28" i="5"/>
  <c r="L26" i="6"/>
  <c r="C49" i="6"/>
  <c r="D49" i="6"/>
  <c r="E49" i="6"/>
  <c r="F49" i="6"/>
  <c r="B49" i="6"/>
  <c r="B47" i="6"/>
  <c r="C47" i="6" s="1"/>
  <c r="D47" i="6" s="1"/>
  <c r="E47" i="6" s="1"/>
  <c r="F47" i="6" s="1"/>
  <c r="C7" i="1"/>
  <c r="AX14" i="5" l="1"/>
  <c r="AP12" i="6"/>
  <c r="AX13" i="5"/>
  <c r="AP11" i="6"/>
  <c r="U28" i="5"/>
  <c r="M26" i="6"/>
  <c r="C6" i="6"/>
  <c r="AY13" i="5" l="1"/>
  <c r="AQ11" i="6"/>
  <c r="AY14" i="5"/>
  <c r="AQ12" i="6"/>
  <c r="V28" i="5"/>
  <c r="N26" i="6"/>
  <c r="J51" i="6"/>
  <c r="AZ14" i="5" l="1"/>
  <c r="AR12" i="6"/>
  <c r="AZ13" i="5"/>
  <c r="AR11" i="6"/>
  <c r="W28" i="5"/>
  <c r="O26" i="6"/>
  <c r="F34" i="5"/>
  <c r="C34" i="5"/>
  <c r="G34" i="5"/>
  <c r="J34" i="5"/>
  <c r="H34" i="5"/>
  <c r="I34" i="5"/>
  <c r="D34" i="5"/>
  <c r="E34" i="5"/>
  <c r="K3" i="5"/>
  <c r="K33" i="5"/>
  <c r="BA13" i="5" l="1"/>
  <c r="AS11" i="6"/>
  <c r="BA14" i="5"/>
  <c r="AS12" i="6"/>
  <c r="X28" i="5"/>
  <c r="P26" i="6"/>
  <c r="K9" i="5"/>
  <c r="K10" i="5" s="1"/>
  <c r="K12" i="5"/>
  <c r="D10" i="6" s="1"/>
  <c r="K34" i="5"/>
  <c r="K44" i="5" s="1"/>
  <c r="D56" i="6" s="1"/>
  <c r="L33" i="5"/>
  <c r="L3" i="5"/>
  <c r="BB14" i="5" l="1"/>
  <c r="AT12" i="6"/>
  <c r="BB13" i="5"/>
  <c r="AT11" i="6"/>
  <c r="Y28" i="5"/>
  <c r="Q26" i="6"/>
  <c r="K43" i="5"/>
  <c r="D55" i="6" s="1"/>
  <c r="J49" i="5"/>
  <c r="C61" i="6" s="1"/>
  <c r="K35" i="5"/>
  <c r="K22" i="5" s="1"/>
  <c r="D20" i="6" s="1"/>
  <c r="L9" i="5"/>
  <c r="L10" i="5" s="1"/>
  <c r="L12" i="5"/>
  <c r="E10" i="6" s="1"/>
  <c r="L34" i="5"/>
  <c r="M33" i="5"/>
  <c r="M3" i="5"/>
  <c r="BC13" i="5" l="1"/>
  <c r="AU11" i="6"/>
  <c r="BC14" i="5"/>
  <c r="AU12" i="6"/>
  <c r="K32" i="5"/>
  <c r="D30" i="6" s="1"/>
  <c r="K25" i="5"/>
  <c r="D23" i="6" s="1"/>
  <c r="K30" i="5"/>
  <c r="D28" i="6" s="1"/>
  <c r="K20" i="5"/>
  <c r="D18" i="6" s="1"/>
  <c r="K23" i="5"/>
  <c r="D21" i="6" s="1"/>
  <c r="K42" i="5"/>
  <c r="D54" i="6" s="1"/>
  <c r="Z28" i="5"/>
  <c r="R26" i="6"/>
  <c r="K29" i="5"/>
  <c r="D27" i="6" s="1"/>
  <c r="K31" i="5"/>
  <c r="D29" i="6" s="1"/>
  <c r="K27" i="5"/>
  <c r="D25" i="6" s="1"/>
  <c r="K26" i="5"/>
  <c r="D24" i="6" s="1"/>
  <c r="K18" i="5"/>
  <c r="D16" i="6" s="1"/>
  <c r="K16" i="5"/>
  <c r="D14" i="6" s="1"/>
  <c r="K21" i="5"/>
  <c r="D19" i="6" s="1"/>
  <c r="K17" i="5"/>
  <c r="D15" i="6" s="1"/>
  <c r="K19" i="5"/>
  <c r="D17" i="6" s="1"/>
  <c r="K24" i="5"/>
  <c r="D22" i="6" s="1"/>
  <c r="L35" i="5"/>
  <c r="L32" i="5" s="1"/>
  <c r="E30" i="6" s="1"/>
  <c r="M9" i="5"/>
  <c r="M10" i="5" s="1"/>
  <c r="K15" i="5"/>
  <c r="D13" i="6" s="1"/>
  <c r="L43" i="5"/>
  <c r="E55" i="6" s="1"/>
  <c r="M12" i="5"/>
  <c r="F10" i="6" s="1"/>
  <c r="L44" i="5"/>
  <c r="E56" i="6" s="1"/>
  <c r="K49" i="5"/>
  <c r="D61" i="6" s="1"/>
  <c r="N3" i="5"/>
  <c r="M34" i="5"/>
  <c r="N33" i="5"/>
  <c r="BD14" i="5" l="1"/>
  <c r="AV12" i="6"/>
  <c r="BD13" i="5"/>
  <c r="AV11" i="6"/>
  <c r="AA28" i="5"/>
  <c r="S26" i="6"/>
  <c r="L22" i="5"/>
  <c r="E20" i="6" s="1"/>
  <c r="L26" i="5"/>
  <c r="E24" i="6" s="1"/>
  <c r="D7" i="6"/>
  <c r="D6" i="6" s="1"/>
  <c r="L20" i="5"/>
  <c r="E18" i="6" s="1"/>
  <c r="L18" i="5"/>
  <c r="E16" i="6" s="1"/>
  <c r="L17" i="5"/>
  <c r="E15" i="6" s="1"/>
  <c r="L21" i="5"/>
  <c r="E19" i="6" s="1"/>
  <c r="L16" i="5"/>
  <c r="E14" i="6" s="1"/>
  <c r="L30" i="5"/>
  <c r="E28" i="6" s="1"/>
  <c r="L31" i="5"/>
  <c r="E29" i="6" s="1"/>
  <c r="L23" i="5"/>
  <c r="E21" i="6" s="1"/>
  <c r="L19" i="5"/>
  <c r="E17" i="6" s="1"/>
  <c r="L29" i="5"/>
  <c r="E27" i="6" s="1"/>
  <c r="L27" i="5"/>
  <c r="E25" i="6" s="1"/>
  <c r="L25" i="5"/>
  <c r="E23" i="6" s="1"/>
  <c r="L24" i="5"/>
  <c r="E22" i="6" s="1"/>
  <c r="L15" i="5"/>
  <c r="E13" i="6" s="1"/>
  <c r="M35" i="5"/>
  <c r="M25" i="5" s="1"/>
  <c r="F23" i="6" s="1"/>
  <c r="N9" i="5"/>
  <c r="N10" i="5" s="1"/>
  <c r="K37" i="5"/>
  <c r="L42" i="5"/>
  <c r="E54" i="6" s="1"/>
  <c r="N12" i="5"/>
  <c r="G10" i="6" s="1"/>
  <c r="L49" i="5"/>
  <c r="E61" i="6" s="1"/>
  <c r="L36" i="5"/>
  <c r="M44" i="5"/>
  <c r="F56" i="6" s="1"/>
  <c r="N34" i="5"/>
  <c r="O33" i="5"/>
  <c r="M43" i="5"/>
  <c r="F55" i="6" s="1"/>
  <c r="O3" i="5"/>
  <c r="BE13" i="5" l="1"/>
  <c r="AW11" i="6"/>
  <c r="BE14" i="5"/>
  <c r="AW12" i="6"/>
  <c r="M22" i="5"/>
  <c r="F20" i="6" s="1"/>
  <c r="M32" i="5"/>
  <c r="F30" i="6" s="1"/>
  <c r="M17" i="5"/>
  <c r="F15" i="6" s="1"/>
  <c r="M18" i="5"/>
  <c r="F16" i="6" s="1"/>
  <c r="AB28" i="5"/>
  <c r="T26" i="6"/>
  <c r="M15" i="5"/>
  <c r="F13" i="6" s="1"/>
  <c r="M26" i="5"/>
  <c r="F24" i="6" s="1"/>
  <c r="M24" i="5"/>
  <c r="F22" i="6" s="1"/>
  <c r="M31" i="5"/>
  <c r="F29" i="6" s="1"/>
  <c r="M21" i="5"/>
  <c r="F19" i="6" s="1"/>
  <c r="M20" i="5"/>
  <c r="F18" i="6" s="1"/>
  <c r="M27" i="5"/>
  <c r="F25" i="6" s="1"/>
  <c r="M16" i="5"/>
  <c r="F14" i="6" s="1"/>
  <c r="M23" i="5"/>
  <c r="F21" i="6" s="1"/>
  <c r="M30" i="5"/>
  <c r="F28" i="6" s="1"/>
  <c r="E7" i="6"/>
  <c r="E6" i="6" s="1"/>
  <c r="M29" i="5"/>
  <c r="F27" i="6" s="1"/>
  <c r="M19" i="5"/>
  <c r="F17" i="6" s="1"/>
  <c r="N35" i="5"/>
  <c r="N17" i="5" s="1"/>
  <c r="G15" i="6" s="1"/>
  <c r="O9" i="5"/>
  <c r="O10" i="5" s="1"/>
  <c r="O12" i="5"/>
  <c r="H10" i="6" s="1"/>
  <c r="M36" i="5"/>
  <c r="M49" i="5"/>
  <c r="F61" i="6" s="1"/>
  <c r="L37" i="5"/>
  <c r="N44" i="5"/>
  <c r="G56" i="6" s="1"/>
  <c r="P3" i="5"/>
  <c r="M42" i="5"/>
  <c r="F54" i="6" s="1"/>
  <c r="N43" i="5"/>
  <c r="G55" i="6" s="1"/>
  <c r="O34" i="5"/>
  <c r="P33" i="5"/>
  <c r="BF14" i="5" l="1"/>
  <c r="AX12" i="6"/>
  <c r="BF13" i="5"/>
  <c r="AX11" i="6"/>
  <c r="N31" i="5"/>
  <c r="G29" i="6" s="1"/>
  <c r="N29" i="5"/>
  <c r="G27" i="6" s="1"/>
  <c r="N25" i="5"/>
  <c r="G23" i="6" s="1"/>
  <c r="N21" i="5"/>
  <c r="G19" i="6" s="1"/>
  <c r="F7" i="6"/>
  <c r="F6" i="6" s="1"/>
  <c r="AC28" i="5"/>
  <c r="U26" i="6"/>
  <c r="N24" i="5"/>
  <c r="G22" i="6" s="1"/>
  <c r="N32" i="5"/>
  <c r="G30" i="6" s="1"/>
  <c r="N15" i="5"/>
  <c r="G13" i="6" s="1"/>
  <c r="N20" i="5"/>
  <c r="G18" i="6" s="1"/>
  <c r="N22" i="5"/>
  <c r="G20" i="6" s="1"/>
  <c r="N23" i="5"/>
  <c r="G21" i="6" s="1"/>
  <c r="N27" i="5"/>
  <c r="G25" i="6" s="1"/>
  <c r="N26" i="5"/>
  <c r="G24" i="6" s="1"/>
  <c r="N30" i="5"/>
  <c r="G28" i="6" s="1"/>
  <c r="N19" i="5"/>
  <c r="G17" i="6" s="1"/>
  <c r="N16" i="5"/>
  <c r="G14" i="6" s="1"/>
  <c r="N18" i="5"/>
  <c r="G16" i="6" s="1"/>
  <c r="O35" i="5"/>
  <c r="O26" i="5" s="1"/>
  <c r="H24" i="6" s="1"/>
  <c r="P9" i="5"/>
  <c r="P10" i="5" s="1"/>
  <c r="M37" i="5"/>
  <c r="P12" i="5"/>
  <c r="I10" i="6" s="1"/>
  <c r="N36" i="5"/>
  <c r="N49" i="5"/>
  <c r="G61" i="6" s="1"/>
  <c r="O43" i="5"/>
  <c r="H55" i="6" s="1"/>
  <c r="N42" i="5"/>
  <c r="G54" i="6" s="1"/>
  <c r="Q3" i="5"/>
  <c r="P34" i="5"/>
  <c r="Q33" i="5"/>
  <c r="O44" i="5"/>
  <c r="H56" i="6" s="1"/>
  <c r="BG13" i="5" l="1"/>
  <c r="AY11" i="6"/>
  <c r="BG14" i="5"/>
  <c r="AY12" i="6"/>
  <c r="AD28" i="5"/>
  <c r="V26" i="6"/>
  <c r="O31" i="5"/>
  <c r="H29" i="6" s="1"/>
  <c r="O32" i="5"/>
  <c r="H30" i="6" s="1"/>
  <c r="O17" i="5"/>
  <c r="H15" i="6" s="1"/>
  <c r="G7" i="6"/>
  <c r="G6" i="6" s="1"/>
  <c r="O15" i="5"/>
  <c r="H13" i="6" s="1"/>
  <c r="O30" i="5"/>
  <c r="H28" i="6" s="1"/>
  <c r="O21" i="5"/>
  <c r="H19" i="6" s="1"/>
  <c r="O18" i="5"/>
  <c r="H16" i="6" s="1"/>
  <c r="O24" i="5"/>
  <c r="H22" i="6" s="1"/>
  <c r="O25" i="5"/>
  <c r="H23" i="6" s="1"/>
  <c r="O16" i="5"/>
  <c r="H14" i="6" s="1"/>
  <c r="O20" i="5"/>
  <c r="H18" i="6" s="1"/>
  <c r="O22" i="5"/>
  <c r="H20" i="6" s="1"/>
  <c r="O19" i="5"/>
  <c r="H17" i="6" s="1"/>
  <c r="O27" i="5"/>
  <c r="H25" i="6" s="1"/>
  <c r="O29" i="5"/>
  <c r="H27" i="6" s="1"/>
  <c r="O23" i="5"/>
  <c r="H21" i="6" s="1"/>
  <c r="P35" i="5"/>
  <c r="P29" i="5" s="1"/>
  <c r="I27" i="6" s="1"/>
  <c r="Q9" i="5"/>
  <c r="Q10" i="5" s="1"/>
  <c r="N37" i="5"/>
  <c r="Q12" i="5"/>
  <c r="J10" i="6" s="1"/>
  <c r="O36" i="5"/>
  <c r="O49" i="5"/>
  <c r="H61" i="6" s="1"/>
  <c r="R3" i="5"/>
  <c r="P44" i="5"/>
  <c r="I56" i="6" s="1"/>
  <c r="P43" i="5"/>
  <c r="I55" i="6" s="1"/>
  <c r="O42" i="5"/>
  <c r="H54" i="6" s="1"/>
  <c r="R33" i="5"/>
  <c r="Q34" i="5"/>
  <c r="BH14" i="5" l="1"/>
  <c r="BA12" i="6" s="1"/>
  <c r="AZ12" i="6"/>
  <c r="BH13" i="5"/>
  <c r="BA11" i="6" s="1"/>
  <c r="AZ11" i="6"/>
  <c r="P16" i="5"/>
  <c r="I14" i="6" s="1"/>
  <c r="P21" i="5"/>
  <c r="I19" i="6" s="1"/>
  <c r="P19" i="5"/>
  <c r="I17" i="6" s="1"/>
  <c r="P27" i="5"/>
  <c r="I25" i="6" s="1"/>
  <c r="P36" i="5"/>
  <c r="P30" i="5"/>
  <c r="I28" i="6" s="1"/>
  <c r="AE28" i="5"/>
  <c r="W26" i="6"/>
  <c r="P15" i="5"/>
  <c r="I13" i="6" s="1"/>
  <c r="P31" i="5"/>
  <c r="I29" i="6" s="1"/>
  <c r="P24" i="5"/>
  <c r="I22" i="6" s="1"/>
  <c r="P23" i="5"/>
  <c r="I21" i="6" s="1"/>
  <c r="P25" i="5"/>
  <c r="I23" i="6" s="1"/>
  <c r="H7" i="6"/>
  <c r="H6" i="6" s="1"/>
  <c r="P20" i="5"/>
  <c r="I18" i="6" s="1"/>
  <c r="P26" i="5"/>
  <c r="I24" i="6" s="1"/>
  <c r="P17" i="5"/>
  <c r="I15" i="6" s="1"/>
  <c r="P22" i="5"/>
  <c r="I20" i="6" s="1"/>
  <c r="P18" i="5"/>
  <c r="I16" i="6" s="1"/>
  <c r="P32" i="5"/>
  <c r="I30" i="6" s="1"/>
  <c r="Q35" i="5"/>
  <c r="Q23" i="5" s="1"/>
  <c r="J21" i="6" s="1"/>
  <c r="R9" i="5"/>
  <c r="R10" i="5" s="1"/>
  <c r="O37" i="5"/>
  <c r="R12" i="5"/>
  <c r="K10" i="6" s="1"/>
  <c r="P49" i="5"/>
  <c r="I61" i="6" s="1"/>
  <c r="Q44" i="5"/>
  <c r="J56" i="6" s="1"/>
  <c r="Q43" i="5"/>
  <c r="J55" i="6" s="1"/>
  <c r="P42" i="5"/>
  <c r="I54" i="6" s="1"/>
  <c r="S3" i="5"/>
  <c r="S33" i="5"/>
  <c r="R34" i="5"/>
  <c r="AF28" i="5" l="1"/>
  <c r="X26" i="6"/>
  <c r="Q16" i="5"/>
  <c r="J14" i="6" s="1"/>
  <c r="R35" i="5"/>
  <c r="R31" i="5" s="1"/>
  <c r="K29" i="6" s="1"/>
  <c r="Q22" i="5"/>
  <c r="J20" i="6" s="1"/>
  <c r="Q24" i="5"/>
  <c r="J22" i="6" s="1"/>
  <c r="Q17" i="5"/>
  <c r="J15" i="6" s="1"/>
  <c r="Q31" i="5"/>
  <c r="J29" i="6" s="1"/>
  <c r="Q21" i="5"/>
  <c r="J19" i="6" s="1"/>
  <c r="I7" i="6"/>
  <c r="I6" i="6" s="1"/>
  <c r="Q29" i="5"/>
  <c r="J27" i="6" s="1"/>
  <c r="Q30" i="5"/>
  <c r="J28" i="6" s="1"/>
  <c r="Q20" i="5"/>
  <c r="J18" i="6" s="1"/>
  <c r="Q27" i="5"/>
  <c r="J25" i="6" s="1"/>
  <c r="Q32" i="5"/>
  <c r="J30" i="6" s="1"/>
  <c r="Q18" i="5"/>
  <c r="J16" i="6" s="1"/>
  <c r="Q15" i="5"/>
  <c r="J13" i="6" s="1"/>
  <c r="Q26" i="5"/>
  <c r="J24" i="6" s="1"/>
  <c r="Q19" i="5"/>
  <c r="J17" i="6" s="1"/>
  <c r="Q25" i="5"/>
  <c r="J23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Q49" i="5"/>
  <c r="J61" i="6" s="1"/>
  <c r="T33" i="5"/>
  <c r="S34" i="5"/>
  <c r="R44" i="5"/>
  <c r="Q36" i="5"/>
  <c r="R43" i="5"/>
  <c r="K55" i="6" s="1"/>
  <c r="Q42" i="5"/>
  <c r="J54" i="6" s="1"/>
  <c r="R25" i="5" l="1"/>
  <c r="K23" i="6" s="1"/>
  <c r="R24" i="5"/>
  <c r="K22" i="6" s="1"/>
  <c r="R19" i="5"/>
  <c r="K17" i="6" s="1"/>
  <c r="R29" i="5"/>
  <c r="K27" i="6" s="1"/>
  <c r="R21" i="5"/>
  <c r="K19" i="6" s="1"/>
  <c r="R32" i="5"/>
  <c r="K30" i="6" s="1"/>
  <c r="R18" i="5"/>
  <c r="K16" i="6" s="1"/>
  <c r="R23" i="5"/>
  <c r="K21" i="6" s="1"/>
  <c r="R15" i="5"/>
  <c r="K13" i="6" s="1"/>
  <c r="R30" i="5"/>
  <c r="K28" i="6" s="1"/>
  <c r="R26" i="5"/>
  <c r="K24" i="6" s="1"/>
  <c r="R20" i="5"/>
  <c r="K18" i="6" s="1"/>
  <c r="R16" i="5"/>
  <c r="K14" i="6" s="1"/>
  <c r="AG28" i="5"/>
  <c r="Y26" i="6"/>
  <c r="J7" i="6"/>
  <c r="J6" i="6" s="1"/>
  <c r="S35" i="5"/>
  <c r="S32" i="5" s="1"/>
  <c r="L30" i="6" s="1"/>
  <c r="T9" i="5"/>
  <c r="T10" i="5" s="1"/>
  <c r="R36" i="5"/>
  <c r="T12" i="5"/>
  <c r="M10" i="6" s="1"/>
  <c r="S44" i="5"/>
  <c r="L56" i="6" s="1"/>
  <c r="K56" i="6"/>
  <c r="R49" i="5"/>
  <c r="K61" i="6" s="1"/>
  <c r="U33" i="5"/>
  <c r="T34" i="5"/>
  <c r="Q37" i="5"/>
  <c r="R42" i="5"/>
  <c r="K54" i="6" s="1"/>
  <c r="S43" i="5"/>
  <c r="L55" i="6" s="1"/>
  <c r="K7" i="6" l="1"/>
  <c r="K6" i="6" s="1"/>
  <c r="S22" i="5"/>
  <c r="L20" i="6" s="1"/>
  <c r="S31" i="5"/>
  <c r="L29" i="6" s="1"/>
  <c r="S27" i="5"/>
  <c r="L25" i="6" s="1"/>
  <c r="S18" i="5"/>
  <c r="L16" i="6" s="1"/>
  <c r="S26" i="5"/>
  <c r="L24" i="6" s="1"/>
  <c r="AH28" i="5"/>
  <c r="Z26" i="6"/>
  <c r="S20" i="5"/>
  <c r="L18" i="6" s="1"/>
  <c r="S19" i="5"/>
  <c r="L17" i="6" s="1"/>
  <c r="S17" i="5"/>
  <c r="L15" i="6" s="1"/>
  <c r="S15" i="5"/>
  <c r="L13" i="6" s="1"/>
  <c r="S30" i="5"/>
  <c r="L28" i="6" s="1"/>
  <c r="S29" i="5"/>
  <c r="L27" i="6" s="1"/>
  <c r="S21" i="5"/>
  <c r="L19" i="6" s="1"/>
  <c r="S24" i="5"/>
  <c r="L22" i="6" s="1"/>
  <c r="S25" i="5"/>
  <c r="L23" i="6" s="1"/>
  <c r="S16" i="5"/>
  <c r="L14" i="6" s="1"/>
  <c r="S23" i="5"/>
  <c r="L21" i="6" s="1"/>
  <c r="T35" i="5"/>
  <c r="T29" i="5" s="1"/>
  <c r="M27" i="6" s="1"/>
  <c r="U9" i="5"/>
  <c r="U10" i="5" s="1"/>
  <c r="T44" i="5"/>
  <c r="M56" i="6" s="1"/>
  <c r="U12" i="5"/>
  <c r="N10" i="6" s="1"/>
  <c r="S36" i="5"/>
  <c r="R37" i="5"/>
  <c r="S49" i="5"/>
  <c r="L61" i="6" s="1"/>
  <c r="V33" i="5"/>
  <c r="U34" i="5"/>
  <c r="S42" i="5"/>
  <c r="L54" i="6" s="1"/>
  <c r="T43" i="5"/>
  <c r="M55" i="6" s="1"/>
  <c r="T24" i="5" l="1"/>
  <c r="M22" i="6" s="1"/>
  <c r="T15" i="5"/>
  <c r="M13" i="6" s="1"/>
  <c r="AI28" i="5"/>
  <c r="AA26" i="6"/>
  <c r="L7" i="6"/>
  <c r="L6" i="6" s="1"/>
  <c r="T23" i="5"/>
  <c r="M21" i="6" s="1"/>
  <c r="T19" i="5"/>
  <c r="M17" i="6" s="1"/>
  <c r="T21" i="5"/>
  <c r="M19" i="6" s="1"/>
  <c r="T26" i="5"/>
  <c r="M24" i="6" s="1"/>
  <c r="T20" i="5"/>
  <c r="M18" i="6" s="1"/>
  <c r="T17" i="5"/>
  <c r="M15" i="6" s="1"/>
  <c r="T25" i="5"/>
  <c r="M23" i="6" s="1"/>
  <c r="T31" i="5"/>
  <c r="M29" i="6" s="1"/>
  <c r="T22" i="5"/>
  <c r="M20" i="6" s="1"/>
  <c r="T30" i="5"/>
  <c r="M28" i="6" s="1"/>
  <c r="T18" i="5"/>
  <c r="M16" i="6" s="1"/>
  <c r="T16" i="5"/>
  <c r="M14" i="6" s="1"/>
  <c r="T32" i="5"/>
  <c r="M30" i="6" s="1"/>
  <c r="T27" i="5"/>
  <c r="M25" i="6" s="1"/>
  <c r="U35" i="5"/>
  <c r="U23" i="5" s="1"/>
  <c r="N21" i="6" s="1"/>
  <c r="V9" i="5"/>
  <c r="V10" i="5" s="1"/>
  <c r="V12" i="5"/>
  <c r="O10" i="6" s="1"/>
  <c r="S37" i="5"/>
  <c r="T49" i="5"/>
  <c r="M61" i="6" s="1"/>
  <c r="T42" i="5"/>
  <c r="M54" i="6" s="1"/>
  <c r="U43" i="5"/>
  <c r="N55" i="6" s="1"/>
  <c r="W33" i="5"/>
  <c r="V34" i="5"/>
  <c r="T36" i="5"/>
  <c r="U44" i="5"/>
  <c r="N56" i="6" s="1"/>
  <c r="U15" i="5" l="1"/>
  <c r="N13" i="6" s="1"/>
  <c r="U22" i="5"/>
  <c r="N20" i="6" s="1"/>
  <c r="U31" i="5"/>
  <c r="N29" i="6" s="1"/>
  <c r="U19" i="5"/>
  <c r="N17" i="6" s="1"/>
  <c r="U25" i="5"/>
  <c r="N23" i="6" s="1"/>
  <c r="U20" i="5"/>
  <c r="N18" i="6" s="1"/>
  <c r="U27" i="5"/>
  <c r="N25" i="6" s="1"/>
  <c r="AJ28" i="5"/>
  <c r="AB26" i="6"/>
  <c r="U17" i="5"/>
  <c r="N15" i="6" s="1"/>
  <c r="U21" i="5"/>
  <c r="N19" i="6" s="1"/>
  <c r="U18" i="5"/>
  <c r="N16" i="6" s="1"/>
  <c r="U29" i="5"/>
  <c r="N27" i="6" s="1"/>
  <c r="U26" i="5"/>
  <c r="N24" i="6" s="1"/>
  <c r="U30" i="5"/>
  <c r="N28" i="6" s="1"/>
  <c r="U16" i="5"/>
  <c r="N14" i="6" s="1"/>
  <c r="U32" i="5"/>
  <c r="N30" i="6" s="1"/>
  <c r="U24" i="5"/>
  <c r="N22" i="6" s="1"/>
  <c r="M7" i="6"/>
  <c r="M6" i="6" s="1"/>
  <c r="V35" i="5"/>
  <c r="V27" i="5" s="1"/>
  <c r="O25" i="6" s="1"/>
  <c r="W9" i="5"/>
  <c r="W10" i="5" s="1"/>
  <c r="W12" i="5"/>
  <c r="P10" i="6" s="1"/>
  <c r="U49" i="5"/>
  <c r="N61" i="6" s="1"/>
  <c r="T37" i="5"/>
  <c r="U36" i="5"/>
  <c r="X33" i="5"/>
  <c r="W34" i="5"/>
  <c r="U42" i="5"/>
  <c r="N54" i="6" s="1"/>
  <c r="V43" i="5"/>
  <c r="O55" i="6" s="1"/>
  <c r="V44" i="5"/>
  <c r="O56" i="6" s="1"/>
  <c r="N7" i="6" l="1"/>
  <c r="AK28" i="5"/>
  <c r="AC26" i="6"/>
  <c r="V15" i="5"/>
  <c r="O13" i="6" s="1"/>
  <c r="V25" i="5"/>
  <c r="O23" i="6" s="1"/>
  <c r="V21" i="5"/>
  <c r="O19" i="6" s="1"/>
  <c r="V18" i="5"/>
  <c r="O16" i="6" s="1"/>
  <c r="V29" i="5"/>
  <c r="O27" i="6" s="1"/>
  <c r="V24" i="5"/>
  <c r="O22" i="6" s="1"/>
  <c r="V30" i="5"/>
  <c r="O28" i="6" s="1"/>
  <c r="V20" i="5"/>
  <c r="O18" i="6" s="1"/>
  <c r="V32" i="5"/>
  <c r="O30" i="6" s="1"/>
  <c r="V16" i="5"/>
  <c r="O14" i="6" s="1"/>
  <c r="V19" i="5"/>
  <c r="O17" i="6" s="1"/>
  <c r="V22" i="5"/>
  <c r="O20" i="6" s="1"/>
  <c r="V31" i="5"/>
  <c r="O29" i="6" s="1"/>
  <c r="V23" i="5"/>
  <c r="O21" i="6" s="1"/>
  <c r="V26" i="5"/>
  <c r="O24" i="6" s="1"/>
  <c r="V17" i="5"/>
  <c r="O15" i="6" s="1"/>
  <c r="N6" i="6"/>
  <c r="W35" i="5"/>
  <c r="W16" i="5" s="1"/>
  <c r="P14" i="6" s="1"/>
  <c r="X9" i="5"/>
  <c r="X10" i="5" s="1"/>
  <c r="V36" i="5"/>
  <c r="X12" i="5"/>
  <c r="Q10" i="6" s="1"/>
  <c r="V49" i="5"/>
  <c r="O61" i="6" s="1"/>
  <c r="W44" i="5"/>
  <c r="P56" i="6" s="1"/>
  <c r="U37" i="5"/>
  <c r="V42" i="5"/>
  <c r="O54" i="6" s="1"/>
  <c r="W43" i="5"/>
  <c r="P55" i="6" s="1"/>
  <c r="X34" i="5"/>
  <c r="Y33" i="5"/>
  <c r="AL28" i="5" l="1"/>
  <c r="AD26" i="6"/>
  <c r="W24" i="5"/>
  <c r="P22" i="6" s="1"/>
  <c r="O7" i="6"/>
  <c r="O6" i="6" s="1"/>
  <c r="W27" i="5"/>
  <c r="P25" i="6" s="1"/>
  <c r="W21" i="5"/>
  <c r="P19" i="6" s="1"/>
  <c r="W25" i="5"/>
  <c r="P23" i="6" s="1"/>
  <c r="W29" i="5"/>
  <c r="P27" i="6" s="1"/>
  <c r="W26" i="5"/>
  <c r="P24" i="6" s="1"/>
  <c r="W32" i="5"/>
  <c r="P30" i="6" s="1"/>
  <c r="W20" i="5"/>
  <c r="P18" i="6" s="1"/>
  <c r="W31" i="5"/>
  <c r="P29" i="6" s="1"/>
  <c r="W15" i="5"/>
  <c r="P13" i="6" s="1"/>
  <c r="W30" i="5"/>
  <c r="P28" i="6" s="1"/>
  <c r="W19" i="5"/>
  <c r="P17" i="6" s="1"/>
  <c r="W17" i="5"/>
  <c r="P15" i="6" s="1"/>
  <c r="W22" i="5"/>
  <c r="P20" i="6" s="1"/>
  <c r="W36" i="5"/>
  <c r="W23" i="5"/>
  <c r="P21" i="6" s="1"/>
  <c r="W18" i="5"/>
  <c r="P16" i="6" s="1"/>
  <c r="X35" i="5"/>
  <c r="X29" i="5" s="1"/>
  <c r="Q27" i="6" s="1"/>
  <c r="Y9" i="5"/>
  <c r="Y10" i="5" s="1"/>
  <c r="V37" i="5"/>
  <c r="Y12" i="5"/>
  <c r="R10" i="6" s="1"/>
  <c r="W49" i="5"/>
  <c r="P61" i="6" s="1"/>
  <c r="X44" i="5"/>
  <c r="Q56" i="6" s="1"/>
  <c r="W42" i="5"/>
  <c r="P54" i="6" s="1"/>
  <c r="X43" i="5"/>
  <c r="Q55" i="6" s="1"/>
  <c r="Y34" i="5"/>
  <c r="Z33" i="5"/>
  <c r="X32" i="5" l="1"/>
  <c r="Q30" i="6" s="1"/>
  <c r="X20" i="5"/>
  <c r="Q18" i="6" s="1"/>
  <c r="X18" i="5"/>
  <c r="Q16" i="6" s="1"/>
  <c r="X22" i="5"/>
  <c r="Q20" i="6" s="1"/>
  <c r="AM28" i="5"/>
  <c r="AE26" i="6"/>
  <c r="X16" i="5"/>
  <c r="Q14" i="6" s="1"/>
  <c r="X31" i="5"/>
  <c r="Q29" i="6" s="1"/>
  <c r="X15" i="5"/>
  <c r="Q13" i="6" s="1"/>
  <c r="X19" i="5"/>
  <c r="Q17" i="6" s="1"/>
  <c r="X17" i="5"/>
  <c r="Q15" i="6" s="1"/>
  <c r="X21" i="5"/>
  <c r="Q19" i="6" s="1"/>
  <c r="X23" i="5"/>
  <c r="Q21" i="6" s="1"/>
  <c r="X26" i="5"/>
  <c r="Q24" i="6" s="1"/>
  <c r="P7" i="6"/>
  <c r="P6" i="6" s="1"/>
  <c r="X24" i="5"/>
  <c r="Q22" i="6" s="1"/>
  <c r="X25" i="5"/>
  <c r="Q23" i="6" s="1"/>
  <c r="W37" i="5"/>
  <c r="X30" i="5"/>
  <c r="Q28" i="6" s="1"/>
  <c r="X27" i="5"/>
  <c r="Q25" i="6" s="1"/>
  <c r="Y35" i="5"/>
  <c r="Y15" i="5" s="1"/>
  <c r="R13" i="6" s="1"/>
  <c r="Z9" i="5"/>
  <c r="Z10" i="5" s="1"/>
  <c r="Z12" i="5"/>
  <c r="S10" i="6" s="1"/>
  <c r="X49" i="5"/>
  <c r="Q61" i="6" s="1"/>
  <c r="X42" i="5"/>
  <c r="Q54" i="6" s="1"/>
  <c r="Y43" i="5"/>
  <c r="R55" i="6" s="1"/>
  <c r="X36" i="5"/>
  <c r="Z34" i="5"/>
  <c r="AA33" i="5"/>
  <c r="Y44" i="5"/>
  <c r="R56" i="6" s="1"/>
  <c r="Y24" i="5" l="1"/>
  <c r="R22" i="6" s="1"/>
  <c r="Y31" i="5"/>
  <c r="R29" i="6" s="1"/>
  <c r="Y30" i="5"/>
  <c r="R28" i="6" s="1"/>
  <c r="Y20" i="5"/>
  <c r="R18" i="6" s="1"/>
  <c r="Y26" i="5"/>
  <c r="R24" i="6" s="1"/>
  <c r="AN28" i="5"/>
  <c r="AF26" i="6"/>
  <c r="Y32" i="5"/>
  <c r="R30" i="6" s="1"/>
  <c r="Y18" i="5"/>
  <c r="R16" i="6" s="1"/>
  <c r="Q7" i="6"/>
  <c r="Q6" i="6" s="1"/>
  <c r="Y16" i="5"/>
  <c r="R14" i="6" s="1"/>
  <c r="Y27" i="5"/>
  <c r="R25" i="6" s="1"/>
  <c r="Y22" i="5"/>
  <c r="R20" i="6" s="1"/>
  <c r="Y21" i="5"/>
  <c r="R19" i="6" s="1"/>
  <c r="Y17" i="5"/>
  <c r="R15" i="6" s="1"/>
  <c r="Y25" i="5"/>
  <c r="R23" i="6" s="1"/>
  <c r="Y23" i="5"/>
  <c r="R21" i="6" s="1"/>
  <c r="Y29" i="5"/>
  <c r="R27" i="6" s="1"/>
  <c r="Y19" i="5"/>
  <c r="R17" i="6" s="1"/>
  <c r="Z35" i="5"/>
  <c r="Z30" i="5" s="1"/>
  <c r="S28" i="6" s="1"/>
  <c r="AA9" i="5"/>
  <c r="AA10" i="5" s="1"/>
  <c r="AA12" i="5"/>
  <c r="T10" i="6" s="1"/>
  <c r="Y49" i="5"/>
  <c r="R61" i="6" s="1"/>
  <c r="X37" i="5"/>
  <c r="AA34" i="5"/>
  <c r="AB33" i="5"/>
  <c r="Y42" i="5"/>
  <c r="R54" i="6" s="1"/>
  <c r="Z43" i="5"/>
  <c r="S55" i="6" s="1"/>
  <c r="Z44" i="5"/>
  <c r="Y36" i="5"/>
  <c r="AG26" i="6" l="1"/>
  <c r="AO28" i="5"/>
  <c r="Z31" i="5"/>
  <c r="S29" i="6" s="1"/>
  <c r="Z29" i="5"/>
  <c r="S27" i="6" s="1"/>
  <c r="Z18" i="5"/>
  <c r="S16" i="6" s="1"/>
  <c r="Z22" i="5"/>
  <c r="S20" i="6" s="1"/>
  <c r="Z17" i="5"/>
  <c r="S15" i="6" s="1"/>
  <c r="Z32" i="5"/>
  <c r="S30" i="6" s="1"/>
  <c r="Z21" i="5"/>
  <c r="S19" i="6" s="1"/>
  <c r="R7" i="6"/>
  <c r="R6" i="6" s="1"/>
  <c r="Z24" i="5"/>
  <c r="S22" i="6" s="1"/>
  <c r="Z15" i="5"/>
  <c r="S13" i="6" s="1"/>
  <c r="Z27" i="5"/>
  <c r="S25" i="6" s="1"/>
  <c r="Z16" i="5"/>
  <c r="S14" i="6" s="1"/>
  <c r="Z20" i="5"/>
  <c r="S18" i="6" s="1"/>
  <c r="Z26" i="5"/>
  <c r="S24" i="6" s="1"/>
  <c r="Z23" i="5"/>
  <c r="S21" i="6" s="1"/>
  <c r="Z19" i="5"/>
  <c r="S17" i="6" s="1"/>
  <c r="Z25" i="5"/>
  <c r="S23" i="6" s="1"/>
  <c r="AA35" i="5"/>
  <c r="AA17" i="5" s="1"/>
  <c r="T15" i="6" s="1"/>
  <c r="AB9" i="5"/>
  <c r="AB10" i="5" s="1"/>
  <c r="Z36" i="5"/>
  <c r="AB12" i="5"/>
  <c r="U10" i="6" s="1"/>
  <c r="AA44" i="5"/>
  <c r="T56" i="6" s="1"/>
  <c r="S56" i="6"/>
  <c r="Z49" i="5"/>
  <c r="S61" i="6" s="1"/>
  <c r="Y37" i="5"/>
  <c r="AA43" i="5"/>
  <c r="T55" i="6" s="1"/>
  <c r="Z42" i="5"/>
  <c r="S54" i="6" s="1"/>
  <c r="AB34" i="5"/>
  <c r="AC33" i="5"/>
  <c r="AP28" i="5" l="1"/>
  <c r="AH26" i="6"/>
  <c r="AA18" i="5"/>
  <c r="T16" i="6" s="1"/>
  <c r="AA21" i="5"/>
  <c r="T19" i="6" s="1"/>
  <c r="AA24" i="5"/>
  <c r="T22" i="6" s="1"/>
  <c r="AA16" i="5"/>
  <c r="T14" i="6" s="1"/>
  <c r="AA25" i="5"/>
  <c r="T23" i="6" s="1"/>
  <c r="AA30" i="5"/>
  <c r="T28" i="6" s="1"/>
  <c r="AA36" i="5"/>
  <c r="AA19" i="5"/>
  <c r="T17" i="6" s="1"/>
  <c r="AA26" i="5"/>
  <c r="T24" i="6" s="1"/>
  <c r="AA31" i="5"/>
  <c r="T29" i="6" s="1"/>
  <c r="AA23" i="5"/>
  <c r="T21" i="6" s="1"/>
  <c r="AA20" i="5"/>
  <c r="T18" i="6" s="1"/>
  <c r="AA27" i="5"/>
  <c r="T25" i="6" s="1"/>
  <c r="AA15" i="5"/>
  <c r="T13" i="6" s="1"/>
  <c r="S7" i="6"/>
  <c r="S6" i="6" s="1"/>
  <c r="AA32" i="5"/>
  <c r="T30" i="6" s="1"/>
  <c r="AA22" i="5"/>
  <c r="T20" i="6" s="1"/>
  <c r="AA29" i="5"/>
  <c r="T27" i="6" s="1"/>
  <c r="AB35" i="5"/>
  <c r="AB23" i="5" s="1"/>
  <c r="U21" i="6" s="1"/>
  <c r="AC9" i="5"/>
  <c r="AC10" i="5" s="1"/>
  <c r="Z37" i="5"/>
  <c r="AC12" i="5"/>
  <c r="V10" i="6" s="1"/>
  <c r="AA49" i="5"/>
  <c r="T61" i="6" s="1"/>
  <c r="AB43" i="5"/>
  <c r="U55" i="6" s="1"/>
  <c r="AA42" i="5"/>
  <c r="T54" i="6" s="1"/>
  <c r="AB44" i="5"/>
  <c r="U56" i="6" s="1"/>
  <c r="AC34" i="5"/>
  <c r="AD33" i="5"/>
  <c r="AQ28" i="5" l="1"/>
  <c r="AI26" i="6"/>
  <c r="AB25" i="5"/>
  <c r="U23" i="6" s="1"/>
  <c r="AB27" i="5"/>
  <c r="U25" i="6" s="1"/>
  <c r="AB19" i="5"/>
  <c r="U17" i="6" s="1"/>
  <c r="AB29" i="5"/>
  <c r="U27" i="6" s="1"/>
  <c r="T7" i="6"/>
  <c r="T6" i="6" s="1"/>
  <c r="AB20" i="5"/>
  <c r="U18" i="6" s="1"/>
  <c r="AB26" i="5"/>
  <c r="U24" i="6" s="1"/>
  <c r="AB18" i="5"/>
  <c r="U16" i="6" s="1"/>
  <c r="AA37" i="5"/>
  <c r="AB17" i="5"/>
  <c r="U15" i="6" s="1"/>
  <c r="AB24" i="5"/>
  <c r="U22" i="6" s="1"/>
  <c r="AB31" i="5"/>
  <c r="U29" i="6" s="1"/>
  <c r="AB32" i="5"/>
  <c r="U30" i="6" s="1"/>
  <c r="AB16" i="5"/>
  <c r="U14" i="6" s="1"/>
  <c r="AB15" i="5"/>
  <c r="U13" i="6" s="1"/>
  <c r="AB22" i="5"/>
  <c r="U20" i="6" s="1"/>
  <c r="AB21" i="5"/>
  <c r="U19" i="6" s="1"/>
  <c r="AB30" i="5"/>
  <c r="U28" i="6" s="1"/>
  <c r="AC35" i="5"/>
  <c r="AC18" i="5" s="1"/>
  <c r="V16" i="6" s="1"/>
  <c r="AC25" i="5"/>
  <c r="V23" i="6" s="1"/>
  <c r="AD9" i="5"/>
  <c r="AD10" i="5" s="1"/>
  <c r="AB36" i="5"/>
  <c r="AD12" i="5"/>
  <c r="W10" i="6" s="1"/>
  <c r="AB49" i="5"/>
  <c r="U61" i="6" s="1"/>
  <c r="AC44" i="5"/>
  <c r="V56" i="6" s="1"/>
  <c r="AC43" i="5"/>
  <c r="V55" i="6" s="1"/>
  <c r="AB42" i="5"/>
  <c r="U54" i="6" s="1"/>
  <c r="AD34" i="5"/>
  <c r="AE33" i="5"/>
  <c r="AC29" i="5" l="1"/>
  <c r="V27" i="6" s="1"/>
  <c r="AC27" i="5"/>
  <c r="V25" i="6" s="1"/>
  <c r="AR28" i="5"/>
  <c r="AJ26" i="6"/>
  <c r="AC22" i="5"/>
  <c r="V20" i="6" s="1"/>
  <c r="AC31" i="5"/>
  <c r="V29" i="6" s="1"/>
  <c r="AC30" i="5"/>
  <c r="V28" i="6" s="1"/>
  <c r="AC19" i="5"/>
  <c r="V17" i="6" s="1"/>
  <c r="AC23" i="5"/>
  <c r="V21" i="6" s="1"/>
  <c r="U7" i="6"/>
  <c r="U6" i="6" s="1"/>
  <c r="AC26" i="5"/>
  <c r="V24" i="6" s="1"/>
  <c r="AC17" i="5"/>
  <c r="V15" i="6" s="1"/>
  <c r="AC24" i="5"/>
  <c r="V22" i="6" s="1"/>
  <c r="AC20" i="5"/>
  <c r="V18" i="6" s="1"/>
  <c r="AC15" i="5"/>
  <c r="V13" i="6" s="1"/>
  <c r="AC21" i="5"/>
  <c r="V19" i="6" s="1"/>
  <c r="AC32" i="5"/>
  <c r="V30" i="6" s="1"/>
  <c r="AC16" i="5"/>
  <c r="V14" i="6" s="1"/>
  <c r="AD35" i="5"/>
  <c r="AD22" i="5" s="1"/>
  <c r="W20" i="6" s="1"/>
  <c r="AE9" i="5"/>
  <c r="AE10" i="5" s="1"/>
  <c r="AB37" i="5"/>
  <c r="AC36" i="5"/>
  <c r="AE12" i="5"/>
  <c r="X10" i="6" s="1"/>
  <c r="AC49" i="5"/>
  <c r="V61" i="6" s="1"/>
  <c r="AD44" i="5"/>
  <c r="W56" i="6" s="1"/>
  <c r="AF33" i="5"/>
  <c r="AE34" i="5"/>
  <c r="AD43" i="5"/>
  <c r="W55" i="6" s="1"/>
  <c r="AC42" i="5"/>
  <c r="V54" i="6" s="1"/>
  <c r="AS28" i="5" l="1"/>
  <c r="AK26" i="6"/>
  <c r="AD16" i="5"/>
  <c r="W14" i="6" s="1"/>
  <c r="AD19" i="5"/>
  <c r="W17" i="6" s="1"/>
  <c r="AD29" i="5"/>
  <c r="W27" i="6" s="1"/>
  <c r="AD31" i="5"/>
  <c r="W29" i="6" s="1"/>
  <c r="AD25" i="5"/>
  <c r="W23" i="6" s="1"/>
  <c r="AD27" i="5"/>
  <c r="W25" i="6" s="1"/>
  <c r="AD17" i="5"/>
  <c r="W15" i="6" s="1"/>
  <c r="AD24" i="5"/>
  <c r="W22" i="6" s="1"/>
  <c r="AD32" i="5"/>
  <c r="W30" i="6" s="1"/>
  <c r="AD18" i="5"/>
  <c r="W16" i="6" s="1"/>
  <c r="AD15" i="5"/>
  <c r="W13" i="6" s="1"/>
  <c r="V7" i="6"/>
  <c r="V6" i="6" s="1"/>
  <c r="AE35" i="5"/>
  <c r="AE29" i="5" s="1"/>
  <c r="X27" i="6" s="1"/>
  <c r="AD26" i="5"/>
  <c r="W24" i="6" s="1"/>
  <c r="AD30" i="5"/>
  <c r="W28" i="6" s="1"/>
  <c r="AD21" i="5"/>
  <c r="W19" i="6" s="1"/>
  <c r="AD20" i="5"/>
  <c r="W18" i="6" s="1"/>
  <c r="AD23" i="5"/>
  <c r="W21" i="6" s="1"/>
  <c r="AF9" i="5"/>
  <c r="AF10" i="5" s="1"/>
  <c r="AC37" i="5"/>
  <c r="AF12" i="5"/>
  <c r="Y10" i="6" s="1"/>
  <c r="AD49" i="5"/>
  <c r="W61" i="6" s="1"/>
  <c r="X55" i="6"/>
  <c r="AD42" i="5"/>
  <c r="W54" i="6" s="1"/>
  <c r="AD36" i="5"/>
  <c r="AG33" i="5"/>
  <c r="AF34" i="5"/>
  <c r="AE44" i="5"/>
  <c r="AT28" i="5" l="1"/>
  <c r="AL26" i="6"/>
  <c r="W7" i="6"/>
  <c r="W6" i="6" s="1"/>
  <c r="AE16" i="5"/>
  <c r="X14" i="6" s="1"/>
  <c r="AE24" i="5"/>
  <c r="X22" i="6" s="1"/>
  <c r="AE31" i="5"/>
  <c r="X29" i="6" s="1"/>
  <c r="AE25" i="5"/>
  <c r="X23" i="6" s="1"/>
  <c r="AE26" i="5"/>
  <c r="X24" i="6" s="1"/>
  <c r="AE15" i="5"/>
  <c r="X13" i="6" s="1"/>
  <c r="AE22" i="5"/>
  <c r="X20" i="6" s="1"/>
  <c r="AE19" i="5"/>
  <c r="X17" i="6" s="1"/>
  <c r="AE23" i="5"/>
  <c r="X21" i="6" s="1"/>
  <c r="AE27" i="5"/>
  <c r="X25" i="6" s="1"/>
  <c r="AE30" i="5"/>
  <c r="X28" i="6" s="1"/>
  <c r="AE32" i="5"/>
  <c r="X30" i="6" s="1"/>
  <c r="AE18" i="5"/>
  <c r="X16" i="6" s="1"/>
  <c r="AE20" i="5"/>
  <c r="X18" i="6" s="1"/>
  <c r="AE17" i="5"/>
  <c r="X15" i="6" s="1"/>
  <c r="AE21" i="5"/>
  <c r="X19" i="6" s="1"/>
  <c r="AF35" i="5"/>
  <c r="AF22" i="5" s="1"/>
  <c r="Y20" i="6" s="1"/>
  <c r="AG9" i="5"/>
  <c r="AG10" i="5" s="1"/>
  <c r="AG12" i="5"/>
  <c r="Z10" i="6" s="1"/>
  <c r="AE36" i="5"/>
  <c r="AE49" i="5"/>
  <c r="X61" i="6" s="1"/>
  <c r="AF44" i="5"/>
  <c r="Y56" i="6" s="1"/>
  <c r="X56" i="6"/>
  <c r="AG34" i="5"/>
  <c r="AH33" i="5"/>
  <c r="X54" i="6"/>
  <c r="AD37" i="5"/>
  <c r="Y55" i="6" l="1"/>
  <c r="AU28" i="5"/>
  <c r="AM26" i="6"/>
  <c r="AF31" i="5"/>
  <c r="Y29" i="6" s="1"/>
  <c r="AF26" i="5"/>
  <c r="Y24" i="6" s="1"/>
  <c r="AF18" i="5"/>
  <c r="Y16" i="6" s="1"/>
  <c r="AF30" i="5"/>
  <c r="Y28" i="6" s="1"/>
  <c r="AF19" i="5"/>
  <c r="Y17" i="6" s="1"/>
  <c r="AF25" i="5"/>
  <c r="Y23" i="6" s="1"/>
  <c r="AF20" i="5"/>
  <c r="Y18" i="6" s="1"/>
  <c r="AF27" i="5"/>
  <c r="Y25" i="6" s="1"/>
  <c r="AF21" i="5"/>
  <c r="Y19" i="6" s="1"/>
  <c r="AF17" i="5"/>
  <c r="Y15" i="6" s="1"/>
  <c r="AF23" i="5"/>
  <c r="Y21" i="6" s="1"/>
  <c r="AF32" i="5"/>
  <c r="Y30" i="6" s="1"/>
  <c r="AF29" i="5"/>
  <c r="Y27" i="6" s="1"/>
  <c r="AF16" i="5"/>
  <c r="Y14" i="6" s="1"/>
  <c r="AF15" i="5"/>
  <c r="Y13" i="6" s="1"/>
  <c r="AF24" i="5"/>
  <c r="Y22" i="6" s="1"/>
  <c r="X7" i="6"/>
  <c r="X6" i="6" s="1"/>
  <c r="AG35" i="5"/>
  <c r="AG15" i="5" s="1"/>
  <c r="Z13" i="6" s="1"/>
  <c r="AH9" i="5"/>
  <c r="AH10" i="5" s="1"/>
  <c r="AF36" i="5"/>
  <c r="AE37" i="5"/>
  <c r="AG44" i="5"/>
  <c r="Z56" i="6" s="1"/>
  <c r="AH12" i="5"/>
  <c r="AF49" i="5"/>
  <c r="Y61" i="6" s="1"/>
  <c r="Y54" i="6"/>
  <c r="Z55" i="6"/>
  <c r="AI33" i="5"/>
  <c r="AH34" i="5"/>
  <c r="AV28" i="5" l="1"/>
  <c r="AN26" i="6"/>
  <c r="AG19" i="5"/>
  <c r="Z17" i="6" s="1"/>
  <c r="Y7" i="6"/>
  <c r="Y6" i="6" s="1"/>
  <c r="AG29" i="5"/>
  <c r="Z27" i="6" s="1"/>
  <c r="AG18" i="5"/>
  <c r="Z16" i="6" s="1"/>
  <c r="AG32" i="5"/>
  <c r="Z30" i="6" s="1"/>
  <c r="AG16" i="5"/>
  <c r="Z14" i="6" s="1"/>
  <c r="AG25" i="5"/>
  <c r="Z23" i="6" s="1"/>
  <c r="AG26" i="5"/>
  <c r="Z24" i="6" s="1"/>
  <c r="AG24" i="5"/>
  <c r="Z22" i="6" s="1"/>
  <c r="AG30" i="5"/>
  <c r="Z28" i="6" s="1"/>
  <c r="AG31" i="5"/>
  <c r="Z29" i="6" s="1"/>
  <c r="AG27" i="5"/>
  <c r="Z25" i="6" s="1"/>
  <c r="AG20" i="5"/>
  <c r="Z18" i="6" s="1"/>
  <c r="AI12" i="5"/>
  <c r="AA10" i="6"/>
  <c r="AG23" i="5"/>
  <c r="Z21" i="6" s="1"/>
  <c r="AG17" i="5"/>
  <c r="Z15" i="6" s="1"/>
  <c r="AH35" i="5"/>
  <c r="AH27" i="5" s="1"/>
  <c r="AA25" i="6" s="1"/>
  <c r="AG21" i="5"/>
  <c r="Z19" i="6" s="1"/>
  <c r="AG22" i="5"/>
  <c r="Z20" i="6" s="1"/>
  <c r="AI9" i="5"/>
  <c r="AI10" i="5" s="1"/>
  <c r="AH26" i="5"/>
  <c r="AA24" i="6" s="1"/>
  <c r="AG49" i="5"/>
  <c r="Z61" i="6" s="1"/>
  <c r="AF37" i="5"/>
  <c r="AG36" i="5"/>
  <c r="AH44" i="5"/>
  <c r="AA56" i="6" s="1"/>
  <c r="AJ33" i="5"/>
  <c r="AI34" i="5"/>
  <c r="Z54" i="6"/>
  <c r="AA55" i="6" l="1"/>
  <c r="AH32" i="5"/>
  <c r="AA30" i="6" s="1"/>
  <c r="AH15" i="5"/>
  <c r="AA13" i="6" s="1"/>
  <c r="AW28" i="5"/>
  <c r="AO26" i="6"/>
  <c r="AH23" i="5"/>
  <c r="AA21" i="6" s="1"/>
  <c r="AH30" i="5"/>
  <c r="AA28" i="6" s="1"/>
  <c r="AH31" i="5"/>
  <c r="AA29" i="6" s="1"/>
  <c r="AH19" i="5"/>
  <c r="AA17" i="6" s="1"/>
  <c r="AH25" i="5"/>
  <c r="AA23" i="6" s="1"/>
  <c r="AH20" i="5"/>
  <c r="AA18" i="6" s="1"/>
  <c r="AH16" i="5"/>
  <c r="AA14" i="6" s="1"/>
  <c r="AH21" i="5"/>
  <c r="AA19" i="6" s="1"/>
  <c r="AH17" i="5"/>
  <c r="AA15" i="6" s="1"/>
  <c r="AH29" i="5"/>
  <c r="AA27" i="6" s="1"/>
  <c r="AJ12" i="5"/>
  <c r="AJ35" i="5" s="1"/>
  <c r="AB10" i="6"/>
  <c r="AI35" i="5"/>
  <c r="AI26" i="5" s="1"/>
  <c r="AB24" i="6" s="1"/>
  <c r="Z7" i="6"/>
  <c r="Z6" i="6" s="1"/>
  <c r="AH18" i="5"/>
  <c r="AA16" i="6" s="1"/>
  <c r="AH24" i="5"/>
  <c r="AA22" i="6" s="1"/>
  <c r="AH22" i="5"/>
  <c r="AA20" i="6" s="1"/>
  <c r="AH49" i="5"/>
  <c r="AA61" i="6" s="1"/>
  <c r="AI24" i="5"/>
  <c r="AB22" i="6" s="1"/>
  <c r="AI15" i="5"/>
  <c r="AB13" i="6" s="1"/>
  <c r="AI31" i="5"/>
  <c r="AB29" i="6" s="1"/>
  <c r="AI20" i="5"/>
  <c r="AB18" i="6" s="1"/>
  <c r="AI16" i="5"/>
  <c r="AB14" i="6" s="1"/>
  <c r="AJ9" i="5"/>
  <c r="AJ10" i="5" s="1"/>
  <c r="AH36" i="5"/>
  <c r="AJ34" i="5"/>
  <c r="AK33" i="5"/>
  <c r="AG37" i="5"/>
  <c r="AI44" i="5"/>
  <c r="AA54" i="6"/>
  <c r="AB55" i="6" l="1"/>
  <c r="AI30" i="5"/>
  <c r="AB28" i="6" s="1"/>
  <c r="AX28" i="5"/>
  <c r="AP26" i="6"/>
  <c r="AI17" i="5"/>
  <c r="AB15" i="6" s="1"/>
  <c r="AI49" i="5"/>
  <c r="AB61" i="6" s="1"/>
  <c r="AA7" i="6"/>
  <c r="AA6" i="6" s="1"/>
  <c r="AI25" i="5"/>
  <c r="AB23" i="6" s="1"/>
  <c r="AI22" i="5"/>
  <c r="AB20" i="6" s="1"/>
  <c r="AI19" i="5"/>
  <c r="AB17" i="6" s="1"/>
  <c r="AI36" i="5"/>
  <c r="AI23" i="5"/>
  <c r="AB21" i="6" s="1"/>
  <c r="AI27" i="5"/>
  <c r="AB25" i="6" s="1"/>
  <c r="AI32" i="5"/>
  <c r="AB30" i="6" s="1"/>
  <c r="AH37" i="5"/>
  <c r="AI21" i="5"/>
  <c r="AB19" i="6" s="1"/>
  <c r="AI18" i="5"/>
  <c r="AB16" i="6" s="1"/>
  <c r="AI29" i="5"/>
  <c r="AB27" i="6" s="1"/>
  <c r="AK12" i="5"/>
  <c r="AC10" i="6"/>
  <c r="AJ25" i="5"/>
  <c r="AC23" i="6" s="1"/>
  <c r="AJ30" i="5"/>
  <c r="AC28" i="6" s="1"/>
  <c r="AJ16" i="5"/>
  <c r="AC14" i="6" s="1"/>
  <c r="AJ18" i="5"/>
  <c r="AC16" i="6" s="1"/>
  <c r="AJ17" i="5"/>
  <c r="AC15" i="6" s="1"/>
  <c r="AJ21" i="5"/>
  <c r="AC19" i="6" s="1"/>
  <c r="AJ31" i="5"/>
  <c r="AC29" i="6" s="1"/>
  <c r="AJ15" i="5"/>
  <c r="AC13" i="6" s="1"/>
  <c r="AJ24" i="5"/>
  <c r="AC22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J26" i="5"/>
  <c r="AC24" i="6" s="1"/>
  <c r="AJ32" i="5"/>
  <c r="AC30" i="6" s="1"/>
  <c r="AK9" i="5"/>
  <c r="AK10" i="5" s="1"/>
  <c r="AJ44" i="5"/>
  <c r="AC56" i="6" s="1"/>
  <c r="AB56" i="6"/>
  <c r="AK34" i="5"/>
  <c r="AJ49" i="5" s="1"/>
  <c r="AC61" i="6" s="1"/>
  <c r="AL33" i="5"/>
  <c r="AB54" i="6"/>
  <c r="AC55" i="6"/>
  <c r="AY28" i="5" l="1"/>
  <c r="AQ26" i="6"/>
  <c r="AB7" i="6"/>
  <c r="AB6" i="6" s="1"/>
  <c r="AI37" i="5"/>
  <c r="AC7" i="6"/>
  <c r="AL12" i="5"/>
  <c r="AL35" i="5" s="1"/>
  <c r="AD10" i="6"/>
  <c r="AK35" i="5"/>
  <c r="AK15" i="5" s="1"/>
  <c r="AD13" i="6" s="1"/>
  <c r="AL9" i="5"/>
  <c r="AL10" i="5" s="1"/>
  <c r="AC54" i="6"/>
  <c r="AL34" i="5"/>
  <c r="AK49" i="5" s="1"/>
  <c r="AD61" i="6" s="1"/>
  <c r="AM33" i="5"/>
  <c r="AJ36" i="5"/>
  <c r="AK44" i="5"/>
  <c r="AD56" i="6" s="1"/>
  <c r="AD55" i="6" l="1"/>
  <c r="AZ28" i="5"/>
  <c r="AR26" i="6"/>
  <c r="AK16" i="5"/>
  <c r="AD14" i="6" s="1"/>
  <c r="AK18" i="5"/>
  <c r="AD16" i="6" s="1"/>
  <c r="AK31" i="5"/>
  <c r="AD29" i="6" s="1"/>
  <c r="AK26" i="5"/>
  <c r="AD24" i="6" s="1"/>
  <c r="AK21" i="5"/>
  <c r="AD19" i="6" s="1"/>
  <c r="AK30" i="5"/>
  <c r="AD28" i="6" s="1"/>
  <c r="AC6" i="6"/>
  <c r="AK24" i="5"/>
  <c r="AD22" i="6" s="1"/>
  <c r="AK29" i="5"/>
  <c r="AD27" i="6" s="1"/>
  <c r="AK17" i="5"/>
  <c r="AD15" i="6" s="1"/>
  <c r="AK32" i="5"/>
  <c r="AD30" i="6" s="1"/>
  <c r="AK23" i="5"/>
  <c r="AD21" i="6" s="1"/>
  <c r="AK27" i="5"/>
  <c r="AD25" i="6" s="1"/>
  <c r="AK22" i="5"/>
  <c r="AD20" i="6" s="1"/>
  <c r="AK20" i="5"/>
  <c r="AD18" i="6" s="1"/>
  <c r="AK19" i="5"/>
  <c r="AD17" i="6" s="1"/>
  <c r="AE10" i="6"/>
  <c r="AM12" i="5"/>
  <c r="AM35" i="5" s="1"/>
  <c r="AK25" i="5"/>
  <c r="AD23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L25" i="5"/>
  <c r="AE23" i="6" s="1"/>
  <c r="AN33" i="5"/>
  <c r="AM34" i="5"/>
  <c r="AL49" i="5" s="1"/>
  <c r="AE61" i="6" s="1"/>
  <c r="AL36" i="5"/>
  <c r="AL44" i="5"/>
  <c r="AD54" i="6"/>
  <c r="AJ37" i="5"/>
  <c r="AE55" i="6" l="1"/>
  <c r="BA28" i="5"/>
  <c r="AS26" i="6"/>
  <c r="AD7" i="6"/>
  <c r="AD6" i="6" s="1"/>
  <c r="AK37" i="5"/>
  <c r="AE7" i="6"/>
  <c r="AE6" i="6" s="1"/>
  <c r="AF10" i="6"/>
  <c r="AN12" i="5"/>
  <c r="AN35" i="5" s="1"/>
  <c r="AN9" i="5"/>
  <c r="AN10" i="5" s="1"/>
  <c r="AO33" i="5"/>
  <c r="AM15" i="5"/>
  <c r="AF13" i="6" s="1"/>
  <c r="AM27" i="5"/>
  <c r="AF25" i="6" s="1"/>
  <c r="AM19" i="5"/>
  <c r="AF17" i="6" s="1"/>
  <c r="AM30" i="5"/>
  <c r="AF28" i="6" s="1"/>
  <c r="AM16" i="5"/>
  <c r="AF14" i="6" s="1"/>
  <c r="AM24" i="5"/>
  <c r="AF22" i="6" s="1"/>
  <c r="AM32" i="5"/>
  <c r="AF30" i="6" s="1"/>
  <c r="AM23" i="5"/>
  <c r="AF21" i="6" s="1"/>
  <c r="AM22" i="5"/>
  <c r="AF20" i="6" s="1"/>
  <c r="AM29" i="5"/>
  <c r="AF27" i="6" s="1"/>
  <c r="AM21" i="5"/>
  <c r="AF19" i="6" s="1"/>
  <c r="AM26" i="5"/>
  <c r="AF24" i="6" s="1"/>
  <c r="AM18" i="5"/>
  <c r="AF16" i="6" s="1"/>
  <c r="AM25" i="5"/>
  <c r="AF23" i="6" s="1"/>
  <c r="AM31" i="5"/>
  <c r="AF29" i="6" s="1"/>
  <c r="AM20" i="5"/>
  <c r="AF18" i="6" s="1"/>
  <c r="AM17" i="5"/>
  <c r="AF15" i="6" s="1"/>
  <c r="AM44" i="5"/>
  <c r="AF56" i="6" s="1"/>
  <c r="AE56" i="6"/>
  <c r="AL37" i="5"/>
  <c r="AM36" i="5"/>
  <c r="AE54" i="6"/>
  <c r="AN34" i="5"/>
  <c r="AM49" i="5" s="1"/>
  <c r="AF61" i="6" s="1"/>
  <c r="AF55" i="6" l="1"/>
  <c r="BB28" i="5"/>
  <c r="AT26" i="6"/>
  <c r="AO12" i="5"/>
  <c r="AG10" i="6"/>
  <c r="AF7" i="6"/>
  <c r="AF6" i="6" s="1"/>
  <c r="AN23" i="5"/>
  <c r="AG21" i="6" s="1"/>
  <c r="AN17" i="5"/>
  <c r="AG15" i="6" s="1"/>
  <c r="AN22" i="5"/>
  <c r="AG20" i="6" s="1"/>
  <c r="AN24" i="5"/>
  <c r="AG22" i="6" s="1"/>
  <c r="AN27" i="5"/>
  <c r="AG25" i="6" s="1"/>
  <c r="AN29" i="5"/>
  <c r="AG27" i="6" s="1"/>
  <c r="AN19" i="5"/>
  <c r="AG17" i="6" s="1"/>
  <c r="AN32" i="5"/>
  <c r="AG30" i="6" s="1"/>
  <c r="AN16" i="5"/>
  <c r="AG14" i="6" s="1"/>
  <c r="AN31" i="5"/>
  <c r="AG29" i="6" s="1"/>
  <c r="AN15" i="5"/>
  <c r="AG13" i="6" s="1"/>
  <c r="AN25" i="5"/>
  <c r="AG23" i="6" s="1"/>
  <c r="AN21" i="5"/>
  <c r="AG19" i="6" s="1"/>
  <c r="AN18" i="5"/>
  <c r="AG16" i="6" s="1"/>
  <c r="AN26" i="5"/>
  <c r="AG24" i="6" s="1"/>
  <c r="AN30" i="5"/>
  <c r="AG28" i="6" s="1"/>
  <c r="AN20" i="5"/>
  <c r="AG18" i="6" s="1"/>
  <c r="AO34" i="5"/>
  <c r="AO9" i="5"/>
  <c r="AO10" i="5" s="1"/>
  <c r="AP33" i="5"/>
  <c r="AM37" i="5"/>
  <c r="AF54" i="6"/>
  <c r="AN44" i="5"/>
  <c r="AG56" i="6" l="1"/>
  <c r="AG55" i="6"/>
  <c r="AP12" i="5"/>
  <c r="AH10" i="6"/>
  <c r="BC28" i="5"/>
  <c r="AU26" i="6"/>
  <c r="AO35" i="5"/>
  <c r="AO25" i="5" s="1"/>
  <c r="AH23" i="6" s="1"/>
  <c r="AG7" i="6"/>
  <c r="AQ33" i="5"/>
  <c r="AP34" i="5"/>
  <c r="AP9" i="5"/>
  <c r="AP10" i="5" s="1"/>
  <c r="AN36" i="5"/>
  <c r="AG54" i="6"/>
  <c r="AQ12" i="5" l="1"/>
  <c r="AI10" i="6"/>
  <c r="AO17" i="5"/>
  <c r="AH15" i="6" s="1"/>
  <c r="AO30" i="5"/>
  <c r="AH28" i="6" s="1"/>
  <c r="AO23" i="5"/>
  <c r="AH21" i="6" s="1"/>
  <c r="BD28" i="5"/>
  <c r="AV26" i="6"/>
  <c r="AO32" i="5"/>
  <c r="AH30" i="6" s="1"/>
  <c r="AO18" i="5"/>
  <c r="AH16" i="6" s="1"/>
  <c r="AH7" i="6" s="1"/>
  <c r="AH6" i="6" s="1"/>
  <c r="AO22" i="5"/>
  <c r="AH20" i="6" s="1"/>
  <c r="AO31" i="5"/>
  <c r="AH29" i="6" s="1"/>
  <c r="AO26" i="5"/>
  <c r="AH24" i="6" s="1"/>
  <c r="AO16" i="5"/>
  <c r="AH14" i="6" s="1"/>
  <c r="AO36" i="5"/>
  <c r="AO29" i="5"/>
  <c r="AH27" i="6" s="1"/>
  <c r="AO24" i="5"/>
  <c r="AH22" i="6" s="1"/>
  <c r="AO27" i="5"/>
  <c r="AH25" i="6" s="1"/>
  <c r="AO19" i="5"/>
  <c r="AH17" i="6" s="1"/>
  <c r="AP35" i="5"/>
  <c r="AP36" i="5" s="1"/>
  <c r="AO20" i="5"/>
  <c r="AH18" i="6" s="1"/>
  <c r="AO21" i="5"/>
  <c r="AH19" i="6" s="1"/>
  <c r="AO15" i="5"/>
  <c r="AH13" i="6" s="1"/>
  <c r="AG6" i="6"/>
  <c r="AP31" i="5"/>
  <c r="AI29" i="6" s="1"/>
  <c r="AP25" i="5"/>
  <c r="AI23" i="6" s="1"/>
  <c r="AP23" i="5"/>
  <c r="AI21" i="6" s="1"/>
  <c r="AP24" i="5"/>
  <c r="AI22" i="6" s="1"/>
  <c r="AP29" i="5"/>
  <c r="AI27" i="6" s="1"/>
  <c r="AP20" i="5"/>
  <c r="AI18" i="6" s="1"/>
  <c r="AP16" i="5"/>
  <c r="AI14" i="6" s="1"/>
  <c r="AP22" i="5"/>
  <c r="AI20" i="6" s="1"/>
  <c r="AP32" i="5"/>
  <c r="AI30" i="6" s="1"/>
  <c r="AP17" i="5"/>
  <c r="AI15" i="6" s="1"/>
  <c r="AP21" i="5"/>
  <c r="AI19" i="6" s="1"/>
  <c r="AP18" i="5"/>
  <c r="AI16" i="6" s="1"/>
  <c r="AP26" i="5"/>
  <c r="AI24" i="6" s="1"/>
  <c r="AP15" i="5"/>
  <c r="AI13" i="6" s="1"/>
  <c r="AP27" i="5"/>
  <c r="AI25" i="6" s="1"/>
  <c r="AP19" i="5"/>
  <c r="AI17" i="6" s="1"/>
  <c r="AQ34" i="5"/>
  <c r="AQ35" i="5"/>
  <c r="AQ9" i="5"/>
  <c r="AQ10" i="5" s="1"/>
  <c r="AR33" i="5"/>
  <c r="AN37" i="5"/>
  <c r="BE28" i="5" l="1"/>
  <c r="AW26" i="6"/>
  <c r="AO37" i="5"/>
  <c r="AP30" i="5"/>
  <c r="AI28" i="6" s="1"/>
  <c r="AI7" i="6" s="1"/>
  <c r="AI6" i="6" s="1"/>
  <c r="AR12" i="5"/>
  <c r="AJ10" i="6"/>
  <c r="AR34" i="5"/>
  <c r="AR35" i="5"/>
  <c r="AR9" i="5"/>
  <c r="AR10" i="5" s="1"/>
  <c r="AS33" i="5"/>
  <c r="AQ31" i="5"/>
  <c r="AJ29" i="6" s="1"/>
  <c r="AQ23" i="5"/>
  <c r="AJ21" i="6" s="1"/>
  <c r="AQ18" i="5"/>
  <c r="AJ16" i="6" s="1"/>
  <c r="AQ22" i="5"/>
  <c r="AJ20" i="6" s="1"/>
  <c r="AQ30" i="5"/>
  <c r="AJ28" i="6" s="1"/>
  <c r="AQ26" i="5"/>
  <c r="AJ24" i="6" s="1"/>
  <c r="AQ32" i="5"/>
  <c r="AJ30" i="6" s="1"/>
  <c r="AQ24" i="5"/>
  <c r="AJ22" i="6" s="1"/>
  <c r="AQ19" i="5"/>
  <c r="AJ17" i="6" s="1"/>
  <c r="AQ16" i="5"/>
  <c r="AJ14" i="6" s="1"/>
  <c r="AQ21" i="5"/>
  <c r="AJ19" i="6" s="1"/>
  <c r="AQ27" i="5"/>
  <c r="AJ25" i="6" s="1"/>
  <c r="AQ20" i="5"/>
  <c r="AJ18" i="6" s="1"/>
  <c r="AQ15" i="5"/>
  <c r="AJ13" i="6" s="1"/>
  <c r="AQ17" i="5"/>
  <c r="AJ15" i="6" s="1"/>
  <c r="AQ25" i="5"/>
  <c r="AJ23" i="6" s="1"/>
  <c r="AQ29" i="5"/>
  <c r="AJ27" i="6" s="1"/>
  <c r="AQ36" i="5"/>
  <c r="AJ7" i="6" l="1"/>
  <c r="AJ6" i="6" s="1"/>
  <c r="AS12" i="5"/>
  <c r="AK10" i="6"/>
  <c r="BF28" i="5"/>
  <c r="AX26" i="6"/>
  <c r="AP37" i="5"/>
  <c r="AQ37" i="5"/>
  <c r="AS35" i="5"/>
  <c r="AS34" i="5"/>
  <c r="AS9" i="5"/>
  <c r="AS10" i="5" s="1"/>
  <c r="AT33" i="5"/>
  <c r="AR36" i="5"/>
  <c r="AR29" i="5"/>
  <c r="AK27" i="6" s="1"/>
  <c r="AR27" i="5"/>
  <c r="AK25" i="6" s="1"/>
  <c r="AR17" i="5"/>
  <c r="AK15" i="6" s="1"/>
  <c r="AR18" i="5"/>
  <c r="AK16" i="6" s="1"/>
  <c r="AR26" i="5"/>
  <c r="AK24" i="6" s="1"/>
  <c r="AR21" i="5"/>
  <c r="AK19" i="6" s="1"/>
  <c r="AR30" i="5"/>
  <c r="AK28" i="6" s="1"/>
  <c r="AR19" i="5"/>
  <c r="AK17" i="6" s="1"/>
  <c r="AR16" i="5"/>
  <c r="AK14" i="6" s="1"/>
  <c r="AR31" i="5"/>
  <c r="AK29" i="6" s="1"/>
  <c r="AR32" i="5"/>
  <c r="AK30" i="6" s="1"/>
  <c r="AR15" i="5"/>
  <c r="AK13" i="6" s="1"/>
  <c r="AR24" i="5"/>
  <c r="AK22" i="6" s="1"/>
  <c r="AR25" i="5"/>
  <c r="AK23" i="6" s="1"/>
  <c r="AR23" i="5"/>
  <c r="AK21" i="6" s="1"/>
  <c r="AR20" i="5"/>
  <c r="AK18" i="6" s="1"/>
  <c r="AR22" i="5"/>
  <c r="AK20" i="6" s="1"/>
  <c r="BG28" i="5" l="1"/>
  <c r="AY26" i="6"/>
  <c r="AK7" i="6"/>
  <c r="AK6" i="6" s="1"/>
  <c r="AT12" i="5"/>
  <c r="AL10" i="6"/>
  <c r="AR37" i="5"/>
  <c r="AS31" i="5"/>
  <c r="AL29" i="6" s="1"/>
  <c r="AS36" i="5"/>
  <c r="AS16" i="5"/>
  <c r="AL14" i="6" s="1"/>
  <c r="AS15" i="5"/>
  <c r="AL13" i="6" s="1"/>
  <c r="AS18" i="5"/>
  <c r="AL16" i="6" s="1"/>
  <c r="AS23" i="5"/>
  <c r="AL21" i="6" s="1"/>
  <c r="AS24" i="5"/>
  <c r="AL22" i="6" s="1"/>
  <c r="AS26" i="5"/>
  <c r="AL24" i="6" s="1"/>
  <c r="AS25" i="5"/>
  <c r="AL23" i="6" s="1"/>
  <c r="AS17" i="5"/>
  <c r="AL15" i="6" s="1"/>
  <c r="AS19" i="5"/>
  <c r="AL17" i="6" s="1"/>
  <c r="AS29" i="5"/>
  <c r="AL27" i="6" s="1"/>
  <c r="AS27" i="5"/>
  <c r="AL25" i="6" s="1"/>
  <c r="AS20" i="5"/>
  <c r="AL18" i="6" s="1"/>
  <c r="AS32" i="5"/>
  <c r="AL30" i="6" s="1"/>
  <c r="AS22" i="5"/>
  <c r="AL20" i="6" s="1"/>
  <c r="AS30" i="5"/>
  <c r="AL28" i="6" s="1"/>
  <c r="AS21" i="5"/>
  <c r="AL19" i="6" s="1"/>
  <c r="AT34" i="5"/>
  <c r="AT9" i="5"/>
  <c r="AT10" i="5" s="1"/>
  <c r="AU33" i="5"/>
  <c r="AL7" i="6" l="1"/>
  <c r="AL6" i="6" s="1"/>
  <c r="AU12" i="5"/>
  <c r="AM10" i="6"/>
  <c r="BH28" i="5"/>
  <c r="BA26" i="6" s="1"/>
  <c r="AZ26" i="6"/>
  <c r="AT35" i="5"/>
  <c r="AT16" i="5" s="1"/>
  <c r="AM14" i="6" s="1"/>
  <c r="AT15" i="5"/>
  <c r="AM13" i="6" s="1"/>
  <c r="AT36" i="5"/>
  <c r="AT22" i="5"/>
  <c r="AM20" i="6" s="1"/>
  <c r="AT25" i="5"/>
  <c r="AM23" i="6" s="1"/>
  <c r="AT18" i="5"/>
  <c r="AM16" i="6" s="1"/>
  <c r="AT29" i="5"/>
  <c r="AM27" i="6" s="1"/>
  <c r="AT20" i="5"/>
  <c r="AM18" i="6" s="1"/>
  <c r="AT21" i="5"/>
  <c r="AM19" i="6" s="1"/>
  <c r="AU35" i="5"/>
  <c r="AU34" i="5"/>
  <c r="AU9" i="5"/>
  <c r="AU10" i="5" s="1"/>
  <c r="AV33" i="5"/>
  <c r="AS37" i="5"/>
  <c r="AT32" i="5" l="1"/>
  <c r="AM30" i="6" s="1"/>
  <c r="AT26" i="5"/>
  <c r="AM24" i="6" s="1"/>
  <c r="AT27" i="5"/>
  <c r="AM25" i="6" s="1"/>
  <c r="AT30" i="5"/>
  <c r="AM28" i="6" s="1"/>
  <c r="AT17" i="5"/>
  <c r="AM15" i="6" s="1"/>
  <c r="AM7" i="6" s="1"/>
  <c r="AM6" i="6" s="1"/>
  <c r="AV12" i="5"/>
  <c r="AV35" i="5" s="1"/>
  <c r="AN10" i="6"/>
  <c r="AT24" i="5"/>
  <c r="AM22" i="6" s="1"/>
  <c r="AT19" i="5"/>
  <c r="AM17" i="6" s="1"/>
  <c r="AT31" i="5"/>
  <c r="AM29" i="6" s="1"/>
  <c r="AT23" i="5"/>
  <c r="AM21" i="6" s="1"/>
  <c r="AU36" i="5"/>
  <c r="AU30" i="5"/>
  <c r="AN28" i="6" s="1"/>
  <c r="AU19" i="5"/>
  <c r="AN17" i="6" s="1"/>
  <c r="AU26" i="5"/>
  <c r="AN24" i="6" s="1"/>
  <c r="AU17" i="5"/>
  <c r="AN15" i="6" s="1"/>
  <c r="AU32" i="5"/>
  <c r="AN30" i="6" s="1"/>
  <c r="AU21" i="5"/>
  <c r="AN19" i="6" s="1"/>
  <c r="AU22" i="5"/>
  <c r="AN20" i="6" s="1"/>
  <c r="AU18" i="5"/>
  <c r="AN16" i="6" s="1"/>
  <c r="AU20" i="5"/>
  <c r="AN18" i="6" s="1"/>
  <c r="AU29" i="5"/>
  <c r="AN27" i="6" s="1"/>
  <c r="AU24" i="5"/>
  <c r="AN22" i="6" s="1"/>
  <c r="AU25" i="5"/>
  <c r="AN23" i="6" s="1"/>
  <c r="AU15" i="5"/>
  <c r="AN13" i="6" s="1"/>
  <c r="AU16" i="5"/>
  <c r="AN14" i="6" s="1"/>
  <c r="AU23" i="5"/>
  <c r="AN21" i="6" s="1"/>
  <c r="AU27" i="5"/>
  <c r="AN25" i="6" s="1"/>
  <c r="AU31" i="5"/>
  <c r="AN29" i="6" s="1"/>
  <c r="AV34" i="5"/>
  <c r="AV9" i="5"/>
  <c r="AV10" i="5" s="1"/>
  <c r="AW33" i="5"/>
  <c r="AN7" i="6" l="1"/>
  <c r="AN6" i="6" s="1"/>
  <c r="AW12" i="5"/>
  <c r="AO10" i="6"/>
  <c r="AT37" i="5"/>
  <c r="AV15" i="5"/>
  <c r="AO13" i="6" s="1"/>
  <c r="AV25" i="5"/>
  <c r="AO23" i="6" s="1"/>
  <c r="AV22" i="5"/>
  <c r="AO20" i="6" s="1"/>
  <c r="AV24" i="5"/>
  <c r="AO22" i="6" s="1"/>
  <c r="AV32" i="5"/>
  <c r="AO30" i="6" s="1"/>
  <c r="AV23" i="5"/>
  <c r="AO21" i="6" s="1"/>
  <c r="AV36" i="5"/>
  <c r="AV29" i="5"/>
  <c r="AO27" i="6" s="1"/>
  <c r="AV21" i="5"/>
  <c r="AO19" i="6" s="1"/>
  <c r="AV17" i="5"/>
  <c r="AO15" i="6" s="1"/>
  <c r="AV18" i="5"/>
  <c r="AO16" i="6" s="1"/>
  <c r="AV16" i="5"/>
  <c r="AO14" i="6" s="1"/>
  <c r="AV30" i="5"/>
  <c r="AO28" i="6" s="1"/>
  <c r="AV19" i="5"/>
  <c r="AO17" i="6" s="1"/>
  <c r="AV20" i="5"/>
  <c r="AO18" i="6" s="1"/>
  <c r="AV31" i="5"/>
  <c r="AO29" i="6" s="1"/>
  <c r="AV27" i="5"/>
  <c r="AO25" i="6" s="1"/>
  <c r="AV26" i="5"/>
  <c r="AO24" i="6" s="1"/>
  <c r="AW34" i="5"/>
  <c r="AW9" i="5"/>
  <c r="AW10" i="5" s="1"/>
  <c r="AX33" i="5"/>
  <c r="AU37" i="5"/>
  <c r="AO7" i="6" l="1"/>
  <c r="AO6" i="6" s="1"/>
  <c r="AX12" i="5"/>
  <c r="AP10" i="6"/>
  <c r="AW35" i="5"/>
  <c r="AW29" i="5" s="1"/>
  <c r="AP27" i="6" s="1"/>
  <c r="AV37" i="5"/>
  <c r="AW36" i="5"/>
  <c r="AW15" i="5"/>
  <c r="AP13" i="6" s="1"/>
  <c r="AW20" i="5"/>
  <c r="AP18" i="6" s="1"/>
  <c r="AW24" i="5"/>
  <c r="AP22" i="6" s="1"/>
  <c r="AW23" i="5"/>
  <c r="AP21" i="6" s="1"/>
  <c r="AW16" i="5"/>
  <c r="AP14" i="6" s="1"/>
  <c r="AW25" i="5"/>
  <c r="AP23" i="6" s="1"/>
  <c r="AW26" i="5"/>
  <c r="AP24" i="6" s="1"/>
  <c r="AX34" i="5"/>
  <c r="AX9" i="5"/>
  <c r="AX10" i="5" s="1"/>
  <c r="AY33" i="5"/>
  <c r="AW19" i="5" l="1"/>
  <c r="AP17" i="6" s="1"/>
  <c r="AY12" i="5"/>
  <c r="AQ10" i="6"/>
  <c r="AW30" i="5"/>
  <c r="AP28" i="6" s="1"/>
  <c r="AW22" i="5"/>
  <c r="AP20" i="6" s="1"/>
  <c r="AW31" i="5"/>
  <c r="AP29" i="6" s="1"/>
  <c r="AW21" i="5"/>
  <c r="AP19" i="6" s="1"/>
  <c r="AP7" i="6" s="1"/>
  <c r="AP6" i="6" s="1"/>
  <c r="AX35" i="5"/>
  <c r="AX24" i="5" s="1"/>
  <c r="AQ22" i="6" s="1"/>
  <c r="AW18" i="5"/>
  <c r="AP16" i="6" s="1"/>
  <c r="AW32" i="5"/>
  <c r="AP30" i="6" s="1"/>
  <c r="AW17" i="5"/>
  <c r="AP15" i="6" s="1"/>
  <c r="AW27" i="5"/>
  <c r="AP25" i="6" s="1"/>
  <c r="AY34" i="5"/>
  <c r="AY9" i="5"/>
  <c r="AY10" i="5" s="1"/>
  <c r="AZ33" i="5"/>
  <c r="AX36" i="5" l="1"/>
  <c r="AX31" i="5"/>
  <c r="AQ29" i="6" s="1"/>
  <c r="AX17" i="5"/>
  <c r="AQ15" i="6" s="1"/>
  <c r="AX15" i="5"/>
  <c r="AQ13" i="6" s="1"/>
  <c r="AQ7" i="6" s="1"/>
  <c r="AQ6" i="6" s="1"/>
  <c r="AZ12" i="5"/>
  <c r="AR10" i="6"/>
  <c r="AX20" i="5"/>
  <c r="AQ18" i="6" s="1"/>
  <c r="AX16" i="5"/>
  <c r="AQ14" i="6" s="1"/>
  <c r="AW37" i="5"/>
  <c r="AX18" i="5"/>
  <c r="AQ16" i="6" s="1"/>
  <c r="AX23" i="5"/>
  <c r="AQ21" i="6" s="1"/>
  <c r="AX22" i="5"/>
  <c r="AQ20" i="6" s="1"/>
  <c r="AX25" i="5"/>
  <c r="AQ23" i="6" s="1"/>
  <c r="AX29" i="5"/>
  <c r="AQ27" i="6" s="1"/>
  <c r="AY35" i="5"/>
  <c r="AY36" i="5" s="1"/>
  <c r="AX21" i="5"/>
  <c r="AQ19" i="6" s="1"/>
  <c r="AX30" i="5"/>
  <c r="AQ28" i="6" s="1"/>
  <c r="AX27" i="5"/>
  <c r="AQ25" i="6" s="1"/>
  <c r="AX32" i="5"/>
  <c r="AQ30" i="6" s="1"/>
  <c r="AX26" i="5"/>
  <c r="AQ24" i="6" s="1"/>
  <c r="AX19" i="5"/>
  <c r="AQ17" i="6" s="1"/>
  <c r="AZ34" i="5"/>
  <c r="AZ9" i="5"/>
  <c r="AZ10" i="5" s="1"/>
  <c r="BA33" i="5"/>
  <c r="AY24" i="5"/>
  <c r="AR22" i="6" s="1"/>
  <c r="AY27" i="5"/>
  <c r="AR25" i="6" s="1"/>
  <c r="AY16" i="5"/>
  <c r="AR14" i="6" s="1"/>
  <c r="AY20" i="5"/>
  <c r="AR18" i="6" s="1"/>
  <c r="AY23" i="5"/>
  <c r="AR21" i="6" s="1"/>
  <c r="AY21" i="5"/>
  <c r="AR19" i="6" s="1"/>
  <c r="AY17" i="5"/>
  <c r="AR15" i="6" s="1"/>
  <c r="AY31" i="5"/>
  <c r="AR29" i="6" s="1"/>
  <c r="AY30" i="5"/>
  <c r="AR28" i="6" s="1"/>
  <c r="AY32" i="5"/>
  <c r="AR30" i="6" s="1"/>
  <c r="AY22" i="5"/>
  <c r="AR20" i="6" s="1"/>
  <c r="AY15" i="5"/>
  <c r="AR13" i="6" s="1"/>
  <c r="AY19" i="5"/>
  <c r="AR17" i="6" s="1"/>
  <c r="AY29" i="5"/>
  <c r="AR27" i="6" s="1"/>
  <c r="BA12" i="5" l="1"/>
  <c r="AS10" i="6"/>
  <c r="AY26" i="5"/>
  <c r="AR24" i="6" s="1"/>
  <c r="AZ35" i="5"/>
  <c r="AZ24" i="5" s="1"/>
  <c r="AS22" i="6" s="1"/>
  <c r="AY25" i="5"/>
  <c r="AR23" i="6" s="1"/>
  <c r="AY18" i="5"/>
  <c r="AR16" i="6" s="1"/>
  <c r="AR7" i="6" s="1"/>
  <c r="AR6" i="6" s="1"/>
  <c r="AX37" i="5"/>
  <c r="BA34" i="5"/>
  <c r="BA9" i="5"/>
  <c r="BA10" i="5" s="1"/>
  <c r="BB33" i="5"/>
  <c r="AZ26" i="5"/>
  <c r="AS24" i="6" s="1"/>
  <c r="AZ27" i="5"/>
  <c r="AS25" i="6" s="1"/>
  <c r="AZ20" i="5"/>
  <c r="AS18" i="6" s="1"/>
  <c r="AZ21" i="5"/>
  <c r="AS19" i="6" s="1"/>
  <c r="AZ22" i="5"/>
  <c r="AS20" i="6" s="1"/>
  <c r="AZ16" i="5"/>
  <c r="AS14" i="6" s="1"/>
  <c r="AZ25" i="5"/>
  <c r="AS23" i="6" s="1"/>
  <c r="AZ31" i="5"/>
  <c r="AS29" i="6" s="1"/>
  <c r="AZ29" i="5" l="1"/>
  <c r="AS27" i="6" s="1"/>
  <c r="AZ32" i="5"/>
  <c r="AS30" i="6" s="1"/>
  <c r="AZ23" i="5"/>
  <c r="AS21" i="6" s="1"/>
  <c r="AZ15" i="5"/>
  <c r="AS13" i="6" s="1"/>
  <c r="AZ36" i="5"/>
  <c r="AY37" i="5"/>
  <c r="AS7" i="6"/>
  <c r="AS6" i="6" s="1"/>
  <c r="AZ17" i="5"/>
  <c r="AS15" i="6" s="1"/>
  <c r="BB12" i="5"/>
  <c r="AT10" i="6"/>
  <c r="AZ18" i="5"/>
  <c r="AS16" i="6" s="1"/>
  <c r="AZ19" i="5"/>
  <c r="AS17" i="6" s="1"/>
  <c r="AZ30" i="5"/>
  <c r="AS28" i="6" s="1"/>
  <c r="BA35" i="5"/>
  <c r="BA19" i="5" s="1"/>
  <c r="AT17" i="6" s="1"/>
  <c r="BB34" i="5"/>
  <c r="BB9" i="5"/>
  <c r="BB10" i="5" s="1"/>
  <c r="BC33" i="5"/>
  <c r="BA31" i="5"/>
  <c r="AT29" i="6" s="1"/>
  <c r="BA15" i="5"/>
  <c r="AT13" i="6" s="1"/>
  <c r="BA26" i="5"/>
  <c r="AT24" i="6" s="1"/>
  <c r="BA32" i="5"/>
  <c r="AT30" i="6" s="1"/>
  <c r="BA22" i="5"/>
  <c r="AT20" i="6" s="1"/>
  <c r="BA30" i="5"/>
  <c r="AT28" i="6" s="1"/>
  <c r="BA20" i="5"/>
  <c r="AT18" i="6" s="1"/>
  <c r="BA36" i="5"/>
  <c r="BC12" i="5" l="1"/>
  <c r="AU10" i="6"/>
  <c r="BA23" i="5"/>
  <c r="AT21" i="6" s="1"/>
  <c r="BB35" i="5"/>
  <c r="BB25" i="5" s="1"/>
  <c r="AU23" i="6" s="1"/>
  <c r="AZ37" i="5"/>
  <c r="BA21" i="5"/>
  <c r="AT19" i="6" s="1"/>
  <c r="BA27" i="5"/>
  <c r="AT25" i="6" s="1"/>
  <c r="BA24" i="5"/>
  <c r="AT22" i="6" s="1"/>
  <c r="BA17" i="5"/>
  <c r="AT15" i="6" s="1"/>
  <c r="AT7" i="6" s="1"/>
  <c r="AT6" i="6" s="1"/>
  <c r="BA29" i="5"/>
  <c r="AT27" i="6" s="1"/>
  <c r="BA25" i="5"/>
  <c r="AT23" i="6" s="1"/>
  <c r="BA16" i="5"/>
  <c r="AT14" i="6" s="1"/>
  <c r="BA18" i="5"/>
  <c r="AT16" i="6" s="1"/>
  <c r="BB17" i="5"/>
  <c r="AU15" i="6" s="1"/>
  <c r="BB18" i="5"/>
  <c r="AU16" i="6" s="1"/>
  <c r="BB23" i="5"/>
  <c r="AU21" i="6" s="1"/>
  <c r="BB29" i="5"/>
  <c r="AU27" i="6" s="1"/>
  <c r="BB36" i="5"/>
  <c r="BB21" i="5"/>
  <c r="AU19" i="6" s="1"/>
  <c r="BB15" i="5"/>
  <c r="AU13" i="6" s="1"/>
  <c r="BB27" i="5"/>
  <c r="AU25" i="6" s="1"/>
  <c r="BB32" i="5"/>
  <c r="AU30" i="6" s="1"/>
  <c r="BB16" i="5"/>
  <c r="AU14" i="6" s="1"/>
  <c r="BB30" i="5"/>
  <c r="AU28" i="6" s="1"/>
  <c r="BB24" i="5"/>
  <c r="AU22" i="6" s="1"/>
  <c r="BB31" i="5"/>
  <c r="AU29" i="6" s="1"/>
  <c r="BB20" i="5"/>
  <c r="AU18" i="6" s="1"/>
  <c r="BB22" i="5"/>
  <c r="AU20" i="6" s="1"/>
  <c r="BC34" i="5"/>
  <c r="BC35" i="5"/>
  <c r="BC9" i="5"/>
  <c r="BC10" i="5" s="1"/>
  <c r="BD33" i="5"/>
  <c r="BA37" i="5" l="1"/>
  <c r="BB26" i="5"/>
  <c r="AU24" i="6" s="1"/>
  <c r="BB19" i="5"/>
  <c r="AU17" i="6" s="1"/>
  <c r="AU7" i="6" s="1"/>
  <c r="AU6" i="6" s="1"/>
  <c r="BD12" i="5"/>
  <c r="AV10" i="6"/>
  <c r="BD34" i="5"/>
  <c r="BD35" i="5"/>
  <c r="BD9" i="5"/>
  <c r="BD10" i="5" s="1"/>
  <c r="BE33" i="5"/>
  <c r="BC31" i="5"/>
  <c r="AV29" i="6" s="1"/>
  <c r="BC18" i="5"/>
  <c r="AV16" i="6" s="1"/>
  <c r="BC22" i="5"/>
  <c r="AV20" i="6" s="1"/>
  <c r="BC20" i="5"/>
  <c r="AV18" i="6" s="1"/>
  <c r="BC27" i="5"/>
  <c r="AV25" i="6" s="1"/>
  <c r="BC23" i="5"/>
  <c r="AV21" i="6" s="1"/>
  <c r="BC19" i="5"/>
  <c r="AV17" i="6" s="1"/>
  <c r="BC15" i="5"/>
  <c r="AV13" i="6" s="1"/>
  <c r="BC21" i="5"/>
  <c r="AV19" i="6" s="1"/>
  <c r="BC29" i="5"/>
  <c r="AV27" i="6" s="1"/>
  <c r="BC32" i="5"/>
  <c r="AV30" i="6" s="1"/>
  <c r="BC16" i="5"/>
  <c r="AV14" i="6" s="1"/>
  <c r="BC26" i="5"/>
  <c r="AV24" i="6" s="1"/>
  <c r="BC30" i="5"/>
  <c r="AV28" i="6" s="1"/>
  <c r="BC36" i="5"/>
  <c r="BC17" i="5"/>
  <c r="AV15" i="6" s="1"/>
  <c r="BC25" i="5"/>
  <c r="AV23" i="6" s="1"/>
  <c r="BC24" i="5"/>
  <c r="AV22" i="6" s="1"/>
  <c r="BB37" i="5"/>
  <c r="AV7" i="6" l="1"/>
  <c r="AV6" i="6" s="1"/>
  <c r="BE12" i="5"/>
  <c r="AW10" i="6"/>
  <c r="BD36" i="5"/>
  <c r="BD29" i="5"/>
  <c r="AW27" i="6" s="1"/>
  <c r="BD15" i="5"/>
  <c r="AW13" i="6" s="1"/>
  <c r="BD19" i="5"/>
  <c r="AW17" i="6" s="1"/>
  <c r="BD18" i="5"/>
  <c r="AW16" i="6" s="1"/>
  <c r="BD16" i="5"/>
  <c r="AW14" i="6" s="1"/>
  <c r="BD22" i="5"/>
  <c r="AW20" i="6" s="1"/>
  <c r="BD21" i="5"/>
  <c r="AW19" i="6" s="1"/>
  <c r="BD27" i="5"/>
  <c r="AW25" i="6" s="1"/>
  <c r="BD31" i="5"/>
  <c r="AW29" i="6" s="1"/>
  <c r="BD32" i="5"/>
  <c r="AW30" i="6" s="1"/>
  <c r="BD20" i="5"/>
  <c r="AW18" i="6" s="1"/>
  <c r="BD30" i="5"/>
  <c r="AW28" i="6" s="1"/>
  <c r="BD25" i="5"/>
  <c r="AW23" i="6" s="1"/>
  <c r="BD23" i="5"/>
  <c r="AW21" i="6" s="1"/>
  <c r="BD24" i="5"/>
  <c r="AW22" i="6" s="1"/>
  <c r="BD17" i="5"/>
  <c r="AW15" i="6" s="1"/>
  <c r="BD26" i="5"/>
  <c r="AW24" i="6" s="1"/>
  <c r="BC37" i="5"/>
  <c r="BE35" i="5"/>
  <c r="BE34" i="5"/>
  <c r="BE9" i="5"/>
  <c r="BE10" i="5" s="1"/>
  <c r="BF33" i="5"/>
  <c r="AW7" i="6" l="1"/>
  <c r="AW6" i="6" s="1"/>
  <c r="BF12" i="5"/>
  <c r="AX10" i="6"/>
  <c r="BD37" i="5"/>
  <c r="BF35" i="5"/>
  <c r="BF34" i="5"/>
  <c r="BF9" i="5"/>
  <c r="BF10" i="5" s="1"/>
  <c r="BG33" i="5"/>
  <c r="BE31" i="5"/>
  <c r="AX29" i="6" s="1"/>
  <c r="BE36" i="5"/>
  <c r="BE24" i="5"/>
  <c r="AX22" i="6" s="1"/>
  <c r="BE18" i="5"/>
  <c r="AX16" i="6" s="1"/>
  <c r="BE16" i="5"/>
  <c r="AX14" i="6" s="1"/>
  <c r="BE19" i="5"/>
  <c r="AX17" i="6" s="1"/>
  <c r="BE26" i="5"/>
  <c r="AX24" i="6" s="1"/>
  <c r="BE27" i="5"/>
  <c r="AX25" i="6" s="1"/>
  <c r="BE30" i="5"/>
  <c r="AX28" i="6" s="1"/>
  <c r="BE29" i="5"/>
  <c r="AX27" i="6" s="1"/>
  <c r="BE23" i="5"/>
  <c r="AX21" i="6" s="1"/>
  <c r="BE32" i="5"/>
  <c r="AX30" i="6" s="1"/>
  <c r="BE15" i="5"/>
  <c r="AX13" i="6" s="1"/>
  <c r="BE17" i="5"/>
  <c r="AX15" i="6" s="1"/>
  <c r="BE20" i="5"/>
  <c r="AX18" i="6" s="1"/>
  <c r="BE22" i="5"/>
  <c r="AX20" i="6" s="1"/>
  <c r="BE25" i="5"/>
  <c r="AX23" i="6" s="1"/>
  <c r="BE21" i="5"/>
  <c r="AX19" i="6" s="1"/>
  <c r="AX7" i="6" l="1"/>
  <c r="AX6" i="6" s="1"/>
  <c r="BG12" i="5"/>
  <c r="AY10" i="6"/>
  <c r="BF15" i="5"/>
  <c r="AY13" i="6" s="1"/>
  <c r="BF36" i="5"/>
  <c r="BF25" i="5"/>
  <c r="AY23" i="6" s="1"/>
  <c r="BF17" i="5"/>
  <c r="AY15" i="6" s="1"/>
  <c r="BF30" i="5"/>
  <c r="AY28" i="6" s="1"/>
  <c r="BF21" i="5"/>
  <c r="AY19" i="6" s="1"/>
  <c r="BF27" i="5"/>
  <c r="AY25" i="6" s="1"/>
  <c r="BF32" i="5"/>
  <c r="AY30" i="6" s="1"/>
  <c r="BF20" i="5"/>
  <c r="AY18" i="6" s="1"/>
  <c r="BF29" i="5"/>
  <c r="AY27" i="6" s="1"/>
  <c r="BF22" i="5"/>
  <c r="AY20" i="6" s="1"/>
  <c r="BF26" i="5"/>
  <c r="AY24" i="6" s="1"/>
  <c r="BF31" i="5"/>
  <c r="AY29" i="6" s="1"/>
  <c r="BF23" i="5"/>
  <c r="AY21" i="6" s="1"/>
  <c r="BF16" i="5"/>
  <c r="AY14" i="6" s="1"/>
  <c r="BF24" i="5"/>
  <c r="AY22" i="6" s="1"/>
  <c r="BF18" i="5"/>
  <c r="AY16" i="6" s="1"/>
  <c r="BF19" i="5"/>
  <c r="AY17" i="6" s="1"/>
  <c r="BE37" i="5"/>
  <c r="BG35" i="5"/>
  <c r="BG34" i="5"/>
  <c r="BG9" i="5"/>
  <c r="BG10" i="5" s="1"/>
  <c r="BH33" i="5"/>
  <c r="AY7" i="6" l="1"/>
  <c r="AY6" i="6" s="1"/>
  <c r="BH12" i="5"/>
  <c r="BA10" i="6" s="1"/>
  <c r="AZ10" i="6"/>
  <c r="BG36" i="5"/>
  <c r="BG17" i="5"/>
  <c r="AZ15" i="6" s="1"/>
  <c r="BG24" i="5"/>
  <c r="AZ22" i="6" s="1"/>
  <c r="BG25" i="5"/>
  <c r="AZ23" i="6" s="1"/>
  <c r="BG22" i="5"/>
  <c r="AZ20" i="6" s="1"/>
  <c r="BG31" i="5"/>
  <c r="AZ29" i="6" s="1"/>
  <c r="BG30" i="5"/>
  <c r="AZ28" i="6" s="1"/>
  <c r="BG20" i="5"/>
  <c r="AZ18" i="6" s="1"/>
  <c r="BG21" i="5"/>
  <c r="AZ19" i="6" s="1"/>
  <c r="BG26" i="5"/>
  <c r="AZ24" i="6" s="1"/>
  <c r="BG15" i="5"/>
  <c r="AZ13" i="6" s="1"/>
  <c r="BG27" i="5"/>
  <c r="AZ25" i="6" s="1"/>
  <c r="BG29" i="5"/>
  <c r="AZ27" i="6" s="1"/>
  <c r="BG32" i="5"/>
  <c r="AZ30" i="6" s="1"/>
  <c r="BG19" i="5"/>
  <c r="AZ17" i="6" s="1"/>
  <c r="BG23" i="5"/>
  <c r="AZ21" i="6" s="1"/>
  <c r="BG16" i="5"/>
  <c r="AZ14" i="6" s="1"/>
  <c r="BG18" i="5"/>
  <c r="AZ16" i="6" s="1"/>
  <c r="BH9" i="5"/>
  <c r="BH10" i="5" s="1"/>
  <c r="BH34" i="5"/>
  <c r="BF37" i="5"/>
  <c r="AZ7" i="6" l="1"/>
  <c r="AZ6" i="6" s="1"/>
  <c r="BH35" i="5"/>
  <c r="BH29" i="5" s="1"/>
  <c r="BA27" i="6" s="1"/>
  <c r="BG37" i="5"/>
  <c r="BH15" i="5"/>
  <c r="BA13" i="6" s="1"/>
  <c r="BH16" i="5"/>
  <c r="BA14" i="6" s="1"/>
  <c r="BH17" i="5"/>
  <c r="BA15" i="6" s="1"/>
  <c r="BH21" i="5"/>
  <c r="BA19" i="6" s="1"/>
  <c r="BH23" i="5"/>
  <c r="BA21" i="6" s="1"/>
  <c r="BH32" i="5"/>
  <c r="BA30" i="6" s="1"/>
  <c r="BH19" i="5"/>
  <c r="BA17" i="6" s="1"/>
  <c r="BH26" i="5"/>
  <c r="BA24" i="6" s="1"/>
  <c r="BH18" i="5"/>
  <c r="BA16" i="6" s="1"/>
  <c r="BH22" i="5"/>
  <c r="BA20" i="6" s="1"/>
  <c r="BH24" i="5"/>
  <c r="BA22" i="6" s="1"/>
  <c r="BH30" i="5"/>
  <c r="BA28" i="6" s="1"/>
  <c r="BH27" i="5"/>
  <c r="BA25" i="6" s="1"/>
  <c r="BH20" i="5" l="1"/>
  <c r="BA18" i="6" s="1"/>
  <c r="BA7" i="6" s="1"/>
  <c r="BA6" i="6" s="1"/>
  <c r="BH25" i="5"/>
  <c r="BA23" i="6" s="1"/>
  <c r="BH31" i="5"/>
  <c r="BA29" i="6" s="1"/>
  <c r="BH36" i="5"/>
  <c r="BH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<sst xmlns="http://schemas.openxmlformats.org/spreadsheetml/2006/main" count="1105" uniqueCount="238">
  <si>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</si>
  <si>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</si>
  <si>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</si>
  <si>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</si>
  <si>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</si>
  <si>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</si>
  <si>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</si>
  <si>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</si>
  <si>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</si>
  <si>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</si>
  <si>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</si>
  <si>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</si>
  <si>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</si>
  <si>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</si>
  <si>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</si>
  <si>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</si>
  <si>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</si>
  <si>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</si>
  <si>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</si>
  <si>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</si>
  <si>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</si>
  <si>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</si>
  <si>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</si>
  <si>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</si>
  <si>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</si>
  <si>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</si>
  <si>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</si>
  <si>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</si>
  <si>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</si>
  <si>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</si>
  <si>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</si>
  <si>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</si>
  <si>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</si>
  <si>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</si>
  <si>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</si>
  <si>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</si>
  <si>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</si>
  <si>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</si>
  <si>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</si>
  <si>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</si>
  <si>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</si>
  <si>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</si>
  <si>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</si>
  <si>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</si>
  <si>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</si>
  <si>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</si>
  <si>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</si>
  <si>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</si>
  <si>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</si>
  <si>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</si>
  <si>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</si>
  <si>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</si>
  <si>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</si>
  <si>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</si>
  <si>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</si>
  <si>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</si>
  <si>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</si>
  <si>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</si>
  <si>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</si>
  <si>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</si>
  <si>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</si>
  <si>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</si>
  <si>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</si>
  <si>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</si>
  <si>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</si>
  <si>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</si>
  <si>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</si>
  <si>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</si>
  <si>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</si>
  <si>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</si>
  <si>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</si>
  <si>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</si>
  <si>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</si>
  <si>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</si>
  <si>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</si>
  <si>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</si>
  <si>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</si>
  <si>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</si>
  <si>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</si>
  <si>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</si>
  <si>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</si>
  <si>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</si>
  <si>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</si>
  <si>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</si>
  <si>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</si>
  <si>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</si>
  <si>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</si>
  <si>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</si>
  <si>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</si>
  <si>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</si>
  <si>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</si>
  <si>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</si>
  <si>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</si>
  <si>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</si>
  <si>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</si>
  <si>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</si>
  <si>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</si>
  <si>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</si>
  <si>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</si>
  <si>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</si>
  <si>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</si>
  <si>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</si>
  <si>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</si>
  <si>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</si>
  <si>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</si>
  <si>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</si>
  <si>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</si>
  <si>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</si>
  <si>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</si>
  <si>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</si>
  <si>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</si>
  <si>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</si>
  <si>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</si>
  <si>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</si>
  <si>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</si>
  <si>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</si>
  <si>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</si>
  <si>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</si>
  <si>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</si>
  <si>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</si>
  <si>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</si>
  <si>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</si>
  <si>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</si>
  <si>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</si>
  <si>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</si>
  <si>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</si>
  <si>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</si>
  <si>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</si>
  <si>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</si>
  <si>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</si>
  <si>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</si>
  <si>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</si>
  <si>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</si>
  <si>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</si>
  <si>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</si>
  <si>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</si>
  <si>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</si>
  <si>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</si>
  <si>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</si>
  <si>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</si>
  <si>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</si>
  <si>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</si>
  <si>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</si>
  <si>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</si>
  <si>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</si>
  <si>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</si>
  <si>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</si>
  <si>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</si>
  <si>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</si>
  <si>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</si>
  <si>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</si>
  <si>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</si>
  <si>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</si>
  <si>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</si>
  <si>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</si>
  <si>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</si>
  <si>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</si>
  <si>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</si>
  <si>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</si>
  <si>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</si>
  <si>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</si>
  <si>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</si>
  <si>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</si>
  <si>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</si>
  <si>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</si>
  <si>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</si>
  <si>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</si>
  <si>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</si>
  <si>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</si>
  <si>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</si>
  <si>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</si>
  <si>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</si>
  <si>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</si>
  <si>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</si>
  <si>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</si>
  <si>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</si>
  <si>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</si>
  <si>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</si>
  <si>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</si>
  <si>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</si>
  <si>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</si>
  <si>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</si>
  <si>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</si>
  <si>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</si>
  <si>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</si>
  <si>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</si>
  <si>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</si>
  <si>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</si>
  <si>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</si>
  <si>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</si>
  <si>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</si>
  <si>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</si>
  <si>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</si>
  <si>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</si>
  <si>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</si>
  <si>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</si>
  <si>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</si>
  <si>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</si>
  <si>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</si>
  <si>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</si>
  <si>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</si>
  <si>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</si>
  <si>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</si>
  <si>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</si>
  <si>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</si>
  <si>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</si>
  <si>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</si>
  <si>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</si>
  <si>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</si>
  <si>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</si>
  <si>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</si>
  <si>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</si>
  <si>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</si>
  <si>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</si>
  <si>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</si>
  <si>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</si>
  <si>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</si>
  <si>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</si>
  <si>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</si>
  <si>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</si>
  <si>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</si>
  <si>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</si>
  <si>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</si>
  <si>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</si>
  <si>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</si>
  <si>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</si>
  <si>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</si>
  <si>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</si>
  <si>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</si>
  <si>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</si>
  <si>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</si>
  <si>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</si>
  <si>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</si>
  <si>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</si>
  <si>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~USA poverty rate in 2014.</t>
  </si>
  <si>
    <t>~EU poverty rate in 2019</t>
  </si>
  <si>
    <t>QA_FS (used for intensity calcs in some places)</t>
  </si>
  <si>
    <t>QA_FS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</si>
</sst>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</cellStyleXfs>
  <cellXfs count="39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</cellXfs>
  <cellStyles count="9">
    <cellStyle name="20% - Accent1 2" xfId="8" xr:uid="{73DFC625-8C36-4ADA-9B76-94CC310F5E34}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Drivers!$B$47:$BQ$47</c15:sqref>
                  </c15:fullRef>
                </c:ext>
              </c:extLst>
              <c:f>Drivers!$F$47:$BQ$47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GDP_Simple!$A$42</c:f>
              <c:strCache>
                <c:ptCount val="1"/>
                <c:pt idx="0">
                  <c:v>hhd-le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GDP_Simple!$B$42:$BH$42</c:f>
              <c:numCache>
                <c:formatCode>0.000</c:formatCode>
                <c:ptCount val="59"/>
                <c:pt idx="0">
                  <c:v>0.5</c:v>
                </c:pt>
                <c:pt idx="1">
                  <c:v>0.49195171026156947</c:v>
                </c:pt>
                <c:pt idx="2">
                  <c:v>0.47874493927125505</c:v>
                </c:pt>
                <c:pt idx="3">
                  <c:v>0.46897253306205494</c:v>
                </c:pt>
                <c:pt idx="4">
                  <c:v>0.46311475409836067</c:v>
                </c:pt>
                <c:pt idx="5">
                  <c:v>0.4556701030927835</c:v>
                </c:pt>
                <c:pt idx="6">
                  <c:v>0.44755970924195226</c:v>
                </c:pt>
                <c:pt idx="7">
                  <c:v>0.44456066945606693</c:v>
                </c:pt>
                <c:pt idx="8">
                  <c:v>0.45521601685985247</c:v>
                </c:pt>
                <c:pt idx="9">
                  <c:v>0.46227119237511022</c:v>
                </c:pt>
                <c:pt idx="10">
                  <c:v>0.45384023967034137</c:v>
                </c:pt>
                <c:pt idx="11">
                  <c:v>0.4530506193635141</c:v>
                </c:pt>
                <c:pt idx="12">
                  <c:v>0.4492123756297739</c:v>
                </c:pt>
                <c:pt idx="13">
                  <c:v>0.44506077484649087</c:v>
                </c:pt>
                <c:pt idx="14">
                  <c:v>0.44048019500661473</c:v>
                </c:pt>
                <c:pt idx="15">
                  <c:v>0.43534996792463587</c:v>
                </c:pt>
                <c:pt idx="16">
                  <c:v>0.42993618539113665</c:v>
                </c:pt>
                <c:pt idx="17">
                  <c:v>0.42371952259311868</c:v>
                </c:pt>
                <c:pt idx="18">
                  <c:v>0.41657241965867214</c:v>
                </c:pt>
                <c:pt idx="19">
                  <c:v>0.40909885956028302</c:v>
                </c:pt>
                <c:pt idx="20">
                  <c:v>0.40185565007277846</c:v>
                </c:pt>
                <c:pt idx="21">
                  <c:v>0.39482416004663062</c:v>
                </c:pt>
                <c:pt idx="22">
                  <c:v>0.38744915622957621</c:v>
                </c:pt>
                <c:pt idx="23">
                  <c:v>0.3800592435396562</c:v>
                </c:pt>
                <c:pt idx="24">
                  <c:v>0.37316446554873905</c:v>
                </c:pt>
                <c:pt idx="25">
                  <c:v>0.36622575390923512</c:v>
                </c:pt>
                <c:pt idx="26">
                  <c:v>0.35954615135165829</c:v>
                </c:pt>
                <c:pt idx="27">
                  <c:v>0.35352413753940537</c:v>
                </c:pt>
                <c:pt idx="28">
                  <c:v>0.34790997115201444</c:v>
                </c:pt>
                <c:pt idx="29">
                  <c:v>0.33949990116716933</c:v>
                </c:pt>
                <c:pt idx="30">
                  <c:v>0.3328157209201148</c:v>
                </c:pt>
                <c:pt idx="31">
                  <c:v>0.32616627660377695</c:v>
                </c:pt>
                <c:pt idx="32">
                  <c:v>0.31958465249744172</c:v>
                </c:pt>
                <c:pt idx="33">
                  <c:v>0.31298090329354977</c:v>
                </c:pt>
                <c:pt idx="34">
                  <c:v>0.3062893112729288</c:v>
                </c:pt>
                <c:pt idx="35">
                  <c:v>0.29955436432955906</c:v>
                </c:pt>
                <c:pt idx="36">
                  <c:v>0.29273345912335991</c:v>
                </c:pt>
                <c:pt idx="37">
                  <c:v>0.28584772379130463</c:v>
                </c:pt>
                <c:pt idx="38">
                  <c:v>0.27905600345837911</c:v>
                </c:pt>
                <c:pt idx="39">
                  <c:v>0.27256224487218716</c:v>
                </c:pt>
                <c:pt idx="40">
                  <c:v>0.2658185620351361</c:v>
                </c:pt>
                <c:pt idx="41">
                  <c:v>0.25905746841704591</c:v>
                </c:pt>
                <c:pt idx="42">
                  <c:v>0.252285229459698</c:v>
                </c:pt>
                <c:pt idx="43">
                  <c:v>0.24552291570350171</c:v>
                </c:pt>
                <c:pt idx="44">
                  <c:v>0.238781304859641</c:v>
                </c:pt>
                <c:pt idx="45">
                  <c:v>0.23205582431207006</c:v>
                </c:pt>
                <c:pt idx="46">
                  <c:v>0.22534469945479252</c:v>
                </c:pt>
                <c:pt idx="47">
                  <c:v>0.21863011926745202</c:v>
                </c:pt>
                <c:pt idx="48">
                  <c:v>0.21188609489452759</c:v>
                </c:pt>
                <c:pt idx="49">
                  <c:v>0.20511450898524863</c:v>
                </c:pt>
                <c:pt idx="50">
                  <c:v>0.19838061366019311</c:v>
                </c:pt>
                <c:pt idx="51">
                  <c:v>0.1916513605076986</c:v>
                </c:pt>
                <c:pt idx="52">
                  <c:v>0.18492331102104487</c:v>
                </c:pt>
                <c:pt idx="53">
                  <c:v>0.17819185187839537</c:v>
                </c:pt>
                <c:pt idx="54">
                  <c:v>0.17145531997294228</c:v>
                </c:pt>
                <c:pt idx="55">
                  <c:v>0.16471515000195325</c:v>
                </c:pt>
                <c:pt idx="56">
                  <c:v>0.15797384955566152</c:v>
                </c:pt>
                <c:pt idx="57">
                  <c:v>0.15123577392292198</c:v>
                </c:pt>
                <c:pt idx="58">
                  <c:v>0.14450330331373529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D-4F3A-B0E1-5D3B6CBC211A}"/>
            </c:ext>
          </c:extLst>
        </c:ser>
        <c:ser>
          <c:idx val="1"/>
          <c:order val="1"/>
          <c:tx>
            <c:strRef>
              <c:f>GDP_Simple!$A$43</c:f>
              <c:strCache>
                <c:ptCount val="1"/>
                <c:pt idx="0">
                  <c:v>hhd-me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GDP_Simple!$B$43:$BH$43</c:f>
              <c:numCache>
                <c:formatCode>0.000</c:formatCode>
                <c:ptCount val="59"/>
                <c:pt idx="0">
                  <c:v>0.3</c:v>
                </c:pt>
                <c:pt idx="1">
                  <c:v>0.29577464788732394</c:v>
                </c:pt>
                <c:pt idx="2">
                  <c:v>0.30060728744939269</c:v>
                </c:pt>
                <c:pt idx="3">
                  <c:v>0.3041709053916582</c:v>
                </c:pt>
                <c:pt idx="4">
                  <c:v>0.30737704918032788</c:v>
                </c:pt>
                <c:pt idx="5">
                  <c:v>0.30824742268041239</c:v>
                </c:pt>
                <c:pt idx="6">
                  <c:v>0.3115264797507788</c:v>
                </c:pt>
                <c:pt idx="7">
                  <c:v>0.31485355648535562</c:v>
                </c:pt>
                <c:pt idx="8">
                  <c:v>0.32560590094836672</c:v>
                </c:pt>
                <c:pt idx="9">
                  <c:v>0.30936026689417673</c:v>
                </c:pt>
                <c:pt idx="10">
                  <c:v>0.31355024567841444</c:v>
                </c:pt>
                <c:pt idx="11">
                  <c:v>0.31388781690524703</c:v>
                </c:pt>
                <c:pt idx="12">
                  <c:v>0.31543894410094331</c:v>
                </c:pt>
                <c:pt idx="13">
                  <c:v>0.31721983743486931</c:v>
                </c:pt>
                <c:pt idx="14">
                  <c:v>0.31883263902169873</c:v>
                </c:pt>
                <c:pt idx="15">
                  <c:v>0.32078866718521404</c:v>
                </c:pt>
                <c:pt idx="16">
                  <c:v>0.32280939346620441</c:v>
                </c:pt>
                <c:pt idx="17">
                  <c:v>0.32497598023764895</c:v>
                </c:pt>
                <c:pt idx="18">
                  <c:v>0.32775482993460558</c:v>
                </c:pt>
                <c:pt idx="19">
                  <c:v>0.33022222974356419</c:v>
                </c:pt>
                <c:pt idx="20">
                  <c:v>0.332708026046104</c:v>
                </c:pt>
                <c:pt idx="21">
                  <c:v>0.33507942725265366</c:v>
                </c:pt>
                <c:pt idx="22">
                  <c:v>0.33755833542625679</c:v>
                </c:pt>
                <c:pt idx="23">
                  <c:v>0.34023069208670387</c:v>
                </c:pt>
                <c:pt idx="24">
                  <c:v>0.34209365651908852</c:v>
                </c:pt>
                <c:pt idx="25">
                  <c:v>0.34372879918296723</c:v>
                </c:pt>
                <c:pt idx="26">
                  <c:v>0.34562071119418153</c:v>
                </c:pt>
                <c:pt idx="27">
                  <c:v>0.34714667279971562</c:v>
                </c:pt>
                <c:pt idx="28">
                  <c:v>0.34858040550949743</c:v>
                </c:pt>
                <c:pt idx="29">
                  <c:v>0.35270038692008504</c:v>
                </c:pt>
                <c:pt idx="30">
                  <c:v>0.35545402987661523</c:v>
                </c:pt>
                <c:pt idx="31">
                  <c:v>0.35829684379142396</c:v>
                </c:pt>
                <c:pt idx="32">
                  <c:v>0.36115445831596726</c:v>
                </c:pt>
                <c:pt idx="33">
                  <c:v>0.36410706909886797</c:v>
                </c:pt>
                <c:pt idx="34">
                  <c:v>0.36699187756046936</c:v>
                </c:pt>
                <c:pt idx="35">
                  <c:v>0.37022436051526397</c:v>
                </c:pt>
                <c:pt idx="36">
                  <c:v>0.37358485092968469</c:v>
                </c:pt>
                <c:pt idx="37">
                  <c:v>0.37697190484087623</c:v>
                </c:pt>
                <c:pt idx="38">
                  <c:v>0.38027781250126996</c:v>
                </c:pt>
                <c:pt idx="39">
                  <c:v>0.38282157629276181</c:v>
                </c:pt>
                <c:pt idx="40">
                  <c:v>0.38601940369852006</c:v>
                </c:pt>
                <c:pt idx="41">
                  <c:v>0.38922258756347983</c:v>
                </c:pt>
                <c:pt idx="42">
                  <c:v>0.3924274370969103</c:v>
                </c:pt>
                <c:pt idx="43">
                  <c:v>0.39561454073212232</c:v>
                </c:pt>
                <c:pt idx="44">
                  <c:v>0.39877898344479412</c:v>
                </c:pt>
                <c:pt idx="45">
                  <c:v>0.40187798739007974</c:v>
                </c:pt>
                <c:pt idx="46">
                  <c:v>0.40495944797580563</c:v>
                </c:pt>
                <c:pt idx="47">
                  <c:v>0.40805938178134138</c:v>
                </c:pt>
                <c:pt idx="48">
                  <c:v>0.4112108636823395</c:v>
                </c:pt>
                <c:pt idx="49">
                  <c:v>0.41443201525713924</c:v>
                </c:pt>
                <c:pt idx="50">
                  <c:v>0.41755776106085651</c:v>
                </c:pt>
                <c:pt idx="51">
                  <c:v>0.42067919656330144</c:v>
                </c:pt>
                <c:pt idx="52">
                  <c:v>0.42380083147322711</c:v>
                </c:pt>
                <c:pt idx="53">
                  <c:v>0.42692863962271321</c:v>
                </c:pt>
                <c:pt idx="54">
                  <c:v>0.43006590570963166</c:v>
                </c:pt>
                <c:pt idx="55">
                  <c:v>0.43321432302865492</c:v>
                </c:pt>
                <c:pt idx="56">
                  <c:v>0.43636271350971079</c:v>
                </c:pt>
                <c:pt idx="57">
                  <c:v>0.43950309396347365</c:v>
                </c:pt>
                <c:pt idx="58">
                  <c:v>0.44263272457796088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D-4F3A-B0E1-5D3B6CBC211A}"/>
            </c:ext>
          </c:extLst>
        </c:ser>
        <c:ser>
          <c:idx val="2"/>
          <c:order val="2"/>
          <c:tx>
            <c:strRef>
              <c:f>GDP_Simple!$A$44</c:f>
              <c:strCache>
                <c:ptCount val="1"/>
                <c:pt idx="0">
                  <c:v>hhd-he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GDP_Simple!$B$44:$BH$44</c:f>
              <c:numCache>
                <c:formatCode>0.000</c:formatCode>
                <c:ptCount val="59"/>
                <c:pt idx="0">
                  <c:v>0.2</c:v>
                </c:pt>
                <c:pt idx="1">
                  <c:v>0.21227364185110667</c:v>
                </c:pt>
                <c:pt idx="2">
                  <c:v>0.22064777327935223</c:v>
                </c:pt>
                <c:pt idx="3">
                  <c:v>0.22685656154628689</c:v>
                </c:pt>
                <c:pt idx="4">
                  <c:v>0.22950819672131148</c:v>
                </c:pt>
                <c:pt idx="5">
                  <c:v>0.23608247422680415</c:v>
                </c:pt>
                <c:pt idx="6">
                  <c:v>0.24091381100726897</c:v>
                </c:pt>
                <c:pt idx="7">
                  <c:v>0.24058577405857742</c:v>
                </c:pt>
                <c:pt idx="8">
                  <c:v>0.21917808219178081</c:v>
                </c:pt>
                <c:pt idx="9">
                  <c:v>0.22836854073071305</c:v>
                </c:pt>
                <c:pt idx="10">
                  <c:v>0.23260951465124413</c:v>
                </c:pt>
                <c:pt idx="11">
                  <c:v>0.23306156373123887</c:v>
                </c:pt>
                <c:pt idx="12">
                  <c:v>0.23534868026928282</c:v>
                </c:pt>
                <c:pt idx="13">
                  <c:v>0.23771938771863979</c:v>
                </c:pt>
                <c:pt idx="14">
                  <c:v>0.2406871659716866</c:v>
                </c:pt>
                <c:pt idx="15">
                  <c:v>0.24386136489015012</c:v>
                </c:pt>
                <c:pt idx="16">
                  <c:v>0.24725442114265897</c:v>
                </c:pt>
                <c:pt idx="17">
                  <c:v>0.25130449716923237</c:v>
                </c:pt>
                <c:pt idx="18">
                  <c:v>0.25567275040672227</c:v>
                </c:pt>
                <c:pt idx="19">
                  <c:v>0.26067891069615279</c:v>
                </c:pt>
                <c:pt idx="20">
                  <c:v>0.2654363238811176</c:v>
                </c:pt>
                <c:pt idx="21">
                  <c:v>0.27009641270071577</c:v>
                </c:pt>
                <c:pt idx="22">
                  <c:v>0.274992508344167</c:v>
                </c:pt>
                <c:pt idx="23">
                  <c:v>0.27971006437363993</c:v>
                </c:pt>
                <c:pt idx="24">
                  <c:v>0.28474187793217243</c:v>
                </c:pt>
                <c:pt idx="25">
                  <c:v>0.29004544690779771</c:v>
                </c:pt>
                <c:pt idx="26">
                  <c:v>0.29483313745416012</c:v>
                </c:pt>
                <c:pt idx="27">
                  <c:v>0.29932918966087896</c:v>
                </c:pt>
                <c:pt idx="28">
                  <c:v>0.30350962333848813</c:v>
                </c:pt>
                <c:pt idx="29">
                  <c:v>0.30779971191274563</c:v>
                </c:pt>
                <c:pt idx="30">
                  <c:v>0.31173024920326997</c:v>
                </c:pt>
                <c:pt idx="31">
                  <c:v>0.31553687960479909</c:v>
                </c:pt>
                <c:pt idx="32">
                  <c:v>0.31926088918659101</c:v>
                </c:pt>
                <c:pt idx="33">
                  <c:v>0.32291202760758225</c:v>
                </c:pt>
                <c:pt idx="34">
                  <c:v>0.32671881116660184</c:v>
                </c:pt>
                <c:pt idx="35">
                  <c:v>0.33022127515517696</c:v>
                </c:pt>
                <c:pt idx="36">
                  <c:v>0.33368168994695541</c:v>
                </c:pt>
                <c:pt idx="37">
                  <c:v>0.33718037136781914</c:v>
                </c:pt>
                <c:pt idx="38">
                  <c:v>0.34066618404035093</c:v>
                </c:pt>
                <c:pt idx="39">
                  <c:v>0.34461617883505102</c:v>
                </c:pt>
                <c:pt idx="40">
                  <c:v>0.34816203426634384</c:v>
                </c:pt>
                <c:pt idx="41">
                  <c:v>0.35171994401947426</c:v>
                </c:pt>
                <c:pt idx="42">
                  <c:v>0.3552873334433917</c:v>
                </c:pt>
                <c:pt idx="43">
                  <c:v>0.35886254356437597</c:v>
                </c:pt>
                <c:pt idx="44">
                  <c:v>0.36243971169556488</c:v>
                </c:pt>
                <c:pt idx="45">
                  <c:v>0.3660661882978502</c:v>
                </c:pt>
                <c:pt idx="46">
                  <c:v>0.36969585256940185</c:v>
                </c:pt>
                <c:pt idx="47">
                  <c:v>0.3733104989512066</c:v>
                </c:pt>
                <c:pt idx="48">
                  <c:v>0.37690304142313291</c:v>
                </c:pt>
                <c:pt idx="49">
                  <c:v>0.38045347575761213</c:v>
                </c:pt>
                <c:pt idx="50">
                  <c:v>0.38406162527895038</c:v>
                </c:pt>
                <c:pt idx="51">
                  <c:v>0.38766944292899996</c:v>
                </c:pt>
                <c:pt idx="52">
                  <c:v>0.39127585750572802</c:v>
                </c:pt>
                <c:pt idx="53">
                  <c:v>0.39487950849889142</c:v>
                </c:pt>
                <c:pt idx="54">
                  <c:v>0.39847877431742607</c:v>
                </c:pt>
                <c:pt idx="55">
                  <c:v>0.40207052696939183</c:v>
                </c:pt>
                <c:pt idx="56">
                  <c:v>0.4056634369346277</c:v>
                </c:pt>
                <c:pt idx="57">
                  <c:v>0.40926113211360438</c:v>
                </c:pt>
                <c:pt idx="58">
                  <c:v>0.41286397210830383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D-4F3A-B0E1-5D3B6CBC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16672"/>
        <c:axId val="1366130864"/>
      </c:areaChart>
      <c:catAx>
        <c:axId val="13957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130864"/>
        <c:crosses val="autoZero"/>
        <c:auto val="1"/>
        <c:lblAlgn val="ctr"/>
        <c:lblOffset val="100"/>
        <c:noMultiLvlLbl val="0"/>
      </c:catAx>
      <c:valAx>
        <c:axId val="13661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36</xdr:row>
      <xdr:rowOff>128587</xdr:rowOff>
    </xdr:from>
    <xdr:to>
      <xdr:col>19</xdr:col>
      <xdr:colOff>257175</xdr:colOff>
      <xdr:row>50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214312</xdr:colOff>
      <xdr:row>44</xdr:row>
      <xdr:rowOff>57150</xdr:rowOff>
    </xdr:from>
    <xdr:to>
      <xdr:col>48</xdr:col>
      <xdr:colOff>95250</xdr:colOff>
      <xdr:row>65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37EF0-C2E1-A471-A507-0D5F4BB08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114"/>
  <sheetViews>
    <sheetView topLeftCell="A90" workbookViewId="0">
      <pane xSplit="1" topLeftCell="B1" activePane="topRight" state="frozen"/>
      <selection pane="topRight" activeCell="C94" sqref="C94:AL114"/>
    </sheetView>
  </sheetViews>
  <sheetFormatPr defaultRowHeight="15" x14ac:dyDescent="0.25"/>
  <cols>
    <col min="7" max="7" width="7.7109375" customWidth="1"/>
  </cols>
  <sheetData>
    <row r="3" spans="1:53" x14ac:dyDescent="0.25">
      <c r="A3" t="s">
        <v>39</v>
      </c>
      <c r="C3" s="2" t="s">
        <v>44</v>
      </c>
    </row>
    <row r="4" spans="1:53" x14ac:dyDescent="0.25">
      <c r="A4" t="s">
        <v>43</v>
      </c>
    </row>
    <row r="5" spans="1:53" x14ac:dyDescent="0.25">
      <c r="A5" t="s">
        <v>44</v>
      </c>
    </row>
    <row r="6" spans="1:53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1.9999999999997797E-3</v>
      </c>
      <c r="G6" s="1">
        <f t="shared" si="0"/>
        <v>1.0000000000000009E-2</v>
      </c>
      <c r="H6" s="1">
        <f t="shared" si="0"/>
        <v>1.0999999999999899E-2</v>
      </c>
      <c r="I6" s="1">
        <f t="shared" si="0"/>
        <v>1.4000000000000012E-2</v>
      </c>
      <c r="J6" s="1">
        <f t="shared" si="0"/>
        <v>1.6000000000000014E-2</v>
      </c>
      <c r="K6" s="1">
        <f t="shared" si="0"/>
        <v>1.8000000000000016E-2</v>
      </c>
      <c r="L6" s="1">
        <f t="shared" si="0"/>
        <v>2.2031722197759951E-2</v>
      </c>
      <c r="M6" s="1">
        <f t="shared" si="0"/>
        <v>2.6218354528799503E-2</v>
      </c>
      <c r="N6" s="1">
        <f t="shared" si="0"/>
        <v>2.9378416318852629E-2</v>
      </c>
      <c r="O6" s="1">
        <f t="shared" si="0"/>
        <v>3.0077539232383987E-2</v>
      </c>
      <c r="P6" s="1">
        <f t="shared" si="0"/>
        <v>3.0977705255239574E-2</v>
      </c>
      <c r="Q6" s="1">
        <f t="shared" si="0"/>
        <v>3.4365925902849925E-2</v>
      </c>
      <c r="R6" s="1">
        <f t="shared" si="0"/>
        <v>3.5204693916533136E-2</v>
      </c>
      <c r="S6" s="1">
        <f t="shared" si="0"/>
        <v>3.6043461930215459E-2</v>
      </c>
      <c r="T6" s="1">
        <f t="shared" si="0"/>
        <v>3.7007018273112813E-2</v>
      </c>
      <c r="U6" s="1">
        <f t="shared" si="0"/>
        <v>3.7355943192743934E-2</v>
      </c>
      <c r="V6" s="1">
        <f t="shared" si="0"/>
        <v>3.656550742556397E-2</v>
      </c>
      <c r="W6" s="1">
        <f t="shared" si="0"/>
        <v>3.5408604296364388E-2</v>
      </c>
      <c r="X6" s="1">
        <f t="shared" si="0"/>
        <v>3.5765875064506236E-2</v>
      </c>
      <c r="Y6" s="1">
        <f t="shared" si="0"/>
        <v>3.4029431747081063E-2</v>
      </c>
      <c r="Z6" s="1">
        <f t="shared" si="0"/>
        <v>3.4155415312099091E-2</v>
      </c>
      <c r="AA6" s="1">
        <f t="shared" si="0"/>
        <v>3.4658441664211725E-2</v>
      </c>
      <c r="AB6" s="1">
        <f t="shared" si="0"/>
        <v>3.5189897318865571E-2</v>
      </c>
      <c r="AC6" s="1">
        <f t="shared" si="0"/>
        <v>3.5737142539630007E-2</v>
      </c>
      <c r="AD6" s="1">
        <f t="shared" si="0"/>
        <v>3.391185016797138E-2</v>
      </c>
      <c r="AE6" s="1">
        <f t="shared" si="0"/>
        <v>3.4442853691466491E-2</v>
      </c>
      <c r="AF6" s="1">
        <f t="shared" si="0"/>
        <v>3.5723413527480874E-2</v>
      </c>
      <c r="AG6" s="1">
        <f t="shared" si="0"/>
        <v>3.6556928920228771E-2</v>
      </c>
      <c r="AH6" s="1">
        <f t="shared" ref="AH6" si="1">AH7/AG7-1</f>
        <v>3.4755266029644183E-2</v>
      </c>
      <c r="AI6" s="1">
        <f t="shared" ref="AI6" si="2">AI7/AH7-1</f>
        <v>3.2953603139059817E-2</v>
      </c>
      <c r="AJ6" s="1">
        <f t="shared" ref="AJ6" si="3">AJ7/AI7-1</f>
        <v>3.1151940248475674E-2</v>
      </c>
      <c r="AK6" s="1">
        <f t="shared" ref="AK6" si="4">AK7/AJ7-1</f>
        <v>2.9350277357891974E-2</v>
      </c>
      <c r="AL6" s="1">
        <f t="shared" ref="AL6" si="5">AL7/AK7-1</f>
        <v>2.7548614467306498E-2</v>
      </c>
      <c r="AM6" s="1">
        <f t="shared" ref="AM6" si="6">AM7/AL7-1</f>
        <v>2.5746951576723687E-2</v>
      </c>
      <c r="AN6" s="1">
        <f t="shared" ref="AN6" si="7">AN7/AM7-1</f>
        <v>2.3945288686139099E-2</v>
      </c>
      <c r="AO6" s="1">
        <f t="shared" ref="AO6" si="8">AO7/AN7-1</f>
        <v>2.2143625795554289E-2</v>
      </c>
      <c r="AP6" s="1">
        <f t="shared" ref="AP6" si="9">AP7/AO7-1</f>
        <v>2.0341962904970368E-2</v>
      </c>
      <c r="AQ6" s="1">
        <f t="shared" ref="AQ6" si="10">AQ7/AP7-1</f>
        <v>1.8540300014386446E-2</v>
      </c>
      <c r="AR6" s="1">
        <f t="shared" ref="AR6" si="11">AR7/AQ7-1</f>
        <v>1.6738637123801414E-2</v>
      </c>
      <c r="AS6" s="1">
        <f t="shared" ref="AS6" si="12">AS7/AR7-1</f>
        <v>1.4936974233218159E-2</v>
      </c>
      <c r="AT6" s="1">
        <f t="shared" ref="AT6" si="13">AT7/AS7-1</f>
        <v>1.3135311342633349E-2</v>
      </c>
      <c r="AU6" s="1">
        <f t="shared" ref="AU6" si="14">AU7/AT7-1</f>
        <v>1.1333648452048983E-2</v>
      </c>
      <c r="AV6" s="1">
        <f t="shared" ref="AV6" si="15">AV7/AU7-1</f>
        <v>9.5319855614648397E-3</v>
      </c>
      <c r="AW6" s="1">
        <f t="shared" ref="AW6" si="16">AW7/AV7-1</f>
        <v>7.7303226708809181E-3</v>
      </c>
      <c r="AX6" s="1">
        <f t="shared" ref="AX6" si="17">AX7/AW7-1</f>
        <v>5.9286597802965524E-3</v>
      </c>
      <c r="AY6" s="1">
        <f t="shared" ref="AY6" si="18">AY7/AX7-1</f>
        <v>4.1269968897126308E-3</v>
      </c>
      <c r="AZ6" s="1">
        <f t="shared" ref="AZ6:BA6" si="19">AZ7/AY7-1</f>
        <v>2.325333999127821E-3</v>
      </c>
      <c r="BA6" s="1">
        <f t="shared" si="19"/>
        <v>5.2367110854367738E-4</v>
      </c>
    </row>
    <row r="7" spans="1:53" x14ac:dyDescent="0.25">
      <c r="A7" t="s">
        <v>69</v>
      </c>
      <c r="B7">
        <f>SUM(B10:B30)</f>
        <v>4454.7099999999982</v>
      </c>
      <c r="C7">
        <f t="shared" ref="C7:AG7" si="20">SUM(C10:C30)</f>
        <v>4168.5599999999986</v>
      </c>
      <c r="D7">
        <f t="shared" si="20"/>
        <v>4364.6099639707018</v>
      </c>
      <c r="E7">
        <f t="shared" si="20"/>
        <v>4447.9917419918065</v>
      </c>
      <c r="F7">
        <f t="shared" si="20"/>
        <v>4456.887725475789</v>
      </c>
      <c r="G7">
        <f t="shared" si="20"/>
        <v>4501.4566027305473</v>
      </c>
      <c r="H7">
        <f t="shared" si="20"/>
        <v>4550.9726253605832</v>
      </c>
      <c r="I7">
        <f t="shared" si="20"/>
        <v>4614.6862421156311</v>
      </c>
      <c r="J7">
        <f t="shared" si="20"/>
        <v>4688.5212219894811</v>
      </c>
      <c r="K7">
        <f t="shared" si="20"/>
        <v>4772.9146039852922</v>
      </c>
      <c r="L7">
        <f t="shared" si="20"/>
        <v>4878.0701326139279</v>
      </c>
      <c r="M7">
        <f t="shared" si="20"/>
        <v>5005.9651047671477</v>
      </c>
      <c r="N7">
        <f t="shared" si="20"/>
        <v>5153.0324316926453</v>
      </c>
      <c r="O7">
        <f t="shared" si="20"/>
        <v>5308.0229668226275</v>
      </c>
      <c r="P7">
        <f t="shared" si="20"/>
        <v>5472.4533377769012</v>
      </c>
      <c r="Q7">
        <f t="shared" si="20"/>
        <v>5660.5192636897464</v>
      </c>
      <c r="R7">
        <f t="shared" si="20"/>
        <v>5859.7961117765835</v>
      </c>
      <c r="S7">
        <f t="shared" si="20"/>
        <v>6071.0034498502273</v>
      </c>
      <c r="T7">
        <f t="shared" si="20"/>
        <v>6295.6731854549653</v>
      </c>
      <c r="U7">
        <f t="shared" si="20"/>
        <v>6530.8539953309019</v>
      </c>
      <c r="V7">
        <f t="shared" si="20"/>
        <v>6769.6579855924483</v>
      </c>
      <c r="W7">
        <f t="shared" si="20"/>
        <v>7009.3621264260146</v>
      </c>
      <c r="X7">
        <f t="shared" si="20"/>
        <v>7260.0580965216486</v>
      </c>
      <c r="Y7">
        <f t="shared" si="20"/>
        <v>7507.1137479970748</v>
      </c>
      <c r="Z7">
        <f t="shared" si="20"/>
        <v>7763.5223358550838</v>
      </c>
      <c r="AA7">
        <f t="shared" si="20"/>
        <v>8032.5939218411213</v>
      </c>
      <c r="AB7">
        <f t="shared" si="20"/>
        <v>8315.2600771548532</v>
      </c>
      <c r="AC7">
        <f t="shared" si="20"/>
        <v>8612.4237117862303</v>
      </c>
      <c r="AD7">
        <f t="shared" si="20"/>
        <v>8904.4869342834081</v>
      </c>
      <c r="AE7">
        <f t="shared" si="20"/>
        <v>9211.1828749585075</v>
      </c>
      <c r="AF7">
        <f t="shared" si="20"/>
        <v>9540.2377698779001</v>
      </c>
      <c r="AG7">
        <f t="shared" si="20"/>
        <v>9888.9995639134086</v>
      </c>
      <c r="AH7">
        <f t="shared" ref="AH7:BA7" si="21">SUM(AH10:AH30)</f>
        <v>10232.694374524253</v>
      </c>
      <c r="AI7">
        <f t="shared" si="21"/>
        <v>10569.898523985616</v>
      </c>
      <c r="AJ7">
        <f t="shared" si="21"/>
        <v>10899.171371237266</v>
      </c>
      <c r="AK7">
        <f t="shared" si="21"/>
        <v>11219.065073954274</v>
      </c>
      <c r="AL7">
        <f t="shared" si="21"/>
        <v>11528.134772360265</v>
      </c>
      <c r="AM7">
        <f t="shared" si="21"/>
        <v>11824.949100114169</v>
      </c>
      <c r="AN7">
        <f t="shared" si="21"/>
        <v>12108.100920015302</v>
      </c>
      <c r="AO7">
        <f t="shared" si="21"/>
        <v>12376.218175882928</v>
      </c>
      <c r="AP7">
        <f t="shared" si="21"/>
        <v>12627.974746920558</v>
      </c>
      <c r="AQ7">
        <f t="shared" si="21"/>
        <v>12862.10118730256</v>
      </c>
      <c r="AR7">
        <f t="shared" si="21"/>
        <v>13077.395231726434</v>
      </c>
      <c r="AS7">
        <f t="shared" si="21"/>
        <v>13272.731947340342</v>
      </c>
      <c r="AT7">
        <f t="shared" si="21"/>
        <v>13447.073413835973</v>
      </c>
      <c r="AU7">
        <f t="shared" si="21"/>
        <v>13599.477816617285</v>
      </c>
      <c r="AV7">
        <f t="shared" si="21"/>
        <v>13729.107842808744</v>
      </c>
      <c r="AW7">
        <f t="shared" si="21"/>
        <v>13835.238276416978</v>
      </c>
      <c r="AX7">
        <f t="shared" si="21"/>
        <v>13917.262697137192</v>
      </c>
      <c r="AY7">
        <f t="shared" si="21"/>
        <v>13974.69919700159</v>
      </c>
      <c r="AZ7">
        <f t="shared" si="21"/>
        <v>14007.195040171962</v>
      </c>
      <c r="BA7">
        <f t="shared" si="21"/>
        <v>14014.530203526238</v>
      </c>
    </row>
    <row r="8" spans="1:53" ht="18" thickBot="1" x14ac:dyDescent="0.35">
      <c r="A8" s="4" t="s">
        <v>42</v>
      </c>
      <c r="B8" s="4"/>
    </row>
    <row r="9" spans="1:53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  <c r="AH9">
        <v>2051</v>
      </c>
      <c r="AI9">
        <v>2052</v>
      </c>
      <c r="AJ9">
        <v>2053</v>
      </c>
      <c r="AK9">
        <v>2054</v>
      </c>
      <c r="AL9">
        <v>2055</v>
      </c>
      <c r="AM9">
        <v>2056</v>
      </c>
      <c r="AN9">
        <v>2057</v>
      </c>
      <c r="AO9">
        <v>2058</v>
      </c>
      <c r="AP9">
        <v>2059</v>
      </c>
      <c r="AQ9">
        <v>2060</v>
      </c>
      <c r="AR9">
        <v>2061</v>
      </c>
      <c r="AS9">
        <v>2062</v>
      </c>
      <c r="AT9">
        <v>2063</v>
      </c>
      <c r="AU9">
        <v>2064</v>
      </c>
      <c r="AV9">
        <v>2065</v>
      </c>
      <c r="AW9">
        <v>2066</v>
      </c>
      <c r="AX9">
        <v>2067</v>
      </c>
      <c r="AY9">
        <v>2068</v>
      </c>
      <c r="AZ9">
        <v>2069</v>
      </c>
      <c r="BA9">
        <v>2070</v>
      </c>
    </row>
    <row r="10" spans="1:53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2758.7827100534464</v>
      </c>
      <c r="G10">
        <f>IF($C$3="CGE",INDEX(GDP_CGE!$A$3:$AN$24,MATCH($A10,GDP_CGE!$A$3:$A$24,0),MATCH(G$9,GDP_CGE!$A$3:$AN$3,0)),GDP_Simple!N12)</f>
        <v>2786.3705371539809</v>
      </c>
      <c r="H10">
        <f>IF($C$3="CGE",INDEX(GDP_CGE!$A$3:$AN$24,MATCH($A10,GDP_CGE!$A$3:$A$24,0),MATCH(H$9,GDP_CGE!$A$3:$AN$3,0)),GDP_Simple!O12)</f>
        <v>2817.0206130626743</v>
      </c>
      <c r="I10">
        <f>IF($C$3="CGE",INDEX(GDP_CGE!$A$3:$AN$24,MATCH($A10,GDP_CGE!$A$3:$A$24,0),MATCH(I$9,GDP_CGE!$A$3:$AN$3,0)),GDP_Simple!P12)</f>
        <v>2856.4589016455516</v>
      </c>
      <c r="J10">
        <f>IF($C$3="CGE",INDEX(GDP_CGE!$A$3:$AN$24,MATCH($A10,GDP_CGE!$A$3:$A$24,0),MATCH(J$9,GDP_CGE!$A$3:$AN$3,0)),GDP_Simple!Q12)</f>
        <v>2902.1622440718807</v>
      </c>
      <c r="K10">
        <f>IF($C$3="CGE",INDEX(GDP_CGE!$A$3:$AN$24,MATCH($A10,GDP_CGE!$A$3:$A$24,0),MATCH(K$9,GDP_CGE!$A$3:$AN$3,0)),GDP_Simple!R12)</f>
        <v>2954.4011644651746</v>
      </c>
      <c r="L10">
        <f>IF($C$3="CGE",INDEX(GDP_CGE!$A$3:$AN$24,MATCH($A10,GDP_CGE!$A$3:$A$24,0),MATCH(L$9,GDP_CGE!$A$3:$AN$3,0)),GDP_Simple!S12)</f>
        <v>3019.4917101814099</v>
      </c>
      <c r="M10">
        <f>IF($C$3="CGE",INDEX(GDP_CGE!$A$3:$AN$24,MATCH($A10,GDP_CGE!$A$3:$A$24,0),MATCH(M$9,GDP_CGE!$A$3:$AN$3,0)),GDP_Simple!T12)</f>
        <v>3098.6578143357187</v>
      </c>
      <c r="N10">
        <f>IF($C$3="CGE",INDEX(GDP_CGE!$A$3:$AN$24,MATCH($A10,GDP_CGE!$A$3:$A$24,0),MATCH(N$9,GDP_CGE!$A$3:$AN$3,0)),GDP_Simple!U12)</f>
        <v>3189.6914736349381</v>
      </c>
      <c r="O10">
        <f>IF($C$3="CGE",INDEX(GDP_CGE!$A$3:$AN$24,MATCH($A10,GDP_CGE!$A$3:$A$24,0),MATCH(O$9,GDP_CGE!$A$3:$AN$3,0)),GDP_Simple!V12)</f>
        <v>3285.6295440723929</v>
      </c>
      <c r="P10">
        <f>IF($C$3="CGE",INDEX(GDP_CGE!$A$3:$AN$24,MATCH($A10,GDP_CGE!$A$3:$A$24,0),MATCH(P$9,GDP_CGE!$A$3:$AN$3,0)),GDP_Simple!W12)</f>
        <v>3387.4108076665748</v>
      </c>
      <c r="Q10">
        <f>IF($C$3="CGE",INDEX(GDP_CGE!$A$3:$AN$24,MATCH($A10,GDP_CGE!$A$3:$A$24,0),MATCH(Q$9,GDP_CGE!$A$3:$AN$3,0)),GDP_Simple!X12)</f>
        <v>3503.822316485358</v>
      </c>
      <c r="R10">
        <f>IF($C$3="CGE",INDEX(GDP_CGE!$A$3:$AN$24,MATCH($A10,GDP_CGE!$A$3:$A$24,0),MATCH(R$9,GDP_CGE!$A$3:$AN$3,0)),GDP_Simple!Y12)</f>
        <v>3627.1733086751424</v>
      </c>
      <c r="S10">
        <f>IF($C$3="CGE",INDEX(GDP_CGE!$A$3:$AN$24,MATCH($A10,GDP_CGE!$A$3:$A$24,0),MATCH(S$9,GDP_CGE!$A$3:$AN$3,0)),GDP_Simple!Z12)</f>
        <v>3757.9091917406686</v>
      </c>
      <c r="T10">
        <f>IF($C$3="CGE",INDEX(GDP_CGE!$A$3:$AN$24,MATCH($A10,GDP_CGE!$A$3:$A$24,0),MATCH(T$9,GDP_CGE!$A$3:$AN$3,0)),GDP_Simple!AA12)</f>
        <v>3896.9782058681149</v>
      </c>
      <c r="U10">
        <f>IF($C$3="CGE",INDEX(GDP_CGE!$A$3:$AN$24,MATCH($A10,GDP_CGE!$A$3:$A$24,0),MATCH(U$9,GDP_CGE!$A$3:$AN$3,0)),GDP_Simple!AB12)</f>
        <v>4042.5535023498846</v>
      </c>
      <c r="V10">
        <f>IF($C$3="CGE",INDEX(GDP_CGE!$A$3:$AN$24,MATCH($A10,GDP_CGE!$A$3:$A$24,0),MATCH(V$9,GDP_CGE!$A$3:$AN$3,0)),GDP_Simple!AC12)</f>
        <v>4190.3715224582984</v>
      </c>
      <c r="W10">
        <f>IF($C$3="CGE",INDEX(GDP_CGE!$A$3:$AN$24,MATCH($A10,GDP_CGE!$A$3:$A$24,0),MATCH(W$9,GDP_CGE!$A$3:$AN$3,0)),GDP_Simple!AD12)</f>
        <v>4338.746729551779</v>
      </c>
      <c r="X10">
        <f>IF($C$3="CGE",INDEX(GDP_CGE!$A$3:$AN$24,MATCH($A10,GDP_CGE!$A$3:$A$24,0),MATCH(X$9,GDP_CGE!$A$3:$AN$3,0)),GDP_Simple!AE12)</f>
        <v>4493.9258030174624</v>
      </c>
      <c r="Y10">
        <f>IF($C$3="CGE",INDEX(GDP_CGE!$A$3:$AN$24,MATCH($A10,GDP_CGE!$A$3:$A$24,0),MATCH(Y$9,GDP_CGE!$A$3:$AN$3,0)),GDP_Simple!AF12)</f>
        <v>4646.851544407692</v>
      </c>
      <c r="Z10">
        <f>IF($C$3="CGE",INDEX(GDP_CGE!$A$3:$AN$24,MATCH($A10,GDP_CGE!$A$3:$A$24,0),MATCH(Z$9,GDP_CGE!$A$3:$AN$3,0)),GDP_Simple!AG12)</f>
        <v>4805.5666888006072</v>
      </c>
      <c r="AA10">
        <f>IF($C$3="CGE",INDEX(GDP_CGE!$A$3:$AN$24,MATCH($A10,GDP_CGE!$A$3:$A$24,0),MATCH(AA$9,GDP_CGE!$A$3:$AN$3,0)),GDP_Simple!AH12)</f>
        <v>4972.1201415478799</v>
      </c>
      <c r="AB10">
        <f>IF($C$3="CGE",INDEX(GDP_CGE!$A$3:$AN$24,MATCH($A10,GDP_CGE!$A$3:$A$24,0),MATCH(AB$9,GDP_CGE!$A$3:$AN$3,0)),GDP_Simple!AI12)</f>
        <v>5147.0885387860135</v>
      </c>
      <c r="AC10">
        <f>IF($C$3="CGE",INDEX(GDP_CGE!$A$3:$AN$24,MATCH($A10,GDP_CGE!$A$3:$A$24,0),MATCH(AC$9,GDP_CGE!$A$3:$AN$3,0)),GDP_Simple!AJ12)</f>
        <v>5331.0307755607055</v>
      </c>
      <c r="AD10">
        <f>IF($C$3="CGE",INDEX(GDP_CGE!$A$3:$AN$24,MATCH($A10,GDP_CGE!$A$3:$A$24,0),MATCH(AD$9,GDP_CGE!$A$3:$AN$3,0)),GDP_Simple!AK12)</f>
        <v>5511.8158924623676</v>
      </c>
      <c r="AE10">
        <f>IF($C$3="CGE",INDEX(GDP_CGE!$A$3:$AN$24,MATCH($A10,GDP_CGE!$A$3:$A$24,0),MATCH(AE$9,GDP_CGE!$A$3:$AN$3,0)),GDP_Simple!AL12)</f>
        <v>5701.6585608207461</v>
      </c>
      <c r="AF10">
        <f>IF($C$3="CGE",INDEX(GDP_CGE!$A$3:$AN$24,MATCH($A10,GDP_CGE!$A$3:$A$24,0),MATCH(AF$9,GDP_CGE!$A$3:$AN$3,0)),GDP_Simple!AM12)</f>
        <v>5905.341267381451</v>
      </c>
      <c r="AG10">
        <f>IF($C$3="CGE",INDEX(GDP_CGE!$A$3:$AN$24,MATCH($A10,GDP_CGE!$A$3:$A$24,0),MATCH(AG$9,GDP_CGE!$A$3:$AN$3,0)),GDP_Simple!AN12)</f>
        <v>6121.2224083428055</v>
      </c>
      <c r="AH10">
        <f>IF($C$3="CGE",INDEX(GDP_CGE!$A$3:$AN$24,MATCH($A10,GDP_CGE!$A$3:$A$24,0),MATCH(AH$9,GDP_CGE!$A$3:$AN$3,0)),GDP_Simple!AO12)</f>
        <v>6333.9671215713788</v>
      </c>
      <c r="AI10">
        <f>IF($C$3="CGE",INDEX(GDP_CGE!$A$3:$AN$24,MATCH($A10,GDP_CGE!$A$3:$A$24,0),MATCH(AI$9,GDP_CGE!$A$3:$AN$3,0)),GDP_Simple!AP12)</f>
        <v>6542.6941603914947</v>
      </c>
      <c r="AJ10">
        <f>IF($C$3="CGE",INDEX(GDP_CGE!$A$3:$AN$24,MATCH($A10,GDP_CGE!$A$3:$A$24,0),MATCH(AJ$9,GDP_CGE!$A$3:$AN$3,0)),GDP_Simple!AQ12)</f>
        <v>6746.5117779400616</v>
      </c>
      <c r="AK10">
        <f>IF($C$3="CGE",INDEX(GDP_CGE!$A$3:$AN$24,MATCH($A10,GDP_CGE!$A$3:$A$24,0),MATCH(AK$9,GDP_CGE!$A$3:$AN$3,0)),GDP_Simple!AR12)</f>
        <v>6944.5237698208839</v>
      </c>
      <c r="AL10">
        <f>IF($C$3="CGE",INDEX(GDP_CGE!$A$3:$AN$24,MATCH($A10,GDP_CGE!$A$3:$A$24,0),MATCH(AL$9,GDP_CGE!$A$3:$AN$3,0)),GDP_Simple!AS12)</f>
        <v>7135.8357778147301</v>
      </c>
      <c r="AM10">
        <f>IF($C$3="CGE",INDEX(GDP_CGE!$A$3:$AN$24,MATCH($A10,GDP_CGE!$A$3:$A$24,0),MATCH(AM$9,GDP_CGE!$A$3:$AN$3,0)),GDP_Simple!AT12)</f>
        <v>7319.5617960455738</v>
      </c>
      <c r="AN10">
        <f>IF($C$3="CGE",INDEX(GDP_CGE!$A$3:$AN$24,MATCH($A10,GDP_CGE!$A$3:$A$24,0),MATCH(AN$9,GDP_CGE!$A$3:$AN$3,0)),GDP_Simple!AU12)</f>
        <v>7494.8308163079182</v>
      </c>
      <c r="AO10">
        <f>IF($C$3="CGE",INDEX(GDP_CGE!$A$3:$AN$24,MATCH($A10,GDP_CGE!$A$3:$A$24,0),MATCH(AO$9,GDP_CGE!$A$3:$AN$3,0)),GDP_Simple!AV12)</f>
        <v>7660.7935453052314</v>
      </c>
      <c r="AP10">
        <f>IF($C$3="CGE",INDEX(GDP_CGE!$A$3:$AN$24,MATCH($A10,GDP_CGE!$A$3:$A$24,0),MATCH(AP$9,GDP_CGE!$A$3:$AN$3,0)),GDP_Simple!AW12)</f>
        <v>7816.6291234264672</v>
      </c>
      <c r="AQ10">
        <f>IF($C$3="CGE",INDEX(GDP_CGE!$A$3:$AN$24,MATCH($A10,GDP_CGE!$A$3:$A$24,0),MATCH(AQ$9,GDP_CGE!$A$3:$AN$3,0)),GDP_Simple!AX12)</f>
        <v>7961.5517724759829</v>
      </c>
      <c r="AR10">
        <f>IF($C$3="CGE",INDEX(GDP_CGE!$A$3:$AN$24,MATCH($A10,GDP_CGE!$A$3:$A$24,0),MATCH(AR$9,GDP_CGE!$A$3:$AN$3,0)),GDP_Simple!AY12)</f>
        <v>8094.8172985378196</v>
      </c>
      <c r="AS10">
        <f>IF($C$3="CGE",INDEX(GDP_CGE!$A$3:$AN$24,MATCH($A10,GDP_CGE!$A$3:$A$24,0),MATCH(AS$9,GDP_CGE!$A$3:$AN$3,0)),GDP_Simple!AZ12)</f>
        <v>8215.7293759486838</v>
      </c>
      <c r="AT10">
        <f>IF($C$3="CGE",INDEX(GDP_CGE!$A$3:$AN$24,MATCH($A10,GDP_CGE!$A$3:$A$24,0),MATCH(AT$9,GDP_CGE!$A$3:$AN$3,0)),GDP_Simple!BA12)</f>
        <v>8323.64553920859</v>
      </c>
      <c r="AU10">
        <f>IF($C$3="CGE",INDEX(GDP_CGE!$A$3:$AN$24,MATCH($A10,GDP_CGE!$A$3:$A$24,0),MATCH(AU$9,GDP_CGE!$A$3:$AN$3,0)),GDP_Simple!BB12)</f>
        <v>8417.982811589447</v>
      </c>
      <c r="AV10">
        <f>IF($C$3="CGE",INDEX(GDP_CGE!$A$3:$AN$24,MATCH($A10,GDP_CGE!$A$3:$A$24,0),MATCH(AV$9,GDP_CGE!$A$3:$AN$3,0)),GDP_Simple!BC12)</f>
        <v>8498.2229022061783</v>
      </c>
      <c r="AW10">
        <f>IF($C$3="CGE",INDEX(GDP_CGE!$A$3:$AN$24,MATCH($A10,GDP_CGE!$A$3:$A$24,0),MATCH(AW$9,GDP_CGE!$A$3:$AN$3,0)),GDP_Simple!BD12)</f>
        <v>8563.916907369301</v>
      </c>
      <c r="AX10">
        <f>IF($C$3="CGE",INDEX(GDP_CGE!$A$3:$AN$24,MATCH($A10,GDP_CGE!$A$3:$A$24,0),MATCH(AX$9,GDP_CGE!$A$3:$AN$3,0)),GDP_Simple!BE12)</f>
        <v>8614.6894570998229</v>
      </c>
      <c r="AY10">
        <f>IF($C$3="CGE",INDEX(GDP_CGE!$A$3:$AN$24,MATCH($A10,GDP_CGE!$A$3:$A$24,0),MATCH(AY$9,GDP_CGE!$A$3:$AN$3,0)),GDP_Simple!BF12)</f>
        <v>8650.2422536951126</v>
      </c>
      <c r="AZ10">
        <f>IF($C$3="CGE",INDEX(GDP_CGE!$A$3:$AN$24,MATCH($A10,GDP_CGE!$A$3:$A$24,0),MATCH(AZ$9,GDP_CGE!$A$3:$AN$3,0)),GDP_Simple!BG12)</f>
        <v>8670.3569561083241</v>
      </c>
      <c r="BA10">
        <f>IF($C$3="CGE",INDEX(GDP_CGE!$A$3:$AN$24,MATCH($A10,GDP_CGE!$A$3:$A$24,0),MATCH(BA$9,GDP_CGE!$A$3:$AN$3,0)),GDP_Simple!BH12)</f>
        <v>8674.8973715470001</v>
      </c>
    </row>
    <row r="11" spans="1:53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109.03367355730057</v>
      </c>
      <c r="G11">
        <f>IF($C$3="CGE",INDEX(GDP_CGE!$A$3:$AN$24,MATCH($A11,GDP_CGE!$A$3:$A$24,0),MATCH(G$9,GDP_CGE!$A$3:$AN$3,0)),GDP_Simple!N13)</f>
        <v>110.12401029287358</v>
      </c>
      <c r="H11">
        <f>IF($C$3="CGE",INDEX(GDP_CGE!$A$3:$AN$24,MATCH($A11,GDP_CGE!$A$3:$A$24,0),MATCH(H$9,GDP_CGE!$A$3:$AN$3,0)),GDP_Simple!O13)</f>
        <v>111.33537440609517</v>
      </c>
      <c r="I11">
        <f>IF($C$3="CGE",INDEX(GDP_CGE!$A$3:$AN$24,MATCH($A11,GDP_CGE!$A$3:$A$24,0),MATCH(I$9,GDP_CGE!$A$3:$AN$3,0)),GDP_Simple!P13)</f>
        <v>112.8940696477805</v>
      </c>
      <c r="J11">
        <f>IF($C$3="CGE",INDEX(GDP_CGE!$A$3:$AN$24,MATCH($A11,GDP_CGE!$A$3:$A$24,0),MATCH(J$9,GDP_CGE!$A$3:$AN$3,0)),GDP_Simple!Q13)</f>
        <v>114.70037476214499</v>
      </c>
      <c r="K11">
        <f>IF($C$3="CGE",INDEX(GDP_CGE!$A$3:$AN$24,MATCH($A11,GDP_CGE!$A$3:$A$24,0),MATCH(K$9,GDP_CGE!$A$3:$AN$3,0)),GDP_Simple!R13)</f>
        <v>116.7649815078636</v>
      </c>
      <c r="L11">
        <f>IF($C$3="CGE",INDEX(GDP_CGE!$A$3:$AN$24,MATCH($A11,GDP_CGE!$A$3:$A$24,0),MATCH(L$9,GDP_CGE!$A$3:$AN$3,0)),GDP_Simple!S13)</f>
        <v>119.33751514287142</v>
      </c>
      <c r="M11">
        <f>IF($C$3="CGE",INDEX(GDP_CGE!$A$3:$AN$24,MATCH($A11,GDP_CGE!$A$3:$A$24,0),MATCH(M$9,GDP_CGE!$A$3:$AN$3,0)),GDP_Simple!T13)</f>
        <v>122.46634842347326</v>
      </c>
      <c r="N11">
        <f>IF($C$3="CGE",INDEX(GDP_CGE!$A$3:$AN$24,MATCH($A11,GDP_CGE!$A$3:$A$24,0),MATCH(N$9,GDP_CGE!$A$3:$AN$3,0)),GDP_Simple!U13)</f>
        <v>126.06421579250767</v>
      </c>
      <c r="O11">
        <f>IF($C$3="CGE",INDEX(GDP_CGE!$A$3:$AN$24,MATCH($A11,GDP_CGE!$A$3:$A$24,0),MATCH(O$9,GDP_CGE!$A$3:$AN$3,0)),GDP_Simple!V13)</f>
        <v>129.8559171888065</v>
      </c>
      <c r="P11">
        <f>IF($C$3="CGE",INDEX(GDP_CGE!$A$3:$AN$24,MATCH($A11,GDP_CGE!$A$3:$A$24,0),MATCH(P$9,GDP_CGE!$A$3:$AN$3,0)),GDP_Simple!W13)</f>
        <v>133.87855551713014</v>
      </c>
      <c r="Q11">
        <f>IF($C$3="CGE",INDEX(GDP_CGE!$A$3:$AN$24,MATCH($A11,GDP_CGE!$A$3:$A$24,0),MATCH(Q$9,GDP_CGE!$A$3:$AN$3,0)),GDP_Simple!X13)</f>
        <v>138.47941603601245</v>
      </c>
      <c r="R11">
        <f>IF($C$3="CGE",INDEX(GDP_CGE!$A$3:$AN$24,MATCH($A11,GDP_CGE!$A$3:$A$24,0),MATCH(R$9,GDP_CGE!$A$3:$AN$3,0)),GDP_Simple!Y13)</f>
        <v>143.35454149130049</v>
      </c>
      <c r="S11">
        <f>IF($C$3="CGE",INDEX(GDP_CGE!$A$3:$AN$24,MATCH($A11,GDP_CGE!$A$3:$A$24,0),MATCH(S$9,GDP_CGE!$A$3:$AN$3,0)),GDP_Simple!Z13)</f>
        <v>148.52153545006567</v>
      </c>
      <c r="T11">
        <f>IF($C$3="CGE",INDEX(GDP_CGE!$A$3:$AN$24,MATCH($A11,GDP_CGE!$A$3:$A$24,0),MATCH(T$9,GDP_CGE!$A$3:$AN$3,0)),GDP_Simple!AA13)</f>
        <v>154.01787462641707</v>
      </c>
      <c r="U11">
        <f>IF($C$3="CGE",INDEX(GDP_CGE!$A$3:$AN$24,MATCH($A11,GDP_CGE!$A$3:$A$24,0),MATCH(U$9,GDP_CGE!$A$3:$AN$3,0)),GDP_Simple!AB13)</f>
        <v>159.77135760162864</v>
      </c>
      <c r="V11">
        <f>IF($C$3="CGE",INDEX(GDP_CGE!$A$3:$AN$24,MATCH($A11,GDP_CGE!$A$3:$A$24,0),MATCH(V$9,GDP_CGE!$A$3:$AN$3,0)),GDP_Simple!AC13)</f>
        <v>165.61347836440339</v>
      </c>
      <c r="W11">
        <f>IF($C$3="CGE",INDEX(GDP_CGE!$A$3:$AN$24,MATCH($A11,GDP_CGE!$A$3:$A$24,0),MATCH(W$9,GDP_CGE!$A$3:$AN$3,0)),GDP_Simple!AD13)</f>
        <v>171.47762048595308</v>
      </c>
      <c r="X11">
        <f>IF($C$3="CGE",INDEX(GDP_CGE!$A$3:$AN$24,MATCH($A11,GDP_CGE!$A$3:$A$24,0),MATCH(X$9,GDP_CGE!$A$3:$AN$3,0)),GDP_Simple!AE13)</f>
        <v>177.61066763661245</v>
      </c>
      <c r="Y11">
        <f>IF($C$3="CGE",INDEX(GDP_CGE!$A$3:$AN$24,MATCH($A11,GDP_CGE!$A$3:$A$24,0),MATCH(Y$9,GDP_CGE!$A$3:$AN$3,0)),GDP_Simple!AF13)</f>
        <v>183.65465772850604</v>
      </c>
      <c r="Z11">
        <f>IF($C$3="CGE",INDEX(GDP_CGE!$A$3:$AN$24,MATCH($A11,GDP_CGE!$A$3:$A$24,0),MATCH(Z$9,GDP_CGE!$A$3:$AN$3,0)),GDP_Simple!AG13)</f>
        <v>189.92745883722461</v>
      </c>
      <c r="AA11">
        <f>IF($C$3="CGE",INDEX(GDP_CGE!$A$3:$AN$24,MATCH($A11,GDP_CGE!$A$3:$A$24,0),MATCH(AA$9,GDP_CGE!$A$3:$AN$3,0)),GDP_Simple!AH13)</f>
        <v>196.51004858976646</v>
      </c>
      <c r="AB11">
        <f>IF($C$3="CGE",INDEX(GDP_CGE!$A$3:$AN$24,MATCH($A11,GDP_CGE!$A$3:$A$24,0),MATCH(AB$9,GDP_CGE!$A$3:$AN$3,0)),GDP_Simple!AI13)</f>
        <v>203.42521702176563</v>
      </c>
      <c r="AC11">
        <f>IF($C$3="CGE",INDEX(GDP_CGE!$A$3:$AN$24,MATCH($A11,GDP_CGE!$A$3:$A$24,0),MATCH(AC$9,GDP_CGE!$A$3:$AN$3,0)),GDP_Simple!AJ13)</f>
        <v>210.69505299862763</v>
      </c>
      <c r="AD11">
        <f>IF($C$3="CGE",INDEX(GDP_CGE!$A$3:$AN$24,MATCH($A11,GDP_CGE!$A$3:$A$24,0),MATCH(AD$9,GDP_CGE!$A$3:$AN$3,0)),GDP_Simple!AK13)</f>
        <v>217.84011206705003</v>
      </c>
      <c r="AE11">
        <f>IF($C$3="CGE",INDEX(GDP_CGE!$A$3:$AN$24,MATCH($A11,GDP_CGE!$A$3:$A$24,0),MATCH(AE$9,GDP_CGE!$A$3:$AN$3,0)),GDP_Simple!AL13)</f>
        <v>225.34314717510799</v>
      </c>
      <c r="AF11">
        <f>IF($C$3="CGE",INDEX(GDP_CGE!$A$3:$AN$24,MATCH($A11,GDP_CGE!$A$3:$A$24,0),MATCH(AF$9,GDP_CGE!$A$3:$AN$3,0)),GDP_Simple!AM13)</f>
        <v>233.3931736072285</v>
      </c>
      <c r="AG11">
        <f>IF($C$3="CGE",INDEX(GDP_CGE!$A$3:$AN$24,MATCH($A11,GDP_CGE!$A$3:$A$24,0),MATCH(AG$9,GDP_CGE!$A$3:$AN$3,0)),GDP_Simple!AN13)</f>
        <v>241.92531126525446</v>
      </c>
      <c r="AH11">
        <f>IF($C$3="CGE",INDEX(GDP_CGE!$A$3:$AN$24,MATCH($A11,GDP_CGE!$A$3:$A$24,0),MATCH(AH$9,GDP_CGE!$A$3:$AN$3,0)),GDP_Simple!AO13)</f>
        <v>250.33348981758286</v>
      </c>
      <c r="AI11">
        <f>IF($C$3="CGE",INDEX(GDP_CGE!$A$3:$AN$24,MATCH($A11,GDP_CGE!$A$3:$A$24,0),MATCH(AI$9,GDP_CGE!$A$3:$AN$3,0)),GDP_Simple!AP13)</f>
        <v>258.58288029344737</v>
      </c>
      <c r="AJ11">
        <f>IF($C$3="CGE",INDEX(GDP_CGE!$A$3:$AN$24,MATCH($A11,GDP_CGE!$A$3:$A$24,0),MATCH(AJ$9,GDP_CGE!$A$3:$AN$3,0)),GDP_Simple!AQ13)</f>
        <v>266.63823872962757</v>
      </c>
      <c r="AK11">
        <f>IF($C$3="CGE",INDEX(GDP_CGE!$A$3:$AN$24,MATCH($A11,GDP_CGE!$A$3:$A$24,0),MATCH(AK$9,GDP_CGE!$A$3:$AN$3,0)),GDP_Simple!AR13)</f>
        <v>274.46414499056186</v>
      </c>
      <c r="AL11">
        <f>IF($C$3="CGE",INDEX(GDP_CGE!$A$3:$AN$24,MATCH($A11,GDP_CGE!$A$3:$A$24,0),MATCH(AL$9,GDP_CGE!$A$3:$AN$3,0)),GDP_Simple!AS13)</f>
        <v>282.02525190600596</v>
      </c>
      <c r="AM11">
        <f>IF($C$3="CGE",INDEX(GDP_CGE!$A$3:$AN$24,MATCH($A11,GDP_CGE!$A$3:$A$24,0),MATCH(AM$9,GDP_CGE!$A$3:$AN$3,0)),GDP_Simple!AT13)</f>
        <v>289.28654241024299</v>
      </c>
      <c r="AN11">
        <f>IF($C$3="CGE",INDEX(GDP_CGE!$A$3:$AN$24,MATCH($A11,GDP_CGE!$A$3:$A$24,0),MATCH(AN$9,GDP_CGE!$A$3:$AN$3,0)),GDP_Simple!AU13)</f>
        <v>296.21359218127122</v>
      </c>
      <c r="AO11">
        <f>IF($C$3="CGE",INDEX(GDP_CGE!$A$3:$AN$24,MATCH($A11,GDP_CGE!$A$3:$A$24,0),MATCH(AO$9,GDP_CGE!$A$3:$AN$3,0)),GDP_Simple!AV13)</f>
        <v>302.77283512209027</v>
      </c>
      <c r="AP11">
        <f>IF($C$3="CGE",INDEX(GDP_CGE!$A$3:$AN$24,MATCH($A11,GDP_CGE!$A$3:$A$24,0),MATCH(AP$9,GDP_CGE!$A$3:$AN$3,0)),GDP_Simple!AW13)</f>
        <v>308.93182890277654</v>
      </c>
      <c r="AQ11">
        <f>IF($C$3="CGE",INDEX(GDP_CGE!$A$3:$AN$24,MATCH($A11,GDP_CGE!$A$3:$A$24,0),MATCH(AQ$9,GDP_CGE!$A$3:$AN$3,0)),GDP_Simple!AX13)</f>
        <v>314.65951769462703</v>
      </c>
      <c r="AR11">
        <f>IF($C$3="CGE",INDEX(GDP_CGE!$A$3:$AN$24,MATCH($A11,GDP_CGE!$A$3:$A$24,0),MATCH(AR$9,GDP_CGE!$A$3:$AN$3,0)),GDP_Simple!AY13)</f>
        <v>319.92648917886788</v>
      </c>
      <c r="AS11">
        <f>IF($C$3="CGE",INDEX(GDP_CGE!$A$3:$AN$24,MATCH($A11,GDP_CGE!$A$3:$A$24,0),MATCH(AS$9,GDP_CGE!$A$3:$AN$3,0)),GDP_Simple!AZ13)</f>
        <v>324.70522290425646</v>
      </c>
      <c r="AT11">
        <f>IF($C$3="CGE",INDEX(GDP_CGE!$A$3:$AN$24,MATCH($A11,GDP_CGE!$A$3:$A$24,0),MATCH(AT$9,GDP_CGE!$A$3:$AN$3,0)),GDP_Simple!BA13)</f>
        <v>328.9703271016831</v>
      </c>
      <c r="AU11">
        <f>IF($C$3="CGE",INDEX(GDP_CGE!$A$3:$AN$24,MATCH($A11,GDP_CGE!$A$3:$A$24,0),MATCH(AU$9,GDP_CGE!$A$3:$AN$3,0)),GDP_Simple!BB13)</f>
        <v>332.69876114020923</v>
      </c>
      <c r="AV11">
        <f>IF($C$3="CGE",INDEX(GDP_CGE!$A$3:$AN$24,MATCH($A11,GDP_CGE!$A$3:$A$24,0),MATCH(AV$9,GDP_CGE!$A$3:$AN$3,0)),GDP_Simple!BC13)</f>
        <v>335.87004092771502</v>
      </c>
      <c r="AW11">
        <f>IF($C$3="CGE",INDEX(GDP_CGE!$A$3:$AN$24,MATCH($A11,GDP_CGE!$A$3:$A$24,0),MATCH(AW$9,GDP_CGE!$A$3:$AN$3,0)),GDP_Simple!BD13)</f>
        <v>338.46642471956818</v>
      </c>
      <c r="AX11">
        <f>IF($C$3="CGE",INDEX(GDP_CGE!$A$3:$AN$24,MATCH($A11,GDP_CGE!$A$3:$A$24,0),MATCH(AX$9,GDP_CGE!$A$3:$AN$3,0)),GDP_Simple!BE13)</f>
        <v>340.47307699878388</v>
      </c>
      <c r="AY11">
        <f>IF($C$3="CGE",INDEX(GDP_CGE!$A$3:$AN$24,MATCH($A11,GDP_CGE!$A$3:$A$24,0),MATCH(AY$9,GDP_CGE!$A$3:$AN$3,0)),GDP_Simple!BF13)</f>
        <v>341.8782083285887</v>
      </c>
      <c r="AZ11">
        <f>IF($C$3="CGE",INDEX(GDP_CGE!$A$3:$AN$24,MATCH($A11,GDP_CGE!$A$3:$A$24,0),MATCH(AZ$9,GDP_CGE!$A$3:$AN$3,0)),GDP_Simple!BG13)</f>
        <v>342.67318934997616</v>
      </c>
      <c r="BA11">
        <f>IF($C$3="CGE",INDEX(GDP_CGE!$A$3:$AN$24,MATCH($A11,GDP_CGE!$A$3:$A$24,0),MATCH(BA$9,GDP_CGE!$A$3:$AN$3,0)),GDP_Simple!BH13)</f>
        <v>342.85263739891133</v>
      </c>
    </row>
    <row r="12" spans="1:53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203.27007272714246</v>
      </c>
      <c r="G12">
        <f>IF($C$3="CGE",INDEX(GDP_CGE!$A$3:$AN$24,MATCH($A12,GDP_CGE!$A$3:$A$24,0),MATCH(G$9,GDP_CGE!$A$3:$AN$3,0)),GDP_Simple!N14)</f>
        <v>205.30277345441388</v>
      </c>
      <c r="H12">
        <f>IF($C$3="CGE",INDEX(GDP_CGE!$A$3:$AN$24,MATCH($A12,GDP_CGE!$A$3:$A$24,0),MATCH(H$9,GDP_CGE!$A$3:$AN$3,0)),GDP_Simple!O14)</f>
        <v>207.5611039624124</v>
      </c>
      <c r="I12">
        <f>IF($C$3="CGE",INDEX(GDP_CGE!$A$3:$AN$24,MATCH($A12,GDP_CGE!$A$3:$A$24,0),MATCH(I$9,GDP_CGE!$A$3:$AN$3,0)),GDP_Simple!P14)</f>
        <v>210.46695941788619</v>
      </c>
      <c r="J12">
        <f>IF($C$3="CGE",INDEX(GDP_CGE!$A$3:$AN$24,MATCH($A12,GDP_CGE!$A$3:$A$24,0),MATCH(J$9,GDP_CGE!$A$3:$AN$3,0)),GDP_Simple!Q14)</f>
        <v>213.83443076857236</v>
      </c>
      <c r="K12">
        <f>IF($C$3="CGE",INDEX(GDP_CGE!$A$3:$AN$24,MATCH($A12,GDP_CGE!$A$3:$A$24,0),MATCH(K$9,GDP_CGE!$A$3:$AN$3,0)),GDP_Simple!R14)</f>
        <v>217.68345052240667</v>
      </c>
      <c r="L12">
        <f>IF($C$3="CGE",INDEX(GDP_CGE!$A$3:$AN$24,MATCH($A12,GDP_CGE!$A$3:$A$24,0),MATCH(L$9,GDP_CGE!$A$3:$AN$3,0)),GDP_Simple!S14)</f>
        <v>222.47939183136617</v>
      </c>
      <c r="M12">
        <f>IF($C$3="CGE",INDEX(GDP_CGE!$A$3:$AN$24,MATCH($A12,GDP_CGE!$A$3:$A$24,0),MATCH(M$9,GDP_CGE!$A$3:$AN$3,0)),GDP_Simple!T14)</f>
        <v>228.31243540175274</v>
      </c>
      <c r="N12">
        <f>IF($C$3="CGE",INDEX(GDP_CGE!$A$3:$AN$24,MATCH($A12,GDP_CGE!$A$3:$A$24,0),MATCH(N$9,GDP_CGE!$A$3:$AN$3,0)),GDP_Simple!U14)</f>
        <v>235.01989317975648</v>
      </c>
      <c r="O12">
        <f>IF($C$3="CGE",INDEX(GDP_CGE!$A$3:$AN$24,MATCH($A12,GDP_CGE!$A$3:$A$24,0),MATCH(O$9,GDP_CGE!$A$3:$AN$3,0)),GDP_Simple!V14)</f>
        <v>242.08871323726126</v>
      </c>
      <c r="P12">
        <f>IF($C$3="CGE",INDEX(GDP_CGE!$A$3:$AN$24,MATCH($A12,GDP_CGE!$A$3:$A$24,0),MATCH(P$9,GDP_CGE!$A$3:$AN$3,0)),GDP_Simple!W14)</f>
        <v>249.58806604154535</v>
      </c>
      <c r="Q12">
        <f>IF($C$3="CGE",INDEX(GDP_CGE!$A$3:$AN$24,MATCH($A12,GDP_CGE!$A$3:$A$24,0),MATCH(Q$9,GDP_CGE!$A$3:$AN$3,0)),GDP_Simple!X14)</f>
        <v>258.16539102536478</v>
      </c>
      <c r="R12">
        <f>IF($C$3="CGE",INDEX(GDP_CGE!$A$3:$AN$24,MATCH($A12,GDP_CGE!$A$3:$A$24,0),MATCH(R$9,GDP_CGE!$A$3:$AN$3,0)),GDP_Simple!Y14)</f>
        <v>267.25402459625479</v>
      </c>
      <c r="S12">
        <f>IF($C$3="CGE",INDEX(GDP_CGE!$A$3:$AN$24,MATCH($A12,GDP_CGE!$A$3:$A$24,0),MATCH(S$9,GDP_CGE!$A$3:$AN$3,0)),GDP_Simple!Z14)</f>
        <v>276.88678485748676</v>
      </c>
      <c r="T12">
        <f>IF($C$3="CGE",INDEX(GDP_CGE!$A$3:$AN$24,MATCH($A12,GDP_CGE!$A$3:$A$24,0),MATCH(T$9,GDP_CGE!$A$3:$AN$3,0)),GDP_Simple!AA14)</f>
        <v>287.13353916429128</v>
      </c>
      <c r="U12">
        <f>IF($C$3="CGE",INDEX(GDP_CGE!$A$3:$AN$24,MATCH($A12,GDP_CGE!$A$3:$A$24,0),MATCH(U$9,GDP_CGE!$A$3:$AN$3,0)),GDP_Simple!AB14)</f>
        <v>297.85968334204398</v>
      </c>
      <c r="V12">
        <f>IF($C$3="CGE",INDEX(GDP_CGE!$A$3:$AN$24,MATCH($A12,GDP_CGE!$A$3:$A$24,0),MATCH(V$9,GDP_CGE!$A$3:$AN$3,0)),GDP_Simple!AC14)</f>
        <v>308.75107380506353</v>
      </c>
      <c r="W12">
        <f>IF($C$3="CGE",INDEX(GDP_CGE!$A$3:$AN$24,MATCH($A12,GDP_CGE!$A$3:$A$24,0),MATCH(W$9,GDP_CGE!$A$3:$AN$3,0)),GDP_Simple!AD14)</f>
        <v>319.68351840350471</v>
      </c>
      <c r="X12">
        <f>IF($C$3="CGE",INDEX(GDP_CGE!$A$3:$AN$24,MATCH($A12,GDP_CGE!$A$3:$A$24,0),MATCH(X$9,GDP_CGE!$A$3:$AN$3,0)),GDP_Simple!AE14)</f>
        <v>331.11727918290615</v>
      </c>
      <c r="Y12">
        <f>IF($C$3="CGE",INDEX(GDP_CGE!$A$3:$AN$24,MATCH($A12,GDP_CGE!$A$3:$A$24,0),MATCH(Y$9,GDP_CGE!$A$3:$AN$3,0)),GDP_Simple!AF14)</f>
        <v>342.38501203514005</v>
      </c>
      <c r="Z12">
        <f>IF($C$3="CGE",INDEX(GDP_CGE!$A$3:$AN$24,MATCH($A12,GDP_CGE!$A$3:$A$24,0),MATCH(Z$9,GDP_CGE!$A$3:$AN$3,0)),GDP_Simple!AG14)</f>
        <v>354.0793143178384</v>
      </c>
      <c r="AA12">
        <f>IF($C$3="CGE",INDEX(GDP_CGE!$A$3:$AN$24,MATCH($A12,GDP_CGE!$A$3:$A$24,0),MATCH(AA$9,GDP_CGE!$A$3:$AN$3,0)),GDP_Simple!AH14)</f>
        <v>366.35115157762715</v>
      </c>
      <c r="AB12">
        <f>IF($C$3="CGE",INDEX(GDP_CGE!$A$3:$AN$24,MATCH($A12,GDP_CGE!$A$3:$A$24,0),MATCH(AB$9,GDP_CGE!$A$3:$AN$3,0)),GDP_Simple!AI14)</f>
        <v>379.24301098429203</v>
      </c>
      <c r="AC12">
        <f>IF($C$3="CGE",INDEX(GDP_CGE!$A$3:$AN$24,MATCH($A12,GDP_CGE!$A$3:$A$24,0),MATCH(AC$9,GDP_CGE!$A$3:$AN$3,0)),GDP_Simple!AJ14)</f>
        <v>392.79607252499613</v>
      </c>
      <c r="AD12">
        <f>IF($C$3="CGE",INDEX(GDP_CGE!$A$3:$AN$24,MATCH($A12,GDP_CGE!$A$3:$A$24,0),MATCH(AD$9,GDP_CGE!$A$3:$AN$3,0)),GDP_Simple!AK14)</f>
        <v>406.11651408303169</v>
      </c>
      <c r="AE12">
        <f>IF($C$3="CGE",INDEX(GDP_CGE!$A$3:$AN$24,MATCH($A12,GDP_CGE!$A$3:$A$24,0),MATCH(AE$9,GDP_CGE!$A$3:$AN$3,0)),GDP_Simple!AL14)</f>
        <v>420.10432575928178</v>
      </c>
      <c r="AF12">
        <f>IF($C$3="CGE",INDEX(GDP_CGE!$A$3:$AN$24,MATCH($A12,GDP_CGE!$A$3:$A$24,0),MATCH(AF$9,GDP_CGE!$A$3:$AN$3,0)),GDP_Simple!AM14)</f>
        <v>435.11188631306442</v>
      </c>
      <c r="AG12">
        <f>IF($C$3="CGE",INDEX(GDP_CGE!$A$3:$AN$24,MATCH($A12,GDP_CGE!$A$3:$A$24,0),MATCH(AG$9,GDP_CGE!$A$3:$AN$3,0)),GDP_Simple!AN14)</f>
        <v>451.01824061335759</v>
      </c>
      <c r="AH12">
        <f>IF($C$3="CGE",INDEX(GDP_CGE!$A$3:$AN$24,MATCH($A12,GDP_CGE!$A$3:$A$24,0),MATCH(AH$9,GDP_CGE!$A$3:$AN$3,0)),GDP_Simple!AO14)</f>
        <v>466.69349955009693</v>
      </c>
      <c r="AI12">
        <f>IF($C$3="CGE",INDEX(GDP_CGE!$A$3:$AN$24,MATCH($A12,GDP_CGE!$A$3:$A$24,0),MATCH(AI$9,GDP_CGE!$A$3:$AN$3,0)),GDP_Simple!AP14)</f>
        <v>482.07273192184982</v>
      </c>
      <c r="AJ12">
        <f>IF($C$3="CGE",INDEX(GDP_CGE!$A$3:$AN$24,MATCH($A12,GDP_CGE!$A$3:$A$24,0),MATCH(AJ$9,GDP_CGE!$A$3:$AN$3,0)),GDP_Simple!AQ14)</f>
        <v>497.09023286209873</v>
      </c>
      <c r="AK12">
        <f>IF($C$3="CGE",INDEX(GDP_CGE!$A$3:$AN$24,MATCH($A12,GDP_CGE!$A$3:$A$24,0),MATCH(AK$9,GDP_CGE!$A$3:$AN$3,0)),GDP_Simple!AR14)</f>
        <v>511.67996906850021</v>
      </c>
      <c r="AL12">
        <f>IF($C$3="CGE",INDEX(GDP_CGE!$A$3:$AN$24,MATCH($A12,GDP_CGE!$A$3:$A$24,0),MATCH(AL$9,GDP_CGE!$A$3:$AN$3,0)),GDP_Simple!AS14)</f>
        <v>525.77604326701203</v>
      </c>
      <c r="AM12">
        <f>IF($C$3="CGE",INDEX(GDP_CGE!$A$3:$AN$24,MATCH($A12,GDP_CGE!$A$3:$A$24,0),MATCH(AM$9,GDP_CGE!$A$3:$AN$3,0)),GDP_Simple!AT14)</f>
        <v>539.31317359320883</v>
      </c>
      <c r="AN12">
        <f>IF($C$3="CGE",INDEX(GDP_CGE!$A$3:$AN$24,MATCH($A12,GDP_CGE!$A$3:$A$24,0),MATCH(AN$9,GDP_CGE!$A$3:$AN$3,0)),GDP_Simple!AU14)</f>
        <v>552.22718322713592</v>
      </c>
      <c r="AO12">
        <f>IF($C$3="CGE",INDEX(GDP_CGE!$A$3:$AN$24,MATCH($A12,GDP_CGE!$A$3:$A$24,0),MATCH(AO$9,GDP_CGE!$A$3:$AN$3,0)),GDP_Simple!AV14)</f>
        <v>564.45549532665075</v>
      </c>
      <c r="AP12">
        <f>IF($C$3="CGE",INDEX(GDP_CGE!$A$3:$AN$24,MATCH($A12,GDP_CGE!$A$3:$A$24,0),MATCH(AP$9,GDP_CGE!$A$3:$AN$3,0)),GDP_Simple!AW14)</f>
        <v>575.93762807409212</v>
      </c>
      <c r="AQ12">
        <f>IF($C$3="CGE",INDEX(GDP_CGE!$A$3:$AN$24,MATCH($A12,GDP_CGE!$A$3:$A$24,0),MATCH(AQ$9,GDP_CGE!$A$3:$AN$3,0)),GDP_Simple!AX14)</f>
        <v>586.61568448815979</v>
      </c>
      <c r="AR12">
        <f>IF($C$3="CGE",INDEX(GDP_CGE!$A$3:$AN$24,MATCH($A12,GDP_CGE!$A$3:$A$24,0),MATCH(AR$9,GDP_CGE!$A$3:$AN$3,0)),GDP_Simple!AY14)</f>
        <v>596.4348315619377</v>
      </c>
      <c r="AS12">
        <f>IF($C$3="CGE",INDEX(GDP_CGE!$A$3:$AN$24,MATCH($A12,GDP_CGE!$A$3:$A$24,0),MATCH(AS$9,GDP_CGE!$A$3:$AN$3,0)),GDP_Simple!AZ14)</f>
        <v>605.34376327277187</v>
      </c>
      <c r="AT12">
        <f>IF($C$3="CGE",INDEX(GDP_CGE!$A$3:$AN$24,MATCH($A12,GDP_CGE!$A$3:$A$24,0),MATCH(AT$9,GDP_CGE!$A$3:$AN$3,0)),GDP_Simple!BA14)</f>
        <v>613.29514207268119</v>
      </c>
      <c r="AU12">
        <f>IF($C$3="CGE",INDEX(GDP_CGE!$A$3:$AN$24,MATCH($A12,GDP_CGE!$A$3:$A$24,0),MATCH(AU$9,GDP_CGE!$A$3:$AN$3,0)),GDP_Simple!BB14)</f>
        <v>620.24601361028249</v>
      </c>
      <c r="AV12">
        <f>IF($C$3="CGE",INDEX(GDP_CGE!$A$3:$AN$24,MATCH($A12,GDP_CGE!$A$3:$A$24,0),MATCH(AV$9,GDP_CGE!$A$3:$AN$3,0)),GDP_Simple!BC14)</f>
        <v>626.15818965657195</v>
      </c>
      <c r="AW12">
        <f>IF($C$3="CGE",INDEX(GDP_CGE!$A$3:$AN$24,MATCH($A12,GDP_CGE!$A$3:$A$24,0),MATCH(AW$9,GDP_CGE!$A$3:$AN$3,0)),GDP_Simple!BD14)</f>
        <v>630.99859450563179</v>
      </c>
      <c r="AX12">
        <f>IF($C$3="CGE",INDEX(GDP_CGE!$A$3:$AN$24,MATCH($A12,GDP_CGE!$A$3:$A$24,0),MATCH(AX$9,GDP_CGE!$A$3:$AN$3,0)),GDP_Simple!BE14)</f>
        <v>634.73957049430101</v>
      </c>
      <c r="AY12">
        <f>IF($C$3="CGE",INDEX(GDP_CGE!$A$3:$AN$24,MATCH($A12,GDP_CGE!$A$3:$A$24,0),MATCH(AY$9,GDP_CGE!$A$3:$AN$3,0)),GDP_Simple!BF14)</f>
        <v>637.35913872750837</v>
      </c>
      <c r="AZ12">
        <f>IF($C$3="CGE",INDEX(GDP_CGE!$A$3:$AN$24,MATCH($A12,GDP_CGE!$A$3:$A$24,0),MATCH(AZ$9,GDP_CGE!$A$3:$AN$3,0)),GDP_Simple!BG14)</f>
        <v>638.84121160244638</v>
      </c>
      <c r="BA12">
        <f>IF($C$3="CGE",INDEX(GDP_CGE!$A$3:$AN$24,MATCH($A12,GDP_CGE!$A$3:$A$24,0),MATCH(BA$9,GDP_CGE!$A$3:$AN$3,0)),GDP_Simple!BH14)</f>
        <v>639.17575428790974</v>
      </c>
    </row>
    <row r="13" spans="1:53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153.32655627042456</v>
      </c>
      <c r="G13">
        <f>IF($C$3="CGE",INDEX(GDP_CGE!$A$3:$AN$24,MATCH($A13,GDP_CGE!$A$3:$A$24,0),MATCH(G$9,GDP_CGE!$A$3:$AN$3,0)),GDP_Simple!N15)</f>
        <v>154.89162019025139</v>
      </c>
      <c r="H13">
        <f>IF($C$3="CGE",INDEX(GDP_CGE!$A$3:$AN$24,MATCH($A13,GDP_CGE!$A$3:$A$24,0),MATCH(H$9,GDP_CGE!$A$3:$AN$3,0)),GDP_Simple!O15)</f>
        <v>156.56135961246716</v>
      </c>
      <c r="I13">
        <f>IF($C$3="CGE",INDEX(GDP_CGE!$A$3:$AN$24,MATCH($A13,GDP_CGE!$A$3:$A$24,0),MATCH(I$9,GDP_CGE!$A$3:$AN$3,0)),GDP_Simple!P15)</f>
        <v>159.0292585636183</v>
      </c>
      <c r="J13">
        <f>IF($C$3="CGE",INDEX(GDP_CGE!$A$3:$AN$24,MATCH($A13,GDP_CGE!$A$3:$A$24,0),MATCH(J$9,GDP_CGE!$A$3:$AN$3,0)),GDP_Simple!Q15)</f>
        <v>161.81927303587736</v>
      </c>
      <c r="K13">
        <f>IF($C$3="CGE",INDEX(GDP_CGE!$A$3:$AN$24,MATCH($A13,GDP_CGE!$A$3:$A$24,0),MATCH(K$9,GDP_CGE!$A$3:$AN$3,0)),GDP_Simple!R15)</f>
        <v>164.87448014005415</v>
      </c>
      <c r="L13">
        <f>IF($C$3="CGE",INDEX(GDP_CGE!$A$3:$AN$24,MATCH($A13,GDP_CGE!$A$3:$A$24,0),MATCH(L$9,GDP_CGE!$A$3:$AN$3,0)),GDP_Simple!S15)</f>
        <v>168.72421730058949</v>
      </c>
      <c r="M13">
        <f>IF($C$3="CGE",INDEX(GDP_CGE!$A$3:$AN$24,MATCH($A13,GDP_CGE!$A$3:$A$24,0),MATCH(M$9,GDP_CGE!$A$3:$AN$3,0)),GDP_Simple!T15)</f>
        <v>173.40896507001955</v>
      </c>
      <c r="N13">
        <f>IF($C$3="CGE",INDEX(GDP_CGE!$A$3:$AN$24,MATCH($A13,GDP_CGE!$A$3:$A$24,0),MATCH(N$9,GDP_CGE!$A$3:$AN$3,0)),GDP_Simple!U15)</f>
        <v>178.95541697933879</v>
      </c>
      <c r="O13">
        <f>IF($C$3="CGE",INDEX(GDP_CGE!$A$3:$AN$24,MATCH($A13,GDP_CGE!$A$3:$A$24,0),MATCH(O$9,GDP_CGE!$A$3:$AN$3,0)),GDP_Simple!V15)</f>
        <v>184.75085539349249</v>
      </c>
      <c r="P13">
        <f>IF($C$3="CGE",INDEX(GDP_CGE!$A$3:$AN$24,MATCH($A13,GDP_CGE!$A$3:$A$24,0),MATCH(P$9,GDP_CGE!$A$3:$AN$3,0)),GDP_Simple!W15)</f>
        <v>191.05600864487914</v>
      </c>
      <c r="Q13">
        <f>IF($C$3="CGE",INDEX(GDP_CGE!$A$3:$AN$24,MATCH($A13,GDP_CGE!$A$3:$A$24,0),MATCH(Q$9,GDP_CGE!$A$3:$AN$3,0)),GDP_Simple!X15)</f>
        <v>198.12309082173635</v>
      </c>
      <c r="R13">
        <f>IF($C$3="CGE",INDEX(GDP_CGE!$A$3:$AN$24,MATCH($A13,GDP_CGE!$A$3:$A$24,0),MATCH(R$9,GDP_CGE!$A$3:$AN$3,0)),GDP_Simple!Y15)</f>
        <v>205.79924561662574</v>
      </c>
      <c r="S13">
        <f>IF($C$3="CGE",INDEX(GDP_CGE!$A$3:$AN$24,MATCH($A13,GDP_CGE!$A$3:$A$24,0),MATCH(S$9,GDP_CGE!$A$3:$AN$3,0)),GDP_Simple!Z15)</f>
        <v>213.91826391923422</v>
      </c>
      <c r="T13">
        <f>IF($C$3="CGE",INDEX(GDP_CGE!$A$3:$AN$24,MATCH($A13,GDP_CGE!$A$3:$A$24,0),MATCH(T$9,GDP_CGE!$A$3:$AN$3,0)),GDP_Simple!AA15)</f>
        <v>222.43078325058318</v>
      </c>
      <c r="U13">
        <f>IF($C$3="CGE",INDEX(GDP_CGE!$A$3:$AN$24,MATCH($A13,GDP_CGE!$A$3:$A$24,0),MATCH(U$9,GDP_CGE!$A$3:$AN$3,0)),GDP_Simple!AB15)</f>
        <v>231.45082025356473</v>
      </c>
      <c r="V13">
        <f>IF($C$3="CGE",INDEX(GDP_CGE!$A$3:$AN$24,MATCH($A13,GDP_CGE!$A$3:$A$24,0),MATCH(V$9,GDP_CGE!$A$3:$AN$3,0)),GDP_Simple!AC15)</f>
        <v>240.60602473379652</v>
      </c>
      <c r="W13">
        <f>IF($C$3="CGE",INDEX(GDP_CGE!$A$3:$AN$24,MATCH($A13,GDP_CGE!$A$3:$A$24,0),MATCH(W$9,GDP_CGE!$A$3:$AN$3,0)),GDP_Simple!AD15)</f>
        <v>249.79924851910897</v>
      </c>
      <c r="X13">
        <f>IF($C$3="CGE",INDEX(GDP_CGE!$A$3:$AN$24,MATCH($A13,GDP_CGE!$A$3:$A$24,0),MATCH(X$9,GDP_CGE!$A$3:$AN$3,0)),GDP_Simple!AE15)</f>
        <v>259.28271052626644</v>
      </c>
      <c r="Y13">
        <f>IF($C$3="CGE",INDEX(GDP_CGE!$A$3:$AN$24,MATCH($A13,GDP_CGE!$A$3:$A$24,0),MATCH(Y$9,GDP_CGE!$A$3:$AN$3,0)),GDP_Simple!AF15)</f>
        <v>268.62814668587379</v>
      </c>
      <c r="Z13">
        <f>IF($C$3="CGE",INDEX(GDP_CGE!$A$3:$AN$24,MATCH($A13,GDP_CGE!$A$3:$A$24,0),MATCH(Z$9,GDP_CGE!$A$3:$AN$3,0)),GDP_Simple!AG15)</f>
        <v>278.32250635499526</v>
      </c>
      <c r="AA13">
        <f>IF($C$3="CGE",INDEX(GDP_CGE!$A$3:$AN$24,MATCH($A13,GDP_CGE!$A$3:$A$24,0),MATCH(AA$9,GDP_CGE!$A$3:$AN$3,0)),GDP_Simple!AH15)</f>
        <v>288.48705670492302</v>
      </c>
      <c r="AB13">
        <f>IF($C$3="CGE",INDEX(GDP_CGE!$A$3:$AN$24,MATCH($A13,GDP_CGE!$A$3:$A$24,0),MATCH(AB$9,GDP_CGE!$A$3:$AN$3,0)),GDP_Simple!AI15)</f>
        <v>299.16098922830128</v>
      </c>
      <c r="AC13">
        <f>IF($C$3="CGE",INDEX(GDP_CGE!$A$3:$AN$24,MATCH($A13,GDP_CGE!$A$3:$A$24,0),MATCH(AC$9,GDP_CGE!$A$3:$AN$3,0)),GDP_Simple!AJ15)</f>
        <v>310.37355014965215</v>
      </c>
      <c r="AD13">
        <f>IF($C$3="CGE",INDEX(GDP_CGE!$A$3:$AN$24,MATCH($A13,GDP_CGE!$A$3:$A$24,0),MATCH(AD$9,GDP_CGE!$A$3:$AN$3,0)),GDP_Simple!AK15)</f>
        <v>321.39583353365316</v>
      </c>
      <c r="AE13">
        <f>IF($C$3="CGE",INDEX(GDP_CGE!$A$3:$AN$24,MATCH($A13,GDP_CGE!$A$3:$A$24,0),MATCH(AE$9,GDP_CGE!$A$3:$AN$3,0)),GDP_Simple!AL15)</f>
        <v>332.96622859009818</v>
      </c>
      <c r="AF13">
        <f>IF($C$3="CGE",INDEX(GDP_CGE!$A$3:$AN$24,MATCH($A13,GDP_CGE!$A$3:$A$24,0),MATCH(AF$9,GDP_CGE!$A$3:$AN$3,0)),GDP_Simple!AM15)</f>
        <v>345.36853463611919</v>
      </c>
      <c r="AG13">
        <f>IF($C$3="CGE",INDEX(GDP_CGE!$A$3:$AN$24,MATCH($A13,GDP_CGE!$A$3:$A$24,0),MATCH(AG$9,GDP_CGE!$A$3:$AN$3,0)),GDP_Simple!AN15)</f>
        <v>358.50603229683588</v>
      </c>
      <c r="AH13">
        <f>IF($C$3="CGE",INDEX(GDP_CGE!$A$3:$AN$24,MATCH($A13,GDP_CGE!$A$3:$A$24,0),MATCH(AH$9,GDP_CGE!$A$3:$AN$3,0)),GDP_Simple!AO15)</f>
        <v>371.45300834958601</v>
      </c>
      <c r="AI13">
        <f>IF($C$3="CGE",INDEX(GDP_CGE!$A$3:$AN$24,MATCH($A13,GDP_CGE!$A$3:$A$24,0),MATCH(AI$9,GDP_CGE!$A$3:$AN$3,0)),GDP_Simple!AP15)</f>
        <v>384.15634190330559</v>
      </c>
      <c r="AJ13">
        <f>IF($C$3="CGE",INDEX(GDP_CGE!$A$3:$AN$24,MATCH($A13,GDP_CGE!$A$3:$A$24,0),MATCH(AJ$9,GDP_CGE!$A$3:$AN$3,0)),GDP_Simple!AQ15)</f>
        <v>396.56230596020259</v>
      </c>
      <c r="AK13">
        <f>IF($C$3="CGE",INDEX(GDP_CGE!$A$3:$AN$24,MATCH($A13,GDP_CGE!$A$3:$A$24,0),MATCH(AK$9,GDP_CGE!$A$3:$AN$3,0)),GDP_Simple!AR15)</f>
        <v>408.616904653912</v>
      </c>
      <c r="AL13">
        <f>IF($C$3="CGE",INDEX(GDP_CGE!$A$3:$AN$24,MATCH($A13,GDP_CGE!$A$3:$A$24,0),MATCH(AL$9,GDP_CGE!$A$3:$AN$3,0)),GDP_Simple!AS15)</f>
        <v>420.26625317254434</v>
      </c>
      <c r="AM13">
        <f>IF($C$3="CGE",INDEX(GDP_CGE!$A$3:$AN$24,MATCH($A13,GDP_CGE!$A$3:$A$24,0),MATCH(AM$9,GDP_CGE!$A$3:$AN$3,0)),GDP_Simple!AT15)</f>
        <v>431.45696988360572</v>
      </c>
      <c r="AN13">
        <f>IF($C$3="CGE",INDEX(GDP_CGE!$A$3:$AN$24,MATCH($A13,GDP_CGE!$A$3:$A$24,0),MATCH(AN$9,GDP_CGE!$A$3:$AN$3,0)),GDP_Simple!AU15)</f>
        <v>442.1365768460326</v>
      </c>
      <c r="AO13">
        <f>IF($C$3="CGE",INDEX(GDP_CGE!$A$3:$AN$24,MATCH($A13,GDP_CGE!$A$3:$A$24,0),MATCH(AO$9,GDP_CGE!$A$3:$AN$3,0)),GDP_Simple!AV15)</f>
        <v>452.2539046562319</v>
      </c>
      <c r="AP13">
        <f>IF($C$3="CGE",INDEX(GDP_CGE!$A$3:$AN$24,MATCH($A13,GDP_CGE!$A$3:$A$24,0),MATCH(AP$9,GDP_CGE!$A$3:$AN$3,0)),GDP_Simple!AW15)</f>
        <v>461.75949738679077</v>
      </c>
      <c r="AQ13">
        <f>IF($C$3="CGE",INDEX(GDP_CGE!$A$3:$AN$24,MATCH($A13,GDP_CGE!$A$3:$A$24,0),MATCH(AQ$9,GDP_CGE!$A$3:$AN$3,0)),GDP_Simple!AX15)</f>
        <v>470.60601324322437</v>
      </c>
      <c r="AR13">
        <f>IF($C$3="CGE",INDEX(GDP_CGE!$A$3:$AN$24,MATCH($A13,GDP_CGE!$A$3:$A$24,0),MATCH(AR$9,GDP_CGE!$A$3:$AN$3,0)),GDP_Simple!AY15)</f>
        <v>478.7486164897378</v>
      </c>
      <c r="AS13">
        <f>IF($C$3="CGE",INDEX(GDP_CGE!$A$3:$AN$24,MATCH($A13,GDP_CGE!$A$3:$A$24,0),MATCH(AS$9,GDP_CGE!$A$3:$AN$3,0)),GDP_Simple!AZ15)</f>
        <v>486.14535618252467</v>
      </c>
      <c r="AT13">
        <f>IF($C$3="CGE",INDEX(GDP_CGE!$A$3:$AN$24,MATCH($A13,GDP_CGE!$A$3:$A$24,0),MATCH(AT$9,GDP_CGE!$A$3:$AN$3,0)),GDP_Simple!BA15)</f>
        <v>492.75752730063232</v>
      </c>
      <c r="AU13">
        <f>IF($C$3="CGE",INDEX(GDP_CGE!$A$3:$AN$24,MATCH($A13,GDP_CGE!$A$3:$A$24,0),MATCH(AU$9,GDP_CGE!$A$3:$AN$3,0)),GDP_Simple!BB15)</f>
        <v>498.55000998082255</v>
      </c>
      <c r="AV13">
        <f>IF($C$3="CGE",INDEX(GDP_CGE!$A$3:$AN$24,MATCH($A13,GDP_CGE!$A$3:$A$24,0),MATCH(AV$9,GDP_CGE!$A$3:$AN$3,0)),GDP_Simple!BC15)</f>
        <v>503.49158274392465</v>
      </c>
      <c r="AW13">
        <f>IF($C$3="CGE",INDEX(GDP_CGE!$A$3:$AN$24,MATCH($A13,GDP_CGE!$A$3:$A$24,0),MATCH(AW$9,GDP_CGE!$A$3:$AN$3,0)),GDP_Simple!BD15)</f>
        <v>507.55520584453268</v>
      </c>
      <c r="AX13">
        <f>IF($C$3="CGE",INDEX(GDP_CGE!$A$3:$AN$24,MATCH($A13,GDP_CGE!$A$3:$A$24,0),MATCH(AX$9,GDP_CGE!$A$3:$AN$3,0)),GDP_Simple!BE15)</f>
        <v>510.71827118097099</v>
      </c>
      <c r="AY13">
        <f>IF($C$3="CGE",INDEX(GDP_CGE!$A$3:$AN$24,MATCH($A13,GDP_CGE!$A$3:$A$24,0),MATCH(AY$9,GDP_CGE!$A$3:$AN$3,0)),GDP_Simple!BF15)</f>
        <v>512.96281556454733</v>
      </c>
      <c r="AZ13">
        <f>IF($C$3="CGE",INDEX(GDP_CGE!$A$3:$AN$24,MATCH($A13,GDP_CGE!$A$3:$A$24,0),MATCH(AZ$9,GDP_CGE!$A$3:$AN$3,0)),GDP_Simple!BG15)</f>
        <v>514.27569456139031</v>
      </c>
      <c r="BA13">
        <f>IF($C$3="CGE",INDEX(GDP_CGE!$A$3:$AN$24,MATCH($A13,GDP_CGE!$A$3:$A$24,0),MATCH(BA$9,GDP_CGE!$A$3:$AN$3,0)),GDP_Simple!BH15)</f>
        <v>514.64871458081916</v>
      </c>
    </row>
    <row r="14" spans="1:53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362.34806556899423</v>
      </c>
      <c r="G14">
        <f>IF($C$3="CGE",INDEX(GDP_CGE!$A$3:$AN$24,MATCH($A14,GDP_CGE!$A$3:$A$24,0),MATCH(G$9,GDP_CGE!$A$3:$AN$3,0)),GDP_Simple!N16)</f>
        <v>366.04669350165892</v>
      </c>
      <c r="H14">
        <f>IF($C$3="CGE",INDEX(GDP_CGE!$A$3:$AN$24,MATCH($A14,GDP_CGE!$A$3:$A$24,0),MATCH(H$9,GDP_CGE!$A$3:$AN$3,0)),GDP_Simple!O16)</f>
        <v>369.99269518826225</v>
      </c>
      <c r="I14">
        <f>IF($C$3="CGE",INDEX(GDP_CGE!$A$3:$AN$24,MATCH($A14,GDP_CGE!$A$3:$A$24,0),MATCH(I$9,GDP_CGE!$A$3:$AN$3,0)),GDP_Simple!P16)</f>
        <v>375.82494260006865</v>
      </c>
      <c r="J14">
        <f>IF($C$3="CGE",INDEX(GDP_CGE!$A$3:$AN$24,MATCH($A14,GDP_CGE!$A$3:$A$24,0),MATCH(J$9,GDP_CGE!$A$3:$AN$3,0)),GDP_Simple!Q16)</f>
        <v>382.41842758742808</v>
      </c>
      <c r="K14">
        <f>IF($C$3="CGE",INDEX(GDP_CGE!$A$3:$AN$24,MATCH($A14,GDP_CGE!$A$3:$A$24,0),MATCH(K$9,GDP_CGE!$A$3:$AN$3,0)),GDP_Simple!R16)</f>
        <v>389.63862747347122</v>
      </c>
      <c r="L14">
        <f>IF($C$3="CGE",INDEX(GDP_CGE!$A$3:$AN$24,MATCH($A14,GDP_CGE!$A$3:$A$24,0),MATCH(L$9,GDP_CGE!$A$3:$AN$3,0)),GDP_Simple!S16)</f>
        <v>398.73649575539338</v>
      </c>
      <c r="M14">
        <f>IF($C$3="CGE",INDEX(GDP_CGE!$A$3:$AN$24,MATCH($A14,GDP_CGE!$A$3:$A$24,0),MATCH(M$9,GDP_CGE!$A$3:$AN$3,0)),GDP_Simple!T16)</f>
        <v>409.80769785646794</v>
      </c>
      <c r="N14">
        <f>IF($C$3="CGE",INDEX(GDP_CGE!$A$3:$AN$24,MATCH($A14,GDP_CGE!$A$3:$A$24,0),MATCH(N$9,GDP_CGE!$A$3:$AN$3,0)),GDP_Simple!U16)</f>
        <v>422.91531710390387</v>
      </c>
      <c r="O14">
        <f>IF($C$3="CGE",INDEX(GDP_CGE!$A$3:$AN$24,MATCH($A14,GDP_CGE!$A$3:$A$24,0),MATCH(O$9,GDP_CGE!$A$3:$AN$3,0)),GDP_Simple!V16)</f>
        <v>436.61135221728028</v>
      </c>
      <c r="P14">
        <f>IF($C$3="CGE",INDEX(GDP_CGE!$A$3:$AN$24,MATCH($A14,GDP_CGE!$A$3:$A$24,0),MATCH(P$9,GDP_CGE!$A$3:$AN$3,0)),GDP_Simple!W16)</f>
        <v>451.51196786618669</v>
      </c>
      <c r="Q14">
        <f>IF($C$3="CGE",INDEX(GDP_CGE!$A$3:$AN$24,MATCH($A14,GDP_CGE!$A$3:$A$24,0),MATCH(Q$9,GDP_CGE!$A$3:$AN$3,0)),GDP_Simple!X16)</f>
        <v>468.21320748370539</v>
      </c>
      <c r="R14">
        <f>IF($C$3="CGE",INDEX(GDP_CGE!$A$3:$AN$24,MATCH($A14,GDP_CGE!$A$3:$A$24,0),MATCH(R$9,GDP_CGE!$A$3:$AN$3,0)),GDP_Simple!Y16)</f>
        <v>486.35383431700268</v>
      </c>
      <c r="S14">
        <f>IF($C$3="CGE",INDEX(GDP_CGE!$A$3:$AN$24,MATCH($A14,GDP_CGE!$A$3:$A$24,0),MATCH(S$9,GDP_CGE!$A$3:$AN$3,0)),GDP_Simple!Z16)</f>
        <v>505.541055681844</v>
      </c>
      <c r="T14">
        <f>IF($C$3="CGE",INDEX(GDP_CGE!$A$3:$AN$24,MATCH($A14,GDP_CGE!$A$3:$A$24,0),MATCH(T$9,GDP_CGE!$A$3:$AN$3,0)),GDP_Simple!AA16)</f>
        <v>525.65821599550031</v>
      </c>
      <c r="U14">
        <f>IF($C$3="CGE",INDEX(GDP_CGE!$A$3:$AN$24,MATCH($A14,GDP_CGE!$A$3:$A$24,0),MATCH(U$9,GDP_CGE!$A$3:$AN$3,0)),GDP_Simple!AB16)</f>
        <v>546.97476440624382</v>
      </c>
      <c r="V14">
        <f>IF($C$3="CGE",INDEX(GDP_CGE!$A$3:$AN$24,MATCH($A14,GDP_CGE!$A$3:$A$24,0),MATCH(V$9,GDP_CGE!$A$3:$AN$3,0)),GDP_Simple!AC16)</f>
        <v>568.61074654784807</v>
      </c>
      <c r="W14">
        <f>IF($C$3="CGE",INDEX(GDP_CGE!$A$3:$AN$24,MATCH($A14,GDP_CGE!$A$3:$A$24,0),MATCH(W$9,GDP_CGE!$A$3:$AN$3,0)),GDP_Simple!AD16)</f>
        <v>590.33657758442098</v>
      </c>
      <c r="X14">
        <f>IF($C$3="CGE",INDEX(GDP_CGE!$A$3:$AN$24,MATCH($A14,GDP_CGE!$A$3:$A$24,0),MATCH(X$9,GDP_CGE!$A$3:$AN$3,0)),GDP_Simple!AE16)</f>
        <v>612.74831236003206</v>
      </c>
      <c r="Y14">
        <f>IF($C$3="CGE",INDEX(GDP_CGE!$A$3:$AN$24,MATCH($A14,GDP_CGE!$A$3:$A$24,0),MATCH(Y$9,GDP_CGE!$A$3:$AN$3,0)),GDP_Simple!AF16)</f>
        <v>634.83385837829496</v>
      </c>
      <c r="Z14">
        <f>IF($C$3="CGE",INDEX(GDP_CGE!$A$3:$AN$24,MATCH($A14,GDP_CGE!$A$3:$A$24,0),MATCH(Z$9,GDP_CGE!$A$3:$AN$3,0)),GDP_Simple!AG16)</f>
        <v>657.74399579011276</v>
      </c>
      <c r="AA14">
        <f>IF($C$3="CGE",INDEX(GDP_CGE!$A$3:$AN$24,MATCH($A14,GDP_CGE!$A$3:$A$24,0),MATCH(AA$9,GDP_CGE!$A$3:$AN$3,0)),GDP_Simple!AH16)</f>
        <v>681.76530851156349</v>
      </c>
      <c r="AB14">
        <f>IF($C$3="CGE",INDEX(GDP_CGE!$A$3:$AN$24,MATCH($A14,GDP_CGE!$A$3:$A$24,0),MATCH(AB$9,GDP_CGE!$A$3:$AN$3,0)),GDP_Simple!AI16)</f>
        <v>706.99041560285298</v>
      </c>
      <c r="AC14">
        <f>IF($C$3="CGE",INDEX(GDP_CGE!$A$3:$AN$24,MATCH($A14,GDP_CGE!$A$3:$A$24,0),MATCH(AC$9,GDP_CGE!$A$3:$AN$3,0)),GDP_Simple!AJ16)</f>
        <v>733.48843302887724</v>
      </c>
      <c r="AD14">
        <f>IF($C$3="CGE",INDEX(GDP_CGE!$A$3:$AN$24,MATCH($A14,GDP_CGE!$A$3:$A$24,0),MATCH(AD$9,GDP_CGE!$A$3:$AN$3,0)),GDP_Simple!AK16)</f>
        <v>759.53677820465953</v>
      </c>
      <c r="AE14">
        <f>IF($C$3="CGE",INDEX(GDP_CGE!$A$3:$AN$24,MATCH($A14,GDP_CGE!$A$3:$A$24,0),MATCH(AE$9,GDP_CGE!$A$3:$AN$3,0)),GDP_Simple!AL16)</f>
        <v>786.88044500675937</v>
      </c>
      <c r="AF14">
        <f>IF($C$3="CGE",INDEX(GDP_CGE!$A$3:$AN$24,MATCH($A14,GDP_CGE!$A$3:$A$24,0),MATCH(AF$9,GDP_CGE!$A$3:$AN$3,0)),GDP_Simple!AM16)</f>
        <v>816.19012047122555</v>
      </c>
      <c r="AG14">
        <f>IF($C$3="CGE",INDEX(GDP_CGE!$A$3:$AN$24,MATCH($A14,GDP_CGE!$A$3:$A$24,0),MATCH(AG$9,GDP_CGE!$A$3:$AN$3,0)),GDP_Simple!AN16)</f>
        <v>847.23723311479125</v>
      </c>
      <c r="AH14">
        <f>IF($C$3="CGE",INDEX(GDP_CGE!$A$3:$AN$24,MATCH($A14,GDP_CGE!$A$3:$A$24,0),MATCH(AH$9,GDP_CGE!$A$3:$AN$3,0)),GDP_Simple!AO16)</f>
        <v>877.83409670969229</v>
      </c>
      <c r="AI14">
        <f>IF($C$3="CGE",INDEX(GDP_CGE!$A$3:$AN$24,MATCH($A14,GDP_CGE!$A$3:$A$24,0),MATCH(AI$9,GDP_CGE!$A$3:$AN$3,0)),GDP_Simple!AP16)</f>
        <v>907.85517362835446</v>
      </c>
      <c r="AJ14">
        <f>IF($C$3="CGE",INDEX(GDP_CGE!$A$3:$AN$24,MATCH($A14,GDP_CGE!$A$3:$A$24,0),MATCH(AJ$9,GDP_CGE!$A$3:$AN$3,0)),GDP_Simple!AQ16)</f>
        <v>937.17349386510909</v>
      </c>
      <c r="AK14">
        <f>IF($C$3="CGE",INDEX(GDP_CGE!$A$3:$AN$24,MATCH($A14,GDP_CGE!$A$3:$A$24,0),MATCH(AK$9,GDP_CGE!$A$3:$AN$3,0)),GDP_Simple!AR16)</f>
        <v>965.66145201224367</v>
      </c>
      <c r="AL14">
        <f>IF($C$3="CGE",INDEX(GDP_CGE!$A$3:$AN$24,MATCH($A14,GDP_CGE!$A$3:$A$24,0),MATCH(AL$9,GDP_CGE!$A$3:$AN$3,0)),GDP_Simple!AS16)</f>
        <v>993.19170511086941</v>
      </c>
      <c r="AM14">
        <f>IF($C$3="CGE",INDEX(GDP_CGE!$A$3:$AN$24,MATCH($A14,GDP_CGE!$A$3:$A$24,0),MATCH(AM$9,GDP_CGE!$A$3:$AN$3,0)),GDP_Simple!AT16)</f>
        <v>1019.6380993377895</v>
      </c>
      <c r="AN14">
        <f>IF($C$3="CGE",INDEX(GDP_CGE!$A$3:$AN$24,MATCH($A14,GDP_CGE!$A$3:$A$24,0),MATCH(AN$9,GDP_CGE!$A$3:$AN$3,0)),GDP_Simple!AU16)</f>
        <v>1044.8766165131667</v>
      </c>
      <c r="AO14">
        <f>IF($C$3="CGE",INDEX(GDP_CGE!$A$3:$AN$24,MATCH($A14,GDP_CGE!$A$3:$A$24,0),MATCH(AO$9,GDP_CGE!$A$3:$AN$3,0)),GDP_Simple!AV16)</f>
        <v>1068.7863308505011</v>
      </c>
      <c r="AP14">
        <f>IF($C$3="CGE",INDEX(GDP_CGE!$A$3:$AN$24,MATCH($A14,GDP_CGE!$A$3:$A$24,0),MATCH(AP$9,GDP_CGE!$A$3:$AN$3,0)),GDP_Simple!AW16)</f>
        <v>1091.2503659256115</v>
      </c>
      <c r="AQ14">
        <f>IF($C$3="CGE",INDEX(GDP_CGE!$A$3:$AN$24,MATCH($A14,GDP_CGE!$A$3:$A$24,0),MATCH(AQ$9,GDP_CGE!$A$3:$AN$3,0)),GDP_Simple!AX16)</f>
        <v>1112.156841526293</v>
      </c>
      <c r="AR14">
        <f>IF($C$3="CGE",INDEX(GDP_CGE!$A$3:$AN$24,MATCH($A14,GDP_CGE!$A$3:$A$24,0),MATCH(AR$9,GDP_CGE!$A$3:$AN$3,0)),GDP_Simple!AY16)</f>
        <v>1131.399799868527</v>
      </c>
      <c r="AS14">
        <f>IF($C$3="CGE",INDEX(GDP_CGE!$A$3:$AN$24,MATCH($A14,GDP_CGE!$A$3:$A$24,0),MATCH(AS$9,GDP_CGE!$A$3:$AN$3,0)),GDP_Simple!AZ16)</f>
        <v>1148.8801006356791</v>
      </c>
      <c r="AT14">
        <f>IF($C$3="CGE",INDEX(GDP_CGE!$A$3:$AN$24,MATCH($A14,GDP_CGE!$A$3:$A$24,0),MATCH(AT$9,GDP_CGE!$A$3:$AN$3,0)),GDP_Simple!BA16)</f>
        <v>1164.5062744188547</v>
      </c>
      <c r="AU14">
        <f>IF($C$3="CGE",INDEX(GDP_CGE!$A$3:$AN$24,MATCH($A14,GDP_CGE!$A$3:$A$24,0),MATCH(AU$9,GDP_CGE!$A$3:$AN$3,0)),GDP_Simple!BB16)</f>
        <v>1178.1953244116489</v>
      </c>
      <c r="AV14">
        <f>IF($C$3="CGE",INDEX(GDP_CGE!$A$3:$AN$24,MATCH($A14,GDP_CGE!$A$3:$A$24,0),MATCH(AV$9,GDP_CGE!$A$3:$AN$3,0)),GDP_Simple!BC16)</f>
        <v>1189.8734666404512</v>
      </c>
      <c r="AW14">
        <f>IF($C$3="CGE",INDEX(GDP_CGE!$A$3:$AN$24,MATCH($A14,GDP_CGE!$A$3:$A$24,0),MATCH(AW$9,GDP_CGE!$A$3:$AN$3,0)),GDP_Simple!BD16)</f>
        <v>1199.4767995889185</v>
      </c>
      <c r="AX14">
        <f>IF($C$3="CGE",INDEX(GDP_CGE!$A$3:$AN$24,MATCH($A14,GDP_CGE!$A$3:$A$24,0),MATCH(AX$9,GDP_CGE!$A$3:$AN$3,0)),GDP_Simple!BE16)</f>
        <v>1206.9518947962049</v>
      </c>
      <c r="AY14">
        <f>IF($C$3="CGE",INDEX(GDP_CGE!$A$3:$AN$24,MATCH($A14,GDP_CGE!$A$3:$A$24,0),MATCH(AY$9,GDP_CGE!$A$3:$AN$3,0)),GDP_Simple!BF16)</f>
        <v>1212.2563008642458</v>
      </c>
      <c r="AZ14">
        <f>IF($C$3="CGE",INDEX(GDP_CGE!$A$3:$AN$24,MATCH($A14,GDP_CGE!$A$3:$A$24,0),MATCH(AZ$9,GDP_CGE!$A$3:$AN$3,0)),GDP_Simple!BG16)</f>
        <v>1215.358954288439</v>
      </c>
      <c r="BA14">
        <f>IF($C$3="CGE",INDEX(GDP_CGE!$A$3:$AN$24,MATCH($A14,GDP_CGE!$A$3:$A$24,0),MATCH(BA$9,GDP_CGE!$A$3:$AN$3,0)),GDP_Simple!BH16)</f>
        <v>1216.2404916146943</v>
      </c>
    </row>
    <row r="15" spans="1:53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23.733813109883421</v>
      </c>
      <c r="G15">
        <f>IF($C$3="CGE",INDEX(GDP_CGE!$A$3:$AN$24,MATCH($A15,GDP_CGE!$A$3:$A$24,0),MATCH(G$9,GDP_CGE!$A$3:$AN$3,0)),GDP_Simple!N17)</f>
        <v>23.976073390696605</v>
      </c>
      <c r="H15">
        <f>IF($C$3="CGE",INDEX(GDP_CGE!$A$3:$AN$24,MATCH($A15,GDP_CGE!$A$3:$A$24,0),MATCH(H$9,GDP_CGE!$A$3:$AN$3,0)),GDP_Simple!O17)</f>
        <v>24.234536662506997</v>
      </c>
      <c r="I15">
        <f>IF($C$3="CGE",INDEX(GDP_CGE!$A$3:$AN$24,MATCH($A15,GDP_CGE!$A$3:$A$24,0),MATCH(I$9,GDP_CGE!$A$3:$AN$3,0)),GDP_Simple!P17)</f>
        <v>24.616549106440015</v>
      </c>
      <c r="J15">
        <f>IF($C$3="CGE",INDEX(GDP_CGE!$A$3:$AN$24,MATCH($A15,GDP_CGE!$A$3:$A$24,0),MATCH(J$9,GDP_CGE!$A$3:$AN$3,0)),GDP_Simple!Q17)</f>
        <v>25.048422642696039</v>
      </c>
      <c r="K15">
        <f>IF($C$3="CGE",INDEX(GDP_CGE!$A$3:$AN$24,MATCH($A15,GDP_CGE!$A$3:$A$24,0),MATCH(K$9,GDP_CGE!$A$3:$AN$3,0)),GDP_Simple!R17)</f>
        <v>25.521346030439972</v>
      </c>
      <c r="L15">
        <f>IF($C$3="CGE",INDEX(GDP_CGE!$A$3:$AN$24,MATCH($A15,GDP_CGE!$A$3:$A$24,0),MATCH(L$9,GDP_CGE!$A$3:$AN$3,0)),GDP_Simple!S17)</f>
        <v>26.117256774885117</v>
      </c>
      <c r="M15">
        <f>IF($C$3="CGE",INDEX(GDP_CGE!$A$3:$AN$24,MATCH($A15,GDP_CGE!$A$3:$A$24,0),MATCH(M$9,GDP_CGE!$A$3:$AN$3,0)),GDP_Simple!T17)</f>
        <v>26.842420965167289</v>
      </c>
      <c r="N15">
        <f>IF($C$3="CGE",INDEX(GDP_CGE!$A$3:$AN$24,MATCH($A15,GDP_CGE!$A$3:$A$24,0),MATCH(N$9,GDP_CGE!$A$3:$AN$3,0)),GDP_Simple!U17)</f>
        <v>27.700970561797934</v>
      </c>
      <c r="O15">
        <f>IF($C$3="CGE",INDEX(GDP_CGE!$A$3:$AN$24,MATCH($A15,GDP_CGE!$A$3:$A$24,0),MATCH(O$9,GDP_CGE!$A$3:$AN$3,0)),GDP_Simple!V17)</f>
        <v>28.598061421705903</v>
      </c>
      <c r="P15">
        <f>IF($C$3="CGE",INDEX(GDP_CGE!$A$3:$AN$24,MATCH($A15,GDP_CGE!$A$3:$A$24,0),MATCH(P$9,GDP_CGE!$A$3:$AN$3,0)),GDP_Simple!W17)</f>
        <v>29.574052355942065</v>
      </c>
      <c r="Q15">
        <f>IF($C$3="CGE",INDEX(GDP_CGE!$A$3:$AN$24,MATCH($A15,GDP_CGE!$A$3:$A$24,0),MATCH(Q$9,GDP_CGE!$A$3:$AN$3,0)),GDP_Simple!X17)</f>
        <v>30.667984233743397</v>
      </c>
      <c r="R15">
        <f>IF($C$3="CGE",INDEX(GDP_CGE!$A$3:$AN$24,MATCH($A15,GDP_CGE!$A$3:$A$24,0),MATCH(R$9,GDP_CGE!$A$3:$AN$3,0)),GDP_Simple!Y17)</f>
        <v>31.856196033029612</v>
      </c>
      <c r="S15">
        <f>IF($C$3="CGE",INDEX(GDP_CGE!$A$3:$AN$24,MATCH($A15,GDP_CGE!$A$3:$A$24,0),MATCH(S$9,GDP_CGE!$A$3:$AN$3,0)),GDP_Simple!Z17)</f>
        <v>33.112959816923464</v>
      </c>
      <c r="T15">
        <f>IF($C$3="CGE",INDEX(GDP_CGE!$A$3:$AN$24,MATCH($A15,GDP_CGE!$A$3:$A$24,0),MATCH(T$9,GDP_CGE!$A$3:$AN$3,0)),GDP_Simple!AA17)</f>
        <v>34.430634639986565</v>
      </c>
      <c r="U15">
        <f>IF($C$3="CGE",INDEX(GDP_CGE!$A$3:$AN$24,MATCH($A15,GDP_CGE!$A$3:$A$24,0),MATCH(U$9,GDP_CGE!$A$3:$AN$3,0)),GDP_Simple!AB17)</f>
        <v>35.826869432447566</v>
      </c>
      <c r="V15">
        <f>IF($C$3="CGE",INDEX(GDP_CGE!$A$3:$AN$24,MATCH($A15,GDP_CGE!$A$3:$A$24,0),MATCH(V$9,GDP_CGE!$A$3:$AN$3,0)),GDP_Simple!AC17)</f>
        <v>37.244027147340439</v>
      </c>
      <c r="W15">
        <f>IF($C$3="CGE",INDEX(GDP_CGE!$A$3:$AN$24,MATCH($A15,GDP_CGE!$A$3:$A$24,0),MATCH(W$9,GDP_CGE!$A$3:$AN$3,0)),GDP_Simple!AD17)</f>
        <v>38.667069968527365</v>
      </c>
      <c r="X15">
        <f>IF($C$3="CGE",INDEX(GDP_CGE!$A$3:$AN$24,MATCH($A15,GDP_CGE!$A$3:$A$24,0),MATCH(X$9,GDP_CGE!$A$3:$AN$3,0)),GDP_Simple!AE17)</f>
        <v>40.135039512665436</v>
      </c>
      <c r="Y15">
        <f>IF($C$3="CGE",INDEX(GDP_CGE!$A$3:$AN$24,MATCH($A15,GDP_CGE!$A$3:$A$24,0),MATCH(Y$9,GDP_CGE!$A$3:$AN$3,0)),GDP_Simple!AF17)</f>
        <v>41.58164367986052</v>
      </c>
      <c r="Z15">
        <f>IF($C$3="CGE",INDEX(GDP_CGE!$A$3:$AN$24,MATCH($A15,GDP_CGE!$A$3:$A$24,0),MATCH(Z$9,GDP_CGE!$A$3:$AN$3,0)),GDP_Simple!AG17)</f>
        <v>43.082258617048026</v>
      </c>
      <c r="AA15">
        <f>IF($C$3="CGE",INDEX(GDP_CGE!$A$3:$AN$24,MATCH($A15,GDP_CGE!$A$3:$A$24,0),MATCH(AA$9,GDP_CGE!$A$3:$AN$3,0)),GDP_Simple!AH17)</f>
        <v>44.655655582448468</v>
      </c>
      <c r="AB15">
        <f>IF($C$3="CGE",INDEX(GDP_CGE!$A$3:$AN$24,MATCH($A15,GDP_CGE!$A$3:$A$24,0),MATCH(AB$9,GDP_CGE!$A$3:$AN$3,0)),GDP_Simple!AI17)</f>
        <v>46.307901128292194</v>
      </c>
      <c r="AC15">
        <f>IF($C$3="CGE",INDEX(GDP_CGE!$A$3:$AN$24,MATCH($A15,GDP_CGE!$A$3:$A$24,0),MATCH(AC$9,GDP_CGE!$A$3:$AN$3,0)),GDP_Simple!AJ17)</f>
        <v>48.043522353105779</v>
      </c>
      <c r="AD15">
        <f>IF($C$3="CGE",INDEX(GDP_CGE!$A$3:$AN$24,MATCH($A15,GDP_CGE!$A$3:$A$24,0),MATCH(AD$9,GDP_CGE!$A$3:$AN$3,0)),GDP_Simple!AK17)</f>
        <v>49.749690027143039</v>
      </c>
      <c r="AE15">
        <f>IF($C$3="CGE",INDEX(GDP_CGE!$A$3:$AN$24,MATCH($A15,GDP_CGE!$A$3:$A$24,0),MATCH(AE$9,GDP_CGE!$A$3:$AN$3,0)),GDP_Simple!AL17)</f>
        <v>51.540701320665157</v>
      </c>
      <c r="AF15">
        <f>IF($C$3="CGE",INDEX(GDP_CGE!$A$3:$AN$24,MATCH($A15,GDP_CGE!$A$3:$A$24,0),MATCH(AF$9,GDP_CGE!$A$3:$AN$3,0)),GDP_Simple!AM17)</f>
        <v>53.460486261955317</v>
      </c>
      <c r="AG15">
        <f>IF($C$3="CGE",INDEX(GDP_CGE!$A$3:$AN$24,MATCH($A15,GDP_CGE!$A$3:$A$24,0),MATCH(AG$9,GDP_CGE!$A$3:$AN$3,0)),GDP_Simple!AN17)</f>
        <v>55.49407340951408</v>
      </c>
      <c r="AH15">
        <f>IF($C$3="CGE",INDEX(GDP_CGE!$A$3:$AN$24,MATCH($A15,GDP_CGE!$A$3:$A$24,0),MATCH(AH$9,GDP_CGE!$A$3:$AN$3,0)),GDP_Simple!AO17)</f>
        <v>57.498169225976241</v>
      </c>
      <c r="AI15">
        <f>IF($C$3="CGE",INDEX(GDP_CGE!$A$3:$AN$24,MATCH($A15,GDP_CGE!$A$3:$A$24,0),MATCH(AI$9,GDP_CGE!$A$3:$AN$3,0)),GDP_Simple!AP17)</f>
        <v>59.464550991602898</v>
      </c>
      <c r="AJ15">
        <f>IF($C$3="CGE",INDEX(GDP_CGE!$A$3:$AN$24,MATCH($A15,GDP_CGE!$A$3:$A$24,0),MATCH(AJ$9,GDP_CGE!$A$3:$AN$3,0)),GDP_Simple!AQ17)</f>
        <v>61.384902165831406</v>
      </c>
      <c r="AK15">
        <f>IF($C$3="CGE",INDEX(GDP_CGE!$A$3:$AN$24,MATCH($A15,GDP_CGE!$A$3:$A$24,0),MATCH(AK$9,GDP_CGE!$A$3:$AN$3,0)),GDP_Simple!AR17)</f>
        <v>63.250864589239271</v>
      </c>
      <c r="AL15">
        <f>IF($C$3="CGE",INDEX(GDP_CGE!$A$3:$AN$24,MATCH($A15,GDP_CGE!$A$3:$A$24,0),MATCH(AL$9,GDP_CGE!$A$3:$AN$3,0)),GDP_Simple!AS17)</f>
        <v>65.054097292812685</v>
      </c>
      <c r="AM15">
        <f>IF($C$3="CGE",INDEX(GDP_CGE!$A$3:$AN$24,MATCH($A15,GDP_CGE!$A$3:$A$24,0),MATCH(AM$9,GDP_CGE!$A$3:$AN$3,0)),GDP_Simple!AT17)</f>
        <v>66.786337195974269</v>
      </c>
      <c r="AN15">
        <f>IF($C$3="CGE",INDEX(GDP_CGE!$A$3:$AN$24,MATCH($A15,GDP_CGE!$A$3:$A$24,0),MATCH(AN$9,GDP_CGE!$A$3:$AN$3,0)),GDP_Simple!AU17)</f>
        <v>68.43946110287402</v>
      </c>
      <c r="AO15">
        <f>IF($C$3="CGE",INDEX(GDP_CGE!$A$3:$AN$24,MATCH($A15,GDP_CGE!$A$3:$A$24,0),MATCH(AO$9,GDP_CGE!$A$3:$AN$3,0)),GDP_Simple!AV17)</f>
        <v>70.005548369552002</v>
      </c>
      <c r="AP15">
        <f>IF($C$3="CGE",INDEX(GDP_CGE!$A$3:$AN$24,MATCH($A15,GDP_CGE!$A$3:$A$24,0),MATCH(AP$9,GDP_CGE!$A$3:$AN$3,0)),GDP_Simple!AW17)</f>
        <v>71.476943585445639</v>
      </c>
      <c r="AQ15">
        <f>IF($C$3="CGE",INDEX(GDP_CGE!$A$3:$AN$24,MATCH($A15,GDP_CGE!$A$3:$A$24,0),MATCH(AQ$9,GDP_CGE!$A$3:$AN$3,0)),GDP_Simple!AX17)</f>
        <v>72.846318592081175</v>
      </c>
      <c r="AR15">
        <f>IF($C$3="CGE",INDEX(GDP_CGE!$A$3:$AN$24,MATCH($A15,GDP_CGE!$A$3:$A$24,0),MATCH(AR$9,GDP_CGE!$A$3:$AN$3,0)),GDP_Simple!AY17)</f>
        <v>74.106733150273129</v>
      </c>
      <c r="AS15">
        <f>IF($C$3="CGE",INDEX(GDP_CGE!$A$3:$AN$24,MATCH($A15,GDP_CGE!$A$3:$A$24,0),MATCH(AS$9,GDP_CGE!$A$3:$AN$3,0)),GDP_Simple!AZ17)</f>
        <v>75.251693565228464</v>
      </c>
      <c r="AT15">
        <f>IF($C$3="CGE",INDEX(GDP_CGE!$A$3:$AN$24,MATCH($A15,GDP_CGE!$A$3:$A$24,0),MATCH(AT$9,GDP_CGE!$A$3:$AN$3,0)),GDP_Simple!BA17)</f>
        <v>76.275208586924734</v>
      </c>
      <c r="AU15">
        <f>IF($C$3="CGE",INDEX(GDP_CGE!$A$3:$AN$24,MATCH($A15,GDP_CGE!$A$3:$A$24,0),MATCH(AU$9,GDP_CGE!$A$3:$AN$3,0)),GDP_Simple!BB17)</f>
        <v>77.171841921148967</v>
      </c>
      <c r="AV15">
        <f>IF($C$3="CGE",INDEX(GDP_CGE!$A$3:$AN$24,MATCH($A15,GDP_CGE!$A$3:$A$24,0),MATCH(AV$9,GDP_CGE!$A$3:$AN$3,0)),GDP_Simple!BC17)</f>
        <v>77.936760714612916</v>
      </c>
      <c r="AW15">
        <f>IF($C$3="CGE",INDEX(GDP_CGE!$A$3:$AN$24,MATCH($A15,GDP_CGE!$A$3:$A$24,0),MATCH(AW$9,GDP_CGE!$A$3:$AN$3,0)),GDP_Simple!BD17)</f>
        <v>78.565779415383403</v>
      </c>
      <c r="AX15">
        <f>IF($C$3="CGE",INDEX(GDP_CGE!$A$3:$AN$24,MATCH($A15,GDP_CGE!$A$3:$A$24,0),MATCH(AX$9,GDP_CGE!$A$3:$AN$3,0)),GDP_Simple!BE17)</f>
        <v>79.055398457090519</v>
      </c>
      <c r="AY15">
        <f>IF($C$3="CGE",INDEX(GDP_CGE!$A$3:$AN$24,MATCH($A15,GDP_CGE!$A$3:$A$24,0),MATCH(AY$9,GDP_CGE!$A$3:$AN$3,0)),GDP_Simple!BF17)</f>
        <v>79.402837271425355</v>
      </c>
      <c r="AZ15">
        <f>IF($C$3="CGE",INDEX(GDP_CGE!$A$3:$AN$24,MATCH($A15,GDP_CGE!$A$3:$A$24,0),MATCH(AZ$9,GDP_CGE!$A$3:$AN$3,0)),GDP_Simple!BG17)</f>
        <v>79.606061197566405</v>
      </c>
      <c r="BA15">
        <f>IF($C$3="CGE",INDEX(GDP_CGE!$A$3:$AN$24,MATCH($A15,GDP_CGE!$A$3:$A$24,0),MATCH(BA$9,GDP_CGE!$A$3:$AN$3,0)),GDP_Simple!BH17)</f>
        <v>79.663801928479032</v>
      </c>
    </row>
    <row r="16" spans="1:53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77.878117507877974</v>
      </c>
      <c r="G16">
        <f>IF($C$3="CGE",INDEX(GDP_CGE!$A$3:$AN$24,MATCH($A16,GDP_CGE!$A$3:$A$24,0),MATCH(G$9,GDP_CGE!$A$3:$AN$3,0)),GDP_Simple!N18)</f>
        <v>78.673049806759352</v>
      </c>
      <c r="H16">
        <f>IF($C$3="CGE",INDEX(GDP_CGE!$A$3:$AN$24,MATCH($A16,GDP_CGE!$A$3:$A$24,0),MATCH(H$9,GDP_CGE!$A$3:$AN$3,0)),GDP_Simple!O18)</f>
        <v>79.521149223415577</v>
      </c>
      <c r="I16">
        <f>IF($C$3="CGE",INDEX(GDP_CGE!$A$3:$AN$24,MATCH($A16,GDP_CGE!$A$3:$A$24,0),MATCH(I$9,GDP_CGE!$A$3:$AN$3,0)),GDP_Simple!P18)</f>
        <v>80.774652394623189</v>
      </c>
      <c r="J16">
        <f>IF($C$3="CGE",INDEX(GDP_CGE!$A$3:$AN$24,MATCH($A16,GDP_CGE!$A$3:$A$24,0),MATCH(J$9,GDP_CGE!$A$3:$AN$3,0)),GDP_Simple!Q18)</f>
        <v>82.191765517127862</v>
      </c>
      <c r="K16">
        <f>IF($C$3="CGE",INDEX(GDP_CGE!$A$3:$AN$24,MATCH($A16,GDP_CGE!$A$3:$A$24,0),MATCH(K$9,GDP_CGE!$A$3:$AN$3,0)),GDP_Simple!R18)</f>
        <v>83.743576134007142</v>
      </c>
      <c r="L16">
        <f>IF($C$3="CGE",INDEX(GDP_CGE!$A$3:$AN$24,MATCH($A16,GDP_CGE!$A$3:$A$24,0),MATCH(L$9,GDP_CGE!$A$3:$AN$3,0)),GDP_Simple!S18)</f>
        <v>85.698947012055399</v>
      </c>
      <c r="M16">
        <f>IF($C$3="CGE",INDEX(GDP_CGE!$A$3:$AN$24,MATCH($A16,GDP_CGE!$A$3:$A$24,0),MATCH(M$9,GDP_CGE!$A$3:$AN$3,0)),GDP_Simple!T18)</f>
        <v>88.078439163688742</v>
      </c>
      <c r="N16">
        <f>IF($C$3="CGE",INDEX(GDP_CGE!$A$3:$AN$24,MATCH($A16,GDP_CGE!$A$3:$A$24,0),MATCH(N$9,GDP_CGE!$A$3:$AN$3,0)),GDP_Simple!U18)</f>
        <v>90.895610853007369</v>
      </c>
      <c r="O16">
        <f>IF($C$3="CGE",INDEX(GDP_CGE!$A$3:$AN$24,MATCH($A16,GDP_CGE!$A$3:$A$24,0),MATCH(O$9,GDP_CGE!$A$3:$AN$3,0)),GDP_Simple!V18)</f>
        <v>93.83924856851894</v>
      </c>
      <c r="P16">
        <f>IF($C$3="CGE",INDEX(GDP_CGE!$A$3:$AN$24,MATCH($A16,GDP_CGE!$A$3:$A$24,0),MATCH(P$9,GDP_CGE!$A$3:$AN$3,0)),GDP_Simple!W18)</f>
        <v>97.041782283230617</v>
      </c>
      <c r="Q16">
        <f>IF($C$3="CGE",INDEX(GDP_CGE!$A$3:$AN$24,MATCH($A16,GDP_CGE!$A$3:$A$24,0),MATCH(Q$9,GDP_CGE!$A$3:$AN$3,0)),GDP_Simple!X18)</f>
        <v>100.63131738787627</v>
      </c>
      <c r="R16">
        <f>IF($C$3="CGE",INDEX(GDP_CGE!$A$3:$AN$24,MATCH($A16,GDP_CGE!$A$3:$A$24,0),MATCH(R$9,GDP_CGE!$A$3:$AN$3,0)),GDP_Simple!Y18)</f>
        <v>104.53021461524696</v>
      </c>
      <c r="S16">
        <f>IF($C$3="CGE",INDEX(GDP_CGE!$A$3:$AN$24,MATCH($A16,GDP_CGE!$A$3:$A$24,0),MATCH(S$9,GDP_CGE!$A$3:$AN$3,0)),GDP_Simple!Z18)</f>
        <v>108.65405249955951</v>
      </c>
      <c r="T16">
        <f>IF($C$3="CGE",INDEX(GDP_CGE!$A$3:$AN$24,MATCH($A16,GDP_CGE!$A$3:$A$24,0),MATCH(T$9,GDP_CGE!$A$3:$AN$3,0)),GDP_Simple!AA18)</f>
        <v>112.97775869175781</v>
      </c>
      <c r="U16">
        <f>IF($C$3="CGE",INDEX(GDP_CGE!$A$3:$AN$24,MATCH($A16,GDP_CGE!$A$3:$A$24,0),MATCH(U$9,GDP_CGE!$A$3:$AN$3,0)),GDP_Simple!AB18)</f>
        <v>117.5592448917391</v>
      </c>
      <c r="V16">
        <f>IF($C$3="CGE",INDEX(GDP_CGE!$A$3:$AN$24,MATCH($A16,GDP_CGE!$A$3:$A$24,0),MATCH(V$9,GDP_CGE!$A$3:$AN$3,0)),GDP_Simple!AC18)</f>
        <v>122.2093857914188</v>
      </c>
      <c r="W16">
        <f>IF($C$3="CGE",INDEX(GDP_CGE!$A$3:$AN$24,MATCH($A16,GDP_CGE!$A$3:$A$24,0),MATCH(W$9,GDP_CGE!$A$3:$AN$3,0)),GDP_Simple!AD18)</f>
        <v>126.87883757879246</v>
      </c>
      <c r="X16">
        <f>IF($C$3="CGE",INDEX(GDP_CGE!$A$3:$AN$24,MATCH($A16,GDP_CGE!$A$3:$A$24,0),MATCH(X$9,GDP_CGE!$A$3:$AN$3,0)),GDP_Simple!AE18)</f>
        <v>131.69570809711485</v>
      </c>
      <c r="Y16">
        <f>IF($C$3="CGE",INDEX(GDP_CGE!$A$3:$AN$24,MATCH($A16,GDP_CGE!$A$3:$A$24,0),MATCH(Y$9,GDP_CGE!$A$3:$AN$3,0)),GDP_Simple!AF18)</f>
        <v>136.44247208310452</v>
      </c>
      <c r="Z16">
        <f>IF($C$3="CGE",INDEX(GDP_CGE!$A$3:$AN$24,MATCH($A16,GDP_CGE!$A$3:$A$24,0),MATCH(Z$9,GDP_CGE!$A$3:$AN$3,0)),GDP_Simple!AG18)</f>
        <v>141.3664624200681</v>
      </c>
      <c r="AA16">
        <f>IF($C$3="CGE",INDEX(GDP_CGE!$A$3:$AN$24,MATCH($A16,GDP_CGE!$A$3:$A$24,0),MATCH(AA$9,GDP_CGE!$A$3:$AN$3,0)),GDP_Simple!AH18)</f>
        <v>146.52927351960307</v>
      </c>
      <c r="AB16">
        <f>IF($C$3="CGE",INDEX(GDP_CGE!$A$3:$AN$24,MATCH($A16,GDP_CGE!$A$3:$A$24,0),MATCH(AB$9,GDP_CGE!$A$3:$AN$3,0)),GDP_Simple!AI18)</f>
        <v>151.95081165067995</v>
      </c>
      <c r="AC16">
        <f>IF($C$3="CGE",INDEX(GDP_CGE!$A$3:$AN$24,MATCH($A16,GDP_CGE!$A$3:$A$24,0),MATCH(AC$9,GDP_CGE!$A$3:$AN$3,0)),GDP_Simple!AJ18)</f>
        <v>157.64593164970415</v>
      </c>
      <c r="AD16">
        <f>IF($C$3="CGE",INDEX(GDP_CGE!$A$3:$AN$24,MATCH($A16,GDP_CGE!$A$3:$A$24,0),MATCH(AD$9,GDP_CGE!$A$3:$AN$3,0)),GDP_Simple!AK18)</f>
        <v>163.24440527008858</v>
      </c>
      <c r="AE16">
        <f>IF($C$3="CGE",INDEX(GDP_CGE!$A$3:$AN$24,MATCH($A16,GDP_CGE!$A$3:$A$24,0),MATCH(AE$9,GDP_CGE!$A$3:$AN$3,0)),GDP_Simple!AL18)</f>
        <v>169.12127753368486</v>
      </c>
      <c r="AF16">
        <f>IF($C$3="CGE",INDEX(GDP_CGE!$A$3:$AN$24,MATCH($A16,GDP_CGE!$A$3:$A$24,0),MATCH(AF$9,GDP_CGE!$A$3:$AN$3,0)),GDP_Simple!AM18)</f>
        <v>175.42069670225453</v>
      </c>
      <c r="AG16">
        <f>IF($C$3="CGE",INDEX(GDP_CGE!$A$3:$AN$24,MATCH($A16,GDP_CGE!$A$3:$A$24,0),MATCH(AG$9,GDP_CGE!$A$3:$AN$3,0)),GDP_Simple!AN18)</f>
        <v>182.09353675989118</v>
      </c>
      <c r="AH16">
        <f>IF($C$3="CGE",INDEX(GDP_CGE!$A$3:$AN$24,MATCH($A16,GDP_CGE!$A$3:$A$24,0),MATCH(AH$9,GDP_CGE!$A$3:$AN$3,0)),GDP_Simple!AO18)</f>
        <v>188.66960646975556</v>
      </c>
      <c r="AI16">
        <f>IF($C$3="CGE",INDEX(GDP_CGE!$A$3:$AN$24,MATCH($A16,GDP_CGE!$A$3:$A$24,0),MATCH(AI$9,GDP_CGE!$A$3:$AN$3,0)),GDP_Simple!AP18)</f>
        <v>195.12192449803945</v>
      </c>
      <c r="AJ16">
        <f>IF($C$3="CGE",INDEX(GDP_CGE!$A$3:$AN$24,MATCH($A16,GDP_CGE!$A$3:$A$24,0),MATCH(AJ$9,GDP_CGE!$A$3:$AN$3,0)),GDP_Simple!AQ18)</f>
        <v>201.42320165525618</v>
      </c>
      <c r="AK16">
        <f>IF($C$3="CGE",INDEX(GDP_CGE!$A$3:$AN$24,MATCH($A16,GDP_CGE!$A$3:$A$24,0),MATCH(AK$9,GDP_CGE!$A$3:$AN$3,0)),GDP_Simple!AR18)</f>
        <v>207.54601218732901</v>
      </c>
      <c r="AL16">
        <f>IF($C$3="CGE",INDEX(GDP_CGE!$A$3:$AN$24,MATCH($A16,GDP_CGE!$A$3:$A$24,0),MATCH(AL$9,GDP_CGE!$A$3:$AN$3,0)),GDP_Simple!AS18)</f>
        <v>213.46298674732751</v>
      </c>
      <c r="AM16">
        <f>IF($C$3="CGE",INDEX(GDP_CGE!$A$3:$AN$24,MATCH($A16,GDP_CGE!$A$3:$A$24,0),MATCH(AM$9,GDP_CGE!$A$3:$AN$3,0)),GDP_Simple!AT18)</f>
        <v>219.14701156481777</v>
      </c>
      <c r="AN16">
        <f>IF($C$3="CGE",INDEX(GDP_CGE!$A$3:$AN$24,MATCH($A16,GDP_CGE!$A$3:$A$24,0),MATCH(AN$9,GDP_CGE!$A$3:$AN$3,0)),GDP_Simple!AU18)</f>
        <v>224.57143187522334</v>
      </c>
      <c r="AO16">
        <f>IF($C$3="CGE",INDEX(GDP_CGE!$A$3:$AN$24,MATCH($A16,GDP_CGE!$A$3:$A$24,0),MATCH(AO$9,GDP_CGE!$A$3:$AN$3,0)),GDP_Simple!AV18)</f>
        <v>229.71025755052744</v>
      </c>
      <c r="AP16">
        <f>IF($C$3="CGE",INDEX(GDP_CGE!$A$3:$AN$24,MATCH($A16,GDP_CGE!$A$3:$A$24,0),MATCH(AP$9,GDP_CGE!$A$3:$AN$3,0)),GDP_Simple!AW18)</f>
        <v>234.53836877704489</v>
      </c>
      <c r="AQ16">
        <f>IF($C$3="CGE",INDEX(GDP_CGE!$A$3:$AN$24,MATCH($A16,GDP_CGE!$A$3:$A$24,0),MATCH(AQ$9,GDP_CGE!$A$3:$AN$3,0)),GDP_Simple!AX18)</f>
        <v>239.03171955828549</v>
      </c>
      <c r="AR16">
        <f>IF($C$3="CGE",INDEX(GDP_CGE!$A$3:$AN$24,MATCH($A16,GDP_CGE!$A$3:$A$24,0),MATCH(AR$9,GDP_CGE!$A$3:$AN$3,0)),GDP_Simple!AY18)</f>
        <v>243.16753678314754</v>
      </c>
      <c r="AS16">
        <f>IF($C$3="CGE",INDEX(GDP_CGE!$A$3:$AN$24,MATCH($A16,GDP_CGE!$A$3:$A$24,0),MATCH(AS$9,GDP_CGE!$A$3:$AN$3,0)),GDP_Simple!AZ18)</f>
        <v>246.92451259335266</v>
      </c>
      <c r="AT16">
        <f>IF($C$3="CGE",INDEX(GDP_CGE!$A$3:$AN$24,MATCH($A16,GDP_CGE!$A$3:$A$24,0),MATCH(AT$9,GDP_CGE!$A$3:$AN$3,0)),GDP_Simple!BA18)</f>
        <v>250.2829878101962</v>
      </c>
      <c r="AU16">
        <f>IF($C$3="CGE",INDEX(GDP_CGE!$A$3:$AN$24,MATCH($A16,GDP_CGE!$A$3:$A$24,0),MATCH(AU$9,GDP_CGE!$A$3:$AN$3,0)),GDP_Simple!BB18)</f>
        <v>253.22512423980839</v>
      </c>
      <c r="AV16">
        <f>IF($C$3="CGE",INDEX(GDP_CGE!$A$3:$AN$24,MATCH($A16,GDP_CGE!$A$3:$A$24,0),MATCH(AV$9,GDP_CGE!$A$3:$AN$3,0)),GDP_Simple!BC18)</f>
        <v>255.73506376809107</v>
      </c>
      <c r="AW16">
        <f>IF($C$3="CGE",INDEX(GDP_CGE!$A$3:$AN$24,MATCH($A16,GDP_CGE!$A$3:$A$24,0),MATCH(AW$9,GDP_CGE!$A$3:$AN$3,0)),GDP_Simple!BD18)</f>
        <v>257.79907228060677</v>
      </c>
      <c r="AX16">
        <f>IF($C$3="CGE",INDEX(GDP_CGE!$A$3:$AN$24,MATCH($A16,GDP_CGE!$A$3:$A$24,0),MATCH(AX$9,GDP_CGE!$A$3:$AN$3,0)),GDP_Simple!BE18)</f>
        <v>259.40566659765238</v>
      </c>
      <c r="AY16">
        <f>IF($C$3="CGE",INDEX(GDP_CGE!$A$3:$AN$24,MATCH($A16,GDP_CGE!$A$3:$A$24,0),MATCH(AY$9,GDP_CGE!$A$3:$AN$3,0)),GDP_Simple!BF18)</f>
        <v>260.54572279866369</v>
      </c>
      <c r="AZ16">
        <f>IF($C$3="CGE",INDEX(GDP_CGE!$A$3:$AN$24,MATCH($A16,GDP_CGE!$A$3:$A$24,0),MATCH(AZ$9,GDP_CGE!$A$3:$AN$3,0)),GDP_Simple!BG18)</f>
        <v>261.21256452052063</v>
      </c>
      <c r="BA16">
        <f>IF($C$3="CGE",INDEX(GDP_CGE!$A$3:$AN$24,MATCH($A16,GDP_CGE!$A$3:$A$24,0),MATCH(BA$9,GDP_CGE!$A$3:$AN$3,0)),GDP_Simple!BH18)</f>
        <v>261.40203004829675</v>
      </c>
    </row>
    <row r="17" spans="1:5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17.412697674874938</v>
      </c>
      <c r="G17">
        <f>IF($C$3="CGE",INDEX(GDP_CGE!$A$3:$AN$24,MATCH($A17,GDP_CGE!$A$3:$A$24,0),MATCH(G$9,GDP_CGE!$A$3:$AN$3,0)),GDP_Simple!N19)</f>
        <v>17.590435866749111</v>
      </c>
      <c r="H17">
        <f>IF($C$3="CGE",INDEX(GDP_CGE!$A$3:$AN$24,MATCH($A17,GDP_CGE!$A$3:$A$24,0),MATCH(H$9,GDP_CGE!$A$3:$AN$3,0)),GDP_Simple!O19)</f>
        <v>17.780061646275421</v>
      </c>
      <c r="I17">
        <f>IF($C$3="CGE",INDEX(GDP_CGE!$A$3:$AN$24,MATCH($A17,GDP_CGE!$A$3:$A$24,0),MATCH(I$9,GDP_CGE!$A$3:$AN$3,0)),GDP_Simple!P19)</f>
        <v>18.060331283667811</v>
      </c>
      <c r="J17">
        <f>IF($C$3="CGE",INDEX(GDP_CGE!$A$3:$AN$24,MATCH($A17,GDP_CGE!$A$3:$A$24,0),MATCH(J$9,GDP_CGE!$A$3:$AN$3,0)),GDP_Simple!Q19)</f>
        <v>18.377182321711658</v>
      </c>
      <c r="K17">
        <f>IF($C$3="CGE",INDEX(GDP_CGE!$A$3:$AN$24,MATCH($A17,GDP_CGE!$A$3:$A$24,0),MATCH(K$9,GDP_CGE!$A$3:$AN$3,0)),GDP_Simple!R19)</f>
        <v>18.724150250381051</v>
      </c>
      <c r="L17">
        <f>IF($C$3="CGE",INDEX(GDP_CGE!$A$3:$AN$24,MATCH($A17,GDP_CGE!$A$3:$A$24,0),MATCH(L$9,GDP_CGE!$A$3:$AN$3,0)),GDP_Simple!S19)</f>
        <v>19.161349851902813</v>
      </c>
      <c r="M17">
        <f>IF($C$3="CGE",INDEX(GDP_CGE!$A$3:$AN$24,MATCH($A17,GDP_CGE!$A$3:$A$24,0),MATCH(M$9,GDP_CGE!$A$3:$AN$3,0)),GDP_Simple!T19)</f>
        <v>19.693378344398639</v>
      </c>
      <c r="N17">
        <f>IF($C$3="CGE",INDEX(GDP_CGE!$A$3:$AN$24,MATCH($A17,GDP_CGE!$A$3:$A$24,0),MATCH(N$9,GDP_CGE!$A$3:$AN$3,0)),GDP_Simple!U19)</f>
        <v>20.32326720784426</v>
      </c>
      <c r="O17">
        <f>IF($C$3="CGE",INDEX(GDP_CGE!$A$3:$AN$24,MATCH($A17,GDP_CGE!$A$3:$A$24,0),MATCH(O$9,GDP_CGE!$A$3:$AN$3,0)),GDP_Simple!V19)</f>
        <v>20.981432495408864</v>
      </c>
      <c r="P17">
        <f>IF($C$3="CGE",INDEX(GDP_CGE!$A$3:$AN$24,MATCH($A17,GDP_CGE!$A$3:$A$24,0),MATCH(P$9,GDP_CGE!$A$3:$AN$3,0)),GDP_Simple!W19)</f>
        <v>21.697484104671602</v>
      </c>
      <c r="Q17">
        <f>IF($C$3="CGE",INDEX(GDP_CGE!$A$3:$AN$24,MATCH($A17,GDP_CGE!$A$3:$A$24,0),MATCH(Q$9,GDP_CGE!$A$3:$AN$3,0)),GDP_Simple!X19)</f>
        <v>22.500065003782609</v>
      </c>
      <c r="R17">
        <f>IF($C$3="CGE",INDEX(GDP_CGE!$A$3:$AN$24,MATCH($A17,GDP_CGE!$A$3:$A$24,0),MATCH(R$9,GDP_CGE!$A$3:$AN$3,0)),GDP_Simple!Y19)</f>
        <v>23.371815899388764</v>
      </c>
      <c r="S17">
        <f>IF($C$3="CGE",INDEX(GDP_CGE!$A$3:$AN$24,MATCH($A17,GDP_CGE!$A$3:$A$24,0),MATCH(S$9,GDP_CGE!$A$3:$AN$3,0)),GDP_Simple!Z19)</f>
        <v>24.293861072507724</v>
      </c>
      <c r="T17">
        <f>IF($C$3="CGE",INDEX(GDP_CGE!$A$3:$AN$24,MATCH($A17,GDP_CGE!$A$3:$A$24,0),MATCH(T$9,GDP_CGE!$A$3:$AN$3,0)),GDP_Simple!AA19)</f>
        <v>25.260594619349277</v>
      </c>
      <c r="U17">
        <f>IF($C$3="CGE",INDEX(GDP_CGE!$A$3:$AN$24,MATCH($A17,GDP_CGE!$A$3:$A$24,0),MATCH(U$9,GDP_CGE!$A$3:$AN$3,0)),GDP_Simple!AB19)</f>
        <v>26.284964964379967</v>
      </c>
      <c r="V17">
        <f>IF($C$3="CGE",INDEX(GDP_CGE!$A$3:$AN$24,MATCH($A17,GDP_CGE!$A$3:$A$24,0),MATCH(V$9,GDP_CGE!$A$3:$AN$3,0)),GDP_Simple!AC19)</f>
        <v>27.324685751461171</v>
      </c>
      <c r="W17">
        <f>IF($C$3="CGE",INDEX(GDP_CGE!$A$3:$AN$24,MATCH($A17,GDP_CGE!$A$3:$A$24,0),MATCH(W$9,GDP_CGE!$A$3:$AN$3,0)),GDP_Simple!AD19)</f>
        <v>28.368724242411048</v>
      </c>
      <c r="X17">
        <f>IF($C$3="CGE",INDEX(GDP_CGE!$A$3:$AN$24,MATCH($A17,GDP_CGE!$A$3:$A$24,0),MATCH(X$9,GDP_CGE!$A$3:$AN$3,0)),GDP_Simple!AE19)</f>
        <v>29.445723953736646</v>
      </c>
      <c r="Y17">
        <f>IF($C$3="CGE",INDEX(GDP_CGE!$A$3:$AN$24,MATCH($A17,GDP_CGE!$A$3:$A$24,0),MATCH(Y$9,GDP_CGE!$A$3:$AN$3,0)),GDP_Simple!AF19)</f>
        <v>30.507048609069535</v>
      </c>
      <c r="Z17">
        <f>IF($C$3="CGE",INDEX(GDP_CGE!$A$3:$AN$24,MATCH($A17,GDP_CGE!$A$3:$A$24,0),MATCH(Z$9,GDP_CGE!$A$3:$AN$3,0)),GDP_Simple!AG19)</f>
        <v>31.607999143510472</v>
      </c>
      <c r="AA17">
        <f>IF($C$3="CGE",INDEX(GDP_CGE!$A$3:$AN$24,MATCH($A17,GDP_CGE!$A$3:$A$24,0),MATCH(AA$9,GDP_CGE!$A$3:$AN$3,0)),GDP_Simple!AH19)</f>
        <v>32.762347395695649</v>
      </c>
      <c r="AB17">
        <f>IF($C$3="CGE",INDEX(GDP_CGE!$A$3:$AN$24,MATCH($A17,GDP_CGE!$A$3:$A$24,0),MATCH(AB$9,GDP_CGE!$A$3:$AN$3,0)),GDP_Simple!AI19)</f>
        <v>33.974544190253489</v>
      </c>
      <c r="AC17">
        <f>IF($C$3="CGE",INDEX(GDP_CGE!$A$3:$AN$24,MATCH($A17,GDP_CGE!$A$3:$A$24,0),MATCH(AC$9,GDP_CGE!$A$3:$AN$3,0)),GDP_Simple!AJ19)</f>
        <v>35.247910906585723</v>
      </c>
      <c r="AD17">
        <f>IF($C$3="CGE",INDEX(GDP_CGE!$A$3:$AN$24,MATCH($A17,GDP_CGE!$A$3:$A$24,0),MATCH(AD$9,GDP_CGE!$A$3:$AN$3,0)),GDP_Simple!AK19)</f>
        <v>36.49966854675538</v>
      </c>
      <c r="AE17">
        <f>IF($C$3="CGE",INDEX(GDP_CGE!$A$3:$AN$24,MATCH($A17,GDP_CGE!$A$3:$A$24,0),MATCH(AE$9,GDP_CGE!$A$3:$AN$3,0)),GDP_Simple!AL19)</f>
        <v>37.813673087113052</v>
      </c>
      <c r="AF17">
        <f>IF($C$3="CGE",INDEX(GDP_CGE!$A$3:$AN$24,MATCH($A17,GDP_CGE!$A$3:$A$24,0),MATCH(AF$9,GDP_CGE!$A$3:$AN$3,0)),GDP_Simple!AM19)</f>
        <v>39.222154506794517</v>
      </c>
      <c r="AG17">
        <f>IF($C$3="CGE",INDEX(GDP_CGE!$A$3:$AN$24,MATCH($A17,GDP_CGE!$A$3:$A$24,0),MATCH(AG$9,GDP_CGE!$A$3:$AN$3,0)),GDP_Simple!AN19)</f>
        <v>40.714128764449988</v>
      </c>
      <c r="AH17">
        <f>IF($C$3="CGE",INDEX(GDP_CGE!$A$3:$AN$24,MATCH($A17,GDP_CGE!$A$3:$A$24,0),MATCH(AH$9,GDP_CGE!$A$3:$AN$3,0)),GDP_Simple!AO19)</f>
        <v>42.184466227796968</v>
      </c>
      <c r="AI17">
        <f>IF($C$3="CGE",INDEX(GDP_CGE!$A$3:$AN$24,MATCH($A17,GDP_CGE!$A$3:$A$24,0),MATCH(AI$9,GDP_CGE!$A$3:$AN$3,0)),GDP_Simple!AP19)</f>
        <v>43.627134164875535</v>
      </c>
      <c r="AJ17">
        <f>IF($C$3="CGE",INDEX(GDP_CGE!$A$3:$AN$24,MATCH($A17,GDP_CGE!$A$3:$A$24,0),MATCH(AJ$9,GDP_CGE!$A$3:$AN$3,0)),GDP_Simple!AQ19)</f>
        <v>45.036031010553799</v>
      </c>
      <c r="AK17">
        <f>IF($C$3="CGE",INDEX(GDP_CGE!$A$3:$AN$24,MATCH($A17,GDP_CGE!$A$3:$A$24,0),MATCH(AK$9,GDP_CGE!$A$3:$AN$3,0)),GDP_Simple!AR19)</f>
        <v>46.405024665347</v>
      </c>
      <c r="AL17">
        <f>IF($C$3="CGE",INDEX(GDP_CGE!$A$3:$AN$24,MATCH($A17,GDP_CGE!$A$3:$A$24,0),MATCH(AL$9,GDP_CGE!$A$3:$AN$3,0)),GDP_Simple!AS19)</f>
        <v>47.727995641793072</v>
      </c>
      <c r="AM17">
        <f>IF($C$3="CGE",INDEX(GDP_CGE!$A$3:$AN$24,MATCH($A17,GDP_CGE!$A$3:$A$24,0),MATCH(AM$9,GDP_CGE!$A$3:$AN$3,0)),GDP_Simple!AT19)</f>
        <v>48.998881596547079</v>
      </c>
      <c r="AN17">
        <f>IF($C$3="CGE",INDEX(GDP_CGE!$A$3:$AN$24,MATCH($A17,GDP_CGE!$A$3:$A$24,0),MATCH(AN$9,GDP_CGE!$A$3:$AN$3,0)),GDP_Simple!AU19)</f>
        <v>50.211722814967501</v>
      </c>
      <c r="AO17">
        <f>IF($C$3="CGE",INDEX(GDP_CGE!$A$3:$AN$24,MATCH($A17,GDP_CGE!$A$3:$A$24,0),MATCH(AO$9,GDP_CGE!$A$3:$AN$3,0)),GDP_Simple!AV19)</f>
        <v>51.360708187898531</v>
      </c>
      <c r="AP17">
        <f>IF($C$3="CGE",INDEX(GDP_CGE!$A$3:$AN$24,MATCH($A17,GDP_CGE!$A$3:$A$24,0),MATCH(AP$9,GDP_CGE!$A$3:$AN$3,0)),GDP_Simple!AW19)</f>
        <v>52.440221198976559</v>
      </c>
      <c r="AQ17">
        <f>IF($C$3="CGE",INDEX(GDP_CGE!$A$3:$AN$24,MATCH($A17,GDP_CGE!$A$3:$A$24,0),MATCH(AQ$9,GDP_CGE!$A$3:$AN$3,0)),GDP_Simple!AX19)</f>
        <v>53.444885425650895</v>
      </c>
      <c r="AR17">
        <f>IF($C$3="CGE",INDEX(GDP_CGE!$A$3:$AN$24,MATCH($A17,GDP_CGE!$A$3:$A$24,0),MATCH(AR$9,GDP_CGE!$A$3:$AN$3,0)),GDP_Simple!AY19)</f>
        <v>54.369609048660635</v>
      </c>
      <c r="AS17">
        <f>IF($C$3="CGE",INDEX(GDP_CGE!$A$3:$AN$24,MATCH($A17,GDP_CGE!$A$3:$A$24,0),MATCH(AS$9,GDP_CGE!$A$3:$AN$3,0)),GDP_Simple!AZ19)</f>
        <v>55.209627863294962</v>
      </c>
      <c r="AT17">
        <f>IF($C$3="CGE",INDEX(GDP_CGE!$A$3:$AN$24,MATCH($A17,GDP_CGE!$A$3:$A$24,0),MATCH(AT$9,GDP_CGE!$A$3:$AN$3,0)),GDP_Simple!BA19)</f>
        <v>55.960546291613937</v>
      </c>
      <c r="AU17">
        <f>IF($C$3="CGE",INDEX(GDP_CGE!$A$3:$AN$24,MATCH($A17,GDP_CGE!$A$3:$A$24,0),MATCH(AU$9,GDP_CGE!$A$3:$AN$3,0)),GDP_Simple!BB19)</f>
        <v>56.618375908025648</v>
      </c>
      <c r="AV17">
        <f>IF($C$3="CGE",INDEX(GDP_CGE!$A$3:$AN$24,MATCH($A17,GDP_CGE!$A$3:$A$24,0),MATCH(AV$9,GDP_CGE!$A$3:$AN$3,0)),GDP_Simple!BC19)</f>
        <v>57.179571011178766</v>
      </c>
      <c r="AW17">
        <f>IF($C$3="CGE",INDEX(GDP_CGE!$A$3:$AN$24,MATCH($A17,GDP_CGE!$A$3:$A$24,0),MATCH(AW$9,GDP_CGE!$A$3:$AN$3,0)),GDP_Simple!BD19)</f>
        <v>57.641060802880126</v>
      </c>
      <c r="AX17">
        <f>IF($C$3="CGE",INDEX(GDP_CGE!$A$3:$AN$24,MATCH($A17,GDP_CGE!$A$3:$A$24,0),MATCH(AX$9,GDP_CGE!$A$3:$AN$3,0)),GDP_Simple!BE19)</f>
        <v>58.000277769392667</v>
      </c>
      <c r="AY17">
        <f>IF($C$3="CGE",INDEX(GDP_CGE!$A$3:$AN$24,MATCH($A17,GDP_CGE!$A$3:$A$24,0),MATCH(AY$9,GDP_CGE!$A$3:$AN$3,0)),GDP_Simple!BF19)</f>
        <v>58.255181901590888</v>
      </c>
      <c r="AZ17">
        <f>IF($C$3="CGE",INDEX(GDP_CGE!$A$3:$AN$24,MATCH($A17,GDP_CGE!$A$3:$A$24,0),MATCH(AZ$9,GDP_CGE!$A$3:$AN$3,0)),GDP_Simple!BG19)</f>
        <v>58.404280437498784</v>
      </c>
      <c r="BA17">
        <f>IF($C$3="CGE",INDEX(GDP_CGE!$A$3:$AN$24,MATCH($A17,GDP_CGE!$A$3:$A$24,0),MATCH(BA$9,GDP_CGE!$A$3:$AN$3,0)),GDP_Simple!BH19)</f>
        <v>58.446642863049739</v>
      </c>
    </row>
    <row r="18" spans="1:5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20.593008878113583</v>
      </c>
      <c r="G18">
        <f>IF($C$3="CGE",INDEX(GDP_CGE!$A$3:$AN$24,MATCH($A18,GDP_CGE!$A$3:$A$24,0),MATCH(G$9,GDP_CGE!$A$3:$AN$3,0)),GDP_Simple!N20)</f>
        <v>20.803209745985196</v>
      </c>
      <c r="H18">
        <f>IF($C$3="CGE",INDEX(GDP_CGE!$A$3:$AN$24,MATCH($A18,GDP_CGE!$A$3:$A$24,0),MATCH(H$9,GDP_CGE!$A$3:$AN$3,0)),GDP_Simple!O20)</f>
        <v>21.027469388816932</v>
      </c>
      <c r="I18">
        <f>IF($C$3="CGE",INDEX(GDP_CGE!$A$3:$AN$24,MATCH($A18,GDP_CGE!$A$3:$A$24,0),MATCH(I$9,GDP_CGE!$A$3:$AN$3,0)),GDP_Simple!P20)</f>
        <v>21.358928375750075</v>
      </c>
      <c r="J18">
        <f>IF($C$3="CGE",INDEX(GDP_CGE!$A$3:$AN$24,MATCH($A18,GDP_CGE!$A$3:$A$24,0),MATCH(J$9,GDP_CGE!$A$3:$AN$3,0)),GDP_Simple!Q20)</f>
        <v>21.733650108206927</v>
      </c>
      <c r="K18">
        <f>IF($C$3="CGE",INDEX(GDP_CGE!$A$3:$AN$24,MATCH($A18,GDP_CGE!$A$3:$A$24,0),MATCH(K$9,GDP_CGE!$A$3:$AN$3,0)),GDP_Simple!R20)</f>
        <v>22.143989377223196</v>
      </c>
      <c r="L18">
        <f>IF($C$3="CGE",INDEX(GDP_CGE!$A$3:$AN$24,MATCH($A18,GDP_CGE!$A$3:$A$24,0),MATCH(L$9,GDP_CGE!$A$3:$AN$3,0)),GDP_Simple!S20)</f>
        <v>22.661040522528285</v>
      </c>
      <c r="M18">
        <f>IF($C$3="CGE",INDEX(GDP_CGE!$A$3:$AN$24,MATCH($A18,GDP_CGE!$A$3:$A$24,0),MATCH(M$9,GDP_CGE!$A$3:$AN$3,0)),GDP_Simple!T20)</f>
        <v>23.290240412972867</v>
      </c>
      <c r="N18">
        <f>IF($C$3="CGE",INDEX(GDP_CGE!$A$3:$AN$24,MATCH($A18,GDP_CGE!$A$3:$A$24,0),MATCH(N$9,GDP_CGE!$A$3:$AN$3,0)),GDP_Simple!U20)</f>
        <v>24.035174207802203</v>
      </c>
      <c r="O18">
        <f>IF($C$3="CGE",INDEX(GDP_CGE!$A$3:$AN$24,MATCH($A18,GDP_CGE!$A$3:$A$24,0),MATCH(O$9,GDP_CGE!$A$3:$AN$3,0)),GDP_Simple!V20)</f>
        <v>24.813548923952062</v>
      </c>
      <c r="P18">
        <f>IF($C$3="CGE",INDEX(GDP_CGE!$A$3:$AN$24,MATCH($A18,GDP_CGE!$A$3:$A$24,0),MATCH(P$9,GDP_CGE!$A$3:$AN$3,0)),GDP_Simple!W20)</f>
        <v>25.660382506092056</v>
      </c>
      <c r="Q18">
        <f>IF($C$3="CGE",INDEX(GDP_CGE!$A$3:$AN$24,MATCH($A18,GDP_CGE!$A$3:$A$24,0),MATCH(Q$9,GDP_CGE!$A$3:$AN$3,0)),GDP_Simple!X20)</f>
        <v>26.609549366356628</v>
      </c>
      <c r="R18">
        <f>IF($C$3="CGE",INDEX(GDP_CGE!$A$3:$AN$24,MATCH($A18,GDP_CGE!$A$3:$A$24,0),MATCH(R$9,GDP_CGE!$A$3:$AN$3,0)),GDP_Simple!Y20)</f>
        <v>27.640519654126816</v>
      </c>
      <c r="S18">
        <f>IF($C$3="CGE",INDEX(GDP_CGE!$A$3:$AN$24,MATCH($A18,GDP_CGE!$A$3:$A$24,0),MATCH(S$9,GDP_CGE!$A$3:$AN$3,0)),GDP_Simple!Z20)</f>
        <v>28.730970128291894</v>
      </c>
      <c r="T18">
        <f>IF($C$3="CGE",INDEX(GDP_CGE!$A$3:$AN$24,MATCH($A18,GDP_CGE!$A$3:$A$24,0),MATCH(T$9,GDP_CGE!$A$3:$AN$3,0)),GDP_Simple!AA20)</f>
        <v>29.87427100473241</v>
      </c>
      <c r="U18">
        <f>IF($C$3="CGE",INDEX(GDP_CGE!$A$3:$AN$24,MATCH($A18,GDP_CGE!$A$3:$A$24,0),MATCH(U$9,GDP_CGE!$A$3:$AN$3,0)),GDP_Simple!AB20)</f>
        <v>31.085735649876479</v>
      </c>
      <c r="V18">
        <f>IF($C$3="CGE",INDEX(GDP_CGE!$A$3:$AN$24,MATCH($A18,GDP_CGE!$A$3:$A$24,0),MATCH(V$9,GDP_CGE!$A$3:$AN$3,0)),GDP_Simple!AC20)</f>
        <v>32.315354391262929</v>
      </c>
      <c r="W18">
        <f>IF($C$3="CGE",INDEX(GDP_CGE!$A$3:$AN$24,MATCH($A18,GDP_CGE!$A$3:$A$24,0),MATCH(W$9,GDP_CGE!$A$3:$AN$3,0)),GDP_Simple!AD20)</f>
        <v>33.550079435863324</v>
      </c>
      <c r="X18">
        <f>IF($C$3="CGE",INDEX(GDP_CGE!$A$3:$AN$24,MATCH($A18,GDP_CGE!$A$3:$A$24,0),MATCH(X$9,GDP_CGE!$A$3:$AN$3,0)),GDP_Simple!AE20)</f>
        <v>34.823785844322693</v>
      </c>
      <c r="Y18">
        <f>IF($C$3="CGE",INDEX(GDP_CGE!$A$3:$AN$24,MATCH($A18,GDP_CGE!$A$3:$A$24,0),MATCH(Y$9,GDP_CGE!$A$3:$AN$3,0)),GDP_Simple!AF20)</f>
        <v>36.078954254061244</v>
      </c>
      <c r="Z18">
        <f>IF($C$3="CGE",INDEX(GDP_CGE!$A$3:$AN$24,MATCH($A18,GDP_CGE!$A$3:$A$24,0),MATCH(Z$9,GDP_CGE!$A$3:$AN$3,0)),GDP_Simple!AG20)</f>
        <v>37.380985941134057</v>
      </c>
      <c r="AA18">
        <f>IF($C$3="CGE",INDEX(GDP_CGE!$A$3:$AN$24,MATCH($A18,GDP_CGE!$A$3:$A$24,0),MATCH(AA$9,GDP_CGE!$A$3:$AN$3,0)),GDP_Simple!AH20)</f>
        <v>38.746168077155666</v>
      </c>
      <c r="AB18">
        <f>IF($C$3="CGE",INDEX(GDP_CGE!$A$3:$AN$24,MATCH($A18,GDP_CGE!$A$3:$A$24,0),MATCH(AB$9,GDP_CGE!$A$3:$AN$3,0)),GDP_Simple!AI20)</f>
        <v>40.179764399704212</v>
      </c>
      <c r="AC18">
        <f>IF($C$3="CGE",INDEX(GDP_CGE!$A$3:$AN$24,MATCH($A18,GDP_CGE!$A$3:$A$24,0),MATCH(AC$9,GDP_CGE!$A$3:$AN$3,0)),GDP_Simple!AJ20)</f>
        <v>41.685702915616126</v>
      </c>
      <c r="AD18">
        <f>IF($C$3="CGE",INDEX(GDP_CGE!$A$3:$AN$24,MATCH($A18,GDP_CGE!$A$3:$A$24,0),MATCH(AD$9,GDP_CGE!$A$3:$AN$3,0)),GDP_Simple!AK20)</f>
        <v>43.16608560407542</v>
      </c>
      <c r="AE18">
        <f>IF($C$3="CGE",INDEX(GDP_CGE!$A$3:$AN$24,MATCH($A18,GDP_CGE!$A$3:$A$24,0),MATCH(AE$9,GDP_CGE!$A$3:$AN$3,0)),GDP_Simple!AL20)</f>
        <v>44.720084167118962</v>
      </c>
      <c r="AF18">
        <f>IF($C$3="CGE",INDEX(GDP_CGE!$A$3:$AN$24,MATCH($A18,GDP_CGE!$A$3:$A$24,0),MATCH(AF$9,GDP_CGE!$A$3:$AN$3,0)),GDP_Simple!AM20)</f>
        <v>46.385815171109797</v>
      </c>
      <c r="AG18">
        <f>IF($C$3="CGE",INDEX(GDP_CGE!$A$3:$AN$24,MATCH($A18,GDP_CGE!$A$3:$A$24,0),MATCH(AG$9,GDP_CGE!$A$3:$AN$3,0)),GDP_Simple!AN20)</f>
        <v>48.150288413997863</v>
      </c>
      <c r="AH18">
        <f>IF($C$3="CGE",INDEX(GDP_CGE!$A$3:$AN$24,MATCH($A18,GDP_CGE!$A$3:$A$24,0),MATCH(AH$9,GDP_CGE!$A$3:$AN$3,0)),GDP_Simple!AO20)</f>
        <v>49.889173048755914</v>
      </c>
      <c r="AI18">
        <f>IF($C$3="CGE",INDEX(GDP_CGE!$A$3:$AN$24,MATCH($A18,GDP_CGE!$A$3:$A$24,0),MATCH(AI$9,GDP_CGE!$A$3:$AN$3,0)),GDP_Simple!AP20)</f>
        <v>51.595334505822741</v>
      </c>
      <c r="AJ18">
        <f>IF($C$3="CGE",INDEX(GDP_CGE!$A$3:$AN$24,MATCH($A18,GDP_CGE!$A$3:$A$24,0),MATCH(AJ$9,GDP_CGE!$A$3:$AN$3,0)),GDP_Simple!AQ20)</f>
        <v>53.261556810552847</v>
      </c>
      <c r="AK18">
        <f>IF($C$3="CGE",INDEX(GDP_CGE!$A$3:$AN$24,MATCH($A18,GDP_CGE!$A$3:$A$24,0),MATCH(AK$9,GDP_CGE!$A$3:$AN$3,0)),GDP_Simple!AR20)</f>
        <v>54.880587877055298</v>
      </c>
      <c r="AL18">
        <f>IF($C$3="CGE",INDEX(GDP_CGE!$A$3:$AN$24,MATCH($A18,GDP_CGE!$A$3:$A$24,0),MATCH(AL$9,GDP_CGE!$A$3:$AN$3,0)),GDP_Simple!AS20)</f>
        <v>56.445190534962315</v>
      </c>
      <c r="AM18">
        <f>IF($C$3="CGE",INDEX(GDP_CGE!$A$3:$AN$24,MATCH($A18,GDP_CGE!$A$3:$A$24,0),MATCH(AM$9,GDP_CGE!$A$3:$AN$3,0)),GDP_Simple!AT20)</f>
        <v>57.948195195008886</v>
      </c>
      <c r="AN18">
        <f>IF($C$3="CGE",INDEX(GDP_CGE!$A$3:$AN$24,MATCH($A18,GDP_CGE!$A$3:$A$24,0),MATCH(AN$9,GDP_CGE!$A$3:$AN$3,0)),GDP_Simple!AU20)</f>
        <v>59.382553641070473</v>
      </c>
      <c r="AO18">
        <f>IF($C$3="CGE",INDEX(GDP_CGE!$A$3:$AN$24,MATCH($A18,GDP_CGE!$A$3:$A$24,0),MATCH(AO$9,GDP_CGE!$A$3:$AN$3,0)),GDP_Simple!AV20)</f>
        <v>60.741393404292936</v>
      </c>
      <c r="AP18">
        <f>IF($C$3="CGE",INDEX(GDP_CGE!$A$3:$AN$24,MATCH($A18,GDP_CGE!$A$3:$A$24,0),MATCH(AP$9,GDP_CGE!$A$3:$AN$3,0)),GDP_Simple!AW20)</f>
        <v>62.018072149668818</v>
      </c>
      <c r="AQ18">
        <f>IF($C$3="CGE",INDEX(GDP_CGE!$A$3:$AN$24,MATCH($A18,GDP_CGE!$A$3:$A$24,0),MATCH(AQ$9,GDP_CGE!$A$3:$AN$3,0)),GDP_Simple!AX20)</f>
        <v>63.206231487511133</v>
      </c>
      <c r="AR18">
        <f>IF($C$3="CGE",INDEX(GDP_CGE!$A$3:$AN$24,MATCH($A18,GDP_CGE!$A$3:$A$24,0),MATCH(AR$9,GDP_CGE!$A$3:$AN$3,0)),GDP_Simple!AY20)</f>
        <v>64.299849612284419</v>
      </c>
      <c r="AS18">
        <f>IF($C$3="CGE",INDEX(GDP_CGE!$A$3:$AN$24,MATCH($A18,GDP_CGE!$A$3:$A$24,0),MATCH(AS$9,GDP_CGE!$A$3:$AN$3,0)),GDP_Simple!AZ20)</f>
        <v>65.293292169580255</v>
      </c>
      <c r="AT18">
        <f>IF($C$3="CGE",INDEX(GDP_CGE!$A$3:$AN$24,MATCH($A18,GDP_CGE!$A$3:$A$24,0),MATCH(AT$9,GDP_CGE!$A$3:$AN$3,0)),GDP_Simple!BA20)</f>
        <v>66.181360758942191</v>
      </c>
      <c r="AU18">
        <f>IF($C$3="CGE",INDEX(GDP_CGE!$A$3:$AN$24,MATCH($A18,GDP_CGE!$A$3:$A$24,0),MATCH(AU$9,GDP_CGE!$A$3:$AN$3,0)),GDP_Simple!BB20)</f>
        <v>66.959338495878328</v>
      </c>
      <c r="AV18">
        <f>IF($C$3="CGE",INDEX(GDP_CGE!$A$3:$AN$24,MATCH($A18,GDP_CGE!$A$3:$A$24,0),MATCH(AV$9,GDP_CGE!$A$3:$AN$3,0)),GDP_Simple!BC20)</f>
        <v>67.623032080719071</v>
      </c>
      <c r="AW18">
        <f>IF($C$3="CGE",INDEX(GDP_CGE!$A$3:$AN$24,MATCH($A18,GDP_CGE!$A$3:$A$24,0),MATCH(AW$9,GDP_CGE!$A$3:$AN$3,0)),GDP_Simple!BD20)</f>
        <v>68.168809854795839</v>
      </c>
      <c r="AX18">
        <f>IF($C$3="CGE",INDEX(GDP_CGE!$A$3:$AN$24,MATCH($A18,GDP_CGE!$A$3:$A$24,0),MATCH(AX$9,GDP_CGE!$A$3:$AN$3,0)),GDP_Simple!BE20)</f>
        <v>68.593635365390654</v>
      </c>
      <c r="AY18">
        <f>IF($C$3="CGE",INDEX(GDP_CGE!$A$3:$AN$24,MATCH($A18,GDP_CGE!$A$3:$A$24,0),MATCH(AY$9,GDP_CGE!$A$3:$AN$3,0)),GDP_Simple!BF20)</f>
        <v>68.895096009538861</v>
      </c>
      <c r="AZ18">
        <f>IF($C$3="CGE",INDEX(GDP_CGE!$A$3:$AN$24,MATCH($A18,GDP_CGE!$A$3:$A$24,0),MATCH(AZ$9,GDP_CGE!$A$3:$AN$3,0)),GDP_Simple!BG20)</f>
        <v>69.071426382407807</v>
      </c>
      <c r="BA18">
        <f>IF($C$3="CGE",INDEX(GDP_CGE!$A$3:$AN$24,MATCH($A18,GDP_CGE!$A$3:$A$24,0),MATCH(BA$9,GDP_CGE!$A$3:$AN$3,0)),GDP_Simple!BH20)</f>
        <v>69.121526017843848</v>
      </c>
    </row>
    <row r="19" spans="1:5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12.918779670298592</v>
      </c>
      <c r="G19">
        <f>IF($C$3="CGE",INDEX(GDP_CGE!$A$3:$AN$24,MATCH($A19,GDP_CGE!$A$3:$A$24,0),MATCH(G$9,GDP_CGE!$A$3:$AN$3,0)),GDP_Simple!N21)</f>
        <v>13.05064668956769</v>
      </c>
      <c r="H19">
        <f>IF($C$3="CGE",INDEX(GDP_CGE!$A$3:$AN$24,MATCH($A19,GDP_CGE!$A$3:$A$24,0),MATCH(H$9,GDP_CGE!$A$3:$AN$3,0)),GDP_Simple!O21)</f>
        <v>13.191333314423284</v>
      </c>
      <c r="I19">
        <f>IF($C$3="CGE",INDEX(GDP_CGE!$A$3:$AN$24,MATCH($A19,GDP_CGE!$A$3:$A$24,0),MATCH(I$9,GDP_CGE!$A$3:$AN$3,0)),GDP_Simple!P21)</f>
        <v>13.399270175290695</v>
      </c>
      <c r="J19">
        <f>IF($C$3="CGE",INDEX(GDP_CGE!$A$3:$AN$24,MATCH($A19,GDP_CGE!$A$3:$A$24,0),MATCH(J$9,GDP_CGE!$A$3:$AN$3,0)),GDP_Simple!Q21)</f>
        <v>13.634347406011827</v>
      </c>
      <c r="K19">
        <f>IF($C$3="CGE",INDEX(GDP_CGE!$A$3:$AN$24,MATCH($A19,GDP_CGE!$A$3:$A$24,0),MATCH(K$9,GDP_CGE!$A$3:$AN$3,0)),GDP_Simple!R21)</f>
        <v>13.891768875495416</v>
      </c>
      <c r="L19">
        <f>IF($C$3="CGE",INDEX(GDP_CGE!$A$3:$AN$24,MATCH($A19,GDP_CGE!$A$3:$A$24,0),MATCH(L$9,GDP_CGE!$A$3:$AN$3,0)),GDP_Simple!S21)</f>
        <v>14.216134773845083</v>
      </c>
      <c r="M19">
        <f>IF($C$3="CGE",INDEX(GDP_CGE!$A$3:$AN$24,MATCH($A19,GDP_CGE!$A$3:$A$24,0),MATCH(M$9,GDP_CGE!$A$3:$AN$3,0)),GDP_Simple!T21)</f>
        <v>14.610855856195927</v>
      </c>
      <c r="N19">
        <f>IF($C$3="CGE",INDEX(GDP_CGE!$A$3:$AN$24,MATCH($A19,GDP_CGE!$A$3:$A$24,0),MATCH(N$9,GDP_CGE!$A$3:$AN$3,0)),GDP_Simple!U21)</f>
        <v>15.078181229642823</v>
      </c>
      <c r="O19">
        <f>IF($C$3="CGE",INDEX(GDP_CGE!$A$3:$AN$24,MATCH($A19,GDP_CGE!$A$3:$A$24,0),MATCH(O$9,GDP_CGE!$A$3:$AN$3,0)),GDP_Simple!V21)</f>
        <v>15.566485368119569</v>
      </c>
      <c r="P19">
        <f>IF($C$3="CGE",INDEX(GDP_CGE!$A$3:$AN$24,MATCH($A19,GDP_CGE!$A$3:$A$24,0),MATCH(P$9,GDP_CGE!$A$3:$AN$3,0)),GDP_Simple!W21)</f>
        <v>16.097736363534008</v>
      </c>
      <c r="Q19">
        <f>IF($C$3="CGE",INDEX(GDP_CGE!$A$3:$AN$24,MATCH($A19,GDP_CGE!$A$3:$A$24,0),MATCH(Q$9,GDP_CGE!$A$3:$AN$3,0)),GDP_Simple!X21)</f>
        <v>16.693184926232362</v>
      </c>
      <c r="R19">
        <f>IF($C$3="CGE",INDEX(GDP_CGE!$A$3:$AN$24,MATCH($A19,GDP_CGE!$A$3:$A$24,0),MATCH(R$9,GDP_CGE!$A$3:$AN$3,0)),GDP_Simple!Y21)</f>
        <v>17.339951898128479</v>
      </c>
      <c r="S19">
        <f>IF($C$3="CGE",INDEX(GDP_CGE!$A$3:$AN$24,MATCH($A19,GDP_CGE!$A$3:$A$24,0),MATCH(S$9,GDP_CGE!$A$3:$AN$3,0)),GDP_Simple!Z21)</f>
        <v>18.024033058899665</v>
      </c>
      <c r="T19">
        <f>IF($C$3="CGE",INDEX(GDP_CGE!$A$3:$AN$24,MATCH($A19,GDP_CGE!$A$3:$A$24,0),MATCH(T$9,GDP_CGE!$A$3:$AN$3,0)),GDP_Simple!AA21)</f>
        <v>18.741269292177456</v>
      </c>
      <c r="U19">
        <f>IF($C$3="CGE",INDEX(GDP_CGE!$A$3:$AN$24,MATCH($A19,GDP_CGE!$A$3:$A$24,0),MATCH(U$9,GDP_CGE!$A$3:$AN$3,0)),GDP_Simple!AB21)</f>
        <v>19.501267256613158</v>
      </c>
      <c r="V19">
        <f>IF($C$3="CGE",INDEX(GDP_CGE!$A$3:$AN$24,MATCH($A19,GDP_CGE!$A$3:$A$24,0),MATCH(V$9,GDP_CGE!$A$3:$AN$3,0)),GDP_Simple!AC21)</f>
        <v>20.272653977828256</v>
      </c>
      <c r="W19">
        <f>IF($C$3="CGE",INDEX(GDP_CGE!$A$3:$AN$24,MATCH($A19,GDP_CGE!$A$3:$A$24,0),MATCH(W$9,GDP_CGE!$A$3:$AN$3,0)),GDP_Simple!AD21)</f>
        <v>21.047244077750229</v>
      </c>
      <c r="X19">
        <f>IF($C$3="CGE",INDEX(GDP_CGE!$A$3:$AN$24,MATCH($A19,GDP_CGE!$A$3:$A$24,0),MATCH(X$9,GDP_CGE!$A$3:$AN$3,0)),GDP_Simple!AE21)</f>
        <v>21.846288673560714</v>
      </c>
      <c r="Y19">
        <f>IF($C$3="CGE",INDEX(GDP_CGE!$A$3:$AN$24,MATCH($A19,GDP_CGE!$A$3:$A$24,0),MATCH(Y$9,GDP_CGE!$A$3:$AN$3,0)),GDP_Simple!AF21)</f>
        <v>22.63370367592907</v>
      </c>
      <c r="Z19">
        <f>IF($C$3="CGE",INDEX(GDP_CGE!$A$3:$AN$24,MATCH($A19,GDP_CGE!$A$3:$A$24,0),MATCH(Z$9,GDP_CGE!$A$3:$AN$3,0)),GDP_Simple!AG21)</f>
        <v>23.450517799042373</v>
      </c>
      <c r="AA19">
        <f>IF($C$3="CGE",INDEX(GDP_CGE!$A$3:$AN$24,MATCH($A19,GDP_CGE!$A$3:$A$24,0),MATCH(AA$9,GDP_CGE!$A$3:$AN$3,0)),GDP_Simple!AH21)</f>
        <v>24.306948606676073</v>
      </c>
      <c r="AB19">
        <f>IF($C$3="CGE",INDEX(GDP_CGE!$A$3:$AN$24,MATCH($A19,GDP_CGE!$A$3:$A$24,0),MATCH(AB$9,GDP_CGE!$A$3:$AN$3,0)),GDP_Simple!AI21)</f>
        <v>25.206298242116599</v>
      </c>
      <c r="AC19">
        <f>IF($C$3="CGE",INDEX(GDP_CGE!$A$3:$AN$24,MATCH($A19,GDP_CGE!$A$3:$A$24,0),MATCH(AC$9,GDP_CGE!$A$3:$AN$3,0)),GDP_Simple!AJ21)</f>
        <v>26.151030893825368</v>
      </c>
      <c r="AD19">
        <f>IF($C$3="CGE",INDEX(GDP_CGE!$A$3:$AN$24,MATCH($A19,GDP_CGE!$A$3:$A$24,0),MATCH(AD$9,GDP_CGE!$A$3:$AN$3,0)),GDP_Simple!AK21)</f>
        <v>27.079731400542279</v>
      </c>
      <c r="AE19">
        <f>IF($C$3="CGE",INDEX(GDP_CGE!$A$3:$AN$24,MATCH($A19,GDP_CGE!$A$3:$A$24,0),MATCH(AE$9,GDP_CGE!$A$3:$AN$3,0)),GDP_Simple!AL21)</f>
        <v>28.054613952322111</v>
      </c>
      <c r="AF19">
        <f>IF($C$3="CGE",INDEX(GDP_CGE!$A$3:$AN$24,MATCH($A19,GDP_CGE!$A$3:$A$24,0),MATCH(AF$9,GDP_CGE!$A$3:$AN$3,0)),GDP_Simple!AM21)</f>
        <v>29.099590524609887</v>
      </c>
      <c r="AG19">
        <f>IF($C$3="CGE",INDEX(GDP_CGE!$A$3:$AN$24,MATCH($A19,GDP_CGE!$A$3:$A$24,0),MATCH(AG$9,GDP_CGE!$A$3:$AN$3,0)),GDP_Simple!AN21)</f>
        <v>30.20651186834974</v>
      </c>
      <c r="AH19">
        <f>IF($C$3="CGE",INDEX(GDP_CGE!$A$3:$AN$24,MATCH($A19,GDP_CGE!$A$3:$A$24,0),MATCH(AH$9,GDP_CGE!$A$3:$AN$3,0)),GDP_Simple!AO21)</f>
        <v>31.297380502528892</v>
      </c>
      <c r="AI19">
        <f>IF($C$3="CGE",INDEX(GDP_CGE!$A$3:$AN$24,MATCH($A19,GDP_CGE!$A$3:$A$24,0),MATCH(AI$9,GDP_CGE!$A$3:$AN$3,0)),GDP_Simple!AP21)</f>
        <v>32.367720639624054</v>
      </c>
      <c r="AJ19">
        <f>IF($C$3="CGE",INDEX(GDP_CGE!$A$3:$AN$24,MATCH($A19,GDP_CGE!$A$3:$A$24,0),MATCH(AJ$9,GDP_CGE!$A$3:$AN$3,0)),GDP_Simple!AQ21)</f>
        <v>33.413005423598619</v>
      </c>
      <c r="AK19">
        <f>IF($C$3="CGE",INDEX(GDP_CGE!$A$3:$AN$24,MATCH($A19,GDP_CGE!$A$3:$A$24,0),MATCH(AK$9,GDP_CGE!$A$3:$AN$3,0)),GDP_Simple!AR21)</f>
        <v>34.428685344454834</v>
      </c>
      <c r="AL19">
        <f>IF($C$3="CGE",INDEX(GDP_CGE!$A$3:$AN$24,MATCH($A19,GDP_CGE!$A$3:$A$24,0),MATCH(AL$9,GDP_CGE!$A$3:$AN$3,0)),GDP_Simple!AS21)</f>
        <v>35.410220249271326</v>
      </c>
      <c r="AM19">
        <f>IF($C$3="CGE",INDEX(GDP_CGE!$A$3:$AN$24,MATCH($A19,GDP_CGE!$A$3:$A$24,0),MATCH(AM$9,GDP_CGE!$A$3:$AN$3,0)),GDP_Simple!AT21)</f>
        <v>36.353112381329318</v>
      </c>
      <c r="AN19">
        <f>IF($C$3="CGE",INDEX(GDP_CGE!$A$3:$AN$24,MATCH($A19,GDP_CGE!$A$3:$A$24,0),MATCH(AN$9,GDP_CGE!$A$3:$AN$3,0)),GDP_Simple!AU21)</f>
        <v>37.252940125908957</v>
      </c>
      <c r="AO19">
        <f>IF($C$3="CGE",INDEX(GDP_CGE!$A$3:$AN$24,MATCH($A19,GDP_CGE!$A$3:$A$24,0),MATCH(AO$9,GDP_CGE!$A$3:$AN$3,0)),GDP_Simple!AV21)</f>
        <v>38.105392121254276</v>
      </c>
      <c r="AP19">
        <f>IF($C$3="CGE",INDEX(GDP_CGE!$A$3:$AN$24,MATCH($A19,GDP_CGE!$A$3:$A$24,0),MATCH(AP$9,GDP_CGE!$A$3:$AN$3,0)),GDP_Simple!AW21)</f>
        <v>38.906301377346196</v>
      </c>
      <c r="AQ19">
        <f>IF($C$3="CGE",INDEX(GDP_CGE!$A$3:$AN$24,MATCH($A19,GDP_CGE!$A$3:$A$24,0),MATCH(AQ$9,GDP_CGE!$A$3:$AN$3,0)),GDP_Simple!AX21)</f>
        <v>39.651679033891874</v>
      </c>
      <c r="AR19">
        <f>IF($C$3="CGE",INDEX(GDP_CGE!$A$3:$AN$24,MATCH($A19,GDP_CGE!$A$3:$A$24,0),MATCH(AR$9,GDP_CGE!$A$3:$AN$3,0)),GDP_Simple!AY21)</f>
        <v>40.337747382670514</v>
      </c>
      <c r="AS19">
        <f>IF($C$3="CGE",INDEX(GDP_CGE!$A$3:$AN$24,MATCH($A19,GDP_CGE!$A$3:$A$24,0),MATCH(AS$9,GDP_CGE!$A$3:$AN$3,0)),GDP_Simple!AZ21)</f>
        <v>40.960971778326609</v>
      </c>
      <c r="AT19">
        <f>IF($C$3="CGE",INDEX(GDP_CGE!$A$3:$AN$24,MATCH($A19,GDP_CGE!$A$3:$A$24,0),MATCH(AT$9,GDP_CGE!$A$3:$AN$3,0)),GDP_Simple!BA21)</f>
        <v>41.518091066041428</v>
      </c>
      <c r="AU19">
        <f>IF($C$3="CGE",INDEX(GDP_CGE!$A$3:$AN$24,MATCH($A19,GDP_CGE!$A$3:$A$24,0),MATCH(AU$9,GDP_CGE!$A$3:$AN$3,0)),GDP_Simple!BB21)</f>
        <v>42.006146164320789</v>
      </c>
      <c r="AV19">
        <f>IF($C$3="CGE",INDEX(GDP_CGE!$A$3:$AN$24,MATCH($A19,GDP_CGE!$A$3:$A$24,0),MATCH(AV$9,GDP_CGE!$A$3:$AN$3,0)),GDP_Simple!BC21)</f>
        <v>42.422506456393549</v>
      </c>
      <c r="AW19">
        <f>IF($C$3="CGE",INDEX(GDP_CGE!$A$3:$AN$24,MATCH($A19,GDP_CGE!$A$3:$A$24,0),MATCH(AW$9,GDP_CGE!$A$3:$AN$3,0)),GDP_Simple!BD21)</f>
        <v>42.764893664303578</v>
      </c>
      <c r="AX19">
        <f>IF($C$3="CGE",INDEX(GDP_CGE!$A$3:$AN$24,MATCH($A19,GDP_CGE!$A$3:$A$24,0),MATCH(AX$9,GDP_CGE!$A$3:$AN$3,0)),GDP_Simple!BE21)</f>
        <v>43.03140290548248</v>
      </c>
      <c r="AY19">
        <f>IF($C$3="CGE",INDEX(GDP_CGE!$A$3:$AN$24,MATCH($A19,GDP_CGE!$A$3:$A$24,0),MATCH(AY$9,GDP_CGE!$A$3:$AN$3,0)),GDP_Simple!BF21)</f>
        <v>43.220520662099197</v>
      </c>
      <c r="AZ19">
        <f>IF($C$3="CGE",INDEX(GDP_CGE!$A$3:$AN$24,MATCH($A19,GDP_CGE!$A$3:$A$24,0),MATCH(AZ$9,GDP_CGE!$A$3:$AN$3,0)),GDP_Simple!BG21)</f>
        <v>43.331139428388205</v>
      </c>
      <c r="BA19">
        <f>IF($C$3="CGE",INDEX(GDP_CGE!$A$3:$AN$24,MATCH($A19,GDP_CGE!$A$3:$A$24,0),MATCH(BA$9,GDP_CGE!$A$3:$AN$3,0)),GDP_Simple!BH21)</f>
        <v>43.362568839971111</v>
      </c>
    </row>
    <row r="20" spans="1:5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0.11852091440640911</v>
      </c>
      <c r="G20">
        <f>IF($C$3="CGE",INDEX(GDP_CGE!$A$3:$AN$24,MATCH($A20,GDP_CGE!$A$3:$A$24,0),MATCH(G$9,GDP_CGE!$A$3:$AN$3,0)),GDP_Simple!N22)</f>
        <v>0.11973070357401551</v>
      </c>
      <c r="H20">
        <f>IF($C$3="CGE",INDEX(GDP_CGE!$A$3:$AN$24,MATCH($A20,GDP_CGE!$A$3:$A$24,0),MATCH(H$9,GDP_CGE!$A$3:$AN$3,0)),GDP_Simple!O22)</f>
        <v>0.12102140655434204</v>
      </c>
      <c r="I20">
        <f>IF($C$3="CGE",INDEX(GDP_CGE!$A$3:$AN$24,MATCH($A20,GDP_CGE!$A$3:$A$24,0),MATCH(I$9,GDP_CGE!$A$3:$AN$3,0)),GDP_Simple!P22)</f>
        <v>0.12292908417697886</v>
      </c>
      <c r="J20">
        <f>IF($C$3="CGE",INDEX(GDP_CGE!$A$3:$AN$24,MATCH($A20,GDP_CGE!$A$3:$A$24,0),MATCH(J$9,GDP_CGE!$A$3:$AN$3,0)),GDP_Simple!Q22)</f>
        <v>0.12508575601845712</v>
      </c>
      <c r="K20">
        <f>IF($C$3="CGE",INDEX(GDP_CGE!$A$3:$AN$24,MATCH($A20,GDP_CGE!$A$3:$A$24,0),MATCH(K$9,GDP_CGE!$A$3:$AN$3,0)),GDP_Simple!R22)</f>
        <v>0.12744742087610472</v>
      </c>
      <c r="L20">
        <f>IF($C$3="CGE",INDEX(GDP_CGE!$A$3:$AN$24,MATCH($A20,GDP_CGE!$A$3:$A$24,0),MATCH(L$9,GDP_CGE!$A$3:$AN$3,0)),GDP_Simple!S22)</f>
        <v>0.13042325480591818</v>
      </c>
      <c r="M20">
        <f>IF($C$3="CGE",INDEX(GDP_CGE!$A$3:$AN$24,MATCH($A20,GDP_CGE!$A$3:$A$24,0),MATCH(M$9,GDP_CGE!$A$3:$AN$3,0)),GDP_Simple!T22)</f>
        <v>0.13404454913941219</v>
      </c>
      <c r="N20">
        <f>IF($C$3="CGE",INDEX(GDP_CGE!$A$3:$AN$24,MATCH($A20,GDP_CGE!$A$3:$A$24,0),MATCH(N$9,GDP_CGE!$A$3:$AN$3,0)),GDP_Simple!U22)</f>
        <v>0.1383319378866314</v>
      </c>
      <c r="O20">
        <f>IF($C$3="CGE",INDEX(GDP_CGE!$A$3:$AN$24,MATCH($A20,GDP_CGE!$A$3:$A$24,0),MATCH(O$9,GDP_CGE!$A$3:$AN$3,0)),GDP_Simple!V22)</f>
        <v>0.14281179236806943</v>
      </c>
      <c r="P20">
        <f>IF($C$3="CGE",INDEX(GDP_CGE!$A$3:$AN$24,MATCH($A20,GDP_CGE!$A$3:$A$24,0),MATCH(P$9,GDP_CGE!$A$3:$AN$3,0)),GDP_Simple!W22)</f>
        <v>0.14768565471132117</v>
      </c>
      <c r="Q20">
        <f>IF($C$3="CGE",INDEX(GDP_CGE!$A$3:$AN$24,MATCH($A20,GDP_CGE!$A$3:$A$24,0),MATCH(Q$9,GDP_CGE!$A$3:$AN$3,0)),GDP_Simple!X22)</f>
        <v>0.15314848556176477</v>
      </c>
      <c r="R20">
        <f>IF($C$3="CGE",INDEX(GDP_CGE!$A$3:$AN$24,MATCH($A20,GDP_CGE!$A$3:$A$24,0),MATCH(R$9,GDP_CGE!$A$3:$AN$3,0)),GDP_Simple!Y22)</f>
        <v>0.15908212750576584</v>
      </c>
      <c r="S20">
        <f>IF($C$3="CGE",INDEX(GDP_CGE!$A$3:$AN$24,MATCH($A20,GDP_CGE!$A$3:$A$24,0),MATCH(S$9,GDP_CGE!$A$3:$AN$3,0)),GDP_Simple!Z22)</f>
        <v>0.16535810145779506</v>
      </c>
      <c r="T20">
        <f>IF($C$3="CGE",INDEX(GDP_CGE!$A$3:$AN$24,MATCH($A20,GDP_CGE!$A$3:$A$24,0),MATCH(T$9,GDP_CGE!$A$3:$AN$3,0)),GDP_Simple!AA22)</f>
        <v>0.17193825038694913</v>
      </c>
      <c r="U20">
        <f>IF($C$3="CGE",INDEX(GDP_CGE!$A$3:$AN$24,MATCH($A20,GDP_CGE!$A$3:$A$24,0),MATCH(U$9,GDP_CGE!$A$3:$AN$3,0)),GDP_Simple!AB22)</f>
        <v>0.1789107087762675</v>
      </c>
      <c r="V20">
        <f>IF($C$3="CGE",INDEX(GDP_CGE!$A$3:$AN$24,MATCH($A20,GDP_CGE!$A$3:$A$24,0),MATCH(V$9,GDP_CGE!$A$3:$AN$3,0)),GDP_Simple!AC22)</f>
        <v>0.18598765117273627</v>
      </c>
      <c r="W20">
        <f>IF($C$3="CGE",INDEX(GDP_CGE!$A$3:$AN$24,MATCH($A20,GDP_CGE!$A$3:$A$24,0),MATCH(W$9,GDP_CGE!$A$3:$AN$3,0)),GDP_Simple!AD22)</f>
        <v>0.19309398236468098</v>
      </c>
      <c r="X20">
        <f>IF($C$3="CGE",INDEX(GDP_CGE!$A$3:$AN$24,MATCH($A20,GDP_CGE!$A$3:$A$24,0),MATCH(X$9,GDP_CGE!$A$3:$AN$3,0)),GDP_Simple!AE22)</f>
        <v>0.2004246667299148</v>
      </c>
      <c r="Y20">
        <f>IF($C$3="CGE",INDEX(GDP_CGE!$A$3:$AN$24,MATCH($A20,GDP_CGE!$A$3:$A$24,0),MATCH(Y$9,GDP_CGE!$A$3:$AN$3,0)),GDP_Simple!AF22)</f>
        <v>0.20764865757733092</v>
      </c>
      <c r="Z20">
        <f>IF($C$3="CGE",INDEX(GDP_CGE!$A$3:$AN$24,MATCH($A20,GDP_CGE!$A$3:$A$24,0),MATCH(Z$9,GDP_CGE!$A$3:$AN$3,0)),GDP_Simple!AG22)</f>
        <v>0.21514236512882909</v>
      </c>
      <c r="AA20">
        <f>IF($C$3="CGE",INDEX(GDP_CGE!$A$3:$AN$24,MATCH($A20,GDP_CGE!$A$3:$A$24,0),MATCH(AA$9,GDP_CGE!$A$3:$AN$3,0)),GDP_Simple!AH22)</f>
        <v>0.22299952850161534</v>
      </c>
      <c r="AB20">
        <f>IF($C$3="CGE",INDEX(GDP_CGE!$A$3:$AN$24,MATCH($A20,GDP_CGE!$A$3:$A$24,0),MATCH(AB$9,GDP_CGE!$A$3:$AN$3,0)),GDP_Simple!AI22)</f>
        <v>0.23125044258822566</v>
      </c>
      <c r="AC20">
        <f>IF($C$3="CGE",INDEX(GDP_CGE!$A$3:$AN$24,MATCH($A20,GDP_CGE!$A$3:$A$24,0),MATCH(AC$9,GDP_CGE!$A$3:$AN$3,0)),GDP_Simple!AJ22)</f>
        <v>0.23991771462225109</v>
      </c>
      <c r="AD20">
        <f>IF($C$3="CGE",INDEX(GDP_CGE!$A$3:$AN$24,MATCH($A20,GDP_CGE!$A$3:$A$24,0),MATCH(AD$9,GDP_CGE!$A$3:$AN$3,0)),GDP_Simple!AK22)</f>
        <v>0.2484379027572686</v>
      </c>
      <c r="AE20">
        <f>IF($C$3="CGE",INDEX(GDP_CGE!$A$3:$AN$24,MATCH($A20,GDP_CGE!$A$3:$A$24,0),MATCH(AE$9,GDP_CGE!$A$3:$AN$3,0)),GDP_Simple!AL22)</f>
        <v>0.25738177937910189</v>
      </c>
      <c r="AF20">
        <f>IF($C$3="CGE",INDEX(GDP_CGE!$A$3:$AN$24,MATCH($A20,GDP_CGE!$A$3:$A$24,0),MATCH(AF$9,GDP_CGE!$A$3:$AN$3,0)),GDP_Simple!AM22)</f>
        <v>0.266968720409265</v>
      </c>
      <c r="AG20">
        <f>IF($C$3="CGE",INDEX(GDP_CGE!$A$3:$AN$24,MATCH($A20,GDP_CGE!$A$3:$A$24,0),MATCH(AG$9,GDP_CGE!$A$3:$AN$3,0)),GDP_Simple!AN22)</f>
        <v>0.27712396209495171</v>
      </c>
      <c r="AH20">
        <f>IF($C$3="CGE",INDEX(GDP_CGE!$A$3:$AN$24,MATCH($A20,GDP_CGE!$A$3:$A$24,0),MATCH(AH$9,GDP_CGE!$A$3:$AN$3,0)),GDP_Simple!AO22)</f>
        <v>0.28713193121586139</v>
      </c>
      <c r="AI20">
        <f>IF($C$3="CGE",INDEX(GDP_CGE!$A$3:$AN$24,MATCH($A20,GDP_CGE!$A$3:$A$24,0),MATCH(AI$9,GDP_CGE!$A$3:$AN$3,0)),GDP_Simple!AP22)</f>
        <v>0.29695156550113805</v>
      </c>
      <c r="AJ20">
        <f>IF($C$3="CGE",INDEX(GDP_CGE!$A$3:$AN$24,MATCH($A20,GDP_CGE!$A$3:$A$24,0),MATCH(AJ$9,GDP_CGE!$A$3:$AN$3,0)),GDP_Simple!AQ22)</f>
        <v>0.30654133416145524</v>
      </c>
      <c r="AK20">
        <f>IF($C$3="CGE",INDEX(GDP_CGE!$A$3:$AN$24,MATCH($A20,GDP_CGE!$A$3:$A$24,0),MATCH(AK$9,GDP_CGE!$A$3:$AN$3,0)),GDP_Simple!AR22)</f>
        <v>0.31585949857298012</v>
      </c>
      <c r="AL20">
        <f>IF($C$3="CGE",INDEX(GDP_CGE!$A$3:$AN$24,MATCH($A20,GDP_CGE!$A$3:$A$24,0),MATCH(AL$9,GDP_CGE!$A$3:$AN$3,0)),GDP_Simple!AS22)</f>
        <v>0.32486440595661764</v>
      </c>
      <c r="AM20">
        <f>IF($C$3="CGE",INDEX(GDP_CGE!$A$3:$AN$24,MATCH($A20,GDP_CGE!$A$3:$A$24,0),MATCH(AM$9,GDP_CGE!$A$3:$AN$3,0)),GDP_Simple!AT22)</f>
        <v>0.33351479248925975</v>
      </c>
      <c r="AN20">
        <f>IF($C$3="CGE",INDEX(GDP_CGE!$A$3:$AN$24,MATCH($A20,GDP_CGE!$A$3:$A$24,0),MATCH(AN$9,GDP_CGE!$A$3:$AN$3,0)),GDP_Simple!AU22)</f>
        <v>0.34177009289824734</v>
      </c>
      <c r="AO20">
        <f>IF($C$3="CGE",INDEX(GDP_CGE!$A$3:$AN$24,MATCH($A20,GDP_CGE!$A$3:$A$24,0),MATCH(AO$9,GDP_CGE!$A$3:$AN$3,0)),GDP_Simple!AV22)</f>
        <v>0.34959075340600249</v>
      </c>
      <c r="AP20">
        <f>IF($C$3="CGE",INDEX(GDP_CGE!$A$3:$AN$24,MATCH($A20,GDP_CGE!$A$3:$A$24,0),MATCH(AP$9,GDP_CGE!$A$3:$AN$3,0)),GDP_Simple!AW22)</f>
        <v>0.35693854474629533</v>
      </c>
      <c r="AQ20">
        <f>IF($C$3="CGE",INDEX(GDP_CGE!$A$3:$AN$24,MATCH($A20,GDP_CGE!$A$3:$A$24,0),MATCH(AQ$9,GDP_CGE!$A$3:$AN$3,0)),GDP_Simple!AX22)</f>
        <v>0.36377687187056762</v>
      </c>
      <c r="AR20">
        <f>IF($C$3="CGE",INDEX(GDP_CGE!$A$3:$AN$24,MATCH($A20,GDP_CGE!$A$3:$A$24,0),MATCH(AR$9,GDP_CGE!$A$3:$AN$3,0)),GDP_Simple!AY22)</f>
        <v>0.37007107690523405</v>
      </c>
      <c r="AS20">
        <f>IF($C$3="CGE",INDEX(GDP_CGE!$A$3:$AN$24,MATCH($A20,GDP_CGE!$A$3:$A$24,0),MATCH(AS$9,GDP_CGE!$A$3:$AN$3,0)),GDP_Simple!AZ22)</f>
        <v>0.37578873191125328</v>
      </c>
      <c r="AT20">
        <f>IF($C$3="CGE",INDEX(GDP_CGE!$A$3:$AN$24,MATCH($A20,GDP_CGE!$A$3:$A$24,0),MATCH(AT$9,GDP_CGE!$A$3:$AN$3,0)),GDP_Simple!BA22)</f>
        <v>0.38089991803707729</v>
      </c>
      <c r="AU20">
        <f>IF($C$3="CGE",INDEX(GDP_CGE!$A$3:$AN$24,MATCH($A20,GDP_CGE!$A$3:$A$24,0),MATCH(AU$9,GDP_CGE!$A$3:$AN$3,0)),GDP_Simple!BB22)</f>
        <v>0.38537748774606229</v>
      </c>
      <c r="AV20">
        <f>IF($C$3="CGE",INDEX(GDP_CGE!$A$3:$AN$24,MATCH($A20,GDP_CGE!$A$3:$A$24,0),MATCH(AV$9,GDP_CGE!$A$3:$AN$3,0)),GDP_Simple!BC22)</f>
        <v>0.38919730693939036</v>
      </c>
      <c r="AW20">
        <f>IF($C$3="CGE",INDEX(GDP_CGE!$A$3:$AN$24,MATCH($A20,GDP_CGE!$A$3:$A$24,0),MATCH(AW$9,GDP_CGE!$A$3:$AN$3,0)),GDP_Simple!BD22)</f>
        <v>0.3923384739844365</v>
      </c>
      <c r="AX20">
        <f>IF($C$3="CGE",INDEX(GDP_CGE!$A$3:$AN$24,MATCH($A20,GDP_CGE!$A$3:$A$24,0),MATCH(AX$9,GDP_CGE!$A$3:$AN$3,0)),GDP_Simple!BE22)</f>
        <v>0.39478351289433466</v>
      </c>
      <c r="AY20">
        <f>IF($C$3="CGE",INDEX(GDP_CGE!$A$3:$AN$24,MATCH($A20,GDP_CGE!$A$3:$A$24,0),MATCH(AY$9,GDP_CGE!$A$3:$AN$3,0)),GDP_Simple!BF22)</f>
        <v>0.39651853818439625</v>
      </c>
      <c r="AZ20">
        <f>IF($C$3="CGE",INDEX(GDP_CGE!$A$3:$AN$24,MATCH($A20,GDP_CGE!$A$3:$A$24,0),MATCH(AZ$9,GDP_CGE!$A$3:$AN$3,0)),GDP_Simple!BG22)</f>
        <v>0.39753338925126791</v>
      </c>
      <c r="BA20">
        <f>IF($C$3="CGE",INDEX(GDP_CGE!$A$3:$AN$24,MATCH($A20,GDP_CGE!$A$3:$A$24,0),MATCH(BA$9,GDP_CGE!$A$3:$AN$3,0)),GDP_Simple!BH22)</f>
        <v>0.39782173247679914</v>
      </c>
    </row>
    <row r="21" spans="1:5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140.42753008586038</v>
      </c>
      <c r="G21">
        <f>IF($C$3="CGE",INDEX(GDP_CGE!$A$3:$AN$24,MATCH($A21,GDP_CGE!$A$3:$A$24,0),MATCH(G$9,GDP_CGE!$A$3:$AN$3,0)),GDP_Simple!N23)</f>
        <v>141.86092861794606</v>
      </c>
      <c r="H21">
        <f>IF($C$3="CGE",INDEX(GDP_CGE!$A$3:$AN$24,MATCH($A21,GDP_CGE!$A$3:$A$24,0),MATCH(H$9,GDP_CGE!$A$3:$AN$3,0)),GDP_Simple!O23)</f>
        <v>143.39019653246962</v>
      </c>
      <c r="I21">
        <f>IF($C$3="CGE",INDEX(GDP_CGE!$A$3:$AN$24,MATCH($A21,GDP_CGE!$A$3:$A$24,0),MATCH(I$9,GDP_CGE!$A$3:$AN$3,0)),GDP_Simple!P23)</f>
        <v>145.65047656902379</v>
      </c>
      <c r="J21">
        <f>IF($C$3="CGE",INDEX(GDP_CGE!$A$3:$AN$24,MATCH($A21,GDP_CGE!$A$3:$A$24,0),MATCH(J$9,GDP_CGE!$A$3:$AN$3,0)),GDP_Simple!Q23)</f>
        <v>148.20577325586862</v>
      </c>
      <c r="K21">
        <f>IF($C$3="CGE",INDEX(GDP_CGE!$A$3:$AN$24,MATCH($A21,GDP_CGE!$A$3:$A$24,0),MATCH(K$9,GDP_CGE!$A$3:$AN$3,0)),GDP_Simple!R23)</f>
        <v>151.00395250137143</v>
      </c>
      <c r="L21">
        <f>IF($C$3="CGE",INDEX(GDP_CGE!$A$3:$AN$24,MATCH($A21,GDP_CGE!$A$3:$A$24,0),MATCH(L$9,GDP_CGE!$A$3:$AN$3,0)),GDP_Simple!S23)</f>
        <v>154.52981973587873</v>
      </c>
      <c r="M21">
        <f>IF($C$3="CGE",INDEX(GDP_CGE!$A$3:$AN$24,MATCH($A21,GDP_CGE!$A$3:$A$24,0),MATCH(M$9,GDP_CGE!$A$3:$AN$3,0)),GDP_Simple!T23)</f>
        <v>158.82044997201353</v>
      </c>
      <c r="N21">
        <f>IF($C$3="CGE",INDEX(GDP_CGE!$A$3:$AN$24,MATCH($A21,GDP_CGE!$A$3:$A$24,0),MATCH(N$9,GDP_CGE!$A$3:$AN$3,0)),GDP_Simple!U23)</f>
        <v>163.90029107267711</v>
      </c>
      <c r="O21">
        <f>IF($C$3="CGE",INDEX(GDP_CGE!$A$3:$AN$24,MATCH($A21,GDP_CGE!$A$3:$A$24,0),MATCH(O$9,GDP_CGE!$A$3:$AN$3,0)),GDP_Simple!V23)</f>
        <v>169.2081719907676</v>
      </c>
      <c r="P21">
        <f>IF($C$3="CGE",INDEX(GDP_CGE!$A$3:$AN$24,MATCH($A21,GDP_CGE!$A$3:$A$24,0),MATCH(P$9,GDP_CGE!$A$3:$AN$3,0)),GDP_Simple!W23)</f>
        <v>174.98288655713037</v>
      </c>
      <c r="Q21">
        <f>IF($C$3="CGE",INDEX(GDP_CGE!$A$3:$AN$24,MATCH($A21,GDP_CGE!$A$3:$A$24,0),MATCH(Q$9,GDP_CGE!$A$3:$AN$3,0)),GDP_Simple!X23)</f>
        <v>181.45543064309763</v>
      </c>
      <c r="R21">
        <f>IF($C$3="CGE",INDEX(GDP_CGE!$A$3:$AN$24,MATCH($A21,GDP_CGE!$A$3:$A$24,0),MATCH(R$9,GDP_CGE!$A$3:$AN$3,0)),GDP_Simple!Y23)</f>
        <v>188.48580740641492</v>
      </c>
      <c r="S21">
        <f>IF($C$3="CGE",INDEX(GDP_CGE!$A$3:$AN$24,MATCH($A21,GDP_CGE!$A$3:$A$24,0),MATCH(S$9,GDP_CGE!$A$3:$AN$3,0)),GDP_Simple!Z23)</f>
        <v>195.92179054391087</v>
      </c>
      <c r="T21">
        <f>IF($C$3="CGE",INDEX(GDP_CGE!$A$3:$AN$24,MATCH($A21,GDP_CGE!$A$3:$A$24,0),MATCH(T$9,GDP_CGE!$A$3:$AN$3,0)),GDP_Simple!AA23)</f>
        <v>203.71817033347023</v>
      </c>
      <c r="U21">
        <f>IF($C$3="CGE",INDEX(GDP_CGE!$A$3:$AN$24,MATCH($A21,GDP_CGE!$A$3:$A$24,0),MATCH(U$9,GDP_CGE!$A$3:$AN$3,0)),GDP_Simple!AB23)</f>
        <v>211.9793714484143</v>
      </c>
      <c r="V21">
        <f>IF($C$3="CGE",INDEX(GDP_CGE!$A$3:$AN$24,MATCH($A21,GDP_CGE!$A$3:$A$24,0),MATCH(V$9,GDP_CGE!$A$3:$AN$3,0)),GDP_Simple!AC23)</f>
        <v>220.36436869783037</v>
      </c>
      <c r="W21">
        <f>IF($C$3="CGE",INDEX(GDP_CGE!$A$3:$AN$24,MATCH($A21,GDP_CGE!$A$3:$A$24,0),MATCH(W$9,GDP_CGE!$A$3:$AN$3,0)),GDP_Simple!AD23)</f>
        <v>228.78418677175287</v>
      </c>
      <c r="X21">
        <f>IF($C$3="CGE",INDEX(GDP_CGE!$A$3:$AN$24,MATCH($A21,GDP_CGE!$A$3:$A$24,0),MATCH(X$9,GDP_CGE!$A$3:$AN$3,0)),GDP_Simple!AE23)</f>
        <v>237.46982596382739</v>
      </c>
      <c r="Y21">
        <f>IF($C$3="CGE",INDEX(GDP_CGE!$A$3:$AN$24,MATCH($A21,GDP_CGE!$A$3:$A$24,0),MATCH(Y$9,GDP_CGE!$A$3:$AN$3,0)),GDP_Simple!AF23)</f>
        <v>246.02905111954092</v>
      </c>
      <c r="Z21">
        <f>IF($C$3="CGE",INDEX(GDP_CGE!$A$3:$AN$24,MATCH($A21,GDP_CGE!$A$3:$A$24,0),MATCH(Z$9,GDP_CGE!$A$3:$AN$3,0)),GDP_Simple!AG23)</f>
        <v>254.90784561680769</v>
      </c>
      <c r="AA21">
        <f>IF($C$3="CGE",INDEX(GDP_CGE!$A$3:$AN$24,MATCH($A21,GDP_CGE!$A$3:$A$24,0),MATCH(AA$9,GDP_CGE!$A$3:$AN$3,0)),GDP_Simple!AH23)</f>
        <v>264.2172746863306</v>
      </c>
      <c r="AB21">
        <f>IF($C$3="CGE",INDEX(GDP_CGE!$A$3:$AN$24,MATCH($A21,GDP_CGE!$A$3:$A$24,0),MATCH(AB$9,GDP_CGE!$A$3:$AN$3,0)),GDP_Simple!AI23)</f>
        <v>273.9932327266161</v>
      </c>
      <c r="AC21">
        <f>IF($C$3="CGE",INDEX(GDP_CGE!$A$3:$AN$24,MATCH($A21,GDP_CGE!$A$3:$A$24,0),MATCH(AC$9,GDP_CGE!$A$3:$AN$3,0)),GDP_Simple!AJ23)</f>
        <v>284.26250554159719</v>
      </c>
      <c r="AD21">
        <f>IF($C$3="CGE",INDEX(GDP_CGE!$A$3:$AN$24,MATCH($A21,GDP_CGE!$A$3:$A$24,0),MATCH(AD$9,GDP_CGE!$A$3:$AN$3,0)),GDP_Simple!AK23)</f>
        <v>294.35750845023711</v>
      </c>
      <c r="AE21">
        <f>IF($C$3="CGE",INDEX(GDP_CGE!$A$3:$AN$24,MATCH($A21,GDP_CGE!$A$3:$A$24,0),MATCH(AE$9,GDP_CGE!$A$3:$AN$3,0)),GDP_Simple!AL23)</f>
        <v>304.95451160100595</v>
      </c>
      <c r="AF21">
        <f>IF($C$3="CGE",INDEX(GDP_CGE!$A$3:$AN$24,MATCH($A21,GDP_CGE!$A$3:$A$24,0),MATCH(AF$9,GDP_CGE!$A$3:$AN$3,0)),GDP_Simple!AM23)</f>
        <v>316.31343889824416</v>
      </c>
      <c r="AG21">
        <f>IF($C$3="CGE",INDEX(GDP_CGE!$A$3:$AN$24,MATCH($A21,GDP_CGE!$A$3:$A$24,0),MATCH(AG$9,GDP_CGE!$A$3:$AN$3,0)),GDP_Simple!AN23)</f>
        <v>328.34570775550196</v>
      </c>
      <c r="AH21">
        <f>IF($C$3="CGE",INDEX(GDP_CGE!$A$3:$AN$24,MATCH($A21,GDP_CGE!$A$3:$A$24,0),MATCH(AH$9,GDP_CGE!$A$3:$AN$3,0)),GDP_Simple!AO23)</f>
        <v>340.20348316892648</v>
      </c>
      <c r="AI21">
        <f>IF($C$3="CGE",INDEX(GDP_CGE!$A$3:$AN$24,MATCH($A21,GDP_CGE!$A$3:$A$24,0),MATCH(AI$9,GDP_CGE!$A$3:$AN$3,0)),GDP_Simple!AP23)</f>
        <v>351.83811319126511</v>
      </c>
      <c r="AJ21">
        <f>IF($C$3="CGE",INDEX(GDP_CGE!$A$3:$AN$24,MATCH($A21,GDP_CGE!$A$3:$A$24,0),MATCH(AJ$9,GDP_CGE!$A$3:$AN$3,0)),GDP_Simple!AQ23)</f>
        <v>363.2003907589642</v>
      </c>
      <c r="AK21">
        <f>IF($C$3="CGE",INDEX(GDP_CGE!$A$3:$AN$24,MATCH($A21,GDP_CGE!$A$3:$A$24,0),MATCH(AK$9,GDP_CGE!$A$3:$AN$3,0)),GDP_Simple!AR23)</f>
        <v>374.24086255921935</v>
      </c>
      <c r="AL21">
        <f>IF($C$3="CGE",INDEX(GDP_CGE!$A$3:$AN$24,MATCH($A21,GDP_CGE!$A$3:$A$24,0),MATCH(AL$9,GDP_CGE!$A$3:$AN$3,0)),GDP_Simple!AS23)</f>
        <v>384.91017699093248</v>
      </c>
      <c r="AM21">
        <f>IF($C$3="CGE",INDEX(GDP_CGE!$A$3:$AN$24,MATCH($A21,GDP_CGE!$A$3:$A$24,0),MATCH(AM$9,GDP_CGE!$A$3:$AN$3,0)),GDP_Simple!AT23)</f>
        <v>395.15944330102462</v>
      </c>
      <c r="AN21">
        <f>IF($C$3="CGE",INDEX(GDP_CGE!$A$3:$AN$24,MATCH($A21,GDP_CGE!$A$3:$A$24,0),MATCH(AN$9,GDP_CGE!$A$3:$AN$3,0)),GDP_Simple!AU23)</f>
        <v>404.94059840227339</v>
      </c>
      <c r="AO21">
        <f>IF($C$3="CGE",INDEX(GDP_CGE!$A$3:$AN$24,MATCH($A21,GDP_CGE!$A$3:$A$24,0),MATCH(AO$9,GDP_CGE!$A$3:$AN$3,0)),GDP_Simple!AV23)</f>
        <v>414.2067776605453</v>
      </c>
      <c r="AP21">
        <f>IF($C$3="CGE",INDEX(GDP_CGE!$A$3:$AN$24,MATCH($A21,GDP_CGE!$A$3:$A$24,0),MATCH(AP$9,GDP_CGE!$A$3:$AN$3,0)),GDP_Simple!AW23)</f>
        <v>422.91268576690231</v>
      </c>
      <c r="AQ21">
        <f>IF($C$3="CGE",INDEX(GDP_CGE!$A$3:$AN$24,MATCH($A21,GDP_CGE!$A$3:$A$24,0),MATCH(AQ$9,GDP_CGE!$A$3:$AN$3,0)),GDP_Simple!AX23)</f>
        <v>431.01496368797757</v>
      </c>
      <c r="AR21">
        <f>IF($C$3="CGE",INDEX(GDP_CGE!$A$3:$AN$24,MATCH($A21,GDP_CGE!$A$3:$A$24,0),MATCH(AR$9,GDP_CGE!$A$3:$AN$3,0)),GDP_Simple!AY23)</f>
        <v>438.47254761988484</v>
      </c>
      <c r="AS21">
        <f>IF($C$3="CGE",INDEX(GDP_CGE!$A$3:$AN$24,MATCH($A21,GDP_CGE!$A$3:$A$24,0),MATCH(AS$9,GDP_CGE!$A$3:$AN$3,0)),GDP_Simple!AZ23)</f>
        <v>445.24701585951664</v>
      </c>
      <c r="AT21">
        <f>IF($C$3="CGE",INDEX(GDP_CGE!$A$3:$AN$24,MATCH($A21,GDP_CGE!$A$3:$A$24,0),MATCH(AT$9,GDP_CGE!$A$3:$AN$3,0)),GDP_Simple!BA23)</f>
        <v>451.30291955426378</v>
      </c>
      <c r="AU21">
        <f>IF($C$3="CGE",INDEX(GDP_CGE!$A$3:$AN$24,MATCH($A21,GDP_CGE!$A$3:$A$24,0),MATCH(AU$9,GDP_CGE!$A$3:$AN$3,0)),GDP_Simple!BB23)</f>
        <v>456.6080933977928</v>
      </c>
      <c r="AV21">
        <f>IF($C$3="CGE",INDEX(GDP_CGE!$A$3:$AN$24,MATCH($A21,GDP_CGE!$A$3:$A$24,0),MATCH(AV$9,GDP_CGE!$A$3:$AN$3,0)),GDP_Simple!BC23)</f>
        <v>461.13394250535436</v>
      </c>
      <c r="AW21">
        <f>IF($C$3="CGE",INDEX(GDP_CGE!$A$3:$AN$24,MATCH($A21,GDP_CGE!$A$3:$A$24,0),MATCH(AW$9,GDP_CGE!$A$3:$AN$3,0)),GDP_Simple!BD23)</f>
        <v>464.85570192589319</v>
      </c>
      <c r="AX21">
        <f>IF($C$3="CGE",INDEX(GDP_CGE!$A$3:$AN$24,MATCH($A21,GDP_CGE!$A$3:$A$24,0),MATCH(AX$9,GDP_CGE!$A$3:$AN$3,0)),GDP_Simple!BE23)</f>
        <v>467.75266552763759</v>
      </c>
      <c r="AY21">
        <f>IF($C$3="CGE",INDEX(GDP_CGE!$A$3:$AN$24,MATCH($A21,GDP_CGE!$A$3:$A$24,0),MATCH(AY$9,GDP_CGE!$A$3:$AN$3,0)),GDP_Simple!BF23)</f>
        <v>469.80838132547888</v>
      </c>
      <c r="AZ21">
        <f>IF($C$3="CGE",INDEX(GDP_CGE!$A$3:$AN$24,MATCH($A21,GDP_CGE!$A$3:$A$24,0),MATCH(AZ$9,GDP_CGE!$A$3:$AN$3,0)),GDP_Simple!BG23)</f>
        <v>471.01081069787733</v>
      </c>
      <c r="BA21">
        <f>IF($C$3="CGE",INDEX(GDP_CGE!$A$3:$AN$24,MATCH($A21,GDP_CGE!$A$3:$A$24,0),MATCH(BA$9,GDP_CGE!$A$3:$AN$3,0)),GDP_Simple!BH23)</f>
        <v>471.35244936292753</v>
      </c>
    </row>
    <row r="22" spans="1:5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59.862938518103803</v>
      </c>
      <c r="G22">
        <f>IF($C$3="CGE",INDEX(GDP_CGE!$A$3:$AN$24,MATCH($A22,GDP_CGE!$A$3:$A$24,0),MATCH(G$9,GDP_CGE!$A$3:$AN$3,0)),GDP_Simple!N24)</f>
        <v>60.473982863509001</v>
      </c>
      <c r="H22">
        <f>IF($C$3="CGE",INDEX(GDP_CGE!$A$3:$AN$24,MATCH($A22,GDP_CGE!$A$3:$A$24,0),MATCH(H$9,GDP_CGE!$A$3:$AN$3,0)),GDP_Simple!O24)</f>
        <v>61.125895427155598</v>
      </c>
      <c r="I22">
        <f>IF($C$3="CGE",INDEX(GDP_CGE!$A$3:$AN$24,MATCH($A22,GDP_CGE!$A$3:$A$24,0),MATCH(I$9,GDP_CGE!$A$3:$AN$3,0)),GDP_Simple!P24)</f>
        <v>62.089431599722403</v>
      </c>
      <c r="J22">
        <f>IF($C$3="CGE",INDEX(GDP_CGE!$A$3:$AN$24,MATCH($A22,GDP_CGE!$A$3:$A$24,0),MATCH(J$9,GDP_CGE!$A$3:$AN$3,0)),GDP_Simple!Q24)</f>
        <v>63.178730602322389</v>
      </c>
      <c r="K22">
        <f>IF($C$3="CGE",INDEX(GDP_CGE!$A$3:$AN$24,MATCH($A22,GDP_CGE!$A$3:$A$24,0),MATCH(K$9,GDP_CGE!$A$3:$AN$3,0)),GDP_Simple!R24)</f>
        <v>64.371568160839232</v>
      </c>
      <c r="L22">
        <f>IF($C$3="CGE",INDEX(GDP_CGE!$A$3:$AN$24,MATCH($A22,GDP_CGE!$A$3:$A$24,0),MATCH(L$9,GDP_CGE!$A$3:$AN$3,0)),GDP_Simple!S24)</f>
        <v>65.874612281555841</v>
      </c>
      <c r="M22">
        <f>IF($C$3="CGE",INDEX(GDP_CGE!$A$3:$AN$24,MATCH($A22,GDP_CGE!$A$3:$A$24,0),MATCH(M$9,GDP_CGE!$A$3:$AN$3,0)),GDP_Simple!T24)</f>
        <v>67.703667694498108</v>
      </c>
      <c r="N22">
        <f>IF($C$3="CGE",INDEX(GDP_CGE!$A$3:$AN$24,MATCH($A22,GDP_CGE!$A$3:$A$24,0),MATCH(N$9,GDP_CGE!$A$3:$AN$3,0)),GDP_Simple!U24)</f>
        <v>69.869156294239403</v>
      </c>
      <c r="O22">
        <f>IF($C$3="CGE",INDEX(GDP_CGE!$A$3:$AN$24,MATCH($A22,GDP_CGE!$A$3:$A$24,0),MATCH(O$9,GDP_CGE!$A$3:$AN$3,0)),GDP_Simple!V24)</f>
        <v>72.131856128572394</v>
      </c>
      <c r="P22">
        <f>IF($C$3="CGE",INDEX(GDP_CGE!$A$3:$AN$24,MATCH($A22,GDP_CGE!$A$3:$A$24,0),MATCH(P$9,GDP_CGE!$A$3:$AN$3,0)),GDP_Simple!W24)</f>
        <v>74.593562767109802</v>
      </c>
      <c r="Q22">
        <f>IF($C$3="CGE",INDEX(GDP_CGE!$A$3:$AN$24,MATCH($A22,GDP_CGE!$A$3:$A$24,0),MATCH(Q$9,GDP_CGE!$A$3:$AN$3,0)),GDP_Simple!X24)</f>
        <v>77.352747582488021</v>
      </c>
      <c r="R22">
        <f>IF($C$3="CGE",INDEX(GDP_CGE!$A$3:$AN$24,MATCH($A22,GDP_CGE!$A$3:$A$24,0),MATCH(R$9,GDP_CGE!$A$3:$AN$3,0)),GDP_Simple!Y24)</f>
        <v>80.349731234370566</v>
      </c>
      <c r="S22">
        <f>IF($C$3="CGE",INDEX(GDP_CGE!$A$3:$AN$24,MATCH($A22,GDP_CGE!$A$3:$A$24,0),MATCH(S$9,GDP_CGE!$A$3:$AN$3,0)),GDP_Simple!Z24)</f>
        <v>83.519621077974662</v>
      </c>
      <c r="T22">
        <f>IF($C$3="CGE",INDEX(GDP_CGE!$A$3:$AN$24,MATCH($A22,GDP_CGE!$A$3:$A$24,0),MATCH(T$9,GDP_CGE!$A$3:$AN$3,0)),GDP_Simple!AA24)</f>
        <v>86.843144632941559</v>
      </c>
      <c r="U22">
        <f>IF($C$3="CGE",INDEX(GDP_CGE!$A$3:$AN$24,MATCH($A22,GDP_CGE!$A$3:$A$24,0),MATCH(U$9,GDP_CGE!$A$3:$AN$3,0)),GDP_Simple!AB24)</f>
        <v>90.364817157746444</v>
      </c>
      <c r="V22">
        <f>IF($C$3="CGE",INDEX(GDP_CGE!$A$3:$AN$24,MATCH($A22,GDP_CGE!$A$3:$A$24,0),MATCH(V$9,GDP_CGE!$A$3:$AN$3,0)),GDP_Simple!AC24)</f>
        <v>93.939262813162884</v>
      </c>
      <c r="W22">
        <f>IF($C$3="CGE",INDEX(GDP_CGE!$A$3:$AN$24,MATCH($A22,GDP_CGE!$A$3:$A$24,0),MATCH(W$9,GDP_CGE!$A$3:$AN$3,0)),GDP_Simple!AD24)</f>
        <v>97.528552259360964</v>
      </c>
      <c r="X22">
        <f>IF($C$3="CGE",INDEX(GDP_CGE!$A$3:$AN$24,MATCH($A22,GDP_CGE!$A$3:$A$24,0),MATCH(X$9,GDP_CGE!$A$3:$AN$3,0)),GDP_Simple!AE24)</f>
        <v>101.23115875416781</v>
      </c>
      <c r="Y22">
        <f>IF($C$3="CGE",INDEX(GDP_CGE!$A$3:$AN$24,MATCH($A22,GDP_CGE!$A$3:$A$24,0),MATCH(Y$9,GDP_CGE!$A$3:$AN$3,0)),GDP_Simple!AF24)</f>
        <v>104.87987613135023</v>
      </c>
      <c r="Z22">
        <f>IF($C$3="CGE",INDEX(GDP_CGE!$A$3:$AN$24,MATCH($A22,GDP_CGE!$A$3:$A$24,0),MATCH(Z$9,GDP_CGE!$A$3:$AN$3,0)),GDP_Simple!AG24)</f>
        <v>108.6648229204861</v>
      </c>
      <c r="AA22">
        <f>IF($C$3="CGE",INDEX(GDP_CGE!$A$3:$AN$24,MATCH($A22,GDP_CGE!$A$3:$A$24,0),MATCH(AA$9,GDP_CGE!$A$3:$AN$3,0)),GDP_Simple!AH24)</f>
        <v>112.63334518735755</v>
      </c>
      <c r="AB22">
        <f>IF($C$3="CGE",INDEX(GDP_CGE!$A$3:$AN$24,MATCH($A22,GDP_CGE!$A$3:$A$24,0),MATCH(AB$9,GDP_CGE!$A$3:$AN$3,0)),GDP_Simple!AI24)</f>
        <v>116.80074437726967</v>
      </c>
      <c r="AC22">
        <f>IF($C$3="CGE",INDEX(GDP_CGE!$A$3:$AN$24,MATCH($A22,GDP_CGE!$A$3:$A$24,0),MATCH(AC$9,GDP_CGE!$A$3:$AN$3,0)),GDP_Simple!AJ24)</f>
        <v>121.178439027122</v>
      </c>
      <c r="AD22">
        <f>IF($C$3="CGE",INDEX(GDP_CGE!$A$3:$AN$24,MATCH($A22,GDP_CGE!$A$3:$A$24,0),MATCH(AD$9,GDP_CGE!$A$3:$AN$3,0)),GDP_Simple!AK24)</f>
        <v>125.48184405098377</v>
      </c>
      <c r="AE22">
        <f>IF($C$3="CGE",INDEX(GDP_CGE!$A$3:$AN$24,MATCH($A22,GDP_CGE!$A$3:$A$24,0),MATCH(AE$9,GDP_CGE!$A$3:$AN$3,0)),GDP_Simple!AL24)</f>
        <v>129.99924706806141</v>
      </c>
      <c r="AF22">
        <f>IF($C$3="CGE",INDEX(GDP_CGE!$A$3:$AN$24,MATCH($A22,GDP_CGE!$A$3:$A$24,0),MATCH(AF$9,GDP_CGE!$A$3:$AN$3,0)),GDP_Simple!AM24)</f>
        <v>134.84145120004627</v>
      </c>
      <c r="AG22">
        <f>IF($C$3="CGE",INDEX(GDP_CGE!$A$3:$AN$24,MATCH($A22,GDP_CGE!$A$3:$A$24,0),MATCH(AG$9,GDP_CGE!$A$3:$AN$3,0)),GDP_Simple!AN24)</f>
        <v>139.97069452145854</v>
      </c>
      <c r="AH22">
        <f>IF($C$3="CGE",INDEX(GDP_CGE!$A$3:$AN$24,MATCH($A22,GDP_CGE!$A$3:$A$24,0),MATCH(AH$9,GDP_CGE!$A$3:$AN$3,0)),GDP_Simple!AO24)</f>
        <v>145.02555292494466</v>
      </c>
      <c r="AI22">
        <f>IF($C$3="CGE",INDEX(GDP_CGE!$A$3:$AN$24,MATCH($A22,GDP_CGE!$A$3:$A$24,0),MATCH(AI$9,GDP_CGE!$A$3:$AN$3,0)),GDP_Simple!AP24)</f>
        <v>149.98528654186649</v>
      </c>
      <c r="AJ22">
        <f>IF($C$3="CGE",INDEX(GDP_CGE!$A$3:$AN$24,MATCH($A22,GDP_CGE!$A$3:$A$24,0),MATCH(AJ$9,GDP_CGE!$A$3:$AN$3,0)),GDP_Simple!AQ24)</f>
        <v>154.82891886271503</v>
      </c>
      <c r="AK22">
        <f>IF($C$3="CGE",INDEX(GDP_CGE!$A$3:$AN$24,MATCH($A22,GDP_CGE!$A$3:$A$24,0),MATCH(AK$9,GDP_CGE!$A$3:$AN$3,0)),GDP_Simple!AR24)</f>
        <v>159.53536840423607</v>
      </c>
      <c r="AL22">
        <f>IF($C$3="CGE",INDEX(GDP_CGE!$A$3:$AN$24,MATCH($A22,GDP_CGE!$A$3:$A$24,0),MATCH(AL$9,GDP_CGE!$A$3:$AN$3,0)),GDP_Simple!AS24)</f>
        <v>164.08359704192165</v>
      </c>
      <c r="AM22">
        <f>IF($C$3="CGE",INDEX(GDP_CGE!$A$3:$AN$24,MATCH($A22,GDP_CGE!$A$3:$A$24,0),MATCH(AM$9,GDP_CGE!$A$3:$AN$3,0)),GDP_Simple!AT24)</f>
        <v>168.45276310645031</v>
      </c>
      <c r="AN22">
        <f>IF($C$3="CGE",INDEX(GDP_CGE!$A$3:$AN$24,MATCH($A22,GDP_CGE!$A$3:$A$24,0),MATCH(AN$9,GDP_CGE!$A$3:$AN$3,0)),GDP_Simple!AU24)</f>
        <v>172.62237775468975</v>
      </c>
      <c r="AO22">
        <f>IF($C$3="CGE",INDEX(GDP_CGE!$A$3:$AN$24,MATCH($A22,GDP_CGE!$A$3:$A$24,0),MATCH(AO$9,GDP_CGE!$A$3:$AN$3,0)),GDP_Simple!AV24)</f>
        <v>176.57246303281511</v>
      </c>
      <c r="AP22">
        <f>IF($C$3="CGE",INDEX(GDP_CGE!$A$3:$AN$24,MATCH($A22,GDP_CGE!$A$3:$A$24,0),MATCH(AP$9,GDP_CGE!$A$3:$AN$3,0)),GDP_Simple!AW24)</f>
        <v>180.28370997560802</v>
      </c>
      <c r="AQ22">
        <f>IF($C$3="CGE",INDEX(GDP_CGE!$A$3:$AN$24,MATCH($A22,GDP_CGE!$A$3:$A$24,0),MATCH(AQ$9,GDP_CGE!$A$3:$AN$3,0)),GDP_Simple!AX24)</f>
        <v>183.73763503395921</v>
      </c>
      <c r="AR22">
        <f>IF($C$3="CGE",INDEX(GDP_CGE!$A$3:$AN$24,MATCH($A22,GDP_CGE!$A$3:$A$24,0),MATCH(AR$9,GDP_CGE!$A$3:$AN$3,0)),GDP_Simple!AY24)</f>
        <v>186.91673309355198</v>
      </c>
      <c r="AS22">
        <f>IF($C$3="CGE",INDEX(GDP_CGE!$A$3:$AN$24,MATCH($A22,GDP_CGE!$A$3:$A$24,0),MATCH(AS$9,GDP_CGE!$A$3:$AN$3,0)),GDP_Simple!AZ24)</f>
        <v>189.8046253428422</v>
      </c>
      <c r="AT22">
        <f>IF($C$3="CGE",INDEX(GDP_CGE!$A$3:$AN$24,MATCH($A22,GDP_CGE!$A$3:$A$24,0),MATCH(AT$9,GDP_CGE!$A$3:$AN$3,0)),GDP_Simple!BA24)</f>
        <v>192.38620026856049</v>
      </c>
      <c r="AU22">
        <f>IF($C$3="CGE",INDEX(GDP_CGE!$A$3:$AN$24,MATCH($A22,GDP_CGE!$A$3:$A$24,0),MATCH(AU$9,GDP_CGE!$A$3:$AN$3,0)),GDP_Simple!BB24)</f>
        <v>194.64774610240696</v>
      </c>
      <c r="AV22">
        <f>IF($C$3="CGE",INDEX(GDP_CGE!$A$3:$AN$24,MATCH($A22,GDP_CGE!$A$3:$A$24,0),MATCH(AV$9,GDP_CGE!$A$3:$AN$3,0)),GDP_Simple!BC24)</f>
        <v>196.57707311330375</v>
      </c>
      <c r="AW22">
        <f>IF($C$3="CGE",INDEX(GDP_CGE!$A$3:$AN$24,MATCH($A22,GDP_CGE!$A$3:$A$24,0),MATCH(AW$9,GDP_CGE!$A$3:$AN$3,0)),GDP_Simple!BD24)</f>
        <v>198.16362423497247</v>
      </c>
      <c r="AX22">
        <f>IF($C$3="CGE",INDEX(GDP_CGE!$A$3:$AN$24,MATCH($A22,GDP_CGE!$A$3:$A$24,0),MATCH(AX$9,GDP_CGE!$A$3:$AN$3,0)),GDP_Simple!BE24)</f>
        <v>199.39857263771356</v>
      </c>
      <c r="AY22">
        <f>IF($C$3="CGE",INDEX(GDP_CGE!$A$3:$AN$24,MATCH($A22,GDP_CGE!$A$3:$A$24,0),MATCH(AY$9,GDP_CGE!$A$3:$AN$3,0)),GDP_Simple!BF24)</f>
        <v>200.27490499463551</v>
      </c>
      <c r="AZ22">
        <f>IF($C$3="CGE",INDEX(GDP_CGE!$A$3:$AN$24,MATCH($A22,GDP_CGE!$A$3:$A$24,0),MATCH(AZ$9,GDP_CGE!$A$3:$AN$3,0)),GDP_Simple!BG24)</f>
        <v>200.78748935432793</v>
      </c>
      <c r="BA22">
        <f>IF($C$3="CGE",INDEX(GDP_CGE!$A$3:$AN$24,MATCH($A22,GDP_CGE!$A$3:$A$24,0),MATCH(BA$9,GDP_CGE!$A$3:$AN$3,0)),GDP_Simple!BH24)</f>
        <v>200.93312671182329</v>
      </c>
    </row>
    <row r="23" spans="1:5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257.04223311889973</v>
      </c>
      <c r="G23">
        <f>IF($C$3="CGE",INDEX(GDP_CGE!$A$3:$AN$24,MATCH($A23,GDP_CGE!$A$3:$A$24,0),MATCH(G$9,GDP_CGE!$A$3:$AN$3,0)),GDP_Simple!N25)</f>
        <v>259.66596337614612</v>
      </c>
      <c r="H23">
        <f>IF($C$3="CGE",INDEX(GDP_CGE!$A$3:$AN$24,MATCH($A23,GDP_CGE!$A$3:$A$24,0),MATCH(H$9,GDP_CGE!$A$3:$AN$3,0)),GDP_Simple!O25)</f>
        <v>262.46517546472933</v>
      </c>
      <c r="I23">
        <f>IF($C$3="CGE",INDEX(GDP_CGE!$A$3:$AN$24,MATCH($A23,GDP_CGE!$A$3:$A$24,0),MATCH(I$9,GDP_CGE!$A$3:$AN$3,0)),GDP_Simple!P25)</f>
        <v>266.60245130882288</v>
      </c>
      <c r="J23">
        <f>IF($C$3="CGE",INDEX(GDP_CGE!$A$3:$AN$24,MATCH($A23,GDP_CGE!$A$3:$A$24,0),MATCH(J$9,GDP_CGE!$A$3:$AN$3,0)),GDP_Simple!Q25)</f>
        <v>271.2797333650289</v>
      </c>
      <c r="K23">
        <f>IF($C$3="CGE",INDEX(GDP_CGE!$A$3:$AN$24,MATCH($A23,GDP_CGE!$A$3:$A$24,0),MATCH(K$9,GDP_CGE!$A$3:$AN$3,0)),GDP_Simple!R25)</f>
        <v>276.40159402505213</v>
      </c>
      <c r="L23">
        <f>IF($C$3="CGE",INDEX(GDP_CGE!$A$3:$AN$24,MATCH($A23,GDP_CGE!$A$3:$A$24,0),MATCH(L$9,GDP_CGE!$A$3:$AN$3,0)),GDP_Simple!S25)</f>
        <v>282.85543386033504</v>
      </c>
      <c r="M23">
        <f>IF($C$3="CGE",INDEX(GDP_CGE!$A$3:$AN$24,MATCH($A23,GDP_CGE!$A$3:$A$24,0),MATCH(M$9,GDP_CGE!$A$3:$AN$3,0)),GDP_Simple!T25)</f>
        <v>290.70911594610016</v>
      </c>
      <c r="N23">
        <f>IF($C$3="CGE",INDEX(GDP_CGE!$A$3:$AN$24,MATCH($A23,GDP_CGE!$A$3:$A$24,0),MATCH(N$9,GDP_CGE!$A$3:$AN$3,0)),GDP_Simple!U25)</f>
        <v>300.00739029163185</v>
      </c>
      <c r="O23">
        <f>IF($C$3="CGE",INDEX(GDP_CGE!$A$3:$AN$24,MATCH($A23,GDP_CGE!$A$3:$A$24,0),MATCH(O$9,GDP_CGE!$A$3:$AN$3,0)),GDP_Simple!V25)</f>
        <v>309.72307469825057</v>
      </c>
      <c r="P23">
        <f>IF($C$3="CGE",INDEX(GDP_CGE!$A$3:$AN$24,MATCH($A23,GDP_CGE!$A$3:$A$24,0),MATCH(P$9,GDP_CGE!$A$3:$AN$3,0)),GDP_Simple!W25)</f>
        <v>320.29326365517778</v>
      </c>
      <c r="Q23">
        <f>IF($C$3="CGE",INDEX(GDP_CGE!$A$3:$AN$24,MATCH($A23,GDP_CGE!$A$3:$A$24,0),MATCH(Q$9,GDP_CGE!$A$3:$AN$3,0)),GDP_Simple!X25)</f>
        <v>332.14077806207735</v>
      </c>
      <c r="R23">
        <f>IF($C$3="CGE",INDEX(GDP_CGE!$A$3:$AN$24,MATCH($A23,GDP_CGE!$A$3:$A$24,0),MATCH(R$9,GDP_CGE!$A$3:$AN$3,0)),GDP_Simple!Y25)</f>
        <v>345.00936402812971</v>
      </c>
      <c r="S23">
        <f>IF($C$3="CGE",INDEX(GDP_CGE!$A$3:$AN$24,MATCH($A23,GDP_CGE!$A$3:$A$24,0),MATCH(S$9,GDP_CGE!$A$3:$AN$3,0)),GDP_Simple!Z25)</f>
        <v>358.62038253659307</v>
      </c>
      <c r="T23">
        <f>IF($C$3="CGE",INDEX(GDP_CGE!$A$3:$AN$24,MATCH($A23,GDP_CGE!$A$3:$A$24,0),MATCH(T$9,GDP_CGE!$A$3:$AN$3,0)),GDP_Simple!AA25)</f>
        <v>372.89108052669593</v>
      </c>
      <c r="U23">
        <f>IF($C$3="CGE",INDEX(GDP_CGE!$A$3:$AN$24,MATCH($A23,GDP_CGE!$A$3:$A$24,0),MATCH(U$9,GDP_CGE!$A$3:$AN$3,0)),GDP_Simple!AB25)</f>
        <v>388.01259965853018</v>
      </c>
      <c r="V23">
        <f>IF($C$3="CGE",INDEX(GDP_CGE!$A$3:$AN$24,MATCH($A23,GDP_CGE!$A$3:$A$24,0),MATCH(V$9,GDP_CGE!$A$3:$AN$3,0)),GDP_Simple!AC25)</f>
        <v>403.36071848087181</v>
      </c>
      <c r="W23">
        <f>IF($C$3="CGE",INDEX(GDP_CGE!$A$3:$AN$24,MATCH($A23,GDP_CGE!$A$3:$A$24,0),MATCH(W$9,GDP_CGE!$A$3:$AN$3,0)),GDP_Simple!AD25)</f>
        <v>418.7725742534019</v>
      </c>
      <c r="X23">
        <f>IF($C$3="CGE",INDEX(GDP_CGE!$A$3:$AN$24,MATCH($A23,GDP_CGE!$A$3:$A$24,0),MATCH(X$9,GDP_CGE!$A$3:$AN$3,0)),GDP_Simple!AE25)</f>
        <v>434.6709959705027</v>
      </c>
      <c r="Y23">
        <f>IF($C$3="CGE",INDEX(GDP_CGE!$A$3:$AN$24,MATCH($A23,GDP_CGE!$A$3:$A$24,0),MATCH(Y$9,GDP_CGE!$A$3:$AN$3,0)),GDP_Simple!AF25)</f>
        <v>450.33802612083645</v>
      </c>
      <c r="Z23">
        <f>IF($C$3="CGE",INDEX(GDP_CGE!$A$3:$AN$24,MATCH($A23,GDP_CGE!$A$3:$A$24,0),MATCH(Z$9,GDP_CGE!$A$3:$AN$3,0)),GDP_Simple!AG25)</f>
        <v>466.59000437314808</v>
      </c>
      <c r="AA23">
        <f>IF($C$3="CGE",INDEX(GDP_CGE!$A$3:$AN$24,MATCH($A23,GDP_CGE!$A$3:$A$24,0),MATCH(AA$9,GDP_CGE!$A$3:$AN$3,0)),GDP_Simple!AH25)</f>
        <v>483.63022743787826</v>
      </c>
      <c r="AB23">
        <f>IF($C$3="CGE",INDEX(GDP_CGE!$A$3:$AN$24,MATCH($A23,GDP_CGE!$A$3:$A$24,0),MATCH(AB$9,GDP_CGE!$A$3:$AN$3,0)),GDP_Simple!AI25)</f>
        <v>501.52439736321446</v>
      </c>
      <c r="AC23">
        <f>IF($C$3="CGE",INDEX(GDP_CGE!$A$3:$AN$24,MATCH($A23,GDP_CGE!$A$3:$A$24,0),MATCH(AC$9,GDP_CGE!$A$3:$AN$3,0)),GDP_Simple!AJ25)</f>
        <v>520.32154358700711</v>
      </c>
      <c r="AD23">
        <f>IF($C$3="CGE",INDEX(GDP_CGE!$A$3:$AN$24,MATCH($A23,GDP_CGE!$A$3:$A$24,0),MATCH(AD$9,GDP_CGE!$A$3:$AN$3,0)),GDP_Simple!AK25)</f>
        <v>538.79970160482628</v>
      </c>
      <c r="AE23">
        <f>IF($C$3="CGE",INDEX(GDP_CGE!$A$3:$AN$24,MATCH($A23,GDP_CGE!$A$3:$A$24,0),MATCH(AE$9,GDP_CGE!$A$3:$AN$3,0)),GDP_Simple!AL25)</f>
        <v>558.19673402842727</v>
      </c>
      <c r="AF23">
        <f>IF($C$3="CGE",INDEX(GDP_CGE!$A$3:$AN$24,MATCH($A23,GDP_CGE!$A$3:$A$24,0),MATCH(AF$9,GDP_CGE!$A$3:$AN$3,0)),GDP_Simple!AM25)</f>
        <v>578.98841238759348</v>
      </c>
      <c r="AG23">
        <f>IF($C$3="CGE",INDEX(GDP_CGE!$A$3:$AN$24,MATCH($A23,GDP_CGE!$A$3:$A$24,0),MATCH(AG$9,GDP_CGE!$A$3:$AN$3,0)),GDP_Simple!AN25)</f>
        <v>601.01259279342662</v>
      </c>
      <c r="AH23">
        <f>IF($C$3="CGE",INDEX(GDP_CGE!$A$3:$AN$24,MATCH($A23,GDP_CGE!$A$3:$A$24,0),MATCH(AH$9,GDP_CGE!$A$3:$AN$3,0)),GDP_Simple!AO25)</f>
        <v>622.71737582439937</v>
      </c>
      <c r="AI23">
        <f>IF($C$3="CGE",INDEX(GDP_CGE!$A$3:$AN$24,MATCH($A23,GDP_CGE!$A$3:$A$24,0),MATCH(AI$9,GDP_CGE!$A$3:$AN$3,0)),GDP_Simple!AP25)</f>
        <v>644.01370768059326</v>
      </c>
      <c r="AJ23">
        <f>IF($C$3="CGE",INDEX(GDP_CGE!$A$3:$AN$24,MATCH($A23,GDP_CGE!$A$3:$A$24,0),MATCH(AJ$9,GDP_CGE!$A$3:$AN$3,0)),GDP_Simple!AQ25)</f>
        <v>664.81151846265607</v>
      </c>
      <c r="AK23">
        <f>IF($C$3="CGE",INDEX(GDP_CGE!$A$3:$AN$24,MATCH($A23,GDP_CGE!$A$3:$A$24,0),MATCH(AK$9,GDP_CGE!$A$3:$AN$3,0)),GDP_Simple!AR25)</f>
        <v>685.02028753015065</v>
      </c>
      <c r="AL23">
        <f>IF($C$3="CGE",INDEX(GDP_CGE!$A$3:$AN$24,MATCH($A23,GDP_CGE!$A$3:$A$24,0),MATCH(AL$9,GDP_CGE!$A$3:$AN$3,0)),GDP_Simple!AS25)</f>
        <v>704.5496804184146</v>
      </c>
      <c r="AM23">
        <f>IF($C$3="CGE",INDEX(GDP_CGE!$A$3:$AN$24,MATCH($A23,GDP_CGE!$A$3:$A$24,0),MATCH(AM$9,GDP_CGE!$A$3:$AN$3,0)),GDP_Simple!AT25)</f>
        <v>723.31020621108212</v>
      </c>
      <c r="AN23">
        <f>IF($C$3="CGE",INDEX(GDP_CGE!$A$3:$AN$24,MATCH($A23,GDP_CGE!$A$3:$A$24,0),MATCH(AN$9,GDP_CGE!$A$3:$AN$3,0)),GDP_Simple!AU25)</f>
        <v>741.21388897307395</v>
      </c>
      <c r="AO23">
        <f>IF($C$3="CGE",INDEX(GDP_CGE!$A$3:$AN$24,MATCH($A23,GDP_CGE!$A$3:$A$24,0),MATCH(AO$9,GDP_CGE!$A$3:$AN$3,0)),GDP_Simple!AV25)</f>
        <v>758.17494644926796</v>
      </c>
      <c r="AP23">
        <f>IF($C$3="CGE",INDEX(GDP_CGE!$A$3:$AN$24,MATCH($A23,GDP_CGE!$A$3:$A$24,0),MATCH(AP$9,GDP_CGE!$A$3:$AN$3,0)),GDP_Simple!AW25)</f>
        <v>774.11046891852811</v>
      </c>
      <c r="AQ23">
        <f>IF($C$3="CGE",INDEX(GDP_CGE!$A$3:$AN$24,MATCH($A23,GDP_CGE!$A$3:$A$24,0),MATCH(AQ$9,GDP_CGE!$A$3:$AN$3,0)),GDP_Simple!AX25)</f>
        <v>788.94109086929359</v>
      </c>
      <c r="AR23">
        <f>IF($C$3="CGE",INDEX(GDP_CGE!$A$3:$AN$24,MATCH($A23,GDP_CGE!$A$3:$A$24,0),MATCH(AR$9,GDP_CGE!$A$3:$AN$3,0)),GDP_Simple!AY25)</f>
        <v>802.59164803822637</v>
      </c>
      <c r="AS23">
        <f>IF($C$3="CGE",INDEX(GDP_CGE!$A$3:$AN$24,MATCH($A23,GDP_CGE!$A$3:$A$24,0),MATCH(AS$9,GDP_CGE!$A$3:$AN$3,0)),GDP_Simple!AZ25)</f>
        <v>814.99181233253057</v>
      </c>
      <c r="AT23">
        <f>IF($C$3="CGE",INDEX(GDP_CGE!$A$3:$AN$24,MATCH($A23,GDP_CGE!$A$3:$A$24,0),MATCH(AT$9,GDP_CGE!$A$3:$AN$3,0)),GDP_Simple!BA25)</f>
        <v>826.07669724291145</v>
      </c>
      <c r="AU23">
        <f>IF($C$3="CGE",INDEX(GDP_CGE!$A$3:$AN$24,MATCH($A23,GDP_CGE!$A$3:$A$24,0),MATCH(AU$9,GDP_CGE!$A$3:$AN$3,0)),GDP_Simple!BB25)</f>
        <v>835.7874265492726</v>
      </c>
      <c r="AV23">
        <f>IF($C$3="CGE",INDEX(GDP_CGE!$A$3:$AN$24,MATCH($A23,GDP_CGE!$A$3:$A$24,0),MATCH(AV$9,GDP_CGE!$A$3:$AN$3,0)),GDP_Simple!BC25)</f>
        <v>844.07165942480287</v>
      </c>
      <c r="AW23">
        <f>IF($C$3="CGE",INDEX(GDP_CGE!$A$3:$AN$24,MATCH($A23,GDP_CGE!$A$3:$A$24,0),MATCH(AW$9,GDP_CGE!$A$3:$AN$3,0)),GDP_Simple!BD25)</f>
        <v>850.88406545374664</v>
      </c>
      <c r="AX23">
        <f>IF($C$3="CGE",INDEX(GDP_CGE!$A$3:$AN$24,MATCH($A23,GDP_CGE!$A$3:$A$24,0),MATCH(AX$9,GDP_CGE!$A$3:$AN$3,0)),GDP_Simple!BE25)</f>
        <v>856.18674358958833</v>
      </c>
      <c r="AY23">
        <f>IF($C$3="CGE",INDEX(GDP_CGE!$A$3:$AN$24,MATCH($A23,GDP_CGE!$A$3:$A$24,0),MATCH(AY$9,GDP_CGE!$A$3:$AN$3,0)),GDP_Simple!BF25)</f>
        <v>859.94957968740948</v>
      </c>
      <c r="AZ23">
        <f>IF($C$3="CGE",INDEX(GDP_CGE!$A$3:$AN$24,MATCH($A23,GDP_CGE!$A$3:$A$24,0),MATCH(AZ$9,GDP_CGE!$A$3:$AN$3,0)),GDP_Simple!BG25)</f>
        <v>862.15053793868742</v>
      </c>
      <c r="BA23">
        <f>IF($C$3="CGE",INDEX(GDP_CGE!$A$3:$AN$24,MATCH($A23,GDP_CGE!$A$3:$A$24,0),MATCH(BA$9,GDP_CGE!$A$3:$AN$3,0)),GDP_Simple!BH25)</f>
        <v>862.77588230905815</v>
      </c>
    </row>
    <row r="24" spans="1:53" x14ac:dyDescent="0.25">
      <c r="A24" s="3" t="s">
        <v>36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7.2001455501893528</v>
      </c>
      <c r="G24">
        <f>IF($C$3="CGE",INDEX(GDP_CGE!$A$3:$AN$24,MATCH($A24,GDP_CGE!$A$3:$A$24,0),MATCH(G$9,GDP_CGE!$A$3:$AN$3,0)),GDP_Simple!N26)</f>
        <v>7.2736402421214414</v>
      </c>
      <c r="H24">
        <f>IF($C$3="CGE",INDEX(GDP_CGE!$A$3:$AN$24,MATCH($A24,GDP_CGE!$A$3:$A$24,0),MATCH(H$9,GDP_CGE!$A$3:$AN$3,0)),GDP_Simple!O26)</f>
        <v>7.3520504481762794</v>
      </c>
      <c r="I24">
        <f>IF($C$3="CGE",INDEX(GDP_CGE!$A$3:$AN$24,MATCH($A24,GDP_CGE!$A$3:$A$24,0),MATCH(I$9,GDP_CGE!$A$3:$AN$3,0)),GDP_Simple!P26)</f>
        <v>7.4679418637514647</v>
      </c>
      <c r="J24">
        <f>IF($C$3="CGE",INDEX(GDP_CGE!$A$3:$AN$24,MATCH($A24,GDP_CGE!$A$3:$A$24,0),MATCH(J$9,GDP_CGE!$A$3:$AN$3,0)),GDP_Simple!Q26)</f>
        <v>7.59895967812127</v>
      </c>
      <c r="K24">
        <f>IF($C$3="CGE",INDEX(GDP_CGE!$A$3:$AN$24,MATCH($A24,GDP_CGE!$A$3:$A$24,0),MATCH(K$9,GDP_CGE!$A$3:$AN$3,0)),GDP_Simple!R26)</f>
        <v>7.7424308182233617</v>
      </c>
      <c r="L24">
        <f>IF($C$3="CGE",INDEX(GDP_CGE!$A$3:$AN$24,MATCH($A24,GDP_CGE!$A$3:$A$24,0),MATCH(L$9,GDP_CGE!$A$3:$AN$3,0)),GDP_Simple!S26)</f>
        <v>7.9232127294595296</v>
      </c>
      <c r="M24">
        <f>IF($C$3="CGE",INDEX(GDP_CGE!$A$3:$AN$24,MATCH($A24,GDP_CGE!$A$3:$A$24,0),MATCH(M$9,GDP_CGE!$A$3:$AN$3,0)),GDP_Simple!T26)</f>
        <v>8.1432063602192901</v>
      </c>
      <c r="N24">
        <f>IF($C$3="CGE",INDEX(GDP_CGE!$A$3:$AN$24,MATCH($A24,GDP_CGE!$A$3:$A$24,0),MATCH(N$9,GDP_CGE!$A$3:$AN$3,0)),GDP_Simple!U26)</f>
        <v>8.4036652266128566</v>
      </c>
      <c r="O24">
        <f>IF($C$3="CGE",INDEX(GDP_CGE!$A$3:$AN$24,MATCH($A24,GDP_CGE!$A$3:$A$24,0),MATCH(O$9,GDP_CGE!$A$3:$AN$3,0)),GDP_Simple!V26)</f>
        <v>8.6758163863602178</v>
      </c>
      <c r="P24">
        <f>IF($C$3="CGE",INDEX(GDP_CGE!$A$3:$AN$24,MATCH($A24,GDP_CGE!$A$3:$A$24,0),MATCH(P$9,GDP_CGE!$A$3:$AN$3,0)),GDP_Simple!W26)</f>
        <v>8.9719035237127613</v>
      </c>
      <c r="Q24">
        <f>IF($C$3="CGE",INDEX(GDP_CGE!$A$3:$AN$24,MATCH($A24,GDP_CGE!$A$3:$A$24,0),MATCH(Q$9,GDP_CGE!$A$3:$AN$3,0)),GDP_Simple!X26)</f>
        <v>9.3037704978772098</v>
      </c>
      <c r="R24">
        <f>IF($C$3="CGE",INDEX(GDP_CGE!$A$3:$AN$24,MATCH($A24,GDP_CGE!$A$3:$A$24,0),MATCH(R$9,GDP_CGE!$A$3:$AN$3,0)),GDP_Simple!Y26)</f>
        <v>9.6642392459752742</v>
      </c>
      <c r="S24">
        <f>IF($C$3="CGE",INDEX(GDP_CGE!$A$3:$AN$24,MATCH($A24,GDP_CGE!$A$3:$A$24,0),MATCH(S$9,GDP_CGE!$A$3:$AN$3,0)),GDP_Simple!Z26)</f>
        <v>10.045504663561051</v>
      </c>
      <c r="T24">
        <f>IF($C$3="CGE",INDEX(GDP_CGE!$A$3:$AN$24,MATCH($A24,GDP_CGE!$A$3:$A$24,0),MATCH(T$9,GDP_CGE!$A$3:$AN$3,0)),GDP_Simple!AA26)</f>
        <v>10.445248711007158</v>
      </c>
      <c r="U24">
        <f>IF($C$3="CGE",INDEX(GDP_CGE!$A$3:$AN$24,MATCH($A24,GDP_CGE!$A$3:$A$24,0),MATCH(U$9,GDP_CGE!$A$3:$AN$3,0)),GDP_Simple!AB26)</f>
        <v>10.86882555815825</v>
      </c>
      <c r="V24">
        <f>IF($C$3="CGE",INDEX(GDP_CGE!$A$3:$AN$24,MATCH($A24,GDP_CGE!$A$3:$A$24,0),MATCH(V$9,GDP_CGE!$A$3:$AN$3,0)),GDP_Simple!AC26)</f>
        <v>11.298749808743729</v>
      </c>
      <c r="W24">
        <f>IF($C$3="CGE",INDEX(GDP_CGE!$A$3:$AN$24,MATCH($A24,GDP_CGE!$A$3:$A$24,0),MATCH(W$9,GDP_CGE!$A$3:$AN$3,0)),GDP_Simple!AD26)</f>
        <v>11.730459428654369</v>
      </c>
      <c r="X24">
        <f>IF($C$3="CGE",INDEX(GDP_CGE!$A$3:$AN$24,MATCH($A24,GDP_CGE!$A$3:$A$24,0),MATCH(X$9,GDP_CGE!$A$3:$AN$3,0)),GDP_Simple!AE26)</f>
        <v>12.175798503842323</v>
      </c>
      <c r="Y24">
        <f>IF($C$3="CGE",INDEX(GDP_CGE!$A$3:$AN$24,MATCH($A24,GDP_CGE!$A$3:$A$24,0),MATCH(Y$9,GDP_CGE!$A$3:$AN$3,0)),GDP_Simple!AF26)</f>
        <v>12.614655947822852</v>
      </c>
      <c r="Z24">
        <f>IF($C$3="CGE",INDEX(GDP_CGE!$A$3:$AN$24,MATCH($A24,GDP_CGE!$A$3:$A$24,0),MATCH(Z$9,GDP_CGE!$A$3:$AN$3,0)),GDP_Simple!AG26)</f>
        <v>13.069898681576367</v>
      </c>
      <c r="AA24">
        <f>IF($C$3="CGE",INDEX(GDP_CGE!$A$3:$AN$24,MATCH($A24,GDP_CGE!$A$3:$A$24,0),MATCH(AA$9,GDP_CGE!$A$3:$AN$3,0)),GDP_Simple!AH26)</f>
        <v>13.547221356473131</v>
      </c>
      <c r="AB24">
        <f>IF($C$3="CGE",INDEX(GDP_CGE!$A$3:$AN$24,MATCH($A24,GDP_CGE!$A$3:$A$24,0),MATCH(AB$9,GDP_CGE!$A$3:$AN$3,0)),GDP_Simple!AI26)</f>
        <v>14.048464387234709</v>
      </c>
      <c r="AC24">
        <f>IF($C$3="CGE",INDEX(GDP_CGE!$A$3:$AN$24,MATCH($A24,GDP_CGE!$A$3:$A$24,0),MATCH(AC$9,GDP_CGE!$A$3:$AN$3,0)),GDP_Simple!AJ26)</f>
        <v>14.575001163301753</v>
      </c>
      <c r="AD24">
        <f>IF($C$3="CGE",INDEX(GDP_CGE!$A$3:$AN$24,MATCH($A24,GDP_CGE!$A$3:$A$24,0),MATCH(AD$9,GDP_CGE!$A$3:$AN$3,0)),GDP_Simple!AK26)</f>
        <v>15.092602592504068</v>
      </c>
      <c r="AE24">
        <f>IF($C$3="CGE",INDEX(GDP_CGE!$A$3:$AN$24,MATCH($A24,GDP_CGE!$A$3:$A$24,0),MATCH(AE$9,GDP_CGE!$A$3:$AN$3,0)),GDP_Simple!AL26)</f>
        <v>15.635943097280441</v>
      </c>
      <c r="AF24">
        <f>IF($C$3="CGE",INDEX(GDP_CGE!$A$3:$AN$24,MATCH($A24,GDP_CGE!$A$3:$A$24,0),MATCH(AF$9,GDP_CGE!$A$3:$AN$3,0)),GDP_Simple!AM26)</f>
        <v>16.21834976486285</v>
      </c>
      <c r="AG24">
        <f>IF($C$3="CGE",INDEX(GDP_CGE!$A$3:$AN$24,MATCH($A24,GDP_CGE!$A$3:$A$24,0),MATCH(AG$9,GDP_CGE!$A$3:$AN$3,0)),GDP_Simple!AN26)</f>
        <v>16.835280697268317</v>
      </c>
      <c r="AH24">
        <f>IF($C$3="CGE",INDEX(GDP_CGE!$A$3:$AN$24,MATCH($A24,GDP_CGE!$A$3:$A$24,0),MATCH(AH$9,GDP_CGE!$A$3:$AN$3,0)),GDP_Simple!AO26)</f>
        <v>17.443264821363577</v>
      </c>
      <c r="AI24">
        <f>IF($C$3="CGE",INDEX(GDP_CGE!$A$3:$AN$24,MATCH($A24,GDP_CGE!$A$3:$A$24,0),MATCH(AI$9,GDP_CGE!$A$3:$AN$3,0)),GDP_Simple!AP26)</f>
        <v>18.039807604194138</v>
      </c>
      <c r="AJ24">
        <f>IF($C$3="CGE",INDEX(GDP_CGE!$A$3:$AN$24,MATCH($A24,GDP_CGE!$A$3:$A$24,0),MATCH(AJ$9,GDP_CGE!$A$3:$AN$3,0)),GDP_Simple!AQ26)</f>
        <v>18.622386050308403</v>
      </c>
      <c r="AK24">
        <f>IF($C$3="CGE",INDEX(GDP_CGE!$A$3:$AN$24,MATCH($A24,GDP_CGE!$A$3:$A$24,0),MATCH(AK$9,GDP_CGE!$A$3:$AN$3,0)),GDP_Simple!AR26)</f>
        <v>19.188464538308544</v>
      </c>
      <c r="AL24">
        <f>IF($C$3="CGE",INDEX(GDP_CGE!$A$3:$AN$24,MATCH($A24,GDP_CGE!$A$3:$A$24,0),MATCH(AL$9,GDP_CGE!$A$3:$AN$3,0)),GDP_Simple!AS26)</f>
        <v>19.735512661864522</v>
      </c>
      <c r="AM24">
        <f>IF($C$3="CGE",INDEX(GDP_CGE!$A$3:$AN$24,MATCH($A24,GDP_CGE!$A$3:$A$24,0),MATCH(AM$9,GDP_CGE!$A$3:$AN$3,0)),GDP_Simple!AT26)</f>
        <v>20.261023643722531</v>
      </c>
      <c r="AN24">
        <f>IF($C$3="CGE",INDEX(GDP_CGE!$A$3:$AN$24,MATCH($A24,GDP_CGE!$A$3:$A$24,0),MATCH(AN$9,GDP_CGE!$A$3:$AN$3,0)),GDP_Simple!AU26)</f>
        <v>20.762533143568525</v>
      </c>
      <c r="AO24">
        <f>IF($C$3="CGE",INDEX(GDP_CGE!$A$3:$AN$24,MATCH($A24,GDP_CGE!$A$3:$A$24,0),MATCH(AO$9,GDP_CGE!$A$3:$AN$3,0)),GDP_Simple!AV26)</f>
        <v>21.237638269414649</v>
      </c>
      <c r="AP24">
        <f>IF($C$3="CGE",INDEX(GDP_CGE!$A$3:$AN$24,MATCH($A24,GDP_CGE!$A$3:$A$24,0),MATCH(AP$9,GDP_CGE!$A$3:$AN$3,0)),GDP_Simple!AW26)</f>
        <v>21.684016593337443</v>
      </c>
      <c r="AQ24">
        <f>IF($C$3="CGE",INDEX(GDP_CGE!$A$3:$AN$24,MATCH($A24,GDP_CGE!$A$3:$A$24,0),MATCH(AQ$9,GDP_CGE!$A$3:$AN$3,0)),GDP_Simple!AX26)</f>
        <v>22.099444966136986</v>
      </c>
      <c r="AR24">
        <f>IF($C$3="CGE",INDEX(GDP_CGE!$A$3:$AN$24,MATCH($A24,GDP_CGE!$A$3:$A$24,0),MATCH(AR$9,GDP_CGE!$A$3:$AN$3,0)),GDP_Simple!AY26)</f>
        <v>22.48181792199297</v>
      </c>
      <c r="AS24">
        <f>IF($C$3="CGE",INDEX(GDP_CGE!$A$3:$AN$24,MATCH($A24,GDP_CGE!$A$3:$A$24,0),MATCH(AS$9,GDP_CGE!$A$3:$AN$3,0)),GDP_Simple!AZ26)</f>
        <v>22.829165463608636</v>
      </c>
      <c r="AT24">
        <f>IF($C$3="CGE",INDEX(GDP_CGE!$A$3:$AN$24,MATCH($A24,GDP_CGE!$A$3:$A$24,0),MATCH(AT$9,GDP_CGE!$A$3:$AN$3,0)),GDP_Simple!BA26)</f>
        <v>23.139670020752447</v>
      </c>
      <c r="AU24">
        <f>IF($C$3="CGE",INDEX(GDP_CGE!$A$3:$AN$24,MATCH($A24,GDP_CGE!$A$3:$A$24,0),MATCH(AU$9,GDP_CGE!$A$3:$AN$3,0)),GDP_Simple!BB26)</f>
        <v>23.411682380573282</v>
      </c>
      <c r="AV24">
        <f>IF($C$3="CGE",INDEX(GDP_CGE!$A$3:$AN$24,MATCH($A24,GDP_CGE!$A$3:$A$24,0),MATCH(AV$9,GDP_CGE!$A$3:$AN$3,0)),GDP_Simple!BC26)</f>
        <v>23.643736396567963</v>
      </c>
      <c r="AW24">
        <f>IF($C$3="CGE",INDEX(GDP_CGE!$A$3:$AN$24,MATCH($A24,GDP_CGE!$A$3:$A$24,0),MATCH(AW$9,GDP_CGE!$A$3:$AN$3,0)),GDP_Simple!BD26)</f>
        <v>23.834562294554516</v>
      </c>
      <c r="AX24">
        <f>IF($C$3="CGE",INDEX(GDP_CGE!$A$3:$AN$24,MATCH($A24,GDP_CGE!$A$3:$A$24,0),MATCH(AX$9,GDP_CGE!$A$3:$AN$3,0)),GDP_Simple!BE26)</f>
        <v>23.983098408330832</v>
      </c>
      <c r="AY24">
        <f>IF($C$3="CGE",INDEX(GDP_CGE!$A$3:$AN$24,MATCH($A24,GDP_CGE!$A$3:$A$24,0),MATCH(AY$9,GDP_CGE!$A$3:$AN$3,0)),GDP_Simple!BF26)</f>
        <v>24.088501194702072</v>
      </c>
      <c r="AZ24">
        <f>IF($C$3="CGE",INDEX(GDP_CGE!$A$3:$AN$24,MATCH($A24,GDP_CGE!$A$3:$A$24,0),MATCH(AZ$9,GDP_CGE!$A$3:$AN$3,0)),GDP_Simple!BG26)</f>
        <v>24.150153397014527</v>
      </c>
      <c r="BA24">
        <f>IF($C$3="CGE",INDEX(GDP_CGE!$A$3:$AN$24,MATCH($A24,GDP_CGE!$A$3:$A$24,0),MATCH(BA$9,GDP_CGE!$A$3:$AN$3,0)),GDP_Simple!BH26)</f>
        <v>24.167670247965546</v>
      </c>
    </row>
    <row r="25" spans="1:5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45.74907296087391</v>
      </c>
      <c r="G25">
        <f>IF($C$3="CGE",INDEX(GDP_CGE!$A$3:$AN$24,MATCH($A25,GDP_CGE!$A$3:$A$24,0),MATCH(G$9,GDP_CGE!$A$3:$AN$3,0)),GDP_Simple!N27)</f>
        <v>46.216051579569985</v>
      </c>
      <c r="H25">
        <f>IF($C$3="CGE",INDEX(GDP_CGE!$A$3:$AN$24,MATCH($A25,GDP_CGE!$A$3:$A$24,0),MATCH(H$9,GDP_CGE!$A$3:$AN$3,0)),GDP_Simple!O27)</f>
        <v>46.71426292997603</v>
      </c>
      <c r="I25">
        <f>IF($C$3="CGE",INDEX(GDP_CGE!$A$3:$AN$24,MATCH($A25,GDP_CGE!$A$3:$A$24,0),MATCH(I$9,GDP_CGE!$A$3:$AN$3,0)),GDP_Simple!P27)</f>
        <v>47.450626492313837</v>
      </c>
      <c r="J25">
        <f>IF($C$3="CGE",INDEX(GDP_CGE!$A$3:$AN$24,MATCH($A25,GDP_CGE!$A$3:$A$24,0),MATCH(J$9,GDP_CGE!$A$3:$AN$3,0)),GDP_Simple!Q27)</f>
        <v>48.283101823124447</v>
      </c>
      <c r="K25">
        <f>IF($C$3="CGE",INDEX(GDP_CGE!$A$3:$AN$24,MATCH($A25,GDP_CGE!$A$3:$A$24,0),MATCH(K$9,GDP_CGE!$A$3:$AN$3,0)),GDP_Simple!R27)</f>
        <v>49.194704458176425</v>
      </c>
      <c r="L25">
        <f>IF($C$3="CGE",INDEX(GDP_CGE!$A$3:$AN$24,MATCH($A25,GDP_CGE!$A$3:$A$24,0),MATCH(L$9,GDP_CGE!$A$3:$AN$3,0)),GDP_Simple!S27)</f>
        <v>50.343376355084416</v>
      </c>
      <c r="M25">
        <f>IF($C$3="CGE",INDEX(GDP_CGE!$A$3:$AN$24,MATCH($A25,GDP_CGE!$A$3:$A$24,0),MATCH(M$9,GDP_CGE!$A$3:$AN$3,0)),GDP_Simple!T27)</f>
        <v>51.741195967813098</v>
      </c>
      <c r="N25">
        <f>IF($C$3="CGE",INDEX(GDP_CGE!$A$3:$AN$24,MATCH($A25,GDP_CGE!$A$3:$A$24,0),MATCH(N$9,GDP_CGE!$A$3:$AN$3,0)),GDP_Simple!U27)</f>
        <v>53.396128024239715</v>
      </c>
      <c r="O25">
        <f>IF($C$3="CGE",INDEX(GDP_CGE!$A$3:$AN$24,MATCH($A25,GDP_CGE!$A$3:$A$24,0),MATCH(O$9,GDP_CGE!$A$3:$AN$3,0)),GDP_Simple!V27)</f>
        <v>55.125351854074793</v>
      </c>
      <c r="P25">
        <f>IF($C$3="CGE",INDEX(GDP_CGE!$A$3:$AN$24,MATCH($A25,GDP_CGE!$A$3:$A$24,0),MATCH(P$9,GDP_CGE!$A$3:$AN$3,0)),GDP_Simple!W27)</f>
        <v>57.00666271856997</v>
      </c>
      <c r="Q25">
        <f>IF($C$3="CGE",INDEX(GDP_CGE!$A$3:$AN$24,MATCH($A25,GDP_CGE!$A$3:$A$24,0),MATCH(Q$9,GDP_CGE!$A$3:$AN$3,0)),GDP_Simple!X27)</f>
        <v>59.1153154268412</v>
      </c>
      <c r="R25">
        <f>IF($C$3="CGE",INDEX(GDP_CGE!$A$3:$AN$24,MATCH($A25,GDP_CGE!$A$3:$A$24,0),MATCH(R$9,GDP_CGE!$A$3:$AN$3,0)),GDP_Simple!Y27)</f>
        <v>61.405701217225612</v>
      </c>
      <c r="S25">
        <f>IF($C$3="CGE",INDEX(GDP_CGE!$A$3:$AN$24,MATCH($A25,GDP_CGE!$A$3:$A$24,0),MATCH(S$9,GDP_CGE!$A$3:$AN$3,0)),GDP_Simple!Z27)</f>
        <v>63.828227162708892</v>
      </c>
      <c r="T25">
        <f>IF($C$3="CGE",INDEX(GDP_CGE!$A$3:$AN$24,MATCH($A25,GDP_CGE!$A$3:$A$24,0),MATCH(T$9,GDP_CGE!$A$3:$AN$3,0)),GDP_Simple!AA27)</f>
        <v>66.368164649362356</v>
      </c>
      <c r="U25">
        <f>IF($C$3="CGE",INDEX(GDP_CGE!$A$3:$AN$24,MATCH($A25,GDP_CGE!$A$3:$A$24,0),MATCH(U$9,GDP_CGE!$A$3:$AN$3,0)),GDP_Simple!AB27)</f>
        <v>69.059533587639251</v>
      </c>
      <c r="V25">
        <f>IF($C$3="CGE",INDEX(GDP_CGE!$A$3:$AN$24,MATCH($A25,GDP_CGE!$A$3:$A$24,0),MATCH(V$9,GDP_CGE!$A$3:$AN$3,0)),GDP_Simple!AC27)</f>
        <v>71.791233352676201</v>
      </c>
      <c r="W25">
        <f>IF($C$3="CGE",INDEX(GDP_CGE!$A$3:$AN$24,MATCH($A25,GDP_CGE!$A$3:$A$24,0),MATCH(W$9,GDP_CGE!$A$3:$AN$3,0)),GDP_Simple!AD27)</f>
        <v>74.534277192766851</v>
      </c>
      <c r="X25">
        <f>IF($C$3="CGE",INDEX(GDP_CGE!$A$3:$AN$24,MATCH($A25,GDP_CGE!$A$3:$A$24,0),MATCH(X$9,GDP_CGE!$A$3:$AN$3,0)),GDP_Simple!AE27)</f>
        <v>77.363921357747103</v>
      </c>
      <c r="Y25">
        <f>IF($C$3="CGE",INDEX(GDP_CGE!$A$3:$AN$24,MATCH($A25,GDP_CGE!$A$3:$A$24,0),MATCH(Y$9,GDP_CGE!$A$3:$AN$3,0)),GDP_Simple!AF27)</f>
        <v>80.152381824849726</v>
      </c>
      <c r="Z25">
        <f>IF($C$3="CGE",INDEX(GDP_CGE!$A$3:$AN$24,MATCH($A25,GDP_CGE!$A$3:$A$24,0),MATCH(Z$9,GDP_CGE!$A$3:$AN$3,0)),GDP_Simple!AG27)</f>
        <v>83.04495293972802</v>
      </c>
      <c r="AA25">
        <f>IF($C$3="CGE",INDEX(GDP_CGE!$A$3:$AN$24,MATCH($A25,GDP_CGE!$A$3:$A$24,0),MATCH(AA$9,GDP_CGE!$A$3:$AN$3,0)),GDP_Simple!AH27)</f>
        <v>86.077818001623513</v>
      </c>
      <c r="AB25">
        <f>IF($C$3="CGE",INDEX(GDP_CGE!$A$3:$AN$24,MATCH($A25,GDP_CGE!$A$3:$A$24,0),MATCH(AB$9,GDP_CGE!$A$3:$AN$3,0)),GDP_Simple!AI27)</f>
        <v>89.262670839055104</v>
      </c>
      <c r="AC25">
        <f>IF($C$3="CGE",INDEX(GDP_CGE!$A$3:$AN$24,MATCH($A25,GDP_CGE!$A$3:$A$24,0),MATCH(AC$9,GDP_CGE!$A$3:$AN$3,0)),GDP_Simple!AJ27)</f>
        <v>92.60823784418892</v>
      </c>
      <c r="AD25">
        <f>IF($C$3="CGE",INDEX(GDP_CGE!$A$3:$AN$24,MATCH($A25,GDP_CGE!$A$3:$A$24,0),MATCH(AD$9,GDP_CGE!$A$3:$AN$3,0)),GDP_Simple!AK27)</f>
        <v>95.897030464305686</v>
      </c>
      <c r="AE25">
        <f>IF($C$3="CGE",INDEX(GDP_CGE!$A$3:$AN$24,MATCH($A25,GDP_CGE!$A$3:$A$24,0),MATCH(AE$9,GDP_CGE!$A$3:$AN$3,0)),GDP_Simple!AL27)</f>
        <v>99.349366840333332</v>
      </c>
      <c r="AF25">
        <f>IF($C$3="CGE",INDEX(GDP_CGE!$A$3:$AN$24,MATCH($A25,GDP_CGE!$A$3:$A$24,0),MATCH(AF$9,GDP_CGE!$A$3:$AN$3,0)),GDP_Simple!AM27)</f>
        <v>103.04992607797629</v>
      </c>
      <c r="AG25">
        <f>IF($C$3="CGE",INDEX(GDP_CGE!$A$3:$AN$24,MATCH($A25,GDP_CGE!$A$3:$A$24,0),MATCH(AG$9,GDP_CGE!$A$3:$AN$3,0)),GDP_Simple!AN27)</f>
        <v>106.96984936865135</v>
      </c>
      <c r="AH25">
        <f>IF($C$3="CGE",INDEX(GDP_CGE!$A$3:$AN$24,MATCH($A25,GDP_CGE!$A$3:$A$24,0),MATCH(AH$9,GDP_CGE!$A$3:$AN$3,0)),GDP_Simple!AO27)</f>
        <v>110.83292544932249</v>
      </c>
      <c r="AI25">
        <f>IF($C$3="CGE",INDEX(GDP_CGE!$A$3:$AN$24,MATCH($A25,GDP_CGE!$A$3:$A$24,0),MATCH(AI$9,GDP_CGE!$A$3:$AN$3,0)),GDP_Simple!AP27)</f>
        <v>114.6233042834393</v>
      </c>
      <c r="AJ25">
        <f>IF($C$3="CGE",INDEX(GDP_CGE!$A$3:$AN$24,MATCH($A25,GDP_CGE!$A$3:$A$24,0),MATCH(AJ$9,GDP_CGE!$A$3:$AN$3,0)),GDP_Simple!AQ27)</f>
        <v>118.32495498632171</v>
      </c>
      <c r="AK25">
        <f>IF($C$3="CGE",INDEX(GDP_CGE!$A$3:$AN$24,MATCH($A25,GDP_CGE!$A$3:$A$24,0),MATCH(AK$9,GDP_CGE!$A$3:$AN$3,0)),GDP_Simple!AR27)</f>
        <v>121.92176644917033</v>
      </c>
      <c r="AL25">
        <f>IF($C$3="CGE",INDEX(GDP_CGE!$A$3:$AN$24,MATCH($A25,GDP_CGE!$A$3:$A$24,0),MATCH(AL$9,GDP_CGE!$A$3:$AN$3,0)),GDP_Simple!AS27)</f>
        <v>125.3976606992544</v>
      </c>
      <c r="AM25">
        <f>IF($C$3="CGE",INDEX(GDP_CGE!$A$3:$AN$24,MATCH($A25,GDP_CGE!$A$3:$A$24,0),MATCH(AM$9,GDP_CGE!$A$3:$AN$3,0)),GDP_Simple!AT27)</f>
        <v>128.73670990085427</v>
      </c>
      <c r="AN25">
        <f>IF($C$3="CGE",INDEX(GDP_CGE!$A$3:$AN$24,MATCH($A25,GDP_CGE!$A$3:$A$24,0),MATCH(AN$9,GDP_CGE!$A$3:$AN$3,0)),GDP_Simple!AU27)</f>
        <v>131.92325585872345</v>
      </c>
      <c r="AO25">
        <f>IF($C$3="CGE",INDEX(GDP_CGE!$A$3:$AN$24,MATCH($A25,GDP_CGE!$A$3:$A$24,0),MATCH(AO$9,GDP_CGE!$A$3:$AN$3,0)),GDP_Simple!AV27)</f>
        <v>134.94203081471696</v>
      </c>
      <c r="AP25">
        <f>IF($C$3="CGE",INDEX(GDP_CGE!$A$3:$AN$24,MATCH($A25,GDP_CGE!$A$3:$A$24,0),MATCH(AP$9,GDP_CGE!$A$3:$AN$3,0)),GDP_Simple!AW27)</f>
        <v>137.77827827207</v>
      </c>
      <c r="AQ25">
        <f>IF($C$3="CGE",INDEX(GDP_CGE!$A$3:$AN$24,MATCH($A25,GDP_CGE!$A$3:$A$24,0),MATCH(AQ$9,GDP_CGE!$A$3:$AN$3,0)),GDP_Simple!AX27)</f>
        <v>140.41787254203911</v>
      </c>
      <c r="AR25">
        <f>IF($C$3="CGE",INDEX(GDP_CGE!$A$3:$AN$24,MATCH($A25,GDP_CGE!$A$3:$A$24,0),MATCH(AR$9,GDP_CGE!$A$3:$AN$3,0)),GDP_Simple!AY27)</f>
        <v>142.84743568542035</v>
      </c>
      <c r="AS25">
        <f>IF($C$3="CGE",INDEX(GDP_CGE!$A$3:$AN$24,MATCH($A25,GDP_CGE!$A$3:$A$24,0),MATCH(AS$9,GDP_CGE!$A$3:$AN$3,0)),GDP_Simple!AZ27)</f>
        <v>145.05445051774376</v>
      </c>
      <c r="AT25">
        <f>IF($C$3="CGE",INDEX(GDP_CGE!$A$3:$AN$24,MATCH($A25,GDP_CGE!$A$3:$A$24,0),MATCH(AT$9,GDP_CGE!$A$3:$AN$3,0)),GDP_Simple!BA27)</f>
        <v>147.02736836231185</v>
      </c>
      <c r="AU25">
        <f>IF($C$3="CGE",INDEX(GDP_CGE!$A$3:$AN$24,MATCH($A25,GDP_CGE!$A$3:$A$24,0),MATCH(AU$9,GDP_CGE!$A$3:$AN$3,0)),GDP_Simple!BB27)</f>
        <v>148.75571026998003</v>
      </c>
      <c r="AV25">
        <f>IF($C$3="CGE",INDEX(GDP_CGE!$A$3:$AN$24,MATCH($A25,GDP_CGE!$A$3:$A$24,0),MATCH(AV$9,GDP_CGE!$A$3:$AN$3,0)),GDP_Simple!BC27)</f>
        <v>150.23016047860466</v>
      </c>
      <c r="AW25">
        <f>IF($C$3="CGE",INDEX(GDP_CGE!$A$3:$AN$24,MATCH($A25,GDP_CGE!$A$3:$A$24,0),MATCH(AW$9,GDP_CGE!$A$3:$AN$3,0)),GDP_Simple!BD27)</f>
        <v>151.44265095799247</v>
      </c>
      <c r="AX25">
        <f>IF($C$3="CGE",INDEX(GDP_CGE!$A$3:$AN$24,MATCH($A25,GDP_CGE!$A$3:$A$24,0),MATCH(AX$9,GDP_CGE!$A$3:$AN$3,0)),GDP_Simple!BE27)</f>
        <v>152.38643597721318</v>
      </c>
      <c r="AY25">
        <f>IF($C$3="CGE",INDEX(GDP_CGE!$A$3:$AN$24,MATCH($A25,GDP_CGE!$A$3:$A$24,0),MATCH(AY$9,GDP_CGE!$A$3:$AN$3,0)),GDP_Simple!BF27)</f>
        <v>153.05615573917697</v>
      </c>
      <c r="AZ25">
        <f>IF($C$3="CGE",INDEX(GDP_CGE!$A$3:$AN$24,MATCH($A25,GDP_CGE!$A$3:$A$24,0),MATCH(AZ$9,GDP_CGE!$A$3:$AN$3,0)),GDP_Simple!BG27)</f>
        <v>153.44788825098942</v>
      </c>
      <c r="BA25">
        <f>IF($C$3="CGE",INDEX(GDP_CGE!$A$3:$AN$24,MATCH($A25,GDP_CGE!$A$3:$A$24,0),MATCH(BA$9,GDP_CGE!$A$3:$AN$3,0)),GDP_Simple!BH27)</f>
        <v>153.55918873604446</v>
      </c>
    </row>
    <row r="26" spans="1:5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  <c r="AH26">
        <f>IF($C$3="CGE",INDEX(GDP_CGE!$A$3:$AN$24,MATCH($A26,GDP_CGE!$A$3:$A$24,0),MATCH(AH$9,GDP_CGE!$A$3:$AN$3,0)),GDP_Simple!AO28)</f>
        <v>85.771998232974326</v>
      </c>
      <c r="AI26">
        <f>IF($C$3="CGE",INDEX(GDP_CGE!$A$3:$AN$24,MATCH($A26,GDP_CGE!$A$3:$A$24,0),MATCH(AI$9,GDP_CGE!$A$3:$AN$3,0)),GDP_Simple!AP28)</f>
        <v>84.742734254178629</v>
      </c>
      <c r="AJ26">
        <f>IF($C$3="CGE",INDEX(GDP_CGE!$A$3:$AN$24,MATCH($A26,GDP_CGE!$A$3:$A$24,0),MATCH(AJ$9,GDP_CGE!$A$3:$AN$3,0)),GDP_Simple!AQ28)</f>
        <v>83.725821443128481</v>
      </c>
      <c r="AK26">
        <f>IF($C$3="CGE",INDEX(GDP_CGE!$A$3:$AN$24,MATCH($A26,GDP_CGE!$A$3:$A$24,0),MATCH(AK$9,GDP_CGE!$A$3:$AN$3,0)),GDP_Simple!AR28)</f>
        <v>82.721111585810945</v>
      </c>
      <c r="AL26">
        <f>IF($C$3="CGE",INDEX(GDP_CGE!$A$3:$AN$24,MATCH($A26,GDP_CGE!$A$3:$A$24,0),MATCH(AL$9,GDP_CGE!$A$3:$AN$3,0)),GDP_Simple!AS28)</f>
        <v>81.728458246781216</v>
      </c>
      <c r="AM26">
        <f>IF($C$3="CGE",INDEX(GDP_CGE!$A$3:$AN$24,MATCH($A26,GDP_CGE!$A$3:$A$24,0),MATCH(AM$9,GDP_CGE!$A$3:$AN$3,0)),GDP_Simple!AT28)</f>
        <v>80.747716747819837</v>
      </c>
      <c r="AN26">
        <f>IF($C$3="CGE",INDEX(GDP_CGE!$A$3:$AN$24,MATCH($A26,GDP_CGE!$A$3:$A$24,0),MATCH(AN$9,GDP_CGE!$A$3:$AN$3,0)),GDP_Simple!AU28)</f>
        <v>79.778744146845995</v>
      </c>
      <c r="AO26">
        <f>IF($C$3="CGE",INDEX(GDP_CGE!$A$3:$AN$24,MATCH($A26,GDP_CGE!$A$3:$A$24,0),MATCH(AO$9,GDP_CGE!$A$3:$AN$3,0)),GDP_Simple!AV28)</f>
        <v>78.821399217083837</v>
      </c>
      <c r="AP26">
        <f>IF($C$3="CGE",INDEX(GDP_CGE!$A$3:$AN$24,MATCH($A26,GDP_CGE!$A$3:$A$24,0),MATCH(AP$9,GDP_CGE!$A$3:$AN$3,0)),GDP_Simple!AW28)</f>
        <v>77.87554242647883</v>
      </c>
      <c r="AQ26">
        <f>IF($C$3="CGE",INDEX(GDP_CGE!$A$3:$AN$24,MATCH($A26,GDP_CGE!$A$3:$A$24,0),MATCH(AQ$9,GDP_CGE!$A$3:$AN$3,0)),GDP_Simple!AX28)</f>
        <v>76.941035917361077</v>
      </c>
      <c r="AR26">
        <f>IF($C$3="CGE",INDEX(GDP_CGE!$A$3:$AN$24,MATCH($A26,GDP_CGE!$A$3:$A$24,0),MATCH(AR$9,GDP_CGE!$A$3:$AN$3,0)),GDP_Simple!AY28)</f>
        <v>76.017743486352742</v>
      </c>
      <c r="AS26">
        <f>IF($C$3="CGE",INDEX(GDP_CGE!$A$3:$AN$24,MATCH($A26,GDP_CGE!$A$3:$A$24,0),MATCH(AS$9,GDP_CGE!$A$3:$AN$3,0)),GDP_Simple!AZ28)</f>
        <v>75.105530564516513</v>
      </c>
      <c r="AT26">
        <f>IF($C$3="CGE",INDEX(GDP_CGE!$A$3:$AN$24,MATCH($A26,GDP_CGE!$A$3:$A$24,0),MATCH(AT$9,GDP_CGE!$A$3:$AN$3,0)),GDP_Simple!BA28)</f>
        <v>74.204264197742319</v>
      </c>
      <c r="AU26">
        <f>IF($C$3="CGE",INDEX(GDP_CGE!$A$3:$AN$24,MATCH($A26,GDP_CGE!$A$3:$A$24,0),MATCH(AU$9,GDP_CGE!$A$3:$AN$3,0)),GDP_Simple!BB28)</f>
        <v>73.313813027369406</v>
      </c>
      <c r="AV26">
        <f>IF($C$3="CGE",INDEX(GDP_CGE!$A$3:$AN$24,MATCH($A26,GDP_CGE!$A$3:$A$24,0),MATCH(AV$9,GDP_CGE!$A$3:$AN$3,0)),GDP_Simple!BC28)</f>
        <v>72.434047271040967</v>
      </c>
      <c r="AW26">
        <f>IF($C$3="CGE",INDEX(GDP_CGE!$A$3:$AN$24,MATCH($A26,GDP_CGE!$A$3:$A$24,0),MATCH(AW$9,GDP_CGE!$A$3:$AN$3,0)),GDP_Simple!BD28)</f>
        <v>71.564838703788482</v>
      </c>
      <c r="AX26">
        <f>IF($C$3="CGE",INDEX(GDP_CGE!$A$3:$AN$24,MATCH($A26,GDP_CGE!$A$3:$A$24,0),MATCH(AX$9,GDP_CGE!$A$3:$AN$3,0)),GDP_Simple!BE28)</f>
        <v>70.706060639343022</v>
      </c>
      <c r="AY26">
        <f>IF($C$3="CGE",INDEX(GDP_CGE!$A$3:$AN$24,MATCH($A26,GDP_CGE!$A$3:$A$24,0),MATCH(AY$9,GDP_CGE!$A$3:$AN$3,0)),GDP_Simple!BF28)</f>
        <v>69.857587911670905</v>
      </c>
      <c r="AZ26">
        <f>IF($C$3="CGE",INDEX(GDP_CGE!$A$3:$AN$24,MATCH($A26,GDP_CGE!$A$3:$A$24,0),MATCH(AZ$9,GDP_CGE!$A$3:$AN$3,0)),GDP_Simple!BG28)</f>
        <v>69.019296856730847</v>
      </c>
      <c r="BA26">
        <f>IF($C$3="CGE",INDEX(GDP_CGE!$A$3:$AN$24,MATCH($A26,GDP_CGE!$A$3:$A$24,0),MATCH(BA$9,GDP_CGE!$A$3:$AN$3,0)),GDP_Simple!BH28)</f>
        <v>68.19106529445007</v>
      </c>
    </row>
    <row r="27" spans="1:53" x14ac:dyDescent="0.25">
      <c r="A27" s="3" t="s">
        <v>178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96.485901069684203</v>
      </c>
      <c r="G27">
        <f>IF($C$3="CGE",INDEX(GDP_CGE!$A$3:$AN$24,MATCH($A27,GDP_CGE!$A$3:$A$24,0),MATCH(G$9,GDP_CGE!$A$3:$AN$3,0)),GDP_Simple!N29)</f>
        <v>97.470770267879786</v>
      </c>
      <c r="H27">
        <f>IF($C$3="CGE",INDEX(GDP_CGE!$A$3:$AN$24,MATCH($A27,GDP_CGE!$A$3:$A$24,0),MATCH(H$9,GDP_CGE!$A$3:$AN$3,0)),GDP_Simple!O29)</f>
        <v>98.521510052447283</v>
      </c>
      <c r="I27">
        <f>IF($C$3="CGE",INDEX(GDP_CGE!$A$3:$AN$24,MATCH($A27,GDP_CGE!$A$3:$A$24,0),MATCH(I$9,GDP_CGE!$A$3:$AN$3,0)),GDP_Simple!P29)</f>
        <v>100.07451861040886</v>
      </c>
      <c r="J27">
        <f>IF($C$3="CGE",INDEX(GDP_CGE!$A$3:$AN$24,MATCH($A27,GDP_CGE!$A$3:$A$24,0),MATCH(J$9,GDP_CGE!$A$3:$AN$3,0)),GDP_Simple!Q29)</f>
        <v>101.83022921202563</v>
      </c>
      <c r="K27">
        <f>IF($C$3="CGE",INDEX(GDP_CGE!$A$3:$AN$24,MATCH($A27,GDP_CGE!$A$3:$A$24,0),MATCH(K$9,GDP_CGE!$A$3:$AN$3,0)),GDP_Simple!R29)</f>
        <v>103.75282121155557</v>
      </c>
      <c r="L27">
        <f>IF($C$3="CGE",INDEX(GDP_CGE!$A$3:$AN$24,MATCH($A27,GDP_CGE!$A$3:$A$24,0),MATCH(L$9,GDP_CGE!$A$3:$AN$3,0)),GDP_Simple!S29)</f>
        <v>106.17539801658455</v>
      </c>
      <c r="M27">
        <f>IF($C$3="CGE",INDEX(GDP_CGE!$A$3:$AN$24,MATCH($A27,GDP_CGE!$A$3:$A$24,0),MATCH(M$9,GDP_CGE!$A$3:$AN$3,0)),GDP_Simple!T29)</f>
        <v>109.12343337857645</v>
      </c>
      <c r="N27">
        <f>IF($C$3="CGE",INDEX(GDP_CGE!$A$3:$AN$24,MATCH($A27,GDP_CGE!$A$3:$A$24,0),MATCH(N$9,GDP_CGE!$A$3:$AN$3,0)),GDP_Simple!U29)</f>
        <v>112.61372510120849</v>
      </c>
      <c r="O27">
        <f>IF($C$3="CGE",INDEX(GDP_CGE!$A$3:$AN$24,MATCH($A27,GDP_CGE!$A$3:$A$24,0),MATCH(O$9,GDP_CGE!$A$3:$AN$3,0)),GDP_Simple!V29)</f>
        <v>116.26069997030584</v>
      </c>
      <c r="P27">
        <f>IF($C$3="CGE",INDEX(GDP_CGE!$A$3:$AN$24,MATCH($A27,GDP_CGE!$A$3:$A$24,0),MATCH(P$9,GDP_CGE!$A$3:$AN$3,0)),GDP_Simple!W29)</f>
        <v>120.22843007290803</v>
      </c>
      <c r="Q27">
        <f>IF($C$3="CGE",INDEX(GDP_CGE!$A$3:$AN$24,MATCH($A27,GDP_CGE!$A$3:$A$24,0),MATCH(Q$9,GDP_CGE!$A$3:$AN$3,0)),GDP_Simple!X29)</f>
        <v>124.67562962107333</v>
      </c>
      <c r="R27">
        <f>IF($C$3="CGE",INDEX(GDP_CGE!$A$3:$AN$24,MATCH($A27,GDP_CGE!$A$3:$A$24,0),MATCH(R$9,GDP_CGE!$A$3:$AN$3,0)),GDP_Simple!Y29)</f>
        <v>129.50610863365219</v>
      </c>
      <c r="S27">
        <f>IF($C$3="CGE",INDEX(GDP_CGE!$A$3:$AN$24,MATCH($A27,GDP_CGE!$A$3:$A$24,0),MATCH(S$9,GDP_CGE!$A$3:$AN$3,0)),GDP_Simple!Z29)</f>
        <v>134.61527442843331</v>
      </c>
      <c r="T27">
        <f>IF($C$3="CGE",INDEX(GDP_CGE!$A$3:$AN$24,MATCH($A27,GDP_CGE!$A$3:$A$24,0),MATCH(T$9,GDP_CGE!$A$3:$AN$3,0)),GDP_Simple!AA29)</f>
        <v>139.97206400250883</v>
      </c>
      <c r="U27">
        <f>IF($C$3="CGE",INDEX(GDP_CGE!$A$3:$AN$24,MATCH($A27,GDP_CGE!$A$3:$A$24,0),MATCH(U$9,GDP_CGE!$A$3:$AN$3,0)),GDP_Simple!AB29)</f>
        <v>145.64822616961308</v>
      </c>
      <c r="V27">
        <f>IF($C$3="CGE",INDEX(GDP_CGE!$A$3:$AN$24,MATCH($A27,GDP_CGE!$A$3:$A$24,0),MATCH(V$9,GDP_CGE!$A$3:$AN$3,0)),GDP_Simple!AC29)</f>
        <v>151.40944702553838</v>
      </c>
      <c r="W27">
        <f>IF($C$3="CGE",INDEX(GDP_CGE!$A$3:$AN$24,MATCH($A27,GDP_CGE!$A$3:$A$24,0),MATCH(W$9,GDP_CGE!$A$3:$AN$3,0)),GDP_Simple!AD29)</f>
        <v>157.19459281004737</v>
      </c>
      <c r="X27">
        <f>IF($C$3="CGE",INDEX(GDP_CGE!$A$3:$AN$24,MATCH($A27,GDP_CGE!$A$3:$A$24,0),MATCH(X$9,GDP_CGE!$A$3:$AN$3,0)),GDP_Simple!AE29)</f>
        <v>163.16238077371145</v>
      </c>
      <c r="Y27">
        <f>IF($C$3="CGE",INDEX(GDP_CGE!$A$3:$AN$24,MATCH($A27,GDP_CGE!$A$3:$A$24,0),MATCH(Y$9,GDP_CGE!$A$3:$AN$3,0)),GDP_Simple!AF29)</f>
        <v>169.04331132274547</v>
      </c>
      <c r="Z27">
        <f>IF($C$3="CGE",INDEX(GDP_CGE!$A$3:$AN$24,MATCH($A27,GDP_CGE!$A$3:$A$24,0),MATCH(Z$9,GDP_CGE!$A$3:$AN$3,0)),GDP_Simple!AG29)</f>
        <v>175.14381374529427</v>
      </c>
      <c r="AA27">
        <f>IF($C$3="CGE",INDEX(GDP_CGE!$A$3:$AN$24,MATCH($A27,GDP_CGE!$A$3:$A$24,0),MATCH(AA$9,GDP_CGE!$A$3:$AN$3,0)),GDP_Simple!AH29)</f>
        <v>181.54019949435667</v>
      </c>
      <c r="AB27">
        <f>IF($C$3="CGE",INDEX(GDP_CGE!$A$3:$AN$24,MATCH($A27,GDP_CGE!$A$3:$A$24,0),MATCH(AB$9,GDP_CGE!$A$3:$AN$3,0)),GDP_Simple!AI29)</f>
        <v>188.25713113703137</v>
      </c>
      <c r="AC27">
        <f>IF($C$3="CGE",INDEX(GDP_CGE!$A$3:$AN$24,MATCH($A27,GDP_CGE!$A$3:$A$24,0),MATCH(AC$9,GDP_CGE!$A$3:$AN$3,0)),GDP_Simple!AJ29)</f>
        <v>195.31301284539754</v>
      </c>
      <c r="AD27">
        <f>IF($C$3="CGE",INDEX(GDP_CGE!$A$3:$AN$24,MATCH($A27,GDP_CGE!$A$3:$A$24,0),MATCH(AD$9,GDP_CGE!$A$3:$AN$3,0)),GDP_Simple!AK29)</f>
        <v>202.24915600297973</v>
      </c>
      <c r="AE27">
        <f>IF($C$3="CGE",INDEX(GDP_CGE!$A$3:$AN$24,MATCH($A27,GDP_CGE!$A$3:$A$24,0),MATCH(AE$9,GDP_CGE!$A$3:$AN$3,0)),GDP_Simple!AL29)</f>
        <v>209.53021689620385</v>
      </c>
      <c r="AF27">
        <f>IF($C$3="CGE",INDEX(GDP_CGE!$A$3:$AN$24,MATCH($A27,GDP_CGE!$A$3:$A$24,0),MATCH(AF$9,GDP_CGE!$A$3:$AN$3,0)),GDP_Simple!AM29)</f>
        <v>217.33478580650913</v>
      </c>
      <c r="AG27">
        <f>IF($C$3="CGE",INDEX(GDP_CGE!$A$3:$AN$24,MATCH($A27,GDP_CGE!$A$3:$A$24,0),MATCH(AG$9,GDP_CGE!$A$3:$AN$3,0)),GDP_Simple!AN29)</f>
        <v>225.60199880879858</v>
      </c>
      <c r="AH27">
        <f>IF($C$3="CGE",INDEX(GDP_CGE!$A$3:$AN$24,MATCH($A27,GDP_CGE!$A$3:$A$24,0),MATCH(AH$9,GDP_CGE!$A$3:$AN$3,0)),GDP_Simple!AO29)</f>
        <v>233.7493196706458</v>
      </c>
      <c r="AI27">
        <f>IF($C$3="CGE",INDEX(GDP_CGE!$A$3:$AN$24,MATCH($A27,GDP_CGE!$A$3:$A$24,0),MATCH(AI$9,GDP_CGE!$A$3:$AN$3,0)),GDP_Simple!AP29)</f>
        <v>241.74332028171813</v>
      </c>
      <c r="AJ27">
        <f>IF($C$3="CGE",INDEX(GDP_CGE!$A$3:$AN$24,MATCH($A27,GDP_CGE!$A$3:$A$24,0),MATCH(AJ$9,GDP_CGE!$A$3:$AN$3,0)),GDP_Simple!AQ29)</f>
        <v>249.55019111860466</v>
      </c>
      <c r="AK27">
        <f>IF($C$3="CGE",INDEX(GDP_CGE!$A$3:$AN$24,MATCH($A27,GDP_CGE!$A$3:$A$24,0),MATCH(AK$9,GDP_CGE!$A$3:$AN$3,0)),GDP_Simple!AR29)</f>
        <v>257.13595346328691</v>
      </c>
      <c r="AL27">
        <f>IF($C$3="CGE",INDEX(GDP_CGE!$A$3:$AN$24,MATCH($A27,GDP_CGE!$A$3:$A$24,0),MATCH(AL$9,GDP_CGE!$A$3:$AN$3,0)),GDP_Simple!AS29)</f>
        <v>264.46669848251645</v>
      </c>
      <c r="AM27">
        <f>IF($C$3="CGE",INDEX(GDP_CGE!$A$3:$AN$24,MATCH($A27,GDP_CGE!$A$3:$A$24,0),MATCH(AM$9,GDP_CGE!$A$3:$AN$3,0)),GDP_Simple!AT29)</f>
        <v>271.50883398563155</v>
      </c>
      <c r="AN27">
        <f>IF($C$3="CGE",INDEX(GDP_CGE!$A$3:$AN$24,MATCH($A27,GDP_CGE!$A$3:$A$24,0),MATCH(AN$9,GDP_CGE!$A$3:$AN$3,0)),GDP_Simple!AU29)</f>
        <v>278.22933646024813</v>
      </c>
      <c r="AO27">
        <f>IF($C$3="CGE",INDEX(GDP_CGE!$A$3:$AN$24,MATCH($A27,GDP_CGE!$A$3:$A$24,0),MATCH(AO$9,GDP_CGE!$A$3:$AN$3,0)),GDP_Simple!AV29)</f>
        <v>284.59600583526981</v>
      </c>
      <c r="AP27">
        <f>IF($C$3="CGE",INDEX(GDP_CGE!$A$3:$AN$24,MATCH($A27,GDP_CGE!$A$3:$A$24,0),MATCH(AP$9,GDP_CGE!$A$3:$AN$3,0)),GDP_Simple!AW29)</f>
        <v>290.57772030221327</v>
      </c>
      <c r="AQ27">
        <f>IF($C$3="CGE",INDEX(GDP_CGE!$A$3:$AN$24,MATCH($A27,GDP_CGE!$A$3:$A$24,0),MATCH(AQ$9,GDP_CGE!$A$3:$AN$3,0)),GDP_Simple!AX29)</f>
        <v>296.1446884419646</v>
      </c>
      <c r="AR27">
        <f>IF($C$3="CGE",INDEX(GDP_CGE!$A$3:$AN$24,MATCH($A27,GDP_CGE!$A$3:$A$24,0),MATCH(AR$9,GDP_CGE!$A$3:$AN$3,0)),GDP_Simple!AY29)</f>
        <v>301.26869585726928</v>
      </c>
      <c r="AS27">
        <f>IF($C$3="CGE",INDEX(GDP_CGE!$A$3:$AN$24,MATCH($A27,GDP_CGE!$A$3:$A$24,0),MATCH(AS$9,GDP_CGE!$A$3:$AN$3,0)),GDP_Simple!AZ29)</f>
        <v>305.9233435034194</v>
      </c>
      <c r="AT27">
        <f>IF($C$3="CGE",INDEX(GDP_CGE!$A$3:$AN$24,MATCH($A27,GDP_CGE!$A$3:$A$24,0),MATCH(AT$9,GDP_CGE!$A$3:$AN$3,0)),GDP_Simple!BA29)</f>
        <v>310.08427494201732</v>
      </c>
      <c r="AU27">
        <f>IF($C$3="CGE",INDEX(GDP_CGE!$A$3:$AN$24,MATCH($A27,GDP_CGE!$A$3:$A$24,0),MATCH(AU$9,GDP_CGE!$A$3:$AN$3,0)),GDP_Simple!BB29)</f>
        <v>313.72938981594018</v>
      </c>
      <c r="AV27">
        <f>IF($C$3="CGE",INDEX(GDP_CGE!$A$3:$AN$24,MATCH($A27,GDP_CGE!$A$3:$A$24,0),MATCH(AV$9,GDP_CGE!$A$3:$AN$3,0)),GDP_Simple!BC29)</f>
        <v>316.83904095757532</v>
      </c>
      <c r="AW27">
        <f>IF($C$3="CGE",INDEX(GDP_CGE!$A$3:$AN$24,MATCH($A27,GDP_CGE!$A$3:$A$24,0),MATCH(AW$9,GDP_CGE!$A$3:$AN$3,0)),GDP_Simple!BD29)</f>
        <v>319.39621269616327</v>
      </c>
      <c r="AX27">
        <f>IF($C$3="CGE",INDEX(GDP_CGE!$A$3:$AN$24,MATCH($A27,GDP_CGE!$A$3:$A$24,0),MATCH(AX$9,GDP_CGE!$A$3:$AN$3,0)),GDP_Simple!BE29)</f>
        <v>321.3866781220629</v>
      </c>
      <c r="AY27">
        <f>IF($C$3="CGE",INDEX(GDP_CGE!$A$3:$AN$24,MATCH($A27,GDP_CGE!$A$3:$A$24,0),MATCH(AY$9,GDP_CGE!$A$3:$AN$3,0)),GDP_Simple!BF29)</f>
        <v>322.79913329361392</v>
      </c>
      <c r="AZ27">
        <f>IF($C$3="CGE",INDEX(GDP_CGE!$A$3:$AN$24,MATCH($A27,GDP_CGE!$A$3:$A$24,0),MATCH(AZ$9,GDP_CGE!$A$3:$AN$3,0)),GDP_Simple!BG29)</f>
        <v>323.62530663296968</v>
      </c>
      <c r="BA27">
        <f>IF($C$3="CGE",INDEX(GDP_CGE!$A$3:$AN$24,MATCH($A27,GDP_CGE!$A$3:$A$24,0),MATCH(BA$9,GDP_CGE!$A$3:$AN$3,0)),GDP_Simple!BH29)</f>
        <v>323.8600420471542</v>
      </c>
    </row>
    <row r="28" spans="1:53" x14ac:dyDescent="0.25">
      <c r="A28" s="3" t="s">
        <v>179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2.459308973932989</v>
      </c>
      <c r="G28">
        <f>IF($C$3="CGE",INDEX(GDP_CGE!$A$3:$AN$24,MATCH($A28,GDP_CGE!$A$3:$A$24,0),MATCH(G$9,GDP_CGE!$A$3:$AN$3,0)),GDP_Simple!N30)</f>
        <v>2.4844120991608221</v>
      </c>
      <c r="H28">
        <f>IF($C$3="CGE",INDEX(GDP_CGE!$A$3:$AN$24,MATCH($A28,GDP_CGE!$A$3:$A$24,0),MATCH(H$9,GDP_CGE!$A$3:$AN$3,0)),GDP_Simple!O30)</f>
        <v>2.5111941860025979</v>
      </c>
      <c r="I28">
        <f>IF($C$3="CGE",INDEX(GDP_CGE!$A$3:$AN$24,MATCH($A28,GDP_CGE!$A$3:$A$24,0),MATCH(I$9,GDP_CGE!$A$3:$AN$3,0)),GDP_Simple!P30)</f>
        <v>2.5507784966723115</v>
      </c>
      <c r="J28">
        <f>IF($C$3="CGE",INDEX(GDP_CGE!$A$3:$AN$24,MATCH($A28,GDP_CGE!$A$3:$A$24,0),MATCH(J$9,GDP_CGE!$A$3:$AN$3,0)),GDP_Simple!Q30)</f>
        <v>2.5955294373829858</v>
      </c>
      <c r="K28">
        <f>IF($C$3="CGE",INDEX(GDP_CGE!$A$3:$AN$24,MATCH($A28,GDP_CGE!$A$3:$A$24,0),MATCH(K$9,GDP_CGE!$A$3:$AN$3,0)),GDP_Simple!R30)</f>
        <v>2.6445339831791732</v>
      </c>
      <c r="L28">
        <f>IF($C$3="CGE",INDEX(GDP_CGE!$A$3:$AN$24,MATCH($A28,GDP_CGE!$A$3:$A$24,0),MATCH(L$9,GDP_CGE!$A$3:$AN$3,0)),GDP_Simple!S30)</f>
        <v>2.7062825372228025</v>
      </c>
      <c r="M28">
        <f>IF($C$3="CGE",INDEX(GDP_CGE!$A$3:$AN$24,MATCH($A28,GDP_CGE!$A$3:$A$24,0),MATCH(M$9,GDP_CGE!$A$3:$AN$3,0)),GDP_Simple!T30)</f>
        <v>2.7814243946428032</v>
      </c>
      <c r="N28">
        <f>IF($C$3="CGE",INDEX(GDP_CGE!$A$3:$AN$24,MATCH($A28,GDP_CGE!$A$3:$A$24,0),MATCH(N$9,GDP_CGE!$A$3:$AN$3,0)),GDP_Simple!U30)</f>
        <v>2.8703877111476017</v>
      </c>
      <c r="O28">
        <f>IF($C$3="CGE",INDEX(GDP_CGE!$A$3:$AN$24,MATCH($A28,GDP_CGE!$A$3:$A$24,0),MATCH(O$9,GDP_CGE!$A$3:$AN$3,0)),GDP_Simple!V30)</f>
        <v>2.9633446916374409</v>
      </c>
      <c r="P28">
        <f>IF($C$3="CGE",INDEX(GDP_CGE!$A$3:$AN$24,MATCH($A28,GDP_CGE!$A$3:$A$24,0),MATCH(P$9,GDP_CGE!$A$3:$AN$3,0)),GDP_Simple!W30)</f>
        <v>3.0644773352599146</v>
      </c>
      <c r="Q28">
        <f>IF($C$3="CGE",INDEX(GDP_CGE!$A$3:$AN$24,MATCH($A28,GDP_CGE!$A$3:$A$24,0),MATCH(Q$9,GDP_CGE!$A$3:$AN$3,0)),GDP_Simple!X30)</f>
        <v>3.1778310754066195</v>
      </c>
      <c r="R28">
        <f>IF($C$3="CGE",INDEX(GDP_CGE!$A$3:$AN$24,MATCH($A28,GDP_CGE!$A$3:$A$24,0),MATCH(R$9,GDP_CGE!$A$3:$AN$3,0)),GDP_Simple!Y30)</f>
        <v>3.3009541457446416</v>
      </c>
      <c r="S28">
        <f>IF($C$3="CGE",INDEX(GDP_CGE!$A$3:$AN$24,MATCH($A28,GDP_CGE!$A$3:$A$24,0),MATCH(S$9,GDP_CGE!$A$3:$AN$3,0)),GDP_Simple!Z30)</f>
        <v>3.431180605249248</v>
      </c>
      <c r="T28">
        <f>IF($C$3="CGE",INDEX(GDP_CGE!$A$3:$AN$24,MATCH($A28,GDP_CGE!$A$3:$A$24,0),MATCH(T$9,GDP_CGE!$A$3:$AN$3,0)),GDP_Simple!AA30)</f>
        <v>3.5677186955291949</v>
      </c>
      <c r="U28">
        <f>IF($C$3="CGE",INDEX(GDP_CGE!$A$3:$AN$24,MATCH($A28,GDP_CGE!$A$3:$A$24,0),MATCH(U$9,GDP_CGE!$A$3:$AN$3,0)),GDP_Simple!AB30)</f>
        <v>3.7123972071075513</v>
      </c>
      <c r="V28">
        <f>IF($C$3="CGE",INDEX(GDP_CGE!$A$3:$AN$24,MATCH($A28,GDP_CGE!$A$3:$A$24,0),MATCH(V$9,GDP_CGE!$A$3:$AN$3,0)),GDP_Simple!AC30)</f>
        <v>3.8592437618342785</v>
      </c>
      <c r="W28">
        <f>IF($C$3="CGE",INDEX(GDP_CGE!$A$3:$AN$24,MATCH($A28,GDP_CGE!$A$3:$A$24,0),MATCH(W$9,GDP_CGE!$A$3:$AN$3,0)),GDP_Simple!AD30)</f>
        <v>4.0067001340671311</v>
      </c>
      <c r="X28">
        <f>IF($C$3="CGE",INDEX(GDP_CGE!$A$3:$AN$24,MATCH($A28,GDP_CGE!$A$3:$A$24,0),MATCH(X$9,GDP_CGE!$A$3:$AN$3,0)),GDP_Simple!AE30)</f>
        <v>4.1588118346457321</v>
      </c>
      <c r="Y28">
        <f>IF($C$3="CGE",INDEX(GDP_CGE!$A$3:$AN$24,MATCH($A28,GDP_CGE!$A$3:$A$24,0),MATCH(Y$9,GDP_CGE!$A$3:$AN$3,0)),GDP_Simple!AF30)</f>
        <v>4.3087096447296167</v>
      </c>
      <c r="Z28">
        <f>IF($C$3="CGE",INDEX(GDP_CGE!$A$3:$AN$24,MATCH($A28,GDP_CGE!$A$3:$A$24,0),MATCH(Z$9,GDP_CGE!$A$3:$AN$3,0)),GDP_Simple!AG30)</f>
        <v>4.4642040764232043</v>
      </c>
      <c r="AA28">
        <f>IF($C$3="CGE",INDEX(GDP_CGE!$A$3:$AN$24,MATCH($A28,GDP_CGE!$A$3:$A$24,0),MATCH(AA$9,GDP_CGE!$A$3:$AN$3,0)),GDP_Simple!AH30)</f>
        <v>4.6272402164085191</v>
      </c>
      <c r="AB28">
        <f>IF($C$3="CGE",INDEX(GDP_CGE!$A$3:$AN$24,MATCH($A28,GDP_CGE!$A$3:$A$24,0),MATCH(AB$9,GDP_CGE!$A$3:$AN$3,0)),GDP_Simple!AI30)</f>
        <v>4.7984466837056834</v>
      </c>
      <c r="AC28">
        <f>IF($C$3="CGE",INDEX(GDP_CGE!$A$3:$AN$24,MATCH($A28,GDP_CGE!$A$3:$A$24,0),MATCH(AC$9,GDP_CGE!$A$3:$AN$3,0)),GDP_Simple!AJ30)</f>
        <v>4.9782925784117102</v>
      </c>
      <c r="AD28">
        <f>IF($C$3="CGE",INDEX(GDP_CGE!$A$3:$AN$24,MATCH($A28,GDP_CGE!$A$3:$A$24,0),MATCH(AD$9,GDP_CGE!$A$3:$AN$3,0)),GDP_Simple!AK30)</f>
        <v>5.1550864822133242</v>
      </c>
      <c r="AE28">
        <f>IF($C$3="CGE",INDEX(GDP_CGE!$A$3:$AN$24,MATCH($A28,GDP_CGE!$A$3:$A$24,0),MATCH(AE$9,GDP_CGE!$A$3:$AN$3,0)),GDP_Simple!AL30)</f>
        <v>5.340671922116365</v>
      </c>
      <c r="AF28">
        <f>IF($C$3="CGE",INDEX(GDP_CGE!$A$3:$AN$24,MATCH($A28,GDP_CGE!$A$3:$A$24,0),MATCH(AF$9,GDP_CGE!$A$3:$AN$3,0)),GDP_Simple!AM30)</f>
        <v>5.5396009484922493</v>
      </c>
      <c r="AG28">
        <f>IF($C$3="CGE",INDEX(GDP_CGE!$A$3:$AN$24,MATCH($A28,GDP_CGE!$A$3:$A$24,0),MATCH(AG$9,GDP_CGE!$A$3:$AN$3,0)),GDP_Simple!AN30)</f>
        <v>5.7503222134702492</v>
      </c>
      <c r="AH28">
        <f>IF($C$3="CGE",INDEX(GDP_CGE!$A$3:$AN$24,MATCH($A28,GDP_CGE!$A$3:$A$24,0),MATCH(AH$9,GDP_CGE!$A$3:$AN$3,0)),GDP_Simple!AO30)</f>
        <v>5.9579875727291247</v>
      </c>
      <c r="AI28">
        <f>IF($C$3="CGE",INDEX(GDP_CGE!$A$3:$AN$24,MATCH($A28,GDP_CGE!$A$3:$A$24,0),MATCH(AI$9,GDP_CGE!$A$3:$AN$3,0)),GDP_Simple!AP30)</f>
        <v>6.1617449841486156</v>
      </c>
      <c r="AJ28">
        <f>IF($C$3="CGE",INDEX(GDP_CGE!$A$3:$AN$24,MATCH($A28,GDP_CGE!$A$3:$A$24,0),MATCH(AJ$9,GDP_CGE!$A$3:$AN$3,0)),GDP_Simple!AQ30)</f>
        <v>6.3607326838501965</v>
      </c>
      <c r="AK28">
        <f>IF($C$3="CGE",INDEX(GDP_CGE!$A$3:$AN$24,MATCH($A28,GDP_CGE!$A$3:$A$24,0),MATCH(AK$9,GDP_CGE!$A$3:$AN$3,0)),GDP_Simple!AR30)</f>
        <v>6.5540845953893383</v>
      </c>
      <c r="AL28">
        <f>IF($C$3="CGE",INDEX(GDP_CGE!$A$3:$AN$24,MATCH($A28,GDP_CGE!$A$3:$A$24,0),MATCH(AL$9,GDP_CGE!$A$3:$AN$3,0)),GDP_Simple!AS30)</f>
        <v>6.740936423599817</v>
      </c>
      <c r="AM28">
        <f>IF($C$3="CGE",INDEX(GDP_CGE!$A$3:$AN$24,MATCH($A28,GDP_CGE!$A$3:$A$24,0),MATCH(AM$9,GDP_CGE!$A$3:$AN$3,0)),GDP_Simple!AT30)</f>
        <v>6.9204319441521411</v>
      </c>
      <c r="AN28">
        <f>IF($C$3="CGE",INDEX(GDP_CGE!$A$3:$AN$24,MATCH($A28,GDP_CGE!$A$3:$A$24,0),MATCH(AN$9,GDP_CGE!$A$3:$AN$3,0)),GDP_Simple!AU30)</f>
        <v>7.0917294276386329</v>
      </c>
      <c r="AO28">
        <f>IF($C$3="CGE",INDEX(GDP_CGE!$A$3:$AN$24,MATCH($A28,GDP_CGE!$A$3:$A$24,0),MATCH(AO$9,GDP_CGE!$A$3:$AN$3,0)),GDP_Simple!AV30)</f>
        <v>7.2540081331745521</v>
      </c>
      <c r="AP28">
        <f>IF($C$3="CGE",INDEX(GDP_CGE!$A$3:$AN$24,MATCH($A28,GDP_CGE!$A$3:$A$24,0),MATCH(AP$9,GDP_CGE!$A$3:$AN$3,0)),GDP_Simple!AW30)</f>
        <v>7.4064748034856294</v>
      </c>
      <c r="AQ28">
        <f>IF($C$3="CGE",INDEX(GDP_CGE!$A$3:$AN$24,MATCH($A28,GDP_CGE!$A$3:$A$24,0),MATCH(AQ$9,GDP_CGE!$A$3:$AN$3,0)),GDP_Simple!AX30)</f>
        <v>7.5483700913142799</v>
      </c>
      <c r="AR28">
        <f>IF($C$3="CGE",INDEX(GDP_CGE!$A$3:$AN$24,MATCH($A28,GDP_CGE!$A$3:$A$24,0),MATCH(AR$9,GDP_CGE!$A$3:$AN$3,0)),GDP_Simple!AY30)</f>
        <v>7.6789748457836078</v>
      </c>
      <c r="AS28">
        <f>IF($C$3="CGE",INDEX(GDP_CGE!$A$3:$AN$24,MATCH($A28,GDP_CGE!$A$3:$A$24,0),MATCH(AS$9,GDP_CGE!$A$3:$AN$3,0)),GDP_Simple!AZ30)</f>
        <v>7.7976161871585061</v>
      </c>
      <c r="AT28">
        <f>IF($C$3="CGE",INDEX(GDP_CGE!$A$3:$AN$24,MATCH($A28,GDP_CGE!$A$3:$A$24,0),MATCH(AT$9,GDP_CGE!$A$3:$AN$3,0)),GDP_Simple!BA30)</f>
        <v>7.9036732992693555</v>
      </c>
      <c r="AU28">
        <f>IF($C$3="CGE",INDEX(GDP_CGE!$A$3:$AN$24,MATCH($A28,GDP_CGE!$A$3:$A$24,0),MATCH(AU$9,GDP_CGE!$A$3:$AN$3,0)),GDP_Simple!BB30)</f>
        <v>7.9965828707307933</v>
      </c>
      <c r="AV28">
        <f>IF($C$3="CGE",INDEX(GDP_CGE!$A$3:$AN$24,MATCH($A28,GDP_CGE!$A$3:$A$24,0),MATCH(AV$9,GDP_CGE!$A$3:$AN$3,0)),GDP_Simple!BC30)</f>
        <v>8.0758441189923502</v>
      </c>
      <c r="AW28">
        <f>IF($C$3="CGE",INDEX(GDP_CGE!$A$3:$AN$24,MATCH($A28,GDP_CGE!$A$3:$A$24,0),MATCH(AW$9,GDP_CGE!$A$3:$AN$3,0)),GDP_Simple!BD30)</f>
        <v>8.1410233351770582</v>
      </c>
      <c r="AX28">
        <f>IF($C$3="CGE",INDEX(GDP_CGE!$A$3:$AN$24,MATCH($A28,GDP_CGE!$A$3:$A$24,0),MATCH(AX$9,GDP_CGE!$A$3:$AN$3,0)),GDP_Simple!BE30)</f>
        <v>8.1917578925574457</v>
      </c>
      <c r="AY28">
        <f>IF($C$3="CGE",INDEX(GDP_CGE!$A$3:$AN$24,MATCH($A28,GDP_CGE!$A$3:$A$24,0),MATCH(AY$9,GDP_CGE!$A$3:$AN$3,0)),GDP_Simple!BF30)</f>
        <v>8.2277596673262234</v>
      </c>
      <c r="AZ28">
        <f>IF($C$3="CGE",INDEX(GDP_CGE!$A$3:$AN$24,MATCH($A28,GDP_CGE!$A$3:$A$24,0),MATCH(AZ$9,GDP_CGE!$A$3:$AN$3,0)),GDP_Simple!BG30)</f>
        <v>8.2488178269638102</v>
      </c>
      <c r="BA28">
        <f>IF($C$3="CGE",INDEX(GDP_CGE!$A$3:$AN$24,MATCH($A28,GDP_CGE!$A$3:$A$24,0),MATCH(BA$9,GDP_CGE!$A$3:$AN$3,0)),GDP_Simple!BH30)</f>
        <v>8.2548009488935836</v>
      </c>
    </row>
    <row r="29" spans="1:53" x14ac:dyDescent="0.25">
      <c r="A29" s="3" t="s">
        <v>183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0.28642554314882196</v>
      </c>
      <c r="G29">
        <f>IF($C$3="CGE",INDEX(GDP_CGE!$A$3:$AN$24,MATCH($A29,GDP_CGE!$A$3:$A$24,0),MATCH(G$9,GDP_CGE!$A$3:$AN$3,0)),GDP_Simple!N31)</f>
        <v>0.28934920030387079</v>
      </c>
      <c r="H29">
        <f>IF($C$3="CGE",INDEX(GDP_CGE!$A$3:$AN$24,MATCH($A29,GDP_CGE!$A$3:$A$24,0),MATCH(H$9,GDP_CGE!$A$3:$AN$3,0)),GDP_Simple!O31)</f>
        <v>0.29246839917299322</v>
      </c>
      <c r="I29">
        <f>IF($C$3="CGE",INDEX(GDP_CGE!$A$3:$AN$24,MATCH($A29,GDP_CGE!$A$3:$A$24,0),MATCH(I$9,GDP_CGE!$A$3:$AN$3,0)),GDP_Simple!P31)</f>
        <v>0.29707862009436553</v>
      </c>
      <c r="J29">
        <f>IF($C$3="CGE",INDEX(GDP_CGE!$A$3:$AN$24,MATCH($A29,GDP_CGE!$A$3:$A$24,0),MATCH(J$9,GDP_CGE!$A$3:$AN$3,0)),GDP_Simple!Q31)</f>
        <v>0.30229057704460466</v>
      </c>
      <c r="K29">
        <f>IF($C$3="CGE",INDEX(GDP_CGE!$A$3:$AN$24,MATCH($A29,GDP_CGE!$A$3:$A$24,0),MATCH(K$9,GDP_CGE!$A$3:$AN$3,0)),GDP_Simple!R31)</f>
        <v>0.30799793378391971</v>
      </c>
      <c r="L29">
        <f>IF($C$3="CGE",INDEX(GDP_CGE!$A$3:$AN$24,MATCH($A29,GDP_CGE!$A$3:$A$24,0),MATCH(L$9,GDP_CGE!$A$3:$AN$3,0)),GDP_Simple!S31)</f>
        <v>0.31518953244763559</v>
      </c>
      <c r="M29">
        <f>IF($C$3="CGE",INDEX(GDP_CGE!$A$3:$AN$24,MATCH($A29,GDP_CGE!$A$3:$A$24,0),MATCH(M$9,GDP_CGE!$A$3:$AN$3,0)),GDP_Simple!T31)</f>
        <v>0.32394099375357938</v>
      </c>
      <c r="N29">
        <f>IF($C$3="CGE",INDEX(GDP_CGE!$A$3:$AN$24,MATCH($A29,GDP_CGE!$A$3:$A$24,0),MATCH(N$9,GDP_CGE!$A$3:$AN$3,0)),GDP_Simple!U31)</f>
        <v>0.33430218322602584</v>
      </c>
      <c r="O29">
        <f>IF($C$3="CGE",INDEX(GDP_CGE!$A$3:$AN$24,MATCH($A29,GDP_CGE!$A$3:$A$24,0),MATCH(O$9,GDP_CGE!$A$3:$AN$3,0)),GDP_Simple!V31)</f>
        <v>0.34512849822283442</v>
      </c>
      <c r="P29">
        <f>IF($C$3="CGE",INDEX(GDP_CGE!$A$3:$AN$24,MATCH($A29,GDP_CGE!$A$3:$A$24,0),MATCH(P$9,GDP_CGE!$A$3:$AN$3,0)),GDP_Simple!W31)</f>
        <v>0.35690699888569277</v>
      </c>
      <c r="Q29">
        <f>IF($C$3="CGE",INDEX(GDP_CGE!$A$3:$AN$24,MATCH($A29,GDP_CGE!$A$3:$A$24,0),MATCH(Q$9,GDP_CGE!$A$3:$AN$3,0)),GDP_Simple!X31)</f>
        <v>0.37010884010759815</v>
      </c>
      <c r="R29">
        <f>IF($C$3="CGE",INDEX(GDP_CGE!$A$3:$AN$24,MATCH($A29,GDP_CGE!$A$3:$A$24,0),MATCH(R$9,GDP_CGE!$A$3:$AN$3,0)),GDP_Simple!Y31)</f>
        <v>0.38444847480560074</v>
      </c>
      <c r="S29">
        <f>IF($C$3="CGE",INDEX(GDP_CGE!$A$3:$AN$24,MATCH($A29,GDP_CGE!$A$3:$A$24,0),MATCH(S$9,GDP_CGE!$A$3:$AN$3,0)),GDP_Simple!Z31)</f>
        <v>0.39961541185633803</v>
      </c>
      <c r="T29">
        <f>IF($C$3="CGE",INDEX(GDP_CGE!$A$3:$AN$24,MATCH($A29,GDP_CGE!$A$3:$A$24,0),MATCH(T$9,GDP_CGE!$A$3:$AN$3,0)),GDP_Simple!AA31)</f>
        <v>0.41551743843512701</v>
      </c>
      <c r="U29">
        <f>IF($C$3="CGE",INDEX(GDP_CGE!$A$3:$AN$24,MATCH($A29,GDP_CGE!$A$3:$A$24,0),MATCH(U$9,GDP_CGE!$A$3:$AN$3,0)),GDP_Simple!AB31)</f>
        <v>0.43236754620931306</v>
      </c>
      <c r="V29">
        <f>IF($C$3="CGE",INDEX(GDP_CGE!$A$3:$AN$24,MATCH($A29,GDP_CGE!$A$3:$A$24,0),MATCH(V$9,GDP_CGE!$A$3:$AN$3,0)),GDP_Simple!AC31)</f>
        <v>0.4494701570007793</v>
      </c>
      <c r="W29">
        <f>IF($C$3="CGE",INDEX(GDP_CGE!$A$3:$AN$24,MATCH($A29,GDP_CGE!$A$3:$A$24,0),MATCH(W$9,GDP_CGE!$A$3:$AN$3,0)),GDP_Simple!AD31)</f>
        <v>0.46664379071464568</v>
      </c>
      <c r="X29">
        <f>IF($C$3="CGE",INDEX(GDP_CGE!$A$3:$AN$24,MATCH($A29,GDP_CGE!$A$3:$A$24,0),MATCH(X$9,GDP_CGE!$A$3:$AN$3,0)),GDP_Simple!AE31)</f>
        <v>0.48435961126396071</v>
      </c>
      <c r="Y29">
        <f>IF($C$3="CGE",INDEX(GDP_CGE!$A$3:$AN$24,MATCH($A29,GDP_CGE!$A$3:$A$24,0),MATCH(Y$9,GDP_CGE!$A$3:$AN$3,0)),GDP_Simple!AF31)</f>
        <v>0.50181758914521635</v>
      </c>
      <c r="Z29">
        <f>IF($C$3="CGE",INDEX(GDP_CGE!$A$3:$AN$24,MATCH($A29,GDP_CGE!$A$3:$A$24,0),MATCH(Z$9,GDP_CGE!$A$3:$AN$3,0)),GDP_Simple!AG31)</f>
        <v>0.51992738239467018</v>
      </c>
      <c r="AA29">
        <f>IF($C$3="CGE",INDEX(GDP_CGE!$A$3:$AN$24,MATCH($A29,GDP_CGE!$A$3:$A$24,0),MATCH(AA$9,GDP_CGE!$A$3:$AN$3,0)),GDP_Simple!AH31)</f>
        <v>0.53891552721223701</v>
      </c>
      <c r="AB29">
        <f>IF($C$3="CGE",INDEX(GDP_CGE!$A$3:$AN$24,MATCH($A29,GDP_CGE!$A$3:$A$24,0),MATCH(AB$9,GDP_CGE!$A$3:$AN$3,0)),GDP_Simple!AI31)</f>
        <v>0.55885523625487865</v>
      </c>
      <c r="AC29">
        <f>IF($C$3="CGE",INDEX(GDP_CGE!$A$3:$AN$24,MATCH($A29,GDP_CGE!$A$3:$A$24,0),MATCH(AC$9,GDP_CGE!$A$3:$AN$3,0)),GDP_Simple!AJ31)</f>
        <v>0.57980114367044</v>
      </c>
      <c r="AD29">
        <f>IF($C$3="CGE",INDEX(GDP_CGE!$A$3:$AN$24,MATCH($A29,GDP_CGE!$A$3:$A$24,0),MATCH(AD$9,GDP_CGE!$A$3:$AN$3,0)),GDP_Simple!AK31)</f>
        <v>0.60039159833006572</v>
      </c>
      <c r="AE29">
        <f>IF($C$3="CGE",INDEX(GDP_CGE!$A$3:$AN$24,MATCH($A29,GDP_CGE!$A$3:$A$24,0),MATCH(AE$9,GDP_CGE!$A$3:$AN$3,0)),GDP_Simple!AL31)</f>
        <v>0.6220059668328296</v>
      </c>
      <c r="AF29">
        <f>IF($C$3="CGE",INDEX(GDP_CGE!$A$3:$AN$24,MATCH($A29,GDP_CGE!$A$3:$A$24,0),MATCH(AF$9,GDP_CGE!$A$3:$AN$3,0)),GDP_Simple!AM31)</f>
        <v>0.64517440765572365</v>
      </c>
      <c r="AG29">
        <f>IF($C$3="CGE",INDEX(GDP_CGE!$A$3:$AN$24,MATCH($A29,GDP_CGE!$A$3:$A$24,0),MATCH(AG$9,GDP_CGE!$A$3:$AN$3,0)),GDP_Simple!AN31)</f>
        <v>0.66971624172946653</v>
      </c>
      <c r="AH29">
        <f>IF($C$3="CGE",INDEX(GDP_CGE!$A$3:$AN$24,MATCH($A29,GDP_CGE!$A$3:$A$24,0),MATCH(AH$9,GDP_CGE!$A$3:$AN$3,0)),GDP_Simple!AO31)</f>
        <v>0.6939021671049983</v>
      </c>
      <c r="AI29">
        <f>IF($C$3="CGE",INDEX(GDP_CGE!$A$3:$AN$24,MATCH($A29,GDP_CGE!$A$3:$A$24,0),MATCH(AI$9,GDP_CGE!$A$3:$AN$3,0)),GDP_Simple!AP31)</f>
        <v>0.71763294996108362</v>
      </c>
      <c r="AJ29">
        <f>IF($C$3="CGE",INDEX(GDP_CGE!$A$3:$AN$24,MATCH($A29,GDP_CGE!$A$3:$A$24,0),MATCH(AJ$9,GDP_CGE!$A$3:$AN$3,0)),GDP_Simple!AQ31)</f>
        <v>0.74080822422351666</v>
      </c>
      <c r="AK29">
        <f>IF($C$3="CGE",INDEX(GDP_CGE!$A$3:$AN$24,MATCH($A29,GDP_CGE!$A$3:$A$24,0),MATCH(AK$9,GDP_CGE!$A$3:$AN$3,0)),GDP_Simple!AR31)</f>
        <v>0.76332712155136861</v>
      </c>
      <c r="AL29">
        <f>IF($C$3="CGE",INDEX(GDP_CGE!$A$3:$AN$24,MATCH($A29,GDP_CGE!$A$3:$A$24,0),MATCH(AL$9,GDP_CGE!$A$3:$AN$3,0)),GDP_Simple!AS31)</f>
        <v>0.7850889810618259</v>
      </c>
      <c r="AM29">
        <f>IF($C$3="CGE",INDEX(GDP_CGE!$A$3:$AN$24,MATCH($A29,GDP_CGE!$A$3:$A$24,0),MATCH(AM$9,GDP_CGE!$A$3:$AN$3,0)),GDP_Simple!AT31)</f>
        <v>0.80599408184904431</v>
      </c>
      <c r="AN29">
        <f>IF($C$3="CGE",INDEX(GDP_CGE!$A$3:$AN$24,MATCH($A29,GDP_CGE!$A$3:$A$24,0),MATCH(AN$9,GDP_CGE!$A$3:$AN$3,0)),GDP_Simple!AU31)</f>
        <v>0.82594439117076424</v>
      </c>
      <c r="AO29">
        <f>IF($C$3="CGE",INDEX(GDP_CGE!$A$3:$AN$24,MATCH($A29,GDP_CGE!$A$3:$A$24,0),MATCH(AO$9,GDP_CGE!$A$3:$AN$3,0)),GDP_Simple!AV31)</f>
        <v>0.84484432073117255</v>
      </c>
      <c r="AP29">
        <f>IF($C$3="CGE",INDEX(GDP_CGE!$A$3:$AN$24,MATCH($A29,GDP_CGE!$A$3:$A$24,0),MATCH(AP$9,GDP_CGE!$A$3:$AN$3,0)),GDP_Simple!AW31)</f>
        <v>0.86260148313688034</v>
      </c>
      <c r="AQ29">
        <f>IF($C$3="CGE",INDEX(GDP_CGE!$A$3:$AN$24,MATCH($A29,GDP_CGE!$A$3:$A$24,0),MATCH(AQ$9,GDP_CGE!$A$3:$AN$3,0)),GDP_Simple!AX31)</f>
        <v>0.87912744035387169</v>
      </c>
      <c r="AR29">
        <f>IF($C$3="CGE",INDEX(GDP_CGE!$A$3:$AN$24,MATCH($A29,GDP_CGE!$A$3:$A$24,0),MATCH(AR$9,GDP_CGE!$A$3:$AN$3,0)),GDP_Simple!AY31)</f>
        <v>0.89433843585431561</v>
      </c>
      <c r="AS29">
        <f>IF($C$3="CGE",INDEX(GDP_CGE!$A$3:$AN$24,MATCH($A29,GDP_CGE!$A$3:$A$24,0),MATCH(AS$9,GDP_CGE!$A$3:$AN$3,0)),GDP_Simple!AZ31)</f>
        <v>0.908156102118862</v>
      </c>
      <c r="AT29">
        <f>IF($C$3="CGE",INDEX(GDP_CGE!$A$3:$AN$24,MATCH($A29,GDP_CGE!$A$3:$A$24,0),MATCH(AT$9,GDP_CGE!$A$3:$AN$3,0)),GDP_Simple!BA31)</f>
        <v>0.92050813525627007</v>
      </c>
      <c r="AU29">
        <f>IF($C$3="CGE",INDEX(GDP_CGE!$A$3:$AN$24,MATCH($A29,GDP_CGE!$A$3:$A$24,0),MATCH(AU$9,GDP_CGE!$A$3:$AN$3,0)),GDP_Simple!BB31)</f>
        <v>0.93132892871965034</v>
      </c>
      <c r="AV29">
        <f>IF($C$3="CGE",INDEX(GDP_CGE!$A$3:$AN$24,MATCH($A29,GDP_CGE!$A$3:$A$24,0),MATCH(AV$9,GDP_CGE!$A$3:$AN$3,0)),GDP_Simple!BC31)</f>
        <v>0.94056015843685992</v>
      </c>
      <c r="AW29">
        <f>IF($C$3="CGE",INDEX(GDP_CGE!$A$3:$AN$24,MATCH($A29,GDP_CGE!$A$3:$A$24,0),MATCH(AW$9,GDP_CGE!$A$3:$AN$3,0)),GDP_Simple!BD31)</f>
        <v>0.94815131212905468</v>
      </c>
      <c r="AX29">
        <f>IF($C$3="CGE",INDEX(GDP_CGE!$A$3:$AN$24,MATCH($A29,GDP_CGE!$A$3:$A$24,0),MATCH(AX$9,GDP_CGE!$A$3:$AN$3,0)),GDP_Simple!BE31)</f>
        <v>0.95406015616130868</v>
      </c>
      <c r="AY29">
        <f>IF($C$3="CGE",INDEX(GDP_CGE!$A$3:$AN$24,MATCH($A29,GDP_CGE!$A$3:$A$24,0),MATCH(AY$9,GDP_CGE!$A$3:$AN$3,0)),GDP_Simple!BF31)</f>
        <v>0.95825313394562428</v>
      </c>
      <c r="AZ29">
        <f>IF($C$3="CGE",INDEX(GDP_CGE!$A$3:$AN$24,MATCH($A29,GDP_CGE!$A$3:$A$24,0),MATCH(AZ$9,GDP_CGE!$A$3:$AN$3,0)),GDP_Simple!BG31)</f>
        <v>0.96070569069056411</v>
      </c>
      <c r="BA29">
        <f>IF($C$3="CGE",INDEX(GDP_CGE!$A$3:$AN$24,MATCH($A29,GDP_CGE!$A$3:$A$24,0),MATCH(BA$9,GDP_CGE!$A$3:$AN$3,0)),GDP_Simple!BH31)</f>
        <v>0.96140252015226446</v>
      </c>
    </row>
    <row r="30" spans="1:53" x14ac:dyDescent="0.25">
      <c r="A30" s="3" t="s">
        <v>184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7.9013942937606066E-2</v>
      </c>
      <c r="G30">
        <f>IF($C$3="CGE",INDEX(GDP_CGE!$A$3:$AN$24,MATCH($A30,GDP_CGE!$A$3:$A$24,0),MATCH(G$9,GDP_CGE!$A$3:$AN$3,0)),GDP_Simple!N32)</f>
        <v>7.9820469049343673E-2</v>
      </c>
      <c r="H30">
        <f>IF($C$3="CGE",INDEX(GDP_CGE!$A$3:$AN$24,MATCH($A30,GDP_CGE!$A$3:$A$24,0),MATCH(H$9,GDP_CGE!$A$3:$AN$3,0)),GDP_Simple!O32)</f>
        <v>8.0680937702894695E-2</v>
      </c>
      <c r="I30">
        <f>IF($C$3="CGE",INDEX(GDP_CGE!$A$3:$AN$24,MATCH($A30,GDP_CGE!$A$3:$A$24,0),MATCH(I$9,GDP_CGE!$A$3:$AN$3,0)),GDP_Simple!P32)</f>
        <v>8.1952722784652571E-2</v>
      </c>
      <c r="J30">
        <f>IF($C$3="CGE",INDEX(GDP_CGE!$A$3:$AN$24,MATCH($A30,GDP_CGE!$A$3:$A$24,0),MATCH(J$9,GDP_CGE!$A$3:$AN$3,0)),GDP_Simple!Q32)</f>
        <v>8.3390504012304745E-2</v>
      </c>
      <c r="K30">
        <f>IF($C$3="CGE",INDEX(GDP_CGE!$A$3:$AN$24,MATCH($A30,GDP_CGE!$A$3:$A$24,0),MATCH(K$9,GDP_CGE!$A$3:$AN$3,0)),GDP_Simple!R32)</f>
        <v>8.4964947250736486E-2</v>
      </c>
      <c r="L30">
        <f>IF($C$3="CGE",INDEX(GDP_CGE!$A$3:$AN$24,MATCH($A30,GDP_CGE!$A$3:$A$24,0),MATCH(L$9,GDP_CGE!$A$3:$AN$3,0)),GDP_Simple!S32)</f>
        <v>8.6948836537278779E-2</v>
      </c>
      <c r="M30">
        <f>IF($C$3="CGE",INDEX(GDP_CGE!$A$3:$AN$24,MATCH($A30,GDP_CGE!$A$3:$A$24,0),MATCH(M$9,GDP_CGE!$A$3:$AN$3,0)),GDP_Simple!T32)</f>
        <v>8.9363032759608121E-2</v>
      </c>
      <c r="N30">
        <f>IF($C$3="CGE",INDEX(GDP_CGE!$A$3:$AN$24,MATCH($A30,GDP_CGE!$A$3:$A$24,0),MATCH(N$9,GDP_CGE!$A$3:$AN$3,0)),GDP_Simple!U32)</f>
        <v>9.2221291924420926E-2</v>
      </c>
      <c r="O30">
        <f>IF($C$3="CGE",INDEX(GDP_CGE!$A$3:$AN$24,MATCH($A30,GDP_CGE!$A$3:$A$24,0),MATCH(O$9,GDP_CGE!$A$3:$AN$3,0)),GDP_Simple!V32)</f>
        <v>9.5207861578712943E-2</v>
      </c>
      <c r="P30">
        <f>IF($C$3="CGE",INDEX(GDP_CGE!$A$3:$AN$24,MATCH($A30,GDP_CGE!$A$3:$A$24,0),MATCH(P$9,GDP_CGE!$A$3:$AN$3,0)),GDP_Simple!W32)</f>
        <v>9.8457103140880783E-2</v>
      </c>
      <c r="Q30">
        <f>IF($C$3="CGE",INDEX(GDP_CGE!$A$3:$AN$24,MATCH($A30,GDP_CGE!$A$3:$A$24,0),MATCH(Q$9,GDP_CGE!$A$3:$AN$3,0)),GDP_Simple!X32)</f>
        <v>0.10209899037450984</v>
      </c>
      <c r="R30">
        <f>IF($C$3="CGE",INDEX(GDP_CGE!$A$3:$AN$24,MATCH($A30,GDP_CGE!$A$3:$A$24,0),MATCH(R$9,GDP_CGE!$A$3:$AN$3,0)),GDP_Simple!Y32)</f>
        <v>0.10605475167051057</v>
      </c>
      <c r="S30">
        <f>IF($C$3="CGE",INDEX(GDP_CGE!$A$3:$AN$24,MATCH($A30,GDP_CGE!$A$3:$A$24,0),MATCH(S$9,GDP_CGE!$A$3:$AN$3,0)),GDP_Simple!Z32)</f>
        <v>0.11023873430519671</v>
      </c>
      <c r="T30">
        <f>IF($C$3="CGE",INDEX(GDP_CGE!$A$3:$AN$24,MATCH($A30,GDP_CGE!$A$3:$A$24,0),MATCH(T$9,GDP_CGE!$A$3:$AN$3,0)),GDP_Simple!AA32)</f>
        <v>0.11462550025796608</v>
      </c>
      <c r="U30">
        <f>IF($C$3="CGE",INDEX(GDP_CGE!$A$3:$AN$24,MATCH($A30,GDP_CGE!$A$3:$A$24,0),MATCH(U$9,GDP_CGE!$A$3:$AN$3,0)),GDP_Simple!AB32)</f>
        <v>0.119273805850845</v>
      </c>
      <c r="V30">
        <f>IF($C$3="CGE",INDEX(GDP_CGE!$A$3:$AN$24,MATCH($A30,GDP_CGE!$A$3:$A$24,0),MATCH(V$9,GDP_CGE!$A$3:$AN$3,0)),GDP_Simple!AC32)</f>
        <v>0.12399176744849086</v>
      </c>
      <c r="W30">
        <f>IF($C$3="CGE",INDEX(GDP_CGE!$A$3:$AN$24,MATCH($A30,GDP_CGE!$A$3:$A$24,0),MATCH(W$9,GDP_CGE!$A$3:$AN$3,0)),GDP_Simple!AD32)</f>
        <v>0.12872932157645398</v>
      </c>
      <c r="X30">
        <f>IF($C$3="CGE",INDEX(GDP_CGE!$A$3:$AN$24,MATCH($A30,GDP_CGE!$A$3:$A$24,0),MATCH(X$9,GDP_CGE!$A$3:$AN$3,0)),GDP_Simple!AE32)</f>
        <v>0.13361644448660986</v>
      </c>
      <c r="Y30">
        <f>IF($C$3="CGE",INDEX(GDP_CGE!$A$3:$AN$24,MATCH($A30,GDP_CGE!$A$3:$A$24,0),MATCH(Y$9,GDP_CGE!$A$3:$AN$3,0)),GDP_Simple!AF32)</f>
        <v>0.13843243838488728</v>
      </c>
      <c r="Z30">
        <f>IF($C$3="CGE",INDEX(GDP_CGE!$A$3:$AN$24,MATCH($A30,GDP_CGE!$A$3:$A$24,0),MATCH(Z$9,GDP_CGE!$A$3:$AN$3,0)),GDP_Simple!AG32)</f>
        <v>0.14342824341921939</v>
      </c>
      <c r="AA30">
        <f>IF($C$3="CGE",INDEX(GDP_CGE!$A$3:$AN$24,MATCH($A30,GDP_CGE!$A$3:$A$24,0),MATCH(AA$9,GDP_CGE!$A$3:$AN$3,0)),GDP_Simple!AH32)</f>
        <v>0.14866635233441022</v>
      </c>
      <c r="AB30">
        <f>IF($C$3="CGE",INDEX(GDP_CGE!$A$3:$AN$24,MATCH($A30,GDP_CGE!$A$3:$A$24,0),MATCH(AB$9,GDP_CGE!$A$3:$AN$3,0)),GDP_Simple!AI32)</f>
        <v>0.15416696172548378</v>
      </c>
      <c r="AC30">
        <f>IF($C$3="CGE",INDEX(GDP_CGE!$A$3:$AN$24,MATCH($A30,GDP_CGE!$A$3:$A$24,0),MATCH(AC$9,GDP_CGE!$A$3:$AN$3,0)),GDP_Simple!AJ32)</f>
        <v>0.15994514308150071</v>
      </c>
      <c r="AD30">
        <f>IF($C$3="CGE",INDEX(GDP_CGE!$A$3:$AN$24,MATCH($A30,GDP_CGE!$A$3:$A$24,0),MATCH(AD$9,GDP_CGE!$A$3:$AN$3,0)),GDP_Simple!AK32)</f>
        <v>0.16562526850484574</v>
      </c>
      <c r="AE30">
        <f>IF($C$3="CGE",INDEX(GDP_CGE!$A$3:$AN$24,MATCH($A30,GDP_CGE!$A$3:$A$24,0),MATCH(AE$9,GDP_CGE!$A$3:$AN$3,0)),GDP_Simple!AL32)</f>
        <v>0.17158785291940126</v>
      </c>
      <c r="AF30">
        <f>IF($C$3="CGE",INDEX(GDP_CGE!$A$3:$AN$24,MATCH($A30,GDP_CGE!$A$3:$A$24,0),MATCH(AF$9,GDP_CGE!$A$3:$AN$3,0)),GDP_Simple!AM32)</f>
        <v>0.17797914693951</v>
      </c>
      <c r="AG30">
        <f>IF($C$3="CGE",INDEX(GDP_CGE!$A$3:$AN$24,MATCH($A30,GDP_CGE!$A$3:$A$24,0),MATCH(AG$9,GDP_CGE!$A$3:$AN$3,0)),GDP_Simple!AN32)</f>
        <v>0.18474930806330114</v>
      </c>
      <c r="AH30">
        <f>IF($C$3="CGE",INDEX(GDP_CGE!$A$3:$AN$24,MATCH($A30,GDP_CGE!$A$3:$A$24,0),MATCH(AH$9,GDP_CGE!$A$3:$AN$3,0)),GDP_Simple!AO32)</f>
        <v>0.19142128747724094</v>
      </c>
      <c r="AI30">
        <f>IF($C$3="CGE",INDEX(GDP_CGE!$A$3:$AN$24,MATCH($A30,GDP_CGE!$A$3:$A$24,0),MATCH(AI$9,GDP_CGE!$A$3:$AN$3,0)),GDP_Simple!AP32)</f>
        <v>0.19796771033409205</v>
      </c>
      <c r="AJ30">
        <f>IF($C$3="CGE",INDEX(GDP_CGE!$A$3:$AN$24,MATCH($A30,GDP_CGE!$A$3:$A$24,0),MATCH(AJ$9,GDP_CGE!$A$3:$AN$3,0)),GDP_Simple!AQ32)</f>
        <v>0.20436088944097014</v>
      </c>
      <c r="AK30">
        <f>IF($C$3="CGE",INDEX(GDP_CGE!$A$3:$AN$24,MATCH($A30,GDP_CGE!$A$3:$A$24,0),MATCH(AK$9,GDP_CGE!$A$3:$AN$3,0)),GDP_Simple!AR32)</f>
        <v>0.21057299904865343</v>
      </c>
      <c r="AL30">
        <f>IF($C$3="CGE",INDEX(GDP_CGE!$A$3:$AN$24,MATCH($A30,GDP_CGE!$A$3:$A$24,0),MATCH(AL$9,GDP_CGE!$A$3:$AN$3,0)),GDP_Simple!AS32)</f>
        <v>0.21657627063774509</v>
      </c>
      <c r="AM30">
        <f>IF($C$3="CGE",INDEX(GDP_CGE!$A$3:$AN$24,MATCH($A30,GDP_CGE!$A$3:$A$24,0),MATCH(AM$9,GDP_CGE!$A$3:$AN$3,0)),GDP_Simple!AT32)</f>
        <v>0.22234319499283986</v>
      </c>
      <c r="AN30">
        <f>IF($C$3="CGE",INDEX(GDP_CGE!$A$3:$AN$24,MATCH($A30,GDP_CGE!$A$3:$A$24,0),MATCH(AN$9,GDP_CGE!$A$3:$AN$3,0)),GDP_Simple!AU32)</f>
        <v>0.22784672859883154</v>
      </c>
      <c r="AO30">
        <f>IF($C$3="CGE",INDEX(GDP_CGE!$A$3:$AN$24,MATCH($A30,GDP_CGE!$A$3:$A$24,0),MATCH(AO$9,GDP_CGE!$A$3:$AN$3,0)),GDP_Simple!AV32)</f>
        <v>0.23306050227066832</v>
      </c>
      <c r="AP30">
        <f>IF($C$3="CGE",INDEX(GDP_CGE!$A$3:$AN$24,MATCH($A30,GDP_CGE!$A$3:$A$24,0),MATCH(AP$9,GDP_CGE!$A$3:$AN$3,0)),GDP_Simple!AW32)</f>
        <v>0.23795902983086356</v>
      </c>
      <c r="AQ30">
        <f>IF($C$3="CGE",INDEX(GDP_CGE!$A$3:$AN$24,MATCH($A30,GDP_CGE!$A$3:$A$24,0),MATCH(AQ$9,GDP_CGE!$A$3:$AN$3,0)),GDP_Simple!AX32)</f>
        <v>0.24251791458037844</v>
      </c>
      <c r="AR30">
        <f>IF($C$3="CGE",INDEX(GDP_CGE!$A$3:$AN$24,MATCH($A30,GDP_CGE!$A$3:$A$24,0),MATCH(AR$9,GDP_CGE!$A$3:$AN$3,0)),GDP_Simple!AY32)</f>
        <v>0.24671405127015605</v>
      </c>
      <c r="AS30">
        <f>IF($C$3="CGE",INDEX(GDP_CGE!$A$3:$AN$24,MATCH($A30,GDP_CGE!$A$3:$A$24,0),MATCH(AS$9,GDP_CGE!$A$3:$AN$3,0)),GDP_Simple!AZ32)</f>
        <v>0.25052582127416884</v>
      </c>
      <c r="AT30">
        <f>IF($C$3="CGE",INDEX(GDP_CGE!$A$3:$AN$24,MATCH($A30,GDP_CGE!$A$3:$A$24,0),MATCH(AT$9,GDP_CGE!$A$3:$AN$3,0)),GDP_Simple!BA32)</f>
        <v>0.25393327869138488</v>
      </c>
      <c r="AU30">
        <f>IF($C$3="CGE",INDEX(GDP_CGE!$A$3:$AN$24,MATCH($A30,GDP_CGE!$A$3:$A$24,0),MATCH(AU$9,GDP_CGE!$A$3:$AN$3,0)),GDP_Simple!BB32)</f>
        <v>0.25691832516404151</v>
      </c>
      <c r="AV30">
        <f>IF($C$3="CGE",INDEX(GDP_CGE!$A$3:$AN$24,MATCH($A30,GDP_CGE!$A$3:$A$24,0),MATCH(AV$9,GDP_CGE!$A$3:$AN$3,0)),GDP_Simple!BC32)</f>
        <v>0.25946487129292689</v>
      </c>
      <c r="AW30">
        <f>IF($C$3="CGE",INDEX(GDP_CGE!$A$3:$AN$24,MATCH($A30,GDP_CGE!$A$3:$A$24,0),MATCH(AW$9,GDP_CGE!$A$3:$AN$3,0)),GDP_Simple!BD32)</f>
        <v>0.26155898265629096</v>
      </c>
      <c r="AX30">
        <f>IF($C$3="CGE",INDEX(GDP_CGE!$A$3:$AN$24,MATCH($A30,GDP_CGE!$A$3:$A$24,0),MATCH(AX$9,GDP_CGE!$A$3:$AN$3,0)),GDP_Simple!BE32)</f>
        <v>0.26318900859622313</v>
      </c>
      <c r="AY30">
        <f>IF($C$3="CGE",INDEX(GDP_CGE!$A$3:$AN$24,MATCH($A30,GDP_CGE!$A$3:$A$24,0),MATCH(AY$9,GDP_CGE!$A$3:$AN$3,0)),GDP_Simple!BF32)</f>
        <v>0.26434569212293085</v>
      </c>
      <c r="AZ30">
        <f>IF($C$3="CGE",INDEX(GDP_CGE!$A$3:$AN$24,MATCH($A30,GDP_CGE!$A$3:$A$24,0),MATCH(AZ$9,GDP_CGE!$A$3:$AN$3,0)),GDP_Simple!BG32)</f>
        <v>0.26502225950084529</v>
      </c>
      <c r="BA30">
        <f>IF($C$3="CGE",INDEX(GDP_CGE!$A$3:$AN$24,MATCH($A30,GDP_CGE!$A$3:$A$24,0),MATCH(BA$9,GDP_CGE!$A$3:$AN$3,0)),GDP_Simple!BH32)</f>
        <v>0.26521448831786609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I48</f>
        <v>58801.927000000003</v>
      </c>
      <c r="C35" s="9">
        <f>J48</f>
        <v>59392.254999999997</v>
      </c>
      <c r="D35" s="9">
        <f t="shared" ref="D35:BO35" si="22">K48</f>
        <v>59893.885000000002</v>
      </c>
      <c r="E35" s="9">
        <f t="shared" si="22"/>
        <v>60414.495000000003</v>
      </c>
      <c r="F35" s="9">
        <f t="shared" si="22"/>
        <v>61020.220999999998</v>
      </c>
      <c r="G35" s="9">
        <f t="shared" si="22"/>
        <v>61673.080999999998</v>
      </c>
      <c r="H35" s="9">
        <f t="shared" si="22"/>
        <v>62305.038999999997</v>
      </c>
      <c r="I35" s="9">
        <f t="shared" si="22"/>
        <v>62918.915999999997</v>
      </c>
      <c r="J35" s="9">
        <f t="shared" si="22"/>
        <v>63514.502</v>
      </c>
      <c r="K35" s="9">
        <f t="shared" si="22"/>
        <v>64093.732000000004</v>
      </c>
      <c r="L35" s="9">
        <f t="shared" si="22"/>
        <v>64659.277999999998</v>
      </c>
      <c r="M35" s="9">
        <f t="shared" si="22"/>
        <v>65211.525999999998</v>
      </c>
      <c r="N35" s="9">
        <f t="shared" si="22"/>
        <v>65752.923999999999</v>
      </c>
      <c r="O35" s="9">
        <f t="shared" si="22"/>
        <v>66284.188999999998</v>
      </c>
      <c r="P35" s="9">
        <f t="shared" si="22"/>
        <v>66804.167000000001</v>
      </c>
      <c r="Q35" s="9">
        <f t="shared" si="22"/>
        <v>67314.133000000002</v>
      </c>
      <c r="R35" s="9">
        <f t="shared" si="22"/>
        <v>67815.933000000005</v>
      </c>
      <c r="S35" s="9">
        <f t="shared" si="22"/>
        <v>68308.245999999999</v>
      </c>
      <c r="T35" s="9">
        <f t="shared" si="22"/>
        <v>68788.494999999995</v>
      </c>
      <c r="U35" s="9">
        <f t="shared" si="22"/>
        <v>69256.823000000004</v>
      </c>
      <c r="V35" s="9">
        <f t="shared" si="22"/>
        <v>69713.937000000005</v>
      </c>
      <c r="W35" s="9">
        <f t="shared" si="22"/>
        <v>70160.652000000002</v>
      </c>
      <c r="X35" s="9">
        <f t="shared" si="22"/>
        <v>70595.131999999998</v>
      </c>
      <c r="Y35" s="9">
        <f t="shared" si="22"/>
        <v>71016.168000000005</v>
      </c>
      <c r="Z35" s="9">
        <f t="shared" si="22"/>
        <v>71423.671000000002</v>
      </c>
      <c r="AA35" s="9">
        <f t="shared" si="22"/>
        <v>71816.201000000001</v>
      </c>
      <c r="AB35" s="9">
        <f t="shared" si="22"/>
        <v>72192.154999999999</v>
      </c>
      <c r="AC35" s="9">
        <f t="shared" si="22"/>
        <v>72551.392999999996</v>
      </c>
      <c r="AD35" s="9">
        <f t="shared" si="22"/>
        <v>72894.218999999997</v>
      </c>
      <c r="AE35" s="9">
        <f t="shared" si="22"/>
        <v>73220.86</v>
      </c>
      <c r="AF35" s="9">
        <f t="shared" si="22"/>
        <v>73529.752999999997</v>
      </c>
      <c r="AG35" s="9">
        <f t="shared" si="22"/>
        <v>73819.237999999998</v>
      </c>
      <c r="AH35" s="9">
        <f t="shared" si="22"/>
        <v>74089.701000000001</v>
      </c>
      <c r="AI35" s="9">
        <f t="shared" si="22"/>
        <v>74342.981</v>
      </c>
      <c r="AJ35" s="9">
        <f t="shared" si="22"/>
        <v>74580.11</v>
      </c>
      <c r="AK35" s="9">
        <f t="shared" si="22"/>
        <v>74799.05</v>
      </c>
      <c r="AL35" s="9">
        <f t="shared" si="22"/>
        <v>75001.119999999995</v>
      </c>
      <c r="AM35" s="9">
        <f t="shared" si="22"/>
        <v>75188.808000000005</v>
      </c>
      <c r="AN35" s="9">
        <f t="shared" si="22"/>
        <v>75362.119000000006</v>
      </c>
      <c r="AO35" s="9">
        <f t="shared" si="22"/>
        <v>75520.304000000004</v>
      </c>
      <c r="AP35" s="9">
        <f t="shared" si="22"/>
        <v>75663.198000000004</v>
      </c>
      <c r="AQ35" s="9">
        <f t="shared" si="22"/>
        <v>75793.040999999997</v>
      </c>
      <c r="AR35" s="9">
        <f t="shared" si="22"/>
        <v>75912.773000000001</v>
      </c>
      <c r="AS35" s="9">
        <f t="shared" si="22"/>
        <v>76022.452999999994</v>
      </c>
      <c r="AT35" s="9">
        <f t="shared" si="22"/>
        <v>76120.998999999996</v>
      </c>
      <c r="AU35" s="9">
        <f t="shared" si="22"/>
        <v>76208.044999999998</v>
      </c>
      <c r="AV35" s="9">
        <f t="shared" si="22"/>
        <v>76283.732000000004</v>
      </c>
      <c r="AW35" s="9">
        <f t="shared" si="22"/>
        <v>76351.933999999994</v>
      </c>
      <c r="AX35" s="9">
        <f t="shared" si="22"/>
        <v>76412.77</v>
      </c>
      <c r="AY35" s="9">
        <f t="shared" si="22"/>
        <v>76462.114000000001</v>
      </c>
      <c r="AZ35" s="9">
        <f t="shared" si="22"/>
        <v>76502.154999999999</v>
      </c>
      <c r="BA35" s="9">
        <f t="shared" si="22"/>
        <v>76536.239000000001</v>
      </c>
      <c r="BB35" s="9">
        <f t="shared" si="22"/>
        <v>76563.061000000002</v>
      </c>
      <c r="BC35" s="9">
        <f t="shared" si="22"/>
        <v>76578.86</v>
      </c>
      <c r="BD35" s="9">
        <f t="shared" si="22"/>
        <v>76584.111000000004</v>
      </c>
      <c r="BE35" s="9">
        <f t="shared" si="22"/>
        <v>76579.881999999998</v>
      </c>
      <c r="BF35" s="9">
        <f t="shared" si="22"/>
        <v>76567.381999999998</v>
      </c>
      <c r="BG35" s="9">
        <f t="shared" si="22"/>
        <v>76548.373999999996</v>
      </c>
      <c r="BH35" s="9">
        <f t="shared" si="22"/>
        <v>76522.763999999996</v>
      </c>
      <c r="BI35" s="9">
        <f t="shared" si="22"/>
        <v>76488.403999999995</v>
      </c>
      <c r="BJ35" s="9">
        <f t="shared" si="22"/>
        <v>76445.383000000002</v>
      </c>
      <c r="BK35" s="9">
        <f t="shared" si="22"/>
        <v>76396.514999999999</v>
      </c>
      <c r="BL35" s="9">
        <f t="shared" si="22"/>
        <v>76341.014999999999</v>
      </c>
      <c r="BM35" s="9">
        <f t="shared" si="22"/>
        <v>76280.819000000003</v>
      </c>
      <c r="BN35" s="9">
        <f t="shared" si="22"/>
        <v>76216.707999999999</v>
      </c>
      <c r="BO35" s="9">
        <f t="shared" si="22"/>
        <v>76146.535000000003</v>
      </c>
      <c r="BP35" s="9">
        <f t="shared" ref="BP35:CD35" si="23">BW48</f>
        <v>76071.991999999998</v>
      </c>
      <c r="BQ35" s="9">
        <f t="shared" si="23"/>
        <v>75994.767999999996</v>
      </c>
      <c r="BR35" s="9">
        <f t="shared" si="23"/>
        <v>75913.620999999999</v>
      </c>
      <c r="BS35" s="9">
        <f t="shared" si="23"/>
        <v>75827.38</v>
      </c>
      <c r="BT35" s="9">
        <f t="shared" si="23"/>
        <v>75736.555999999997</v>
      </c>
      <c r="BU35" s="9">
        <f t="shared" si="23"/>
        <v>75640.985000000001</v>
      </c>
      <c r="BV35" s="9">
        <f t="shared" si="23"/>
        <v>75538.822</v>
      </c>
      <c r="BW35" s="9">
        <f t="shared" si="23"/>
        <v>75431.323000000004</v>
      </c>
      <c r="BX35" s="9">
        <f t="shared" si="23"/>
        <v>75319.877999999997</v>
      </c>
      <c r="BY35" s="9">
        <f t="shared" si="23"/>
        <v>75203.788</v>
      </c>
      <c r="BZ35" s="9">
        <f t="shared" si="23"/>
        <v>75084.182000000001</v>
      </c>
      <c r="CA35" s="9">
        <f t="shared" si="23"/>
        <v>74959.932000000001</v>
      </c>
      <c r="CB35" s="9">
        <f t="shared" si="23"/>
        <v>74830.455000000002</v>
      </c>
      <c r="CC35" s="9">
        <f t="shared" si="23"/>
        <v>74697.591</v>
      </c>
      <c r="CD35" s="9">
        <f t="shared" si="23"/>
        <v>74559.59</v>
      </c>
    </row>
    <row r="36" spans="1:89" x14ac:dyDescent="0.25">
      <c r="J36" s="6"/>
      <c r="K36" s="6"/>
      <c r="L36" s="6"/>
      <c r="M36" s="6"/>
      <c r="N36" s="6"/>
      <c r="S36" s="6"/>
    </row>
    <row r="38" spans="1:89" ht="18" thickBot="1" x14ac:dyDescent="0.35">
      <c r="A38" s="4" t="s">
        <v>71</v>
      </c>
      <c r="B38" s="4"/>
      <c r="C38" s="4"/>
    </row>
    <row r="39" spans="1:89" ht="15.75" thickTop="1" x14ac:dyDescent="0.25"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1" spans="1:89" x14ac:dyDescent="0.25"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</row>
    <row r="42" spans="1:8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89" x14ac:dyDescent="0.25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5" spans="1:89" x14ac:dyDescent="0.25">
      <c r="K45" t="s">
        <v>187</v>
      </c>
      <c r="L45" t="s">
        <v>188</v>
      </c>
    </row>
    <row r="46" spans="1:89" x14ac:dyDescent="0.25">
      <c r="A46" t="s">
        <v>50</v>
      </c>
      <c r="G46" t="s">
        <v>186</v>
      </c>
      <c r="K46" t="s">
        <v>48</v>
      </c>
      <c r="L46" s="5" t="s">
        <v>49</v>
      </c>
      <c r="S46" t="s">
        <v>185</v>
      </c>
    </row>
    <row r="47" spans="1:89" x14ac:dyDescent="0.25">
      <c r="A47" s="8">
        <v>2012</v>
      </c>
      <c r="B47" s="8">
        <f>A47+1</f>
        <v>2013</v>
      </c>
      <c r="C47" s="8">
        <f t="shared" ref="C47:F47" si="24">B47+1</f>
        <v>2014</v>
      </c>
      <c r="D47" s="8">
        <f t="shared" si="24"/>
        <v>2015</v>
      </c>
      <c r="E47" s="8">
        <f t="shared" si="24"/>
        <v>2016</v>
      </c>
      <c r="F47" s="8">
        <f t="shared" si="24"/>
        <v>2017</v>
      </c>
      <c r="G47" s="7">
        <v>2018</v>
      </c>
      <c r="H47" s="7">
        <v>2019</v>
      </c>
      <c r="I47" s="7">
        <v>2020</v>
      </c>
      <c r="J47" s="7">
        <v>2021</v>
      </c>
      <c r="K47" s="7">
        <v>2022</v>
      </c>
      <c r="L47" s="7">
        <v>2023</v>
      </c>
      <c r="M47" s="7">
        <v>2024</v>
      </c>
      <c r="N47" s="7">
        <v>2025</v>
      </c>
      <c r="O47" s="7">
        <v>2026</v>
      </c>
      <c r="P47" s="7">
        <v>2027</v>
      </c>
      <c r="Q47" s="7">
        <v>2028</v>
      </c>
      <c r="R47" s="7">
        <v>2029</v>
      </c>
      <c r="S47" s="7">
        <v>2030</v>
      </c>
      <c r="T47" s="7">
        <v>2031</v>
      </c>
      <c r="U47" s="7">
        <v>2032</v>
      </c>
      <c r="V47" s="7">
        <v>2033</v>
      </c>
      <c r="W47" s="7">
        <v>2034</v>
      </c>
      <c r="X47" s="7">
        <v>2035</v>
      </c>
      <c r="Y47" s="7">
        <v>2036</v>
      </c>
      <c r="Z47" s="7">
        <v>2037</v>
      </c>
      <c r="AA47" s="7">
        <v>2038</v>
      </c>
      <c r="AB47" s="7">
        <v>2039</v>
      </c>
      <c r="AC47" s="7">
        <v>2040</v>
      </c>
      <c r="AD47" s="7">
        <v>2041</v>
      </c>
      <c r="AE47" s="7">
        <v>2042</v>
      </c>
      <c r="AF47" s="7">
        <v>2043</v>
      </c>
      <c r="AG47" s="7">
        <v>2044</v>
      </c>
      <c r="AH47" s="7">
        <v>2045</v>
      </c>
      <c r="AI47" s="7">
        <v>2046</v>
      </c>
      <c r="AJ47" s="7">
        <v>2047</v>
      </c>
      <c r="AK47" s="7">
        <v>2048</v>
      </c>
      <c r="AL47" s="7">
        <v>2049</v>
      </c>
      <c r="AM47" s="7">
        <v>2050</v>
      </c>
      <c r="AN47" s="7">
        <v>2051</v>
      </c>
      <c r="AO47" s="7">
        <v>2052</v>
      </c>
      <c r="AP47" s="7">
        <v>2053</v>
      </c>
      <c r="AQ47" s="7">
        <v>2054</v>
      </c>
      <c r="AR47" s="7">
        <v>2055</v>
      </c>
      <c r="AS47" s="7">
        <v>2056</v>
      </c>
      <c r="AT47" s="7">
        <v>2057</v>
      </c>
      <c r="AU47" s="7">
        <v>2058</v>
      </c>
      <c r="AV47" s="7">
        <v>2059</v>
      </c>
      <c r="AW47" s="7">
        <v>2060</v>
      </c>
      <c r="AX47" s="7">
        <v>2061</v>
      </c>
      <c r="AY47" s="7">
        <v>2062</v>
      </c>
      <c r="AZ47" s="7">
        <v>2063</v>
      </c>
      <c r="BA47" s="7">
        <v>2064</v>
      </c>
      <c r="BB47" s="7">
        <v>2065</v>
      </c>
      <c r="BC47" s="7">
        <v>2066</v>
      </c>
      <c r="BD47" s="7">
        <v>2067</v>
      </c>
      <c r="BE47" s="7">
        <v>2068</v>
      </c>
      <c r="BF47" s="7">
        <v>2069</v>
      </c>
      <c r="BG47" s="7">
        <v>2070</v>
      </c>
      <c r="BH47" s="7">
        <v>2071</v>
      </c>
      <c r="BI47" s="7">
        <v>2072</v>
      </c>
      <c r="BJ47" s="7">
        <v>2073</v>
      </c>
      <c r="BK47" s="7">
        <v>2074</v>
      </c>
      <c r="BL47" s="7">
        <v>2075</v>
      </c>
      <c r="BM47" s="7">
        <v>2076</v>
      </c>
      <c r="BN47" s="7">
        <v>2077</v>
      </c>
      <c r="BO47" s="7">
        <v>2078</v>
      </c>
      <c r="BP47" s="7">
        <v>2079</v>
      </c>
      <c r="BQ47" s="7">
        <v>2080</v>
      </c>
      <c r="BR47" s="7">
        <v>2081</v>
      </c>
      <c r="BS47" s="7">
        <v>2082</v>
      </c>
      <c r="BT47" s="7">
        <v>2083</v>
      </c>
      <c r="BU47" s="7">
        <v>2084</v>
      </c>
      <c r="BV47" s="7">
        <v>2085</v>
      </c>
      <c r="BW47" s="7">
        <v>2086</v>
      </c>
      <c r="BX47" s="7">
        <v>2087</v>
      </c>
      <c r="BY47" s="7">
        <v>2088</v>
      </c>
      <c r="BZ47" s="7">
        <v>2089</v>
      </c>
      <c r="CA47" s="7">
        <v>2090</v>
      </c>
      <c r="CB47" s="7">
        <v>2091</v>
      </c>
      <c r="CC47" s="7">
        <v>2092</v>
      </c>
      <c r="CD47" s="7">
        <v>2093</v>
      </c>
      <c r="CE47" s="7">
        <v>2094</v>
      </c>
      <c r="CF47" s="7">
        <v>2095</v>
      </c>
      <c r="CG47" s="7">
        <v>2096</v>
      </c>
      <c r="CH47" s="7">
        <v>2097</v>
      </c>
      <c r="CI47" s="7">
        <v>2098</v>
      </c>
      <c r="CJ47" s="7">
        <v>2099</v>
      </c>
      <c r="CK47" s="7">
        <v>2100</v>
      </c>
    </row>
    <row r="48" spans="1:89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7">
        <v>57339.635000000002</v>
      </c>
      <c r="H48" s="7">
        <v>58087.055</v>
      </c>
      <c r="I48" s="10">
        <v>58801.927000000003</v>
      </c>
      <c r="J48" s="10">
        <v>59392.254999999997</v>
      </c>
      <c r="K48" s="10">
        <v>59893.885000000002</v>
      </c>
      <c r="L48" s="10">
        <v>60414.495000000003</v>
      </c>
      <c r="M48" s="10">
        <v>61020.220999999998</v>
      </c>
      <c r="N48" s="10">
        <v>61673.080999999998</v>
      </c>
      <c r="O48" s="10">
        <v>62305.038999999997</v>
      </c>
      <c r="P48" s="10">
        <v>62918.915999999997</v>
      </c>
      <c r="Q48" s="10">
        <v>63514.502</v>
      </c>
      <c r="R48" s="10">
        <v>64093.732000000004</v>
      </c>
      <c r="S48" s="10">
        <v>64659.277999999998</v>
      </c>
      <c r="T48">
        <v>65211.525999999998</v>
      </c>
      <c r="U48">
        <v>65752.923999999999</v>
      </c>
      <c r="V48">
        <v>66284.188999999998</v>
      </c>
      <c r="W48">
        <v>66804.167000000001</v>
      </c>
      <c r="X48">
        <v>67314.133000000002</v>
      </c>
      <c r="Y48">
        <v>67815.933000000005</v>
      </c>
      <c r="Z48">
        <v>68308.245999999999</v>
      </c>
      <c r="AA48">
        <v>68788.494999999995</v>
      </c>
      <c r="AB48">
        <v>69256.823000000004</v>
      </c>
      <c r="AC48">
        <v>69713.937000000005</v>
      </c>
      <c r="AD48">
        <v>70160.652000000002</v>
      </c>
      <c r="AE48">
        <v>70595.131999999998</v>
      </c>
      <c r="AF48">
        <v>71016.168000000005</v>
      </c>
      <c r="AG48">
        <v>71423.671000000002</v>
      </c>
      <c r="AH48">
        <v>71816.201000000001</v>
      </c>
      <c r="AI48">
        <v>72192.154999999999</v>
      </c>
      <c r="AJ48">
        <v>72551.392999999996</v>
      </c>
      <c r="AK48">
        <v>72894.218999999997</v>
      </c>
      <c r="AL48">
        <v>73220.86</v>
      </c>
      <c r="AM48">
        <v>73529.752999999997</v>
      </c>
      <c r="AN48">
        <v>73819.237999999998</v>
      </c>
      <c r="AO48">
        <v>74089.701000000001</v>
      </c>
      <c r="AP48">
        <v>74342.981</v>
      </c>
      <c r="AQ48">
        <v>74580.11</v>
      </c>
      <c r="AR48">
        <v>74799.05</v>
      </c>
      <c r="AS48">
        <v>75001.119999999995</v>
      </c>
      <c r="AT48">
        <v>75188.808000000005</v>
      </c>
      <c r="AU48">
        <v>75362.119000000006</v>
      </c>
      <c r="AV48">
        <v>75520.304000000004</v>
      </c>
      <c r="AW48">
        <v>75663.198000000004</v>
      </c>
      <c r="AX48">
        <v>75793.040999999997</v>
      </c>
      <c r="AY48">
        <v>75912.773000000001</v>
      </c>
      <c r="AZ48">
        <v>76022.452999999994</v>
      </c>
      <c r="BA48">
        <v>76120.998999999996</v>
      </c>
      <c r="BB48">
        <v>76208.044999999998</v>
      </c>
      <c r="BC48">
        <v>76283.732000000004</v>
      </c>
      <c r="BD48">
        <v>76351.933999999994</v>
      </c>
      <c r="BE48">
        <v>76412.77</v>
      </c>
      <c r="BF48">
        <v>76462.114000000001</v>
      </c>
      <c r="BG48">
        <v>76502.154999999999</v>
      </c>
      <c r="BH48">
        <v>76536.239000000001</v>
      </c>
      <c r="BI48">
        <v>76563.061000000002</v>
      </c>
      <c r="BJ48">
        <v>76578.86</v>
      </c>
      <c r="BK48">
        <v>76584.111000000004</v>
      </c>
      <c r="BL48">
        <v>76579.881999999998</v>
      </c>
      <c r="BM48">
        <v>76567.381999999998</v>
      </c>
      <c r="BN48">
        <v>76548.373999999996</v>
      </c>
      <c r="BO48">
        <v>76522.763999999996</v>
      </c>
      <c r="BP48">
        <v>76488.403999999995</v>
      </c>
      <c r="BQ48">
        <v>76445.383000000002</v>
      </c>
      <c r="BR48">
        <v>76396.514999999999</v>
      </c>
      <c r="BS48">
        <v>76341.014999999999</v>
      </c>
      <c r="BT48">
        <v>76280.819000000003</v>
      </c>
      <c r="BU48">
        <v>76216.707999999999</v>
      </c>
      <c r="BV48">
        <v>76146.535000000003</v>
      </c>
      <c r="BW48">
        <v>76071.991999999998</v>
      </c>
      <c r="BX48">
        <v>75994.767999999996</v>
      </c>
      <c r="BY48">
        <v>75913.620999999999</v>
      </c>
      <c r="BZ48">
        <v>75827.38</v>
      </c>
      <c r="CA48">
        <v>75736.555999999997</v>
      </c>
      <c r="CB48">
        <v>75640.985000000001</v>
      </c>
      <c r="CC48">
        <v>75538.822</v>
      </c>
      <c r="CD48">
        <v>75431.323000000004</v>
      </c>
      <c r="CE48">
        <v>75319.877999999997</v>
      </c>
      <c r="CF48">
        <v>75203.788</v>
      </c>
      <c r="CG48">
        <v>75084.182000000001</v>
      </c>
      <c r="CH48">
        <v>74959.932000000001</v>
      </c>
      <c r="CI48">
        <v>74830.455000000002</v>
      </c>
      <c r="CJ48">
        <v>74697.591</v>
      </c>
      <c r="CK48">
        <v>74559.59</v>
      </c>
    </row>
    <row r="49" spans="1:88" x14ac:dyDescent="0.25">
      <c r="B49" s="6">
        <f>B48/A48-1</f>
        <v>1.4886710600347186E-2</v>
      </c>
      <c r="C49" s="6">
        <f t="shared" ref="C49:I49" si="25">C48/B48-1</f>
        <v>1.5214924545611908E-2</v>
      </c>
      <c r="D49" s="6">
        <f t="shared" si="25"/>
        <v>1.5546076584524338E-2</v>
      </c>
      <c r="E49" s="6">
        <f t="shared" si="25"/>
        <v>1.5880204713440094E-2</v>
      </c>
      <c r="F49" s="6">
        <f t="shared" si="25"/>
        <v>1.6217341554197295E-2</v>
      </c>
      <c r="G49" s="6">
        <f t="shared" si="25"/>
        <v>1.4466715792410323E-2</v>
      </c>
      <c r="H49" s="6">
        <f t="shared" si="25"/>
        <v>1.3034962639716818E-2</v>
      </c>
      <c r="I49" s="6">
        <f t="shared" si="25"/>
        <v>1.2306907279083124E-2</v>
      </c>
      <c r="J49" s="6">
        <f>J48/I48-1</f>
        <v>1.0039262828920537E-2</v>
      </c>
      <c r="K49" s="6">
        <f t="shared" ref="K49:BV49" si="26">K48/J48-1</f>
        <v>8.4460507519037442E-3</v>
      </c>
      <c r="L49" s="6">
        <f t="shared" si="26"/>
        <v>8.6922062243917075E-3</v>
      </c>
      <c r="M49" s="6">
        <f t="shared" si="26"/>
        <v>1.0026170044125982E-2</v>
      </c>
      <c r="N49" s="6">
        <f t="shared" si="26"/>
        <v>1.0699076294725218E-2</v>
      </c>
      <c r="O49" s="6">
        <f t="shared" si="26"/>
        <v>1.0246901723622415E-2</v>
      </c>
      <c r="P49" s="6">
        <f t="shared" si="26"/>
        <v>9.8527664833016892E-3</v>
      </c>
      <c r="Q49" s="6">
        <f t="shared" si="26"/>
        <v>9.4659291332992446E-3</v>
      </c>
      <c r="R49" s="6">
        <f t="shared" si="26"/>
        <v>9.1196495565690761E-3</v>
      </c>
      <c r="S49" s="6">
        <f t="shared" si="26"/>
        <v>8.8237333410385865E-3</v>
      </c>
      <c r="T49" s="6">
        <f t="shared" si="26"/>
        <v>8.5408933888806438E-3</v>
      </c>
      <c r="U49" s="6">
        <f t="shared" si="26"/>
        <v>8.3021826540297106E-3</v>
      </c>
      <c r="V49" s="6">
        <f t="shared" si="26"/>
        <v>8.0797167286430494E-3</v>
      </c>
      <c r="W49" s="6">
        <f t="shared" si="26"/>
        <v>7.8446762017410077E-3</v>
      </c>
      <c r="X49" s="6">
        <f t="shared" si="26"/>
        <v>7.6337453620221041E-3</v>
      </c>
      <c r="Y49" s="6">
        <f t="shared" si="26"/>
        <v>7.4546009528193569E-3</v>
      </c>
      <c r="Z49" s="6">
        <f t="shared" si="26"/>
        <v>7.2595476936074821E-3</v>
      </c>
      <c r="AA49" s="6">
        <f t="shared" si="26"/>
        <v>7.0306153081429734E-3</v>
      </c>
      <c r="AB49" s="6">
        <f t="shared" si="26"/>
        <v>6.8082315218556122E-3</v>
      </c>
      <c r="AC49" s="6">
        <f t="shared" si="26"/>
        <v>6.6002738820405416E-3</v>
      </c>
      <c r="AD49" s="6">
        <f t="shared" si="26"/>
        <v>6.4078291834241963E-3</v>
      </c>
      <c r="AE49" s="6">
        <f t="shared" si="26"/>
        <v>6.1926448460027927E-3</v>
      </c>
      <c r="AF49" s="6">
        <f t="shared" si="26"/>
        <v>5.9640939548071259E-3</v>
      </c>
      <c r="AG49" s="6">
        <f t="shared" si="26"/>
        <v>5.7381721863674073E-3</v>
      </c>
      <c r="AH49" s="6">
        <f t="shared" si="26"/>
        <v>5.4957970446520843E-3</v>
      </c>
      <c r="AI49" s="6">
        <f t="shared" si="26"/>
        <v>5.2349469167827234E-3</v>
      </c>
      <c r="AJ49" s="6">
        <f t="shared" si="26"/>
        <v>4.976136257464514E-3</v>
      </c>
      <c r="AK49" s="6">
        <f t="shared" si="26"/>
        <v>4.7252848749574916E-3</v>
      </c>
      <c r="AL49" s="6">
        <f t="shared" si="26"/>
        <v>4.481027500960133E-3</v>
      </c>
      <c r="AM49" s="6">
        <f t="shared" si="26"/>
        <v>4.2186475274941238E-3</v>
      </c>
      <c r="AN49" s="6">
        <f t="shared" si="26"/>
        <v>3.9369777292737052E-3</v>
      </c>
      <c r="AO49" s="6">
        <f t="shared" si="26"/>
        <v>3.6638552134606872E-3</v>
      </c>
      <c r="AP49" s="6">
        <f t="shared" si="26"/>
        <v>3.4185588088686547E-3</v>
      </c>
      <c r="AQ49" s="6">
        <f t="shared" si="26"/>
        <v>3.1896622493521321E-3</v>
      </c>
      <c r="AR49" s="6">
        <f t="shared" si="26"/>
        <v>2.9356352518117301E-3</v>
      </c>
      <c r="AS49" s="6">
        <f t="shared" si="26"/>
        <v>2.701504898792173E-3</v>
      </c>
      <c r="AT49" s="6">
        <f t="shared" si="26"/>
        <v>2.5024692964585871E-3</v>
      </c>
      <c r="AU49" s="6">
        <f t="shared" si="26"/>
        <v>2.3050106074298249E-3</v>
      </c>
      <c r="AV49" s="6">
        <f t="shared" si="26"/>
        <v>2.0989988352104749E-3</v>
      </c>
      <c r="AW49" s="6">
        <f t="shared" si="26"/>
        <v>1.8921269172857968E-3</v>
      </c>
      <c r="AX49" s="6">
        <f t="shared" si="26"/>
        <v>1.716065451000226E-3</v>
      </c>
      <c r="AY49" s="6">
        <f t="shared" si="26"/>
        <v>1.579722866641653E-3</v>
      </c>
      <c r="AZ49" s="6">
        <f t="shared" si="26"/>
        <v>1.444816144445138E-3</v>
      </c>
      <c r="BA49" s="6">
        <f t="shared" si="26"/>
        <v>1.296274930776109E-3</v>
      </c>
      <c r="BB49" s="6">
        <f t="shared" si="26"/>
        <v>1.1435215136890164E-3</v>
      </c>
      <c r="BC49" s="6">
        <f t="shared" si="26"/>
        <v>9.9316286095518791E-4</v>
      </c>
      <c r="BD49" s="6">
        <f t="shared" si="26"/>
        <v>8.9405693995137092E-4</v>
      </c>
      <c r="BE49" s="6">
        <f t="shared" si="26"/>
        <v>7.9678400811711292E-4</v>
      </c>
      <c r="BF49" s="6">
        <f t="shared" si="26"/>
        <v>6.4575593843807511E-4</v>
      </c>
      <c r="BG49" s="6">
        <f t="shared" si="26"/>
        <v>5.2367110854389942E-4</v>
      </c>
      <c r="BH49" s="6">
        <f t="shared" si="26"/>
        <v>4.4552993311097744E-4</v>
      </c>
      <c r="BI49" s="6">
        <f t="shared" si="26"/>
        <v>3.5044836734132723E-4</v>
      </c>
      <c r="BJ49" s="6">
        <f t="shared" si="26"/>
        <v>2.0635277369596139E-4</v>
      </c>
      <c r="BK49" s="6">
        <f t="shared" si="26"/>
        <v>6.8569837680998447E-5</v>
      </c>
      <c r="BL49" s="6">
        <f t="shared" si="26"/>
        <v>-5.5220331538596845E-5</v>
      </c>
      <c r="BM49" s="6">
        <f t="shared" si="26"/>
        <v>-1.6322824837988748E-4</v>
      </c>
      <c r="BN49" s="6">
        <f t="shared" si="26"/>
        <v>-2.4825192534339013E-4</v>
      </c>
      <c r="BO49" s="6">
        <f t="shared" si="26"/>
        <v>-3.3455968640172529E-4</v>
      </c>
      <c r="BP49" s="6">
        <f t="shared" si="26"/>
        <v>-4.4901671351027517E-4</v>
      </c>
      <c r="BQ49" s="6">
        <f t="shared" si="26"/>
        <v>-5.6245127039122877E-4</v>
      </c>
      <c r="BR49" s="6">
        <f t="shared" si="26"/>
        <v>-6.3925377939444417E-4</v>
      </c>
      <c r="BS49" s="6">
        <f t="shared" si="26"/>
        <v>-7.2647292877170422E-4</v>
      </c>
      <c r="BT49" s="6">
        <f t="shared" si="26"/>
        <v>-7.8851453573147712E-4</v>
      </c>
      <c r="BU49" s="6">
        <f t="shared" si="26"/>
        <v>-8.404602997249544E-4</v>
      </c>
      <c r="BV49" s="6">
        <f t="shared" si="26"/>
        <v>-9.2070363364415986E-4</v>
      </c>
      <c r="BW49" s="6">
        <f t="shared" ref="BW49:CJ49" si="27">BW48/BV48-1</f>
        <v>-9.7894145807164712E-4</v>
      </c>
      <c r="BX49" s="6">
        <f t="shared" si="27"/>
        <v>-1.0151436549735715E-3</v>
      </c>
      <c r="BY49" s="6">
        <f t="shared" si="27"/>
        <v>-1.0677971936172703E-3</v>
      </c>
      <c r="BZ49" s="6">
        <f t="shared" si="27"/>
        <v>-1.1360411855468877E-3</v>
      </c>
      <c r="CA49" s="6">
        <f t="shared" si="27"/>
        <v>-1.1977731526529034E-3</v>
      </c>
      <c r="CB49" s="6">
        <f t="shared" si="27"/>
        <v>-1.2618873242664641E-3</v>
      </c>
      <c r="CC49" s="6">
        <f t="shared" si="27"/>
        <v>-1.3506302172030527E-3</v>
      </c>
      <c r="CD49" s="6">
        <f t="shared" si="27"/>
        <v>-1.423096060460094E-3</v>
      </c>
      <c r="CE49" s="6">
        <f t="shared" si="27"/>
        <v>-1.4774366346458345E-3</v>
      </c>
      <c r="CF49" s="6">
        <f t="shared" si="27"/>
        <v>-1.5412929904108363E-3</v>
      </c>
      <c r="CG49" s="6">
        <f t="shared" si="27"/>
        <v>-1.5904252057090673E-3</v>
      </c>
      <c r="CH49" s="6">
        <f t="shared" si="27"/>
        <v>-1.6548092646198054E-3</v>
      </c>
      <c r="CI49" s="6">
        <f t="shared" si="27"/>
        <v>-1.7272827835542737E-3</v>
      </c>
      <c r="CJ49" s="6">
        <f t="shared" si="27"/>
        <v>-1.7755337716441888E-3</v>
      </c>
    </row>
    <row r="50" spans="1:88" x14ac:dyDescent="0.25">
      <c r="I50" t="s">
        <v>144</v>
      </c>
      <c r="J50" s="9">
        <f>INDEX($B$35:$AM$35,1,MATCH(J47,$B$34:$AM$34,0))</f>
        <v>59392.254999999997</v>
      </c>
      <c r="K50" s="9"/>
      <c r="L50" s="9"/>
      <c r="M50" s="9"/>
      <c r="N50" s="9"/>
      <c r="O50" s="9"/>
    </row>
    <row r="51" spans="1:88" x14ac:dyDescent="0.25">
      <c r="I51" t="s">
        <v>145</v>
      </c>
      <c r="J51" s="6">
        <f>J50/J48-1</f>
        <v>0</v>
      </c>
      <c r="K51" s="6"/>
      <c r="L51" s="6"/>
      <c r="M51" s="6"/>
      <c r="N51" s="6"/>
      <c r="O51" s="6"/>
      <c r="P51" s="13"/>
    </row>
    <row r="52" spans="1:88" ht="18" thickBot="1" x14ac:dyDescent="0.35">
      <c r="A52" s="4" t="s">
        <v>65</v>
      </c>
      <c r="B52" s="4"/>
      <c r="C52" s="4"/>
      <c r="D52" s="4"/>
      <c r="E52" s="4"/>
      <c r="F52" s="4"/>
      <c r="G52" s="4"/>
      <c r="H52" s="4"/>
      <c r="M52" s="9"/>
    </row>
    <row r="53" spans="1:88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  <c r="AH53">
        <v>2051</v>
      </c>
      <c r="AI53">
        <v>2052</v>
      </c>
      <c r="AJ53">
        <v>2053</v>
      </c>
      <c r="AK53">
        <v>2054</v>
      </c>
      <c r="AL53">
        <v>2055</v>
      </c>
    </row>
    <row r="54" spans="1:88" x14ac:dyDescent="0.25">
      <c r="A54" s="3" t="s">
        <v>51</v>
      </c>
      <c r="B54" s="12">
        <f>IF($C$3="CGE",GDP_CGE!B28,GDP_Simple!I42)</f>
        <v>0.44456066945606693</v>
      </c>
      <c r="C54" s="12">
        <f>IF($C$3="CGE",GDP_CGE!C28,GDP_Simple!J42)</f>
        <v>0.45521601685985247</v>
      </c>
      <c r="D54" s="12">
        <f>IF($C$3="CGE",GDP_CGE!D28,GDP_Simple!K42)</f>
        <v>0.46227119237511022</v>
      </c>
      <c r="E54" s="12">
        <f>IF($C$3="CGE",GDP_CGE!E28,GDP_Simple!L42)</f>
        <v>0.45384023967034137</v>
      </c>
      <c r="F54" s="12">
        <f>IF($C$3="CGE",GDP_CGE!F28,GDP_Simple!M42)</f>
        <v>0.4530506193635141</v>
      </c>
      <c r="G54" s="12">
        <f>IF($C$3="CGE",GDP_CGE!G28,GDP_Simple!N42)</f>
        <v>0.4492123756297739</v>
      </c>
      <c r="H54" s="12">
        <f>IF($C$3="CGE",GDP_CGE!H28,GDP_Simple!O42)</f>
        <v>0.44506077484649087</v>
      </c>
      <c r="I54" s="12">
        <f>IF($C$3="CGE",GDP_CGE!I28,GDP_Simple!P42)</f>
        <v>0.44048019500661473</v>
      </c>
      <c r="J54" s="12">
        <f>IF($C$3="CGE",GDP_CGE!J28,GDP_Simple!Q42)</f>
        <v>0.43534996792463587</v>
      </c>
      <c r="K54" s="12">
        <f>IF($C$3="CGE",GDP_CGE!K28,GDP_Simple!R42)</f>
        <v>0.42993618539113665</v>
      </c>
      <c r="L54" s="12">
        <f>IF($C$3="CGE",GDP_CGE!L28,GDP_Simple!S42)</f>
        <v>0.42371952259311868</v>
      </c>
      <c r="M54" s="12">
        <f>IF($C$3="CGE",GDP_CGE!M28,GDP_Simple!T42)</f>
        <v>0.41657241965867214</v>
      </c>
      <c r="N54" s="12">
        <f>IF($C$3="CGE",GDP_CGE!N28,GDP_Simple!U42)</f>
        <v>0.40909885956028302</v>
      </c>
      <c r="O54" s="12">
        <f>IF($C$3="CGE",GDP_CGE!O28,GDP_Simple!V42)</f>
        <v>0.40185565007277846</v>
      </c>
      <c r="P54" s="12">
        <f>IF($C$3="CGE",GDP_CGE!P28,GDP_Simple!W42)</f>
        <v>0.39482416004663062</v>
      </c>
      <c r="Q54" s="12">
        <f>IF($C$3="CGE",GDP_CGE!Q28,GDP_Simple!X42)</f>
        <v>0.38744915622957621</v>
      </c>
      <c r="R54" s="12">
        <f>IF($C$3="CGE",GDP_CGE!R28,GDP_Simple!Y42)</f>
        <v>0.3800592435396562</v>
      </c>
      <c r="S54" s="12">
        <f>IF($C$3="CGE",GDP_CGE!S28,GDP_Simple!Z42)</f>
        <v>0.37316446554873905</v>
      </c>
      <c r="T54" s="12">
        <f>IF($C$3="CGE",GDP_CGE!T28,GDP_Simple!AA42)</f>
        <v>0.36622575390923512</v>
      </c>
      <c r="U54" s="12">
        <f>IF($C$3="CGE",GDP_CGE!U28,GDP_Simple!AB42)</f>
        <v>0.35954615135165829</v>
      </c>
      <c r="V54" s="12">
        <f>IF($C$3="CGE",GDP_CGE!V28,GDP_Simple!AC42)</f>
        <v>0.35352413753940537</v>
      </c>
      <c r="W54" s="12">
        <f>IF($C$3="CGE",GDP_CGE!W28,GDP_Simple!AD42)</f>
        <v>0.34790997115201444</v>
      </c>
      <c r="X54" s="12">
        <f>IF($C$3="CGE",GDP_CGE!X28,GDP_Simple!AE42)</f>
        <v>0.33949990116716933</v>
      </c>
      <c r="Y54" s="12">
        <f>IF($C$3="CGE",GDP_CGE!Y28,GDP_Simple!AF42)</f>
        <v>0.3328157209201148</v>
      </c>
      <c r="Z54" s="12">
        <f>IF($C$3="CGE",GDP_CGE!Z28,GDP_Simple!AG42)</f>
        <v>0.32616627660377695</v>
      </c>
      <c r="AA54" s="12">
        <f>IF($C$3="CGE",GDP_CGE!AA28,GDP_Simple!AH42)</f>
        <v>0.31958465249744172</v>
      </c>
      <c r="AB54" s="12">
        <f>IF($C$3="CGE",GDP_CGE!AB28,GDP_Simple!AI42)</f>
        <v>0.31298090329354977</v>
      </c>
      <c r="AC54" s="12">
        <f>IF($C$3="CGE",GDP_CGE!AC28,GDP_Simple!AJ42)</f>
        <v>0.3062893112729288</v>
      </c>
      <c r="AD54" s="12">
        <f>IF($C$3="CGE",GDP_CGE!AD28,GDP_Simple!AK42)</f>
        <v>0.29955436432955906</v>
      </c>
      <c r="AE54" s="12">
        <f>IF($C$3="CGE",GDP_CGE!AE28,GDP_Simple!AL42)</f>
        <v>0.29273345912335991</v>
      </c>
      <c r="AF54" s="12">
        <f>IF($C$3="CGE",GDP_CGE!AF28,GDP_Simple!AM42)</f>
        <v>0.28584772379130463</v>
      </c>
      <c r="AG54" s="12">
        <f>IF($C$3="CGE",GDP_CGE!AG28,GDP_Simple!AN42)</f>
        <v>0.27905600345837911</v>
      </c>
      <c r="AH54" s="12">
        <f>IF($C$3="CGE",GDP_CGE!AH28,GDP_Simple!AO42)</f>
        <v>0.27256224487218716</v>
      </c>
      <c r="AI54" s="12">
        <f>IF($C$3="CGE",GDP_CGE!AI28,GDP_Simple!AP42)</f>
        <v>0.2658185620351361</v>
      </c>
      <c r="AJ54" s="12">
        <f>IF($C$3="CGE",GDP_CGE!AJ28,GDP_Simple!AQ42)</f>
        <v>0.25905746841704591</v>
      </c>
      <c r="AK54" s="12">
        <f>IF($C$3="CGE",GDP_CGE!AK28,GDP_Simple!AR42)</f>
        <v>0.252285229459698</v>
      </c>
      <c r="AL54" s="12">
        <f>IF($C$3="CGE",GDP_CGE!AL28,GDP_Simple!AS42)</f>
        <v>0.24552291570350171</v>
      </c>
    </row>
    <row r="55" spans="1:88" x14ac:dyDescent="0.25">
      <c r="A55" s="3" t="s">
        <v>52</v>
      </c>
      <c r="B55" s="12">
        <f>IF($C$3="CGE",GDP_CGE!B29,GDP_Simple!I43)</f>
        <v>0.31485355648535562</v>
      </c>
      <c r="C55" s="12">
        <f>IF($C$3="CGE",GDP_CGE!C29,GDP_Simple!J43)</f>
        <v>0.32560590094836672</v>
      </c>
      <c r="D55" s="12">
        <f>IF($C$3="CGE",GDP_CGE!D29,GDP_Simple!K43)</f>
        <v>0.30936026689417673</v>
      </c>
      <c r="E55" s="12">
        <f>IF($C$3="CGE",GDP_CGE!E29,GDP_Simple!L43)</f>
        <v>0.31355024567841444</v>
      </c>
      <c r="F55" s="12">
        <f>IF($C$3="CGE",GDP_CGE!F29,GDP_Simple!M43)</f>
        <v>0.31388781690524703</v>
      </c>
      <c r="G55" s="12">
        <f>IF($C$3="CGE",GDP_CGE!G29,GDP_Simple!N43)</f>
        <v>0.31543894410094331</v>
      </c>
      <c r="H55" s="12">
        <f>IF($C$3="CGE",GDP_CGE!H29,GDP_Simple!O43)</f>
        <v>0.31721983743486931</v>
      </c>
      <c r="I55" s="12">
        <f>IF($C$3="CGE",GDP_CGE!I29,GDP_Simple!P43)</f>
        <v>0.31883263902169873</v>
      </c>
      <c r="J55" s="12">
        <f>IF($C$3="CGE",GDP_CGE!J29,GDP_Simple!Q43)</f>
        <v>0.32078866718521404</v>
      </c>
      <c r="K55" s="12">
        <f>IF($C$3="CGE",GDP_CGE!K29,GDP_Simple!R43)</f>
        <v>0.32280939346620441</v>
      </c>
      <c r="L55" s="12">
        <f>IF($C$3="CGE",GDP_CGE!L29,GDP_Simple!S43)</f>
        <v>0.32497598023764895</v>
      </c>
      <c r="M55" s="12">
        <f>IF($C$3="CGE",GDP_CGE!M29,GDP_Simple!T43)</f>
        <v>0.32775482993460558</v>
      </c>
      <c r="N55" s="12">
        <f>IF($C$3="CGE",GDP_CGE!N29,GDP_Simple!U43)</f>
        <v>0.33022222974356419</v>
      </c>
      <c r="O55" s="12">
        <f>IF($C$3="CGE",GDP_CGE!O29,GDP_Simple!V43)</f>
        <v>0.332708026046104</v>
      </c>
      <c r="P55" s="12">
        <f>IF($C$3="CGE",GDP_CGE!P29,GDP_Simple!W43)</f>
        <v>0.33507942725265366</v>
      </c>
      <c r="Q55" s="12">
        <f>IF($C$3="CGE",GDP_CGE!Q29,GDP_Simple!X43)</f>
        <v>0.33755833542625679</v>
      </c>
      <c r="R55" s="12">
        <f>IF($C$3="CGE",GDP_CGE!R29,GDP_Simple!Y43)</f>
        <v>0.34023069208670387</v>
      </c>
      <c r="S55" s="12">
        <f>IF($C$3="CGE",GDP_CGE!S29,GDP_Simple!Z43)</f>
        <v>0.34209365651908852</v>
      </c>
      <c r="T55" s="12">
        <f>IF($C$3="CGE",GDP_CGE!T29,GDP_Simple!AA43)</f>
        <v>0.34372879918296723</v>
      </c>
      <c r="U55" s="12">
        <f>IF($C$3="CGE",GDP_CGE!U29,GDP_Simple!AB43)</f>
        <v>0.34562071119418153</v>
      </c>
      <c r="V55" s="12">
        <f>IF($C$3="CGE",GDP_CGE!V29,GDP_Simple!AC43)</f>
        <v>0.34714667279971562</v>
      </c>
      <c r="W55" s="12">
        <f>IF($C$3="CGE",GDP_CGE!W29,GDP_Simple!AD43)</f>
        <v>0.34858040550949743</v>
      </c>
      <c r="X55" s="12">
        <f>IF($C$3="CGE",GDP_CGE!X29,GDP_Simple!AE43)</f>
        <v>0.35270038692008504</v>
      </c>
      <c r="Y55" s="12">
        <f>IF($C$3="CGE",GDP_CGE!Y29,GDP_Simple!AF43)</f>
        <v>0.35545402987661523</v>
      </c>
      <c r="Z55" s="12">
        <f>IF($C$3="CGE",GDP_CGE!Z29,GDP_Simple!AG43)</f>
        <v>0.35829684379142396</v>
      </c>
      <c r="AA55" s="12">
        <f>IF($C$3="CGE",GDP_CGE!AA29,GDP_Simple!AH43)</f>
        <v>0.36115445831596726</v>
      </c>
      <c r="AB55" s="12">
        <f>IF($C$3="CGE",GDP_CGE!AB29,GDP_Simple!AI43)</f>
        <v>0.36410706909886797</v>
      </c>
      <c r="AC55" s="12">
        <f>IF($C$3="CGE",GDP_CGE!AC29,GDP_Simple!AJ43)</f>
        <v>0.36699187756046936</v>
      </c>
      <c r="AD55" s="12">
        <f>IF($C$3="CGE",GDP_CGE!AD29,GDP_Simple!AK43)</f>
        <v>0.37022436051526397</v>
      </c>
      <c r="AE55" s="12">
        <f>IF($C$3="CGE",GDP_CGE!AE29,GDP_Simple!AL43)</f>
        <v>0.37358485092968469</v>
      </c>
      <c r="AF55" s="12">
        <f>IF($C$3="CGE",GDP_CGE!AF29,GDP_Simple!AM43)</f>
        <v>0.37697190484087623</v>
      </c>
      <c r="AG55" s="12">
        <f>IF($C$3="CGE",GDP_CGE!AG29,GDP_Simple!AN43)</f>
        <v>0.38027781250126996</v>
      </c>
      <c r="AH55" s="12">
        <f>IF($C$3="CGE",GDP_CGE!AH29,GDP_Simple!AO43)</f>
        <v>0.38282157629276181</v>
      </c>
      <c r="AI55" s="12">
        <f>IF($C$3="CGE",GDP_CGE!AI29,GDP_Simple!AP43)</f>
        <v>0.38601940369852006</v>
      </c>
      <c r="AJ55" s="12">
        <f>IF($C$3="CGE",GDP_CGE!AJ29,GDP_Simple!AQ43)</f>
        <v>0.38922258756347983</v>
      </c>
      <c r="AK55" s="12">
        <f>IF($C$3="CGE",GDP_CGE!AK29,GDP_Simple!AR43)</f>
        <v>0.3924274370969103</v>
      </c>
      <c r="AL55" s="12">
        <f>IF($C$3="CGE",GDP_CGE!AL29,GDP_Simple!AS43)</f>
        <v>0.39561454073212232</v>
      </c>
    </row>
    <row r="56" spans="1:88" x14ac:dyDescent="0.25">
      <c r="A56" s="3" t="s">
        <v>53</v>
      </c>
      <c r="B56" s="12">
        <f>IF($C$3="CGE",GDP_CGE!B30,GDP_Simple!I44)</f>
        <v>0.24058577405857742</v>
      </c>
      <c r="C56" s="12">
        <f>IF($C$3="CGE",GDP_CGE!C30,GDP_Simple!J44)</f>
        <v>0.21917808219178081</v>
      </c>
      <c r="D56" s="12">
        <f>IF($C$3="CGE",GDP_CGE!D30,GDP_Simple!K44)</f>
        <v>0.22836854073071305</v>
      </c>
      <c r="E56" s="12">
        <f>IF($C$3="CGE",GDP_CGE!E30,GDP_Simple!L44)</f>
        <v>0.23260951465124413</v>
      </c>
      <c r="F56" s="12">
        <f>IF($C$3="CGE",GDP_CGE!F30,GDP_Simple!M44)</f>
        <v>0.23306156373123887</v>
      </c>
      <c r="G56" s="12">
        <f>IF($C$3="CGE",GDP_CGE!G30,GDP_Simple!N44)</f>
        <v>0.23534868026928282</v>
      </c>
      <c r="H56" s="12">
        <f>IF($C$3="CGE",GDP_CGE!H30,GDP_Simple!O44)</f>
        <v>0.23771938771863979</v>
      </c>
      <c r="I56" s="12">
        <f>IF($C$3="CGE",GDP_CGE!I30,GDP_Simple!P44)</f>
        <v>0.2406871659716866</v>
      </c>
      <c r="J56" s="12">
        <f>IF($C$3="CGE",GDP_CGE!J30,GDP_Simple!Q44)</f>
        <v>0.24386136489015012</v>
      </c>
      <c r="K56" s="12">
        <f>IF($C$3="CGE",GDP_CGE!K30,GDP_Simple!R44)</f>
        <v>0.24725442114265897</v>
      </c>
      <c r="L56" s="12">
        <f>IF($C$3="CGE",GDP_CGE!L30,GDP_Simple!S44)</f>
        <v>0.25130449716923237</v>
      </c>
      <c r="M56" s="12">
        <f>IF($C$3="CGE",GDP_CGE!M30,GDP_Simple!T44)</f>
        <v>0.25567275040672227</v>
      </c>
      <c r="N56" s="12">
        <f>IF($C$3="CGE",GDP_CGE!N30,GDP_Simple!U44)</f>
        <v>0.26067891069615279</v>
      </c>
      <c r="O56" s="12">
        <f>IF($C$3="CGE",GDP_CGE!O30,GDP_Simple!V44)</f>
        <v>0.2654363238811176</v>
      </c>
      <c r="P56" s="12">
        <f>IF($C$3="CGE",GDP_CGE!P30,GDP_Simple!W44)</f>
        <v>0.27009641270071577</v>
      </c>
      <c r="Q56" s="12">
        <f>IF($C$3="CGE",GDP_CGE!Q30,GDP_Simple!X44)</f>
        <v>0.274992508344167</v>
      </c>
      <c r="R56" s="12">
        <f>IF($C$3="CGE",GDP_CGE!R30,GDP_Simple!Y44)</f>
        <v>0.27971006437363993</v>
      </c>
      <c r="S56" s="12">
        <f>IF($C$3="CGE",GDP_CGE!S30,GDP_Simple!Z44)</f>
        <v>0.28474187793217243</v>
      </c>
      <c r="T56" s="12">
        <f>IF($C$3="CGE",GDP_CGE!T30,GDP_Simple!AA44)</f>
        <v>0.29004544690779771</v>
      </c>
      <c r="U56" s="12">
        <f>IF($C$3="CGE",GDP_CGE!U30,GDP_Simple!AB44)</f>
        <v>0.29483313745416012</v>
      </c>
      <c r="V56" s="12">
        <f>IF($C$3="CGE",GDP_CGE!V30,GDP_Simple!AC44)</f>
        <v>0.29932918966087896</v>
      </c>
      <c r="W56" s="12">
        <f>IF($C$3="CGE",GDP_CGE!W30,GDP_Simple!AD44)</f>
        <v>0.30350962333848813</v>
      </c>
      <c r="X56" s="12">
        <f>IF($C$3="CGE",GDP_CGE!X30,GDP_Simple!AE44)</f>
        <v>0.30779971191274563</v>
      </c>
      <c r="Y56" s="12">
        <f>IF($C$3="CGE",GDP_CGE!Y30,GDP_Simple!AF44)</f>
        <v>0.31173024920326997</v>
      </c>
      <c r="Z56" s="12">
        <f>IF($C$3="CGE",GDP_CGE!Z30,GDP_Simple!AG44)</f>
        <v>0.31553687960479909</v>
      </c>
      <c r="AA56" s="12">
        <f>IF($C$3="CGE",GDP_CGE!AA30,GDP_Simple!AH44)</f>
        <v>0.31926088918659101</v>
      </c>
      <c r="AB56" s="12">
        <f>IF($C$3="CGE",GDP_CGE!AB30,GDP_Simple!AI44)</f>
        <v>0.32291202760758225</v>
      </c>
      <c r="AC56" s="12">
        <f>IF($C$3="CGE",GDP_CGE!AC30,GDP_Simple!AJ44)</f>
        <v>0.32671881116660184</v>
      </c>
      <c r="AD56" s="12">
        <f>IF($C$3="CGE",GDP_CGE!AD30,GDP_Simple!AK44)</f>
        <v>0.33022127515517696</v>
      </c>
      <c r="AE56" s="12">
        <f>IF($C$3="CGE",GDP_CGE!AE30,GDP_Simple!AL44)</f>
        <v>0.33368168994695541</v>
      </c>
      <c r="AF56" s="12">
        <f>IF($C$3="CGE",GDP_CGE!AF30,GDP_Simple!AM44)</f>
        <v>0.33718037136781914</v>
      </c>
      <c r="AG56" s="12">
        <f>IF($C$3="CGE",GDP_CGE!AG30,GDP_Simple!AN44)</f>
        <v>0.34066618404035093</v>
      </c>
      <c r="AH56" s="12">
        <f>IF($C$3="CGE",GDP_CGE!AH30,GDP_Simple!AO44)</f>
        <v>0.34461617883505102</v>
      </c>
      <c r="AI56" s="12">
        <f>IF($C$3="CGE",GDP_CGE!AI30,GDP_Simple!AP44)</f>
        <v>0.34816203426634384</v>
      </c>
      <c r="AJ56" s="12">
        <f>IF($C$3="CGE",GDP_CGE!AJ30,GDP_Simple!AQ44)</f>
        <v>0.35171994401947426</v>
      </c>
      <c r="AK56" s="12">
        <f>IF($C$3="CGE",GDP_CGE!AK30,GDP_Simple!AR44)</f>
        <v>0.3552873334433917</v>
      </c>
      <c r="AL56" s="12">
        <f>IF($C$3="CGE",GDP_CGE!AL30,GDP_Simple!AS44)</f>
        <v>0.35886254356437597</v>
      </c>
    </row>
    <row r="57" spans="1:88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88" ht="18" thickBot="1" x14ac:dyDescent="0.35">
      <c r="A59" s="4" t="s">
        <v>66</v>
      </c>
      <c r="B59" s="4"/>
      <c r="C59" s="4"/>
      <c r="D59" s="4"/>
      <c r="E59" s="4"/>
      <c r="F59" s="4"/>
      <c r="G59" s="4"/>
      <c r="H59" s="4"/>
    </row>
    <row r="60" spans="1:88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  <c r="AG60">
        <v>2051</v>
      </c>
      <c r="AH60">
        <v>2052</v>
      </c>
      <c r="AI60">
        <v>2053</v>
      </c>
      <c r="AJ60">
        <v>2054</v>
      </c>
      <c r="AK60">
        <v>2055</v>
      </c>
    </row>
    <row r="61" spans="1:88" x14ac:dyDescent="0.25">
      <c r="A61" s="12">
        <f>IF($C$3="CGE",GDP_CGE!A35,GDP_Simple!H49)</f>
        <v>0.32619999999999999</v>
      </c>
      <c r="B61" s="12">
        <f>IF($C$3="CGE",GDP_CGE!B35,GDP_Simple!I49)</f>
        <v>0.2994</v>
      </c>
      <c r="C61" s="12">
        <f>IF($C$3="CGE",GDP_CGE!C35,GDP_Simple!J49)</f>
        <v>0.31654664140483468</v>
      </c>
      <c r="D61" s="12">
        <f>IF($C$3="CGE",GDP_CGE!D35,GDP_Simple!K49)</f>
        <v>0.3229769660124453</v>
      </c>
      <c r="E61" s="12">
        <f>IF($C$3="CGE",GDP_CGE!E35,GDP_Simple!L49)</f>
        <v>0.32341725558949985</v>
      </c>
      <c r="F61" s="12">
        <f>IF($C$3="CGE",GDP_CGE!F35,GDP_Simple!M49)</f>
        <v>0.32583348645578519</v>
      </c>
      <c r="G61" s="12">
        <f>IF($C$3="CGE",GDP_CGE!G35,GDP_Simple!N49)</f>
        <v>0.32868412194131336</v>
      </c>
      <c r="H61" s="12">
        <f>IF($C$3="CGE",GDP_CGE!H35,GDP_Simple!O49)</f>
        <v>0.33230162316533624</v>
      </c>
      <c r="I61" s="12">
        <f>IF($C$3="CGE",GDP_CGE!I35,GDP_Simple!P49)</f>
        <v>0.33651148349830801</v>
      </c>
      <c r="J61" s="12">
        <f>IF($C$3="CGE",GDP_CGE!J35,GDP_Simple!Q49)</f>
        <v>0.34119089406864367</v>
      </c>
      <c r="K61" s="12">
        <f>IF($C$3="CGE",GDP_CGE!K35,GDP_Simple!R49)</f>
        <v>0.36221879577366001</v>
      </c>
      <c r="L61" s="12">
        <f>IF($C$3="CGE",GDP_CGE!L35,GDP_Simple!S49)</f>
        <v>0.37004385784560301</v>
      </c>
      <c r="M61" s="12">
        <f>IF($C$3="CGE",GDP_CGE!M35,GDP_Simple!T49)</f>
        <v>0.37852012939101487</v>
      </c>
      <c r="N61" s="12">
        <f>IF($C$3="CGE",GDP_CGE!N35,GDP_Simple!U49)</f>
        <v>0.3878734723924257</v>
      </c>
      <c r="O61" s="12">
        <f>IF($C$3="CGE",GDP_CGE!O35,GDP_Simple!V49)</f>
        <v>0.39741278536009639</v>
      </c>
      <c r="P61" s="12">
        <f>IF($C$3="CGE",GDP_CGE!P35,GDP_Simple!W49)</f>
        <v>0.40816256077414653</v>
      </c>
      <c r="Q61" s="12">
        <f>IF($C$3="CGE",GDP_CGE!Q35,GDP_Simple!X49)</f>
        <v>0.41948785970919228</v>
      </c>
      <c r="R61" s="12">
        <f>IF($C$3="CGE",GDP_CGE!R35,GDP_Simple!Y49)</f>
        <v>0.43088849431928106</v>
      </c>
      <c r="S61" s="12">
        <f>IF($C$3="CGE",GDP_CGE!S35,GDP_Simple!Z49)</f>
        <v>0.44353505886754657</v>
      </c>
      <c r="T61" s="12">
        <f>IF($C$3="CGE",GDP_CGE!T35,GDP_Simple!AA49)</f>
        <v>0.45796945182824422</v>
      </c>
      <c r="U61" s="12">
        <f>IF($C$3="CGE",GDP_CGE!U35,GDP_Simple!AB49)</f>
        <v>0.49299530640753597</v>
      </c>
      <c r="V61" s="12">
        <f>IF($C$3="CGE",GDP_CGE!V35,GDP_Simple!AC49)</f>
        <v>0.50697126094253331</v>
      </c>
      <c r="W61" s="12">
        <f>IF($C$3="CGE",GDP_CGE!W35,GDP_Simple!AD49)</f>
        <v>0.52141886766898637</v>
      </c>
      <c r="X61" s="12">
        <f>IF($C$3="CGE",GDP_CGE!X35,GDP_Simple!AE49)</f>
        <v>0.53536238342083242</v>
      </c>
      <c r="Y61" s="12">
        <f>IF($C$3="CGE",GDP_CGE!Y35,GDP_Simple!AF49)</f>
        <v>0.54982306688002347</v>
      </c>
      <c r="Z61" s="12">
        <f>IF($C$3="CGE",GDP_CGE!Z35,GDP_Simple!AG49)</f>
        <v>0.56494419301691312</v>
      </c>
      <c r="AA61" s="12">
        <f>IF($C$3="CGE",GDP_CGE!AA35,GDP_Simple!AH49)</f>
        <v>0.58080477896828098</v>
      </c>
      <c r="AB61" s="12">
        <f>IF($C$3="CGE",GDP_CGE!AB35,GDP_Simple!AI49)</f>
        <v>0.5973336654005954</v>
      </c>
      <c r="AC61" s="12">
        <f>IF($C$3="CGE",GDP_CGE!AC35,GDP_Simple!AJ49)</f>
        <v>0.61315517605582059</v>
      </c>
      <c r="AD61" s="12">
        <f>IF($C$3="CGE",GDP_CGE!AD35,GDP_Simple!AK49)</f>
        <v>0.62969384765623759</v>
      </c>
      <c r="AE61" s="12">
        <f>IF($C$3="CGE",GDP_CGE!AE35,GDP_Simple!AL49)</f>
        <v>0.64739092344815219</v>
      </c>
      <c r="AF61" s="12">
        <f>IF($C$3="CGE",GDP_CGE!AF35,GDP_Simple!AM49)</f>
        <v>0.66610516650076956</v>
      </c>
      <c r="AG61" s="12">
        <f>IF($C$3="CGE",GDP_CGE!AG35,GDP_Simple!AN49)</f>
        <v>0.68450380655855048</v>
      </c>
      <c r="AH61" s="12">
        <f>IF($C$3="CGE",GDP_CGE!AH35,GDP_Simple!AO49)</f>
        <v>0.70243053660688781</v>
      </c>
      <c r="AI61" s="12">
        <f>IF($C$3="CGE",GDP_CGE!AI35,GDP_Simple!AP49)</f>
        <v>0.71982098533620387</v>
      </c>
      <c r="AJ61" s="12">
        <f>IF($C$3="CGE",GDP_CGE!AJ35,GDP_Simple!AQ49)</f>
        <v>0.73661130703682831</v>
      </c>
      <c r="AK61" s="12">
        <f>IF($C$3="CGE",GDP_CGE!AK35,GDP_Simple!AR49)</f>
        <v>0.75273856178520915</v>
      </c>
      <c r="AN61" s="12"/>
    </row>
    <row r="64" spans="1:88" ht="18" thickBot="1" x14ac:dyDescent="0.35">
      <c r="A64" s="4" t="s">
        <v>67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>
        <v>2019</v>
      </c>
      <c r="D65" s="3">
        <v>2020</v>
      </c>
      <c r="E65" s="3">
        <v>2021</v>
      </c>
      <c r="F65" s="3">
        <v>2022</v>
      </c>
      <c r="G65" s="3">
        <v>2023</v>
      </c>
      <c r="H65" s="3">
        <v>2024</v>
      </c>
      <c r="I65" s="3">
        <v>2025</v>
      </c>
      <c r="J65" s="3">
        <v>2026</v>
      </c>
      <c r="K65" s="3">
        <v>2027</v>
      </c>
      <c r="L65" s="3">
        <v>2028</v>
      </c>
      <c r="M65" s="3">
        <v>2029</v>
      </c>
      <c r="N65" s="3">
        <v>2030</v>
      </c>
      <c r="O65" s="3">
        <v>2031</v>
      </c>
      <c r="P65" s="3">
        <v>2032</v>
      </c>
      <c r="Q65" s="3">
        <v>2033</v>
      </c>
      <c r="R65" s="3">
        <v>2034</v>
      </c>
      <c r="S65" s="3">
        <v>2035</v>
      </c>
      <c r="T65" s="3">
        <v>2036</v>
      </c>
      <c r="U65" s="3">
        <v>2037</v>
      </c>
      <c r="V65" s="3">
        <v>2038</v>
      </c>
      <c r="W65" s="3">
        <v>2039</v>
      </c>
      <c r="X65" s="3">
        <v>2040</v>
      </c>
      <c r="Y65" s="3">
        <v>2041</v>
      </c>
      <c r="Z65" s="3">
        <v>2042</v>
      </c>
      <c r="AA65" s="3">
        <v>2043</v>
      </c>
      <c r="AB65" s="3">
        <v>2044</v>
      </c>
      <c r="AC65" s="3">
        <v>2045</v>
      </c>
      <c r="AD65" s="3">
        <v>2046</v>
      </c>
      <c r="AE65" s="3">
        <v>2047</v>
      </c>
      <c r="AF65" s="3">
        <v>2048</v>
      </c>
      <c r="AG65" s="3">
        <v>2049</v>
      </c>
      <c r="AH65" s="3">
        <v>2050</v>
      </c>
      <c r="AI65" s="3">
        <v>2051</v>
      </c>
      <c r="AJ65" s="3">
        <v>2052</v>
      </c>
      <c r="AK65" s="3">
        <v>2053</v>
      </c>
      <c r="AL65" s="3">
        <v>2054</v>
      </c>
      <c r="AM65" s="3">
        <v>2055</v>
      </c>
      <c r="AN65" s="3"/>
      <c r="AO65" s="3"/>
      <c r="AP65" s="3"/>
    </row>
    <row r="66" spans="1:42" x14ac:dyDescent="0.25">
      <c r="A66" s="3" t="s">
        <v>51</v>
      </c>
      <c r="B66" s="3" t="s">
        <v>54</v>
      </c>
      <c r="C66" t="s">
        <v>55</v>
      </c>
      <c r="D66" t="s">
        <v>55</v>
      </c>
      <c r="E66" t="s">
        <v>55</v>
      </c>
      <c r="F66" t="s">
        <v>55</v>
      </c>
      <c r="G66" t="s">
        <v>55</v>
      </c>
      <c r="H66" t="s">
        <v>55</v>
      </c>
      <c r="I66" t="s">
        <v>55</v>
      </c>
      <c r="J66" t="s">
        <v>55</v>
      </c>
      <c r="K66" t="s">
        <v>55</v>
      </c>
      <c r="L66" t="s">
        <v>55</v>
      </c>
      <c r="M66" t="s">
        <v>55</v>
      </c>
      <c r="N66" t="s">
        <v>55</v>
      </c>
      <c r="O66" t="s">
        <v>55</v>
      </c>
      <c r="P66" t="s">
        <v>55</v>
      </c>
      <c r="Q66" t="s">
        <v>55</v>
      </c>
      <c r="R66" t="s">
        <v>55</v>
      </c>
      <c r="S66" t="s">
        <v>55</v>
      </c>
      <c r="T66" t="s">
        <v>55</v>
      </c>
      <c r="U66" t="s">
        <v>55</v>
      </c>
      <c r="V66" t="s">
        <v>55</v>
      </c>
      <c r="W66" t="s">
        <v>55</v>
      </c>
      <c r="X66" t="s">
        <v>55</v>
      </c>
      <c r="Y66" t="s">
        <v>55</v>
      </c>
      <c r="Z66" t="s">
        <v>55</v>
      </c>
      <c r="AA66" t="s">
        <v>55</v>
      </c>
      <c r="AB66" t="s">
        <v>55</v>
      </c>
      <c r="AC66" t="s">
        <v>55</v>
      </c>
      <c r="AD66" t="s">
        <v>55</v>
      </c>
      <c r="AE66" t="s">
        <v>55</v>
      </c>
      <c r="AF66" t="s">
        <v>55</v>
      </c>
      <c r="AG66" t="s">
        <v>55</v>
      </c>
      <c r="AH66" t="s">
        <v>55</v>
      </c>
      <c r="AI66" t="s">
        <v>55</v>
      </c>
      <c r="AJ66" t="s">
        <v>55</v>
      </c>
      <c r="AK66" t="s">
        <v>55</v>
      </c>
      <c r="AL66" t="s">
        <v>55</v>
      </c>
      <c r="AM66" t="s">
        <v>55</v>
      </c>
    </row>
    <row r="67" spans="1:42" x14ac:dyDescent="0.25">
      <c r="A67" s="3" t="s">
        <v>51</v>
      </c>
      <c r="B67" s="3" t="s">
        <v>56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</row>
    <row r="68" spans="1:42" x14ac:dyDescent="0.25">
      <c r="A68" s="3" t="s">
        <v>51</v>
      </c>
      <c r="B68" s="3" t="s">
        <v>57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</row>
    <row r="69" spans="1:42" x14ac:dyDescent="0.25">
      <c r="A69" s="3" t="s">
        <v>51</v>
      </c>
      <c r="B69" s="3" t="s">
        <v>58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</row>
    <row r="70" spans="1:42" x14ac:dyDescent="0.25">
      <c r="A70" s="3" t="s">
        <v>51</v>
      </c>
      <c r="B70" s="3" t="s">
        <v>59</v>
      </c>
      <c r="C70" t="s">
        <v>55</v>
      </c>
      <c r="D70" t="s">
        <v>55</v>
      </c>
    </row>
    <row r="71" spans="1:42" x14ac:dyDescent="0.25">
      <c r="A71" s="3" t="s">
        <v>52</v>
      </c>
      <c r="B71" s="3" t="s">
        <v>56</v>
      </c>
      <c r="AD71" t="s">
        <v>55</v>
      </c>
      <c r="AE71" t="s">
        <v>55</v>
      </c>
      <c r="AF71" t="s">
        <v>55</v>
      </c>
      <c r="AG71" t="s">
        <v>55</v>
      </c>
      <c r="AH71" t="s">
        <v>55</v>
      </c>
      <c r="AI71" t="s">
        <v>55</v>
      </c>
      <c r="AJ71" t="s">
        <v>55</v>
      </c>
      <c r="AK71" t="s">
        <v>55</v>
      </c>
      <c r="AL71" t="s">
        <v>55</v>
      </c>
      <c r="AM71" t="s">
        <v>55</v>
      </c>
    </row>
    <row r="72" spans="1:42" x14ac:dyDescent="0.25">
      <c r="A72" s="3" t="s">
        <v>52</v>
      </c>
      <c r="B72" s="3" t="s">
        <v>57</v>
      </c>
      <c r="T72" t="s">
        <v>55</v>
      </c>
      <c r="U72" t="s">
        <v>55</v>
      </c>
      <c r="V72" t="s">
        <v>55</v>
      </c>
      <c r="W72" t="s">
        <v>55</v>
      </c>
      <c r="X72" t="s">
        <v>55</v>
      </c>
      <c r="Y72" t="s">
        <v>55</v>
      </c>
      <c r="Z72" t="s">
        <v>55</v>
      </c>
      <c r="AA72" t="s">
        <v>55</v>
      </c>
      <c r="AB72" t="s">
        <v>55</v>
      </c>
      <c r="AC72" t="s">
        <v>55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  <c r="AI72" t="s">
        <v>55</v>
      </c>
      <c r="AJ72" t="s">
        <v>55</v>
      </c>
      <c r="AK72" t="s">
        <v>55</v>
      </c>
      <c r="AL72" t="s">
        <v>55</v>
      </c>
      <c r="AM72" t="s">
        <v>55</v>
      </c>
    </row>
    <row r="73" spans="1:42" x14ac:dyDescent="0.25">
      <c r="A73" s="3" t="s">
        <v>52</v>
      </c>
      <c r="B73" s="3" t="s">
        <v>58</v>
      </c>
      <c r="M73" t="s">
        <v>55</v>
      </c>
      <c r="N73" t="s">
        <v>55</v>
      </c>
      <c r="O73" t="s">
        <v>55</v>
      </c>
      <c r="P73" t="s">
        <v>55</v>
      </c>
      <c r="Q73" t="s">
        <v>55</v>
      </c>
      <c r="R73" t="s">
        <v>55</v>
      </c>
      <c r="S73" t="s">
        <v>55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  <c r="AI73" t="s">
        <v>55</v>
      </c>
      <c r="AJ73" t="s">
        <v>55</v>
      </c>
      <c r="AK73" t="s">
        <v>55</v>
      </c>
      <c r="AL73" t="s">
        <v>55</v>
      </c>
      <c r="AM73" t="s">
        <v>55</v>
      </c>
    </row>
    <row r="74" spans="1:42" x14ac:dyDescent="0.25">
      <c r="A74" s="3" t="s">
        <v>52</v>
      </c>
      <c r="B74" s="3" t="s">
        <v>59</v>
      </c>
      <c r="E74" t="s">
        <v>55</v>
      </c>
      <c r="F74" t="s">
        <v>55</v>
      </c>
      <c r="G74" t="s">
        <v>55</v>
      </c>
      <c r="H74" t="s">
        <v>55</v>
      </c>
      <c r="I74" t="s">
        <v>55</v>
      </c>
      <c r="J74" t="s">
        <v>55</v>
      </c>
      <c r="K74" t="s">
        <v>55</v>
      </c>
      <c r="L74" t="s">
        <v>55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  <c r="AI74" t="s">
        <v>55</v>
      </c>
      <c r="AJ74" t="s">
        <v>55</v>
      </c>
      <c r="AK74" t="s">
        <v>55</v>
      </c>
      <c r="AL74" t="s">
        <v>55</v>
      </c>
      <c r="AM74" t="s">
        <v>55</v>
      </c>
    </row>
    <row r="75" spans="1:42" x14ac:dyDescent="0.25">
      <c r="A75" s="3" t="s">
        <v>52</v>
      </c>
      <c r="B75" s="3" t="s">
        <v>60</v>
      </c>
      <c r="C75" t="s">
        <v>55</v>
      </c>
      <c r="D75" t="s">
        <v>55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  <c r="Y75" t="s">
        <v>55</v>
      </c>
    </row>
    <row r="76" spans="1:42" x14ac:dyDescent="0.25">
      <c r="A76" s="3" t="s">
        <v>52</v>
      </c>
      <c r="B76" s="3" t="s">
        <v>61</v>
      </c>
      <c r="C76" t="s">
        <v>55</v>
      </c>
      <c r="D76" t="s">
        <v>55</v>
      </c>
      <c r="E76" t="s">
        <v>55</v>
      </c>
      <c r="F76" t="s">
        <v>55</v>
      </c>
      <c r="G76" t="s">
        <v>55</v>
      </c>
      <c r="H76" t="s">
        <v>55</v>
      </c>
      <c r="I76" t="s">
        <v>55</v>
      </c>
      <c r="J76" t="s">
        <v>55</v>
      </c>
      <c r="K76" t="s">
        <v>55</v>
      </c>
      <c r="L76" t="s">
        <v>55</v>
      </c>
      <c r="M76" t="s">
        <v>55</v>
      </c>
      <c r="N76" t="s">
        <v>55</v>
      </c>
    </row>
    <row r="77" spans="1:42" x14ac:dyDescent="0.25">
      <c r="A77" s="3" t="s">
        <v>52</v>
      </c>
      <c r="B77" s="3" t="s">
        <v>62</v>
      </c>
      <c r="C77" t="s">
        <v>55</v>
      </c>
      <c r="D77" t="s">
        <v>55</v>
      </c>
    </row>
    <row r="78" spans="1:42" x14ac:dyDescent="0.25">
      <c r="A78" s="3" t="s">
        <v>53</v>
      </c>
      <c r="B78" s="3" t="s">
        <v>60</v>
      </c>
      <c r="Z78" t="s">
        <v>55</v>
      </c>
      <c r="AA78" t="s">
        <v>55</v>
      </c>
      <c r="AB78" t="s">
        <v>55</v>
      </c>
      <c r="AC78" t="s">
        <v>55</v>
      </c>
      <c r="AD78" t="s">
        <v>55</v>
      </c>
      <c r="AE78" t="s">
        <v>55</v>
      </c>
      <c r="AF78" t="s">
        <v>55</v>
      </c>
      <c r="AG78" t="s">
        <v>55</v>
      </c>
      <c r="AH78" t="s">
        <v>55</v>
      </c>
      <c r="AI78" t="s">
        <v>55</v>
      </c>
      <c r="AJ78" t="s">
        <v>55</v>
      </c>
      <c r="AK78" t="s">
        <v>55</v>
      </c>
      <c r="AL78" t="s">
        <v>55</v>
      </c>
      <c r="AM78" t="s">
        <v>55</v>
      </c>
    </row>
    <row r="79" spans="1:42" x14ac:dyDescent="0.25">
      <c r="A79" s="3" t="s">
        <v>53</v>
      </c>
      <c r="B79" s="3" t="s">
        <v>61</v>
      </c>
      <c r="O79" t="s">
        <v>55</v>
      </c>
      <c r="P79" t="s">
        <v>55</v>
      </c>
      <c r="Q79" t="s">
        <v>55</v>
      </c>
      <c r="R79" t="s">
        <v>55</v>
      </c>
      <c r="S79" t="s">
        <v>55</v>
      </c>
      <c r="T79" t="s">
        <v>55</v>
      </c>
      <c r="U79" t="s">
        <v>55</v>
      </c>
      <c r="V79" t="s">
        <v>55</v>
      </c>
      <c r="W79" t="s">
        <v>55</v>
      </c>
      <c r="X79" t="s">
        <v>55</v>
      </c>
      <c r="Y79" t="s">
        <v>55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  <c r="AI79" t="s">
        <v>55</v>
      </c>
      <c r="AJ79" t="s">
        <v>55</v>
      </c>
      <c r="AK79" t="s">
        <v>55</v>
      </c>
      <c r="AL79" t="s">
        <v>55</v>
      </c>
      <c r="AM79" t="s">
        <v>55</v>
      </c>
    </row>
    <row r="80" spans="1:42" x14ac:dyDescent="0.25">
      <c r="A80" s="3" t="s">
        <v>53</v>
      </c>
      <c r="B80" s="3" t="s">
        <v>62</v>
      </c>
      <c r="E80" t="s">
        <v>55</v>
      </c>
      <c r="F80" t="s">
        <v>55</v>
      </c>
      <c r="G80" t="s">
        <v>55</v>
      </c>
      <c r="H80" t="s">
        <v>55</v>
      </c>
      <c r="I80" t="s">
        <v>55</v>
      </c>
      <c r="J80" t="s">
        <v>55</v>
      </c>
      <c r="K80" t="s">
        <v>55</v>
      </c>
      <c r="L80" t="s">
        <v>55</v>
      </c>
      <c r="M80" t="s">
        <v>55</v>
      </c>
      <c r="N80" t="s">
        <v>55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  <c r="AI80" t="s">
        <v>55</v>
      </c>
      <c r="AJ80" t="s">
        <v>55</v>
      </c>
      <c r="AK80" t="s">
        <v>55</v>
      </c>
      <c r="AL80" t="s">
        <v>55</v>
      </c>
      <c r="AM80" t="s">
        <v>55</v>
      </c>
    </row>
    <row r="81" spans="1:40" x14ac:dyDescent="0.25">
      <c r="A81" t="s">
        <v>53</v>
      </c>
      <c r="B81" t="s">
        <v>63</v>
      </c>
      <c r="C81" t="s">
        <v>55</v>
      </c>
      <c r="D81" t="s">
        <v>55</v>
      </c>
      <c r="E81" t="s">
        <v>55</v>
      </c>
      <c r="F81" t="s">
        <v>55</v>
      </c>
      <c r="G81" t="s">
        <v>55</v>
      </c>
      <c r="H81" t="s">
        <v>55</v>
      </c>
      <c r="I81" t="s">
        <v>55</v>
      </c>
      <c r="J81" t="s">
        <v>55</v>
      </c>
      <c r="K81" t="s">
        <v>55</v>
      </c>
      <c r="L81" t="s">
        <v>55</v>
      </c>
      <c r="M81" t="s">
        <v>55</v>
      </c>
      <c r="N81" t="s">
        <v>55</v>
      </c>
      <c r="O81" t="s">
        <v>55</v>
      </c>
      <c r="P81" t="s">
        <v>55</v>
      </c>
      <c r="Q81" t="s">
        <v>55</v>
      </c>
      <c r="R81" t="s">
        <v>55</v>
      </c>
      <c r="S81" t="s">
        <v>55</v>
      </c>
      <c r="T81" t="s">
        <v>55</v>
      </c>
      <c r="U81" t="s">
        <v>55</v>
      </c>
      <c r="V81" t="s">
        <v>55</v>
      </c>
      <c r="W81" t="s">
        <v>55</v>
      </c>
      <c r="X81" t="s">
        <v>55</v>
      </c>
      <c r="Y81" t="s">
        <v>55</v>
      </c>
      <c r="Z81" t="s">
        <v>55</v>
      </c>
      <c r="AA81" t="s">
        <v>55</v>
      </c>
      <c r="AB81" t="s">
        <v>55</v>
      </c>
      <c r="AC81" t="s">
        <v>55</v>
      </c>
      <c r="AD81" t="s">
        <v>55</v>
      </c>
      <c r="AE81" t="s">
        <v>55</v>
      </c>
      <c r="AF81" t="s">
        <v>55</v>
      </c>
      <c r="AG81" t="s">
        <v>55</v>
      </c>
      <c r="AH81" t="s">
        <v>55</v>
      </c>
      <c r="AI81" t="s">
        <v>55</v>
      </c>
      <c r="AJ81" t="s">
        <v>55</v>
      </c>
      <c r="AK81" t="s">
        <v>55</v>
      </c>
      <c r="AL81" t="s">
        <v>55</v>
      </c>
      <c r="AM81" t="s">
        <v>55</v>
      </c>
    </row>
    <row r="82" spans="1:40" x14ac:dyDescent="0.25">
      <c r="A82" t="s">
        <v>53</v>
      </c>
      <c r="B82" t="s">
        <v>64</v>
      </c>
      <c r="C82" t="s">
        <v>55</v>
      </c>
      <c r="D82" t="s">
        <v>55</v>
      </c>
      <c r="E82" t="s">
        <v>55</v>
      </c>
      <c r="F82" t="s">
        <v>55</v>
      </c>
      <c r="G82" t="s">
        <v>55</v>
      </c>
      <c r="H82" t="s">
        <v>55</v>
      </c>
      <c r="I82" t="s">
        <v>55</v>
      </c>
      <c r="J82" t="s">
        <v>55</v>
      </c>
      <c r="K82" t="s">
        <v>55</v>
      </c>
      <c r="L82" t="s">
        <v>55</v>
      </c>
      <c r="M82" t="s">
        <v>55</v>
      </c>
      <c r="N82" t="s">
        <v>55</v>
      </c>
      <c r="O82" t="s">
        <v>55</v>
      </c>
      <c r="P82" t="s">
        <v>55</v>
      </c>
      <c r="Q82" t="s">
        <v>55</v>
      </c>
      <c r="R82" t="s">
        <v>55</v>
      </c>
      <c r="S82" t="s">
        <v>55</v>
      </c>
      <c r="T82" t="s">
        <v>55</v>
      </c>
      <c r="U82" t="s">
        <v>55</v>
      </c>
      <c r="V82" t="s">
        <v>55</v>
      </c>
      <c r="W82" t="s">
        <v>55</v>
      </c>
      <c r="X82" t="s">
        <v>55</v>
      </c>
      <c r="Y82" t="s">
        <v>55</v>
      </c>
      <c r="Z82" t="s">
        <v>55</v>
      </c>
      <c r="AA82" t="s">
        <v>55</v>
      </c>
      <c r="AB82" t="s">
        <v>55</v>
      </c>
      <c r="AC82" t="s">
        <v>55</v>
      </c>
      <c r="AD82" t="s">
        <v>55</v>
      </c>
      <c r="AE82" t="s">
        <v>55</v>
      </c>
      <c r="AF82" t="s">
        <v>55</v>
      </c>
      <c r="AG82" t="s">
        <v>55</v>
      </c>
      <c r="AH82" t="s">
        <v>55</v>
      </c>
      <c r="AI82" t="s">
        <v>55</v>
      </c>
      <c r="AJ82" t="s">
        <v>55</v>
      </c>
      <c r="AK82" t="s">
        <v>55</v>
      </c>
      <c r="AL82" t="s">
        <v>55</v>
      </c>
      <c r="AM82" t="s">
        <v>55</v>
      </c>
    </row>
    <row r="83" spans="1:40" ht="18" thickBot="1" x14ac:dyDescent="0.35">
      <c r="A83" s="4" t="s">
        <v>180</v>
      </c>
      <c r="B83" s="4"/>
      <c r="C83" s="4"/>
      <c r="D83" s="4"/>
      <c r="E83" s="4"/>
      <c r="F83" s="4"/>
      <c r="G83" s="4"/>
      <c r="H83" s="4"/>
    </row>
    <row r="84" spans="1:40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  <c r="AH84">
        <v>2051</v>
      </c>
      <c r="AI84">
        <v>2052</v>
      </c>
      <c r="AJ84">
        <v>2053</v>
      </c>
      <c r="AK84">
        <v>2054</v>
      </c>
      <c r="AL84">
        <v>2055</v>
      </c>
    </row>
    <row r="85" spans="1:40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  <c r="AH85">
        <f>AG85/AF85*AG85</f>
        <v>231.71682830981558</v>
      </c>
      <c r="AI85">
        <f t="shared" ref="AI85:AL85" si="28">AH85/AG85*AH85</f>
        <v>234.59291722137993</v>
      </c>
      <c r="AJ85">
        <f t="shared" si="28"/>
        <v>237.50470439227036</v>
      </c>
      <c r="AK85">
        <f t="shared" si="28"/>
        <v>240.45263291230714</v>
      </c>
      <c r="AL85">
        <f t="shared" si="28"/>
        <v>243.43715137097897</v>
      </c>
    </row>
    <row r="86" spans="1:40" x14ac:dyDescent="0.25">
      <c r="A86" t="s">
        <v>179</v>
      </c>
      <c r="B86" s="25">
        <v>9.1050000000000004</v>
      </c>
      <c r="C86" s="25">
        <v>8.6709999999999994</v>
      </c>
      <c r="D86" s="25">
        <v>8.7420000000000009</v>
      </c>
      <c r="E86" s="3">
        <v>8.8580000000000005</v>
      </c>
      <c r="F86" s="25">
        <v>8.9559999999999995</v>
      </c>
      <c r="G86" s="26">
        <v>9.0570000000000004</v>
      </c>
      <c r="H86" s="26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  <c r="AH86">
        <f>AG86/AF86*AG86</f>
        <v>17.754161760858192</v>
      </c>
      <c r="AI86">
        <f t="shared" ref="AI86" si="29">AH86/AG86*AH86</f>
        <v>19.132640960893429</v>
      </c>
      <c r="AJ86">
        <f t="shared" ref="AJ86" si="30">AI86/AH86*AI86</f>
        <v>20.618148863861805</v>
      </c>
      <c r="AK86">
        <f t="shared" ref="AK86" si="31">AJ86/AI86*AJ86</f>
        <v>22.218995456052017</v>
      </c>
      <c r="AL86">
        <f t="shared" ref="AL86" si="32">AK86/AJ86*AK86</f>
        <v>23.944135932656788</v>
      </c>
    </row>
    <row r="92" spans="1:40" ht="18" thickBot="1" x14ac:dyDescent="0.35">
      <c r="A92" s="4" t="s">
        <v>236</v>
      </c>
      <c r="B92" s="4"/>
      <c r="C92" s="4"/>
      <c r="D92" s="4"/>
      <c r="E92" s="4"/>
      <c r="F92" s="4"/>
      <c r="G92" s="4"/>
      <c r="H92" s="4"/>
    </row>
    <row r="93" spans="1:40" ht="15.75" thickTop="1" x14ac:dyDescent="0.25">
      <c r="B93">
        <v>2019</v>
      </c>
      <c r="C93">
        <v>2020</v>
      </c>
      <c r="D93">
        <v>2021</v>
      </c>
      <c r="E93">
        <v>2022</v>
      </c>
      <c r="F93">
        <v>2023</v>
      </c>
      <c r="G93">
        <v>2024</v>
      </c>
      <c r="H93">
        <v>2025</v>
      </c>
      <c r="I93">
        <v>2026</v>
      </c>
      <c r="J93">
        <v>2027</v>
      </c>
      <c r="K93">
        <v>2028</v>
      </c>
      <c r="L93">
        <v>2029</v>
      </c>
      <c r="M93">
        <v>2030</v>
      </c>
      <c r="N93">
        <v>2031</v>
      </c>
      <c r="O93">
        <v>2032</v>
      </c>
      <c r="P93">
        <v>2033</v>
      </c>
      <c r="Q93">
        <v>2034</v>
      </c>
      <c r="R93">
        <v>2035</v>
      </c>
      <c r="S93">
        <v>2036</v>
      </c>
      <c r="T93">
        <v>2037</v>
      </c>
      <c r="U93">
        <v>2038</v>
      </c>
      <c r="V93">
        <v>2039</v>
      </c>
      <c r="W93">
        <v>2040</v>
      </c>
      <c r="X93">
        <v>2041</v>
      </c>
      <c r="Y93">
        <v>2042</v>
      </c>
      <c r="Z93">
        <v>2043</v>
      </c>
      <c r="AA93">
        <v>2044</v>
      </c>
      <c r="AB93">
        <v>2045</v>
      </c>
      <c r="AC93">
        <v>2046</v>
      </c>
      <c r="AD93">
        <v>2047</v>
      </c>
      <c r="AE93">
        <v>2048</v>
      </c>
      <c r="AF93">
        <v>2049</v>
      </c>
      <c r="AG93">
        <v>2050</v>
      </c>
      <c r="AH93">
        <v>2051</v>
      </c>
      <c r="AI93">
        <v>2052</v>
      </c>
      <c r="AJ93">
        <v>2053</v>
      </c>
      <c r="AK93">
        <v>2054</v>
      </c>
      <c r="AL93">
        <v>2055</v>
      </c>
    </row>
    <row r="94" spans="1:40" x14ac:dyDescent="0.25">
      <c r="A94" t="s">
        <v>21</v>
      </c>
      <c r="B94">
        <v>5892.55</v>
      </c>
      <c r="C94">
        <f>B94*C10/B10</f>
        <v>5515.2383372656968</v>
      </c>
      <c r="D94">
        <f t="shared" ref="D94:AL101" si="33">C94*D10/C10</f>
        <v>5796.4808062604216</v>
      </c>
      <c r="E94">
        <f t="shared" si="33"/>
        <v>5907.2171331901955</v>
      </c>
      <c r="F94">
        <f t="shared" si="33"/>
        <v>5919.0315674565754</v>
      </c>
      <c r="G94">
        <f t="shared" si="33"/>
        <v>5978.2218831311411</v>
      </c>
      <c r="H94">
        <f t="shared" si="33"/>
        <v>6043.9823238455829</v>
      </c>
      <c r="I94">
        <f t="shared" si="33"/>
        <v>6128.5980763794205</v>
      </c>
      <c r="J94">
        <f t="shared" si="33"/>
        <v>6226.6556456014914</v>
      </c>
      <c r="K94">
        <f t="shared" si="33"/>
        <v>6338.7354472223187</v>
      </c>
      <c r="L94">
        <f t="shared" si="33"/>
        <v>6478.3887056806143</v>
      </c>
      <c r="M94">
        <f t="shared" si="33"/>
        <v>6648.2413975415229</v>
      </c>
      <c r="N94">
        <f t="shared" si="33"/>
        <v>6843.556201106725</v>
      </c>
      <c r="O94">
        <f t="shared" si="33"/>
        <v>7049.3935312345357</v>
      </c>
      <c r="P94">
        <f t="shared" si="33"/>
        <v>7267.7675662733127</v>
      </c>
      <c r="Q94">
        <f t="shared" si="33"/>
        <v>7517.531127934998</v>
      </c>
      <c r="R94">
        <f t="shared" si="33"/>
        <v>7782.1835103019575</v>
      </c>
      <c r="S94">
        <f t="shared" si="33"/>
        <v>8062.6803453894772</v>
      </c>
      <c r="T94">
        <f t="shared" si="33"/>
        <v>8361.0561042615755</v>
      </c>
      <c r="U94">
        <f t="shared" si="33"/>
        <v>8673.3912411237143</v>
      </c>
      <c r="V94">
        <f t="shared" si="33"/>
        <v>8990.5381929558444</v>
      </c>
      <c r="W94">
        <f t="shared" si="33"/>
        <v>9308.8806022415702</v>
      </c>
      <c r="X94">
        <f t="shared" si="33"/>
        <v>9641.8208628517477</v>
      </c>
      <c r="Y94">
        <f t="shared" si="33"/>
        <v>9969.9265478217458</v>
      </c>
      <c r="Z94">
        <f t="shared" si="33"/>
        <v>10310.453529693723</v>
      </c>
      <c r="AA94">
        <f t="shared" si="33"/>
        <v>10667.797781884174</v>
      </c>
      <c r="AB94">
        <f t="shared" si="33"/>
        <v>11043.196490447101</v>
      </c>
      <c r="AC94">
        <f t="shared" si="33"/>
        <v>11437.848777519352</v>
      </c>
      <c r="AD94">
        <f t="shared" si="33"/>
        <v>11825.727391506509</v>
      </c>
      <c r="AE94">
        <f t="shared" si="33"/>
        <v>12233.039189847328</v>
      </c>
      <c r="AF94">
        <f t="shared" si="33"/>
        <v>12670.045107524131</v>
      </c>
      <c r="AG94">
        <f t="shared" si="33"/>
        <v>13133.223045935978</v>
      </c>
      <c r="AH94">
        <f t="shared" si="33"/>
        <v>13589.671706724137</v>
      </c>
      <c r="AI94">
        <f t="shared" si="33"/>
        <v>14037.500354937632</v>
      </c>
      <c r="AJ94">
        <f t="shared" si="33"/>
        <v>14474.795727232606</v>
      </c>
      <c r="AK94">
        <f t="shared" si="33"/>
        <v>14899.634996525705</v>
      </c>
      <c r="AL94">
        <f t="shared" si="33"/>
        <v>15310.099296748589</v>
      </c>
      <c r="AM94" s="28"/>
      <c r="AN94" s="28"/>
    </row>
    <row r="95" spans="1:40" x14ac:dyDescent="0.25">
      <c r="A95" t="s">
        <v>70</v>
      </c>
      <c r="B95">
        <v>245.04</v>
      </c>
      <c r="C95">
        <f t="shared" ref="C95:R114" si="34">B95*C11/B11</f>
        <v>242.1666750654133</v>
      </c>
      <c r="D95">
        <f t="shared" si="34"/>
        <v>253.55592409181051</v>
      </c>
      <c r="E95">
        <f t="shared" si="34"/>
        <v>258.39987210849097</v>
      </c>
      <c r="F95">
        <f t="shared" si="34"/>
        <v>258.91667185270791</v>
      </c>
      <c r="G95">
        <f t="shared" si="34"/>
        <v>261.50583857123496</v>
      </c>
      <c r="H95">
        <f t="shared" si="34"/>
        <v>264.38240279551854</v>
      </c>
      <c r="I95">
        <f t="shared" si="34"/>
        <v>268.08375643465575</v>
      </c>
      <c r="J95">
        <f t="shared" si="34"/>
        <v>272.37309653761025</v>
      </c>
      <c r="K95">
        <f t="shared" si="34"/>
        <v>277.27581227528725</v>
      </c>
      <c r="L95">
        <f t="shared" si="34"/>
        <v>283.38467594349464</v>
      </c>
      <c r="M95">
        <f t="shared" si="34"/>
        <v>290.81455584541027</v>
      </c>
      <c r="N95">
        <f t="shared" si="34"/>
        <v>299.35822693861883</v>
      </c>
      <c r="O95">
        <f t="shared" si="34"/>
        <v>308.362185753902</v>
      </c>
      <c r="P95">
        <f t="shared" si="34"/>
        <v>317.9145386560478</v>
      </c>
      <c r="Q95">
        <f t="shared" si="34"/>
        <v>328.83996613494031</v>
      </c>
      <c r="R95">
        <f t="shared" si="34"/>
        <v>340.4166764902439</v>
      </c>
      <c r="S95">
        <f t="shared" si="33"/>
        <v>352.68647200973049</v>
      </c>
      <c r="T95">
        <f t="shared" si="33"/>
        <v>365.7383467240744</v>
      </c>
      <c r="U95">
        <f t="shared" si="33"/>
        <v>379.40084762770698</v>
      </c>
      <c r="V95">
        <f t="shared" si="33"/>
        <v>393.27383213890306</v>
      </c>
      <c r="W95">
        <f t="shared" si="33"/>
        <v>407.19910964122437</v>
      </c>
      <c r="X95">
        <f t="shared" si="33"/>
        <v>421.76294212303048</v>
      </c>
      <c r="Y95">
        <f t="shared" si="33"/>
        <v>436.11529537545425</v>
      </c>
      <c r="Z95">
        <f t="shared" si="33"/>
        <v>451.01099441296174</v>
      </c>
      <c r="AA95">
        <f t="shared" si="33"/>
        <v>466.64233265274129</v>
      </c>
      <c r="AB95">
        <f t="shared" si="33"/>
        <v>483.06342842342718</v>
      </c>
      <c r="AC95">
        <f t="shared" si="33"/>
        <v>500.32673502067752</v>
      </c>
      <c r="AD95">
        <f t="shared" si="33"/>
        <v>517.29374029372946</v>
      </c>
      <c r="AE95">
        <f t="shared" si="33"/>
        <v>535.11081290617756</v>
      </c>
      <c r="AF95">
        <f t="shared" si="33"/>
        <v>554.22679775865174</v>
      </c>
      <c r="AG95">
        <f t="shared" si="33"/>
        <v>574.48762741000041</v>
      </c>
      <c r="AH95">
        <f t="shared" si="33"/>
        <v>594.45409773137408</v>
      </c>
      <c r="AI95">
        <f t="shared" si="33"/>
        <v>614.04350215240174</v>
      </c>
      <c r="AJ95">
        <f t="shared" si="33"/>
        <v>633.17214864141818</v>
      </c>
      <c r="AK95">
        <f t="shared" si="33"/>
        <v>651.75592681933597</v>
      </c>
      <c r="AL95">
        <f t="shared" si="33"/>
        <v>669.71089957406434</v>
      </c>
      <c r="AM95" s="28"/>
      <c r="AN95" s="28"/>
    </row>
    <row r="96" spans="1:40" x14ac:dyDescent="0.25">
      <c r="A96" t="s">
        <v>23</v>
      </c>
      <c r="B96">
        <v>408.63</v>
      </c>
      <c r="C96">
        <f t="shared" si="34"/>
        <v>392.26829386518551</v>
      </c>
      <c r="D96">
        <f t="shared" si="33"/>
        <v>410.71691518264703</v>
      </c>
      <c r="E96">
        <f t="shared" si="33"/>
        <v>418.56327646898683</v>
      </c>
      <c r="F96">
        <f t="shared" si="33"/>
        <v>419.40040302192483</v>
      </c>
      <c r="G96">
        <f t="shared" si="33"/>
        <v>423.59440705214411</v>
      </c>
      <c r="H96">
        <f t="shared" si="33"/>
        <v>428.25394552971767</v>
      </c>
      <c r="I96">
        <f t="shared" si="33"/>
        <v>434.24950076713372</v>
      </c>
      <c r="J96">
        <f t="shared" si="33"/>
        <v>441.19749277940787</v>
      </c>
      <c r="K96">
        <f t="shared" si="33"/>
        <v>449.1390476494372</v>
      </c>
      <c r="L96">
        <f t="shared" si="33"/>
        <v>459.03435437541611</v>
      </c>
      <c r="M96">
        <f t="shared" si="33"/>
        <v>471.06947981932956</v>
      </c>
      <c r="N96">
        <f t="shared" si="33"/>
        <v>484.90875511256695</v>
      </c>
      <c r="O96">
        <f t="shared" si="33"/>
        <v>499.49361721859157</v>
      </c>
      <c r="P96">
        <f t="shared" si="33"/>
        <v>514.96678326966253</v>
      </c>
      <c r="Q96">
        <f t="shared" si="33"/>
        <v>532.66409358593694</v>
      </c>
      <c r="R96">
        <f t="shared" si="33"/>
        <v>551.41636996095724</v>
      </c>
      <c r="S96">
        <f t="shared" si="33"/>
        <v>571.2913248993425</v>
      </c>
      <c r="T96">
        <f t="shared" si="33"/>
        <v>592.4331133991634</v>
      </c>
      <c r="U96">
        <f t="shared" si="33"/>
        <v>614.5640111288028</v>
      </c>
      <c r="V96">
        <f t="shared" si="33"/>
        <v>637.03585604121724</v>
      </c>
      <c r="W96">
        <f t="shared" si="33"/>
        <v>659.59240659037664</v>
      </c>
      <c r="X96">
        <f t="shared" si="33"/>
        <v>683.18330619798485</v>
      </c>
      <c r="Y96">
        <f t="shared" si="33"/>
        <v>706.43164588699437</v>
      </c>
      <c r="Z96">
        <f t="shared" si="33"/>
        <v>730.56011214187458</v>
      </c>
      <c r="AA96">
        <f t="shared" si="33"/>
        <v>755.88018717074351</v>
      </c>
      <c r="AB96">
        <f t="shared" si="33"/>
        <v>782.47953334264685</v>
      </c>
      <c r="AC96">
        <f t="shared" si="33"/>
        <v>810.44311596005628</v>
      </c>
      <c r="AD96">
        <f t="shared" si="33"/>
        <v>837.92674147815819</v>
      </c>
      <c r="AE96">
        <f t="shared" si="33"/>
        <v>866.78732963905736</v>
      </c>
      <c r="AF96">
        <f t="shared" si="33"/>
        <v>897.75193185613489</v>
      </c>
      <c r="AG96">
        <f t="shared" si="33"/>
        <v>930.57098541699736</v>
      </c>
      <c r="AH96">
        <f t="shared" si="33"/>
        <v>962.9132275746332</v>
      </c>
      <c r="AI96">
        <f t="shared" si="33"/>
        <v>994.64468793347885</v>
      </c>
      <c r="AJ96">
        <f t="shared" si="33"/>
        <v>1025.6297998204464</v>
      </c>
      <c r="AK96">
        <f t="shared" si="33"/>
        <v>1055.7323189116953</v>
      </c>
      <c r="AL96">
        <f t="shared" si="33"/>
        <v>1084.8162815460698</v>
      </c>
      <c r="AM96" s="28"/>
      <c r="AN96" s="28"/>
    </row>
    <row r="97" spans="1:40" x14ac:dyDescent="0.25">
      <c r="A97" t="s">
        <v>24</v>
      </c>
      <c r="B97">
        <v>533.85</v>
      </c>
      <c r="C97">
        <f t="shared" si="34"/>
        <v>525.76865820664773</v>
      </c>
      <c r="D97">
        <f t="shared" si="33"/>
        <v>515.46962037754633</v>
      </c>
      <c r="E97">
        <f t="shared" si="33"/>
        <v>526.34993420178466</v>
      </c>
      <c r="F97">
        <f t="shared" si="33"/>
        <v>527.26991796551249</v>
      </c>
      <c r="G97">
        <f t="shared" si="33"/>
        <v>532.65196752490158</v>
      </c>
      <c r="H97">
        <f t="shared" si="33"/>
        <v>538.39398240862931</v>
      </c>
      <c r="I97">
        <f t="shared" si="33"/>
        <v>546.88076323233474</v>
      </c>
      <c r="J97">
        <f t="shared" si="33"/>
        <v>556.47525708711123</v>
      </c>
      <c r="K97">
        <f t="shared" si="33"/>
        <v>566.98171362257096</v>
      </c>
      <c r="L97">
        <f t="shared" si="33"/>
        <v>580.22045481782857</v>
      </c>
      <c r="M97">
        <f t="shared" si="33"/>
        <v>596.33068798395993</v>
      </c>
      <c r="N97">
        <f t="shared" si="33"/>
        <v>615.4042086731514</v>
      </c>
      <c r="O97">
        <f t="shared" si="33"/>
        <v>635.33396129744892</v>
      </c>
      <c r="P97">
        <f t="shared" si="33"/>
        <v>657.01655639699004</v>
      </c>
      <c r="Q97">
        <f t="shared" si="33"/>
        <v>681.31932514290099</v>
      </c>
      <c r="R97">
        <f t="shared" si="33"/>
        <v>707.71661474127575</v>
      </c>
      <c r="S97">
        <f t="shared" si="33"/>
        <v>735.63685386036582</v>
      </c>
      <c r="T97">
        <f t="shared" si="33"/>
        <v>764.91029140893988</v>
      </c>
      <c r="U97">
        <f t="shared" si="33"/>
        <v>795.92901566841999</v>
      </c>
      <c r="V97">
        <f t="shared" si="33"/>
        <v>827.41256315471048</v>
      </c>
      <c r="W97">
        <f t="shared" si="33"/>
        <v>859.02685404487454</v>
      </c>
      <c r="X97">
        <f t="shared" si="33"/>
        <v>891.63923611470852</v>
      </c>
      <c r="Y97">
        <f t="shared" si="33"/>
        <v>923.77696539715112</v>
      </c>
      <c r="Z97">
        <f t="shared" si="33"/>
        <v>957.11459686687863</v>
      </c>
      <c r="AA97">
        <f t="shared" si="33"/>
        <v>992.06915242156117</v>
      </c>
      <c r="AB97">
        <f t="shared" si="33"/>
        <v>1028.7754064643691</v>
      </c>
      <c r="AC97">
        <f t="shared" si="33"/>
        <v>1067.3339329257396</v>
      </c>
      <c r="AD97">
        <f t="shared" si="33"/>
        <v>1105.2381198913988</v>
      </c>
      <c r="AE97">
        <f t="shared" si="33"/>
        <v>1145.0271910127797</v>
      </c>
      <c r="AF97">
        <f t="shared" si="33"/>
        <v>1187.677094920718</v>
      </c>
      <c r="AG97">
        <f t="shared" si="33"/>
        <v>1232.8552263699166</v>
      </c>
      <c r="AH97">
        <f t="shared" si="33"/>
        <v>1277.3781789965635</v>
      </c>
      <c r="AI97">
        <f t="shared" si="33"/>
        <v>1321.063277023188</v>
      </c>
      <c r="AJ97">
        <f t="shared" si="33"/>
        <v>1363.7257603507742</v>
      </c>
      <c r="AK97">
        <f t="shared" si="33"/>
        <v>1405.1799442765459</v>
      </c>
      <c r="AL97">
        <f t="shared" si="33"/>
        <v>1445.240525999503</v>
      </c>
      <c r="AM97" s="28"/>
      <c r="AN97" s="28"/>
    </row>
    <row r="98" spans="1:40" x14ac:dyDescent="0.25">
      <c r="A98" t="s">
        <v>25</v>
      </c>
      <c r="B98">
        <v>1511.78</v>
      </c>
      <c r="C98">
        <f t="shared" si="34"/>
        <v>1402.3328476026929</v>
      </c>
      <c r="D98">
        <f t="shared" si="33"/>
        <v>1459.729629473386</v>
      </c>
      <c r="E98">
        <f t="shared" si="33"/>
        <v>1490.5409825373681</v>
      </c>
      <c r="F98">
        <f t="shared" si="33"/>
        <v>1493.1462331776761</v>
      </c>
      <c r="G98">
        <f t="shared" si="33"/>
        <v>1508.3873587427095</v>
      </c>
      <c r="H98">
        <f t="shared" si="33"/>
        <v>1524.6478500060266</v>
      </c>
      <c r="I98">
        <f t="shared" si="33"/>
        <v>1548.6810906422759</v>
      </c>
      <c r="J98">
        <f t="shared" si="33"/>
        <v>1575.8512019465261</v>
      </c>
      <c r="K98">
        <f t="shared" si="33"/>
        <v>1605.6038494339803</v>
      </c>
      <c r="L98">
        <f t="shared" si="33"/>
        <v>1643.0939012540916</v>
      </c>
      <c r="M98">
        <f t="shared" si="33"/>
        <v>1688.7155708165046</v>
      </c>
      <c r="N98">
        <f t="shared" si="33"/>
        <v>1742.7288088187634</v>
      </c>
      <c r="O98">
        <f t="shared" si="33"/>
        <v>1799.1667622183334</v>
      </c>
      <c r="P98">
        <f t="shared" si="33"/>
        <v>1860.5684923290094</v>
      </c>
      <c r="Q98">
        <f t="shared" si="33"/>
        <v>1929.3901458547061</v>
      </c>
      <c r="R98">
        <f t="shared" si="33"/>
        <v>2004.1431560055557</v>
      </c>
      <c r="S98">
        <f t="shared" si="33"/>
        <v>2083.2089218488786</v>
      </c>
      <c r="T98">
        <f t="shared" si="33"/>
        <v>2166.1067347498501</v>
      </c>
      <c r="U98">
        <f t="shared" si="33"/>
        <v>2253.9469276148811</v>
      </c>
      <c r="V98">
        <f t="shared" si="33"/>
        <v>2343.1034274159947</v>
      </c>
      <c r="W98">
        <f t="shared" si="33"/>
        <v>2432.630172160646</v>
      </c>
      <c r="X98">
        <f t="shared" si="33"/>
        <v>2524.983355574589</v>
      </c>
      <c r="Y98">
        <f t="shared" si="33"/>
        <v>2615.9923962688117</v>
      </c>
      <c r="Z98">
        <f t="shared" si="33"/>
        <v>2710.3993729538442</v>
      </c>
      <c r="AA98">
        <f t="shared" si="33"/>
        <v>2809.3852266514341</v>
      </c>
      <c r="AB98">
        <f t="shared" si="33"/>
        <v>2913.3316174668989</v>
      </c>
      <c r="AC98">
        <f t="shared" si="33"/>
        <v>3022.5233550968906</v>
      </c>
      <c r="AD98">
        <f t="shared" si="33"/>
        <v>3129.8621052531971</v>
      </c>
      <c r="AE98">
        <f t="shared" si="33"/>
        <v>3242.5385535811565</v>
      </c>
      <c r="AF98">
        <f t="shared" si="33"/>
        <v>3363.3164345026566</v>
      </c>
      <c r="AG98">
        <f t="shared" si="33"/>
        <v>3491.2538617992186</v>
      </c>
      <c r="AH98">
        <f t="shared" si="33"/>
        <v>3617.3359247792919</v>
      </c>
      <c r="AI98">
        <f t="shared" si="33"/>
        <v>3741.0453141109219</v>
      </c>
      <c r="AJ98">
        <f t="shared" si="33"/>
        <v>3861.8588179883745</v>
      </c>
      <c r="AK98">
        <f t="shared" si="33"/>
        <v>3979.2506062721677</v>
      </c>
      <c r="AL98">
        <f t="shared" si="33"/>
        <v>4092.6959303091298</v>
      </c>
      <c r="AM98" s="28"/>
      <c r="AN98" s="28"/>
    </row>
    <row r="99" spans="1:40" x14ac:dyDescent="0.25">
      <c r="A99" t="s">
        <v>26</v>
      </c>
      <c r="B99">
        <v>102.71</v>
      </c>
      <c r="C99">
        <f t="shared" si="34"/>
        <v>98.093820224719082</v>
      </c>
      <c r="D99">
        <f t="shared" si="33"/>
        <v>99.173709298450461</v>
      </c>
      <c r="E99">
        <f t="shared" si="33"/>
        <v>101.26702583472003</v>
      </c>
      <c r="F99">
        <f t="shared" si="33"/>
        <v>101.44402598901897</v>
      </c>
      <c r="G99">
        <f t="shared" si="33"/>
        <v>102.4795047007261</v>
      </c>
      <c r="H99">
        <f t="shared" si="33"/>
        <v>103.58423889330393</v>
      </c>
      <c r="I99">
        <f t="shared" si="33"/>
        <v>105.21705196514581</v>
      </c>
      <c r="J99">
        <f t="shared" si="33"/>
        <v>107.06298333879775</v>
      </c>
      <c r="K99">
        <f t="shared" si="33"/>
        <v>109.0843716515393</v>
      </c>
      <c r="L99">
        <f t="shared" si="33"/>
        <v>111.63143750929879</v>
      </c>
      <c r="M99">
        <f t="shared" si="33"/>
        <v>114.73096368424186</v>
      </c>
      <c r="N99">
        <f t="shared" si="33"/>
        <v>118.40061116946589</v>
      </c>
      <c r="O99">
        <f t="shared" si="33"/>
        <v>122.23499328437006</v>
      </c>
      <c r="P99">
        <f t="shared" si="33"/>
        <v>126.40661329499828</v>
      </c>
      <c r="Q99">
        <f t="shared" si="33"/>
        <v>131.08234126707382</v>
      </c>
      <c r="R99">
        <f t="shared" si="33"/>
        <v>136.16104430097676</v>
      </c>
      <c r="S99">
        <f t="shared" si="33"/>
        <v>141.53275500608441</v>
      </c>
      <c r="T99">
        <f t="shared" si="33"/>
        <v>147.16481414369619</v>
      </c>
      <c r="U99">
        <f t="shared" si="33"/>
        <v>153.1326574867536</v>
      </c>
      <c r="V99">
        <f t="shared" si="33"/>
        <v>159.18993043293116</v>
      </c>
      <c r="W99">
        <f t="shared" si="33"/>
        <v>165.27235773896982</v>
      </c>
      <c r="X99">
        <f t="shared" si="33"/>
        <v>171.54681266524619</v>
      </c>
      <c r="Y99">
        <f t="shared" si="33"/>
        <v>177.72994683139711</v>
      </c>
      <c r="Z99">
        <f t="shared" si="33"/>
        <v>184.14393601985026</v>
      </c>
      <c r="AA99">
        <f t="shared" si="33"/>
        <v>190.86901310334085</v>
      </c>
      <c r="AB99">
        <f t="shared" si="33"/>
        <v>197.93110798530543</v>
      </c>
      <c r="AC99">
        <f t="shared" si="33"/>
        <v>205.34957057376167</v>
      </c>
      <c r="AD99">
        <f t="shared" si="33"/>
        <v>212.64214160165875</v>
      </c>
      <c r="AE99">
        <f t="shared" si="33"/>
        <v>220.29735466689621</v>
      </c>
      <c r="AF99">
        <f t="shared" si="33"/>
        <v>228.50297727696332</v>
      </c>
      <c r="AG99">
        <f t="shared" si="33"/>
        <v>237.19501788977064</v>
      </c>
      <c r="AH99">
        <f t="shared" si="33"/>
        <v>245.76100545984258</v>
      </c>
      <c r="AI99">
        <f t="shared" si="33"/>
        <v>254.16579410518233</v>
      </c>
      <c r="AJ99">
        <f t="shared" si="33"/>
        <v>262.37383693102544</v>
      </c>
      <c r="AK99">
        <f t="shared" si="33"/>
        <v>270.34940915358982</v>
      </c>
      <c r="AL99">
        <f t="shared" si="33"/>
        <v>278.0568594650349</v>
      </c>
      <c r="AM99" s="28"/>
      <c r="AN99" s="28"/>
    </row>
    <row r="100" spans="1:40" x14ac:dyDescent="0.25">
      <c r="A100" t="s">
        <v>27</v>
      </c>
      <c r="B100">
        <v>399.88</v>
      </c>
      <c r="C100">
        <f t="shared" si="34"/>
        <v>394.04788839568806</v>
      </c>
      <c r="D100">
        <f t="shared" si="33"/>
        <v>386.11218843602751</v>
      </c>
      <c r="E100">
        <f t="shared" si="33"/>
        <v>394.26208052563391</v>
      </c>
      <c r="F100">
        <f t="shared" si="33"/>
        <v>394.95119377362391</v>
      </c>
      <c r="G100">
        <f t="shared" si="33"/>
        <v>398.98261454314434</v>
      </c>
      <c r="H100">
        <f t="shared" si="33"/>
        <v>403.28366710791914</v>
      </c>
      <c r="I100">
        <f t="shared" si="33"/>
        <v>409.64068483908591</v>
      </c>
      <c r="J100">
        <f t="shared" si="33"/>
        <v>416.82743430550534</v>
      </c>
      <c r="K100">
        <f t="shared" si="33"/>
        <v>424.69728883280635</v>
      </c>
      <c r="L100">
        <f t="shared" si="33"/>
        <v>434.61375943158805</v>
      </c>
      <c r="M100">
        <f t="shared" si="33"/>
        <v>446.68111924890121</v>
      </c>
      <c r="N100">
        <f t="shared" si="33"/>
        <v>460.96812768421808</v>
      </c>
      <c r="O100">
        <f t="shared" si="33"/>
        <v>475.8964961011967</v>
      </c>
      <c r="P100">
        <f t="shared" si="33"/>
        <v>492.13783004969264</v>
      </c>
      <c r="Q100">
        <f t="shared" si="33"/>
        <v>510.34180338698752</v>
      </c>
      <c r="R100">
        <f t="shared" si="33"/>
        <v>530.11467622504711</v>
      </c>
      <c r="S100">
        <f t="shared" si="33"/>
        <v>551.02831342452589</v>
      </c>
      <c r="T100">
        <f t="shared" si="33"/>
        <v>572.95556303944352</v>
      </c>
      <c r="U100">
        <f t="shared" si="33"/>
        <v>596.19011854544874</v>
      </c>
      <c r="V100">
        <f t="shared" si="33"/>
        <v>619.77284959128156</v>
      </c>
      <c r="W100">
        <f t="shared" si="33"/>
        <v>643.45351389990526</v>
      </c>
      <c r="X100">
        <f t="shared" si="33"/>
        <v>667.88179776631944</v>
      </c>
      <c r="Y100">
        <f t="shared" si="33"/>
        <v>691.9545432668591</v>
      </c>
      <c r="Z100">
        <f t="shared" si="33"/>
        <v>716.92607473096814</v>
      </c>
      <c r="AA100">
        <f t="shared" si="33"/>
        <v>743.10876214354948</v>
      </c>
      <c r="AB100">
        <f t="shared" si="33"/>
        <v>770.60355818483072</v>
      </c>
      <c r="AC100">
        <f t="shared" si="33"/>
        <v>799.48579769288142</v>
      </c>
      <c r="AD100">
        <f t="shared" si="33"/>
        <v>827.87790462147143</v>
      </c>
      <c r="AE100">
        <f t="shared" si="33"/>
        <v>857.68188281762718</v>
      </c>
      <c r="AF100">
        <f t="shared" si="33"/>
        <v>889.62876597714069</v>
      </c>
      <c r="AG100">
        <f t="shared" si="33"/>
        <v>923.46941635441067</v>
      </c>
      <c r="AH100">
        <f t="shared" si="33"/>
        <v>956.81930545498858</v>
      </c>
      <c r="AI100">
        <f t="shared" si="33"/>
        <v>989.54160010495889</v>
      </c>
      <c r="AJ100">
        <f t="shared" si="33"/>
        <v>1021.4979058706891</v>
      </c>
      <c r="AK100">
        <f t="shared" si="33"/>
        <v>1052.549135744694</v>
      </c>
      <c r="AL100">
        <f t="shared" si="33"/>
        <v>1082.5564887827688</v>
      </c>
      <c r="AM100" s="28"/>
      <c r="AN100" s="28"/>
    </row>
    <row r="101" spans="1:40" x14ac:dyDescent="0.25">
      <c r="A101" t="s">
        <v>28</v>
      </c>
      <c r="B101">
        <v>41.58</v>
      </c>
      <c r="C101">
        <f t="shared" si="34"/>
        <v>38.820578559273969</v>
      </c>
      <c r="D101">
        <f t="shared" si="33"/>
        <v>40.148406509878022</v>
      </c>
      <c r="E101">
        <f t="shared" si="33"/>
        <v>40.995842023246624</v>
      </c>
      <c r="F101">
        <f t="shared" si="33"/>
        <v>41.067496841820763</v>
      </c>
      <c r="G101">
        <f t="shared" si="33"/>
        <v>41.486688788396378</v>
      </c>
      <c r="H101">
        <f t="shared" si="33"/>
        <v>41.933917371079531</v>
      </c>
      <c r="I101">
        <f t="shared" si="33"/>
        <v>42.594927667323184</v>
      </c>
      <c r="J101">
        <f t="shared" si="33"/>
        <v>43.342214460395404</v>
      </c>
      <c r="K101">
        <f t="shared" si="33"/>
        <v>44.160531333570297</v>
      </c>
      <c r="L101">
        <f t="shared" si="33"/>
        <v>45.191657790250666</v>
      </c>
      <c r="M101">
        <f t="shared" si="33"/>
        <v>46.446436276806338</v>
      </c>
      <c r="N101">
        <f t="shared" si="33"/>
        <v>47.932016477717795</v>
      </c>
      <c r="O101">
        <f t="shared" si="33"/>
        <v>49.484286055536074</v>
      </c>
      <c r="P101">
        <f t="shared" si="33"/>
        <v>51.173079357472808</v>
      </c>
      <c r="Q101">
        <f t="shared" si="33"/>
        <v>53.06595024715152</v>
      </c>
      <c r="R101">
        <f t="shared" si="33"/>
        <v>55.121957180747884</v>
      </c>
      <c r="S101">
        <f t="shared" si="33"/>
        <v>57.296582155126011</v>
      </c>
      <c r="T101">
        <f t="shared" si="33"/>
        <v>59.576603759077898</v>
      </c>
      <c r="U101">
        <f t="shared" si="33"/>
        <v>61.992560590976716</v>
      </c>
      <c r="V101">
        <f t="shared" si="33"/>
        <v>64.444721131353148</v>
      </c>
      <c r="W101">
        <f t="shared" si="33"/>
        <v>66.90706488936199</v>
      </c>
      <c r="X101">
        <f t="shared" si="33"/>
        <v>69.447147021915498</v>
      </c>
      <c r="Y101">
        <f t="shared" si="33"/>
        <v>71.950259850545194</v>
      </c>
      <c r="Z101">
        <f t="shared" si="33"/>
        <v>74.546829517139301</v>
      </c>
      <c r="AA101">
        <f t="shared" si="33"/>
        <v>77.269336625809729</v>
      </c>
      <c r="AB101">
        <f t="shared" si="33"/>
        <v>80.128278356820232</v>
      </c>
      <c r="AC101">
        <f t="shared" ref="D101:AL108" si="35">AB101*AC17/AB17</f>
        <v>83.131488116610043</v>
      </c>
      <c r="AD101">
        <f t="shared" si="35"/>
        <v>86.083733305393608</v>
      </c>
      <c r="AE101">
        <f t="shared" si="35"/>
        <v>89.182786554858836</v>
      </c>
      <c r="AF101">
        <f t="shared" si="35"/>
        <v>92.504661621810357</v>
      </c>
      <c r="AG101">
        <f t="shared" si="35"/>
        <v>96.023452865900794</v>
      </c>
      <c r="AH101">
        <f t="shared" si="35"/>
        <v>99.491214166296004</v>
      </c>
      <c r="AI101">
        <f t="shared" si="35"/>
        <v>102.89371744614438</v>
      </c>
      <c r="AJ101">
        <f t="shared" si="35"/>
        <v>106.21657228694427</v>
      </c>
      <c r="AK101">
        <f t="shared" si="35"/>
        <v>109.44531625553765</v>
      </c>
      <c r="AL101">
        <f t="shared" si="35"/>
        <v>112.56551666396803</v>
      </c>
      <c r="AM101" s="28"/>
      <c r="AN101" s="28"/>
    </row>
    <row r="102" spans="1:40" x14ac:dyDescent="0.25">
      <c r="A102" t="s">
        <v>29</v>
      </c>
      <c r="B102">
        <v>202.93</v>
      </c>
      <c r="C102">
        <f t="shared" si="34"/>
        <v>192.90516067146282</v>
      </c>
      <c r="D102">
        <f t="shared" si="35"/>
        <v>195.94314894299052</v>
      </c>
      <c r="E102">
        <f t="shared" si="35"/>
        <v>200.07903371278104</v>
      </c>
      <c r="F102">
        <f t="shared" si="35"/>
        <v>200.428743004105</v>
      </c>
      <c r="G102">
        <f t="shared" si="35"/>
        <v>202.47459730229139</v>
      </c>
      <c r="H102">
        <f t="shared" si="35"/>
        <v>204.65728360060524</v>
      </c>
      <c r="I102">
        <f t="shared" si="35"/>
        <v>207.88332543361926</v>
      </c>
      <c r="J102">
        <f t="shared" si="35"/>
        <v>211.53043724021248</v>
      </c>
      <c r="K102">
        <f t="shared" si="35"/>
        <v>215.52420931989937</v>
      </c>
      <c r="L102">
        <f t="shared" si="35"/>
        <v>220.55659248137476</v>
      </c>
      <c r="M102">
        <f t="shared" si="35"/>
        <v>226.6805029738409</v>
      </c>
      <c r="N102">
        <f t="shared" si="35"/>
        <v>233.93083462778418</v>
      </c>
      <c r="O102">
        <f t="shared" si="35"/>
        <v>241.50664187710268</v>
      </c>
      <c r="P102">
        <f t="shared" si="35"/>
        <v>249.74874925473668</v>
      </c>
      <c r="Q102">
        <f t="shared" si="35"/>
        <v>258.98685145874094</v>
      </c>
      <c r="R102">
        <f t="shared" si="35"/>
        <v>269.02113445620876</v>
      </c>
      <c r="S102">
        <f t="shared" si="35"/>
        <v>279.63432940691951</v>
      </c>
      <c r="T102">
        <f t="shared" si="35"/>
        <v>290.76190959186312</v>
      </c>
      <c r="U102">
        <f t="shared" si="35"/>
        <v>302.55291776639962</v>
      </c>
      <c r="V102">
        <f t="shared" si="35"/>
        <v>314.52061710402802</v>
      </c>
      <c r="W102">
        <f t="shared" si="35"/>
        <v>326.53801534387253</v>
      </c>
      <c r="X102">
        <f t="shared" si="35"/>
        <v>338.93481349584664</v>
      </c>
      <c r="Y102">
        <f t="shared" si="35"/>
        <v>351.15118401806461</v>
      </c>
      <c r="Z102">
        <f t="shared" si="35"/>
        <v>363.82366796327739</v>
      </c>
      <c r="AA102">
        <f t="shared" si="35"/>
        <v>377.11078599027331</v>
      </c>
      <c r="AB102">
        <f t="shared" si="35"/>
        <v>391.06376928690526</v>
      </c>
      <c r="AC102">
        <f t="shared" si="35"/>
        <v>405.72084856911175</v>
      </c>
      <c r="AD102">
        <f t="shared" si="35"/>
        <v>420.12919672110434</v>
      </c>
      <c r="AE102">
        <f t="shared" si="35"/>
        <v>435.25403741167634</v>
      </c>
      <c r="AF102">
        <f t="shared" si="35"/>
        <v>451.46635360543462</v>
      </c>
      <c r="AG102">
        <f t="shared" si="35"/>
        <v>468.63971356607129</v>
      </c>
      <c r="AH102">
        <f t="shared" si="35"/>
        <v>485.56402334695628</v>
      </c>
      <c r="AI102">
        <f t="shared" si="35"/>
        <v>502.16984322621624</v>
      </c>
      <c r="AJ102">
        <f t="shared" si="35"/>
        <v>518.38694117820091</v>
      </c>
      <c r="AK102">
        <f t="shared" si="35"/>
        <v>534.14473371179054</v>
      </c>
      <c r="AL102">
        <f t="shared" si="35"/>
        <v>549.37278250647023</v>
      </c>
      <c r="AM102" s="28"/>
      <c r="AN102" s="28"/>
    </row>
    <row r="103" spans="1:40" x14ac:dyDescent="0.25">
      <c r="A103" t="s">
        <v>30</v>
      </c>
      <c r="B103">
        <v>75.78</v>
      </c>
      <c r="C103">
        <f t="shared" si="34"/>
        <v>71.434816513761461</v>
      </c>
      <c r="D103">
        <f t="shared" si="35"/>
        <v>73.170905370816641</v>
      </c>
      <c r="E103">
        <f t="shared" si="35"/>
        <v>74.715365765310935</v>
      </c>
      <c r="F103">
        <f t="shared" si="35"/>
        <v>74.845957447647351</v>
      </c>
      <c r="G103">
        <f t="shared" si="35"/>
        <v>75.609939306990796</v>
      </c>
      <c r="H103">
        <f t="shared" si="35"/>
        <v>76.425018239067001</v>
      </c>
      <c r="I103">
        <f t="shared" si="35"/>
        <v>77.629716657762145</v>
      </c>
      <c r="J103">
        <f t="shared" si="35"/>
        <v>78.991654925655666</v>
      </c>
      <c r="K103">
        <f t="shared" si="35"/>
        <v>80.483046283260123</v>
      </c>
      <c r="L103">
        <f t="shared" si="35"/>
        <v>82.362285409937328</v>
      </c>
      <c r="M103">
        <f t="shared" si="35"/>
        <v>84.649132781538796</v>
      </c>
      <c r="N103">
        <f t="shared" si="35"/>
        <v>87.356618775407739</v>
      </c>
      <c r="O103">
        <f t="shared" si="35"/>
        <v>90.185646880435868</v>
      </c>
      <c r="P103">
        <f t="shared" si="35"/>
        <v>93.263490950199341</v>
      </c>
      <c r="Q103">
        <f t="shared" si="35"/>
        <v>96.713268632254483</v>
      </c>
      <c r="R103">
        <f t="shared" si="35"/>
        <v>100.46036351989116</v>
      </c>
      <c r="S103">
        <f t="shared" si="35"/>
        <v>104.42364107059761</v>
      </c>
      <c r="T103">
        <f t="shared" si="35"/>
        <v>108.5790051193584</v>
      </c>
      <c r="U103">
        <f t="shared" si="35"/>
        <v>112.98211259221296</v>
      </c>
      <c r="V103">
        <f t="shared" si="35"/>
        <v>117.451201715583</v>
      </c>
      <c r="W103">
        <f t="shared" si="35"/>
        <v>121.93884986329608</v>
      </c>
      <c r="X103">
        <f t="shared" si="35"/>
        <v>126.56817703994125</v>
      </c>
      <c r="Y103">
        <f t="shared" si="35"/>
        <v>131.13012726008452</v>
      </c>
      <c r="Z103">
        <f t="shared" si="35"/>
        <v>135.86240357885563</v>
      </c>
      <c r="AA103">
        <f t="shared" si="35"/>
        <v>140.82420224877015</v>
      </c>
      <c r="AB103">
        <f t="shared" si="35"/>
        <v>146.03465449446458</v>
      </c>
      <c r="AC103">
        <f t="shared" si="35"/>
        <v>151.50803678395161</v>
      </c>
      <c r="AD103">
        <f t="shared" si="35"/>
        <v>156.8885355912152</v>
      </c>
      <c r="AE103">
        <f t="shared" si="35"/>
        <v>162.53659367790294</v>
      </c>
      <c r="AF103">
        <f t="shared" si="35"/>
        <v>168.59074693845093</v>
      </c>
      <c r="AG103">
        <f t="shared" si="35"/>
        <v>175.0037820629621</v>
      </c>
      <c r="AH103">
        <f t="shared" si="35"/>
        <v>181.32381456281655</v>
      </c>
      <c r="AI103">
        <f t="shared" si="35"/>
        <v>187.52491361396878</v>
      </c>
      <c r="AJ103">
        <f t="shared" si="35"/>
        <v>193.58085252295902</v>
      </c>
      <c r="AK103">
        <f t="shared" si="35"/>
        <v>199.465273348837</v>
      </c>
      <c r="AL103">
        <f t="shared" si="35"/>
        <v>205.15187236160412</v>
      </c>
      <c r="AM103" s="28"/>
      <c r="AN103" s="28"/>
    </row>
    <row r="104" spans="1:40" x14ac:dyDescent="0.25">
      <c r="A104" t="s">
        <v>31</v>
      </c>
      <c r="B104">
        <v>1.1000000000000001</v>
      </c>
      <c r="C104">
        <f t="shared" si="34"/>
        <v>1.1000000000000001</v>
      </c>
      <c r="D104">
        <f t="shared" si="35"/>
        <v>1.0621271563459795</v>
      </c>
      <c r="E104">
        <f t="shared" si="35"/>
        <v>1.0845460852710747</v>
      </c>
      <c r="F104">
        <f t="shared" si="35"/>
        <v>1.0864417153920838</v>
      </c>
      <c r="G104">
        <f t="shared" si="35"/>
        <v>1.0975314494284758</v>
      </c>
      <c r="H104">
        <f t="shared" si="35"/>
        <v>1.1093628934148023</v>
      </c>
      <c r="I104">
        <f t="shared" si="35"/>
        <v>1.126849938288973</v>
      </c>
      <c r="J104">
        <f t="shared" si="35"/>
        <v>1.1466194301691905</v>
      </c>
      <c r="K104">
        <f t="shared" si="35"/>
        <v>1.1682680246976269</v>
      </c>
      <c r="L104">
        <f t="shared" si="35"/>
        <v>1.1955465023875838</v>
      </c>
      <c r="M104">
        <f t="shared" si="35"/>
        <v>1.2287417004446122</v>
      </c>
      <c r="N104">
        <f t="shared" si="35"/>
        <v>1.2680427639607881</v>
      </c>
      <c r="O104">
        <f t="shared" si="35"/>
        <v>1.3091080967073034</v>
      </c>
      <c r="P104">
        <f t="shared" si="35"/>
        <v>1.3537851681871111</v>
      </c>
      <c r="Q104">
        <f t="shared" si="35"/>
        <v>1.4038611176495108</v>
      </c>
      <c r="R104">
        <f t="shared" si="35"/>
        <v>1.4582528354695206</v>
      </c>
      <c r="S104">
        <f t="shared" si="35"/>
        <v>1.5157825966964551</v>
      </c>
      <c r="T104">
        <f t="shared" si="35"/>
        <v>1.576100628547034</v>
      </c>
      <c r="U104">
        <f t="shared" si="35"/>
        <v>1.6400148304491193</v>
      </c>
      <c r="V104">
        <f t="shared" si="35"/>
        <v>1.7048868024167498</v>
      </c>
      <c r="W104">
        <f t="shared" si="35"/>
        <v>1.7700281716762429</v>
      </c>
      <c r="X104">
        <f t="shared" si="35"/>
        <v>1.8372261116908863</v>
      </c>
      <c r="Y104">
        <f t="shared" si="35"/>
        <v>1.9034460277922007</v>
      </c>
      <c r="Z104">
        <f t="shared" si="35"/>
        <v>1.9721383470142675</v>
      </c>
      <c r="AA104">
        <f t="shared" si="35"/>
        <v>2.0441623445981416</v>
      </c>
      <c r="AB104">
        <f t="shared" si="35"/>
        <v>2.119795723725403</v>
      </c>
      <c r="AC104">
        <f t="shared" si="35"/>
        <v>2.1992457173706361</v>
      </c>
      <c r="AD104">
        <f t="shared" si="35"/>
        <v>2.2773474419416297</v>
      </c>
      <c r="AE104">
        <f t="shared" si="35"/>
        <v>2.3593329776417682</v>
      </c>
      <c r="AF104">
        <f t="shared" si="35"/>
        <v>2.4472132704182634</v>
      </c>
      <c r="AG104">
        <f t="shared" si="35"/>
        <v>2.5403029858703916</v>
      </c>
      <c r="AH104">
        <f t="shared" si="35"/>
        <v>2.6320427028120634</v>
      </c>
      <c r="AI104">
        <f t="shared" si="35"/>
        <v>2.7220560170937662</v>
      </c>
      <c r="AJ104">
        <f t="shared" si="35"/>
        <v>2.8099622298133404</v>
      </c>
      <c r="AK104">
        <f t="shared" si="35"/>
        <v>2.895378736918985</v>
      </c>
      <c r="AL104">
        <f t="shared" si="35"/>
        <v>2.9779237212689957</v>
      </c>
      <c r="AM104" s="28"/>
      <c r="AN104" s="28"/>
    </row>
    <row r="105" spans="1:40" x14ac:dyDescent="0.25">
      <c r="A105" t="s">
        <v>32</v>
      </c>
      <c r="B105">
        <v>706.01</v>
      </c>
      <c r="C105">
        <f t="shared" si="34"/>
        <v>672.39284076522722</v>
      </c>
      <c r="D105">
        <f t="shared" si="35"/>
        <v>681.70217604711354</v>
      </c>
      <c r="E105">
        <f t="shared" si="35"/>
        <v>696.09125605657391</v>
      </c>
      <c r="F105">
        <f t="shared" si="35"/>
        <v>697.3079231672408</v>
      </c>
      <c r="G105">
        <f t="shared" si="35"/>
        <v>704.42561691908918</v>
      </c>
      <c r="H105">
        <f t="shared" si="35"/>
        <v>712.01936034525863</v>
      </c>
      <c r="I105">
        <f t="shared" si="35"/>
        <v>723.24302266490702</v>
      </c>
      <c r="J105">
        <f t="shared" si="35"/>
        <v>735.93162172159089</v>
      </c>
      <c r="K105">
        <f t="shared" si="35"/>
        <v>749.82628010615576</v>
      </c>
      <c r="L105">
        <f t="shared" si="35"/>
        <v>767.33435104605246</v>
      </c>
      <c r="M105">
        <f t="shared" si="35"/>
        <v>788.63993448263659</v>
      </c>
      <c r="N105">
        <f t="shared" si="35"/>
        <v>813.86442889450529</v>
      </c>
      <c r="O105">
        <f t="shared" si="35"/>
        <v>840.22127941483916</v>
      </c>
      <c r="P105">
        <f t="shared" si="35"/>
        <v>868.89624235616554</v>
      </c>
      <c r="Q105">
        <f t="shared" si="35"/>
        <v>901.03635242884627</v>
      </c>
      <c r="R105">
        <f t="shared" si="35"/>
        <v>935.94644033621466</v>
      </c>
      <c r="S105">
        <f t="shared" si="35"/>
        <v>972.87061008514934</v>
      </c>
      <c r="T105">
        <f t="shared" si="35"/>
        <v>1011.584367964083</v>
      </c>
      <c r="U105">
        <f t="shared" si="35"/>
        <v>1052.6062458594386</v>
      </c>
      <c r="V105">
        <f t="shared" si="35"/>
        <v>1094.2428467038628</v>
      </c>
      <c r="W105">
        <f t="shared" si="35"/>
        <v>1136.0523540774036</v>
      </c>
      <c r="X105">
        <f t="shared" si="35"/>
        <v>1179.1818246498929</v>
      </c>
      <c r="Y105">
        <f t="shared" si="35"/>
        <v>1221.6835728014282</v>
      </c>
      <c r="Z105">
        <f t="shared" si="35"/>
        <v>1265.7721767050384</v>
      </c>
      <c r="AA105">
        <f t="shared" si="35"/>
        <v>1311.9991426452118</v>
      </c>
      <c r="AB105">
        <f t="shared" si="35"/>
        <v>1360.5427080976099</v>
      </c>
      <c r="AC105">
        <f t="shared" si="35"/>
        <v>1411.5358808371288</v>
      </c>
      <c r="AD105">
        <f t="shared" si="35"/>
        <v>1461.6636977138264</v>
      </c>
      <c r="AE105">
        <f t="shared" si="35"/>
        <v>1514.284250495331</v>
      </c>
      <c r="AF105">
        <f t="shared" si="35"/>
        <v>1570.688219134543</v>
      </c>
      <c r="AG105">
        <f t="shared" si="35"/>
        <v>1630.4357373221403</v>
      </c>
      <c r="AH105">
        <f t="shared" si="35"/>
        <v>1689.3167896475859</v>
      </c>
      <c r="AI105">
        <f t="shared" si="35"/>
        <v>1747.0897896621541</v>
      </c>
      <c r="AJ105">
        <f t="shared" si="35"/>
        <v>1803.5103944277419</v>
      </c>
      <c r="AK105">
        <f t="shared" si="35"/>
        <v>1858.3330382292481</v>
      </c>
      <c r="AL105">
        <f t="shared" si="35"/>
        <v>1911.3126604119304</v>
      </c>
      <c r="AM105" s="28"/>
      <c r="AN105" s="28"/>
    </row>
    <row r="106" spans="1:40" x14ac:dyDescent="0.25">
      <c r="A106" t="s">
        <v>33</v>
      </c>
      <c r="B106">
        <v>124.42</v>
      </c>
      <c r="C106">
        <f t="shared" si="34"/>
        <v>120.25282296650717</v>
      </c>
      <c r="D106">
        <f t="shared" si="35"/>
        <v>120.13623708415159</v>
      </c>
      <c r="E106">
        <f t="shared" si="35"/>
        <v>122.67202175402464</v>
      </c>
      <c r="F106">
        <f t="shared" si="35"/>
        <v>122.88643475371185</v>
      </c>
      <c r="G106">
        <f t="shared" si="35"/>
        <v>124.14078448899174</v>
      </c>
      <c r="H106">
        <f t="shared" si="35"/>
        <v>125.47902836242697</v>
      </c>
      <c r="I106">
        <f t="shared" si="35"/>
        <v>127.45697211083089</v>
      </c>
      <c r="J106">
        <f t="shared" si="35"/>
        <v>129.69308136513695</v>
      </c>
      <c r="K106">
        <f t="shared" si="35"/>
        <v>132.1417342117079</v>
      </c>
      <c r="L106">
        <f t="shared" si="35"/>
        <v>135.22717802460281</v>
      </c>
      <c r="M106">
        <f t="shared" si="35"/>
        <v>138.98185669938053</v>
      </c>
      <c r="N106">
        <f t="shared" si="35"/>
        <v>143.42716426545564</v>
      </c>
      <c r="O106">
        <f t="shared" si="35"/>
        <v>148.07202672029331</v>
      </c>
      <c r="P106">
        <f t="shared" si="35"/>
        <v>153.12540965985482</v>
      </c>
      <c r="Q106">
        <f t="shared" si="35"/>
        <v>158.78945477995643</v>
      </c>
      <c r="R106">
        <f t="shared" si="35"/>
        <v>164.94165253556156</v>
      </c>
      <c r="S106">
        <f t="shared" si="35"/>
        <v>171.44879152815719</v>
      </c>
      <c r="T106">
        <f t="shared" si="35"/>
        <v>178.27130927620175</v>
      </c>
      <c r="U106">
        <f t="shared" si="35"/>
        <v>185.50058654952667</v>
      </c>
      <c r="V106">
        <f t="shared" si="35"/>
        <v>192.8381963242654</v>
      </c>
      <c r="W106">
        <f t="shared" si="35"/>
        <v>200.20627738178007</v>
      </c>
      <c r="X106">
        <f t="shared" si="35"/>
        <v>207.80697528779999</v>
      </c>
      <c r="Y106">
        <f t="shared" si="35"/>
        <v>215.29704979809591</v>
      </c>
      <c r="Z106">
        <f t="shared" si="35"/>
        <v>223.06677557774094</v>
      </c>
      <c r="AA106">
        <f t="shared" si="35"/>
        <v>231.21334446809146</v>
      </c>
      <c r="AB106">
        <f t="shared" si="35"/>
        <v>239.76816722355863</v>
      </c>
      <c r="AC106">
        <f t="shared" si="35"/>
        <v>248.75468377750397</v>
      </c>
      <c r="AD106">
        <f t="shared" si="35"/>
        <v>257.58869884216131</v>
      </c>
      <c r="AE106">
        <f t="shared" si="35"/>
        <v>266.86200825289882</v>
      </c>
      <c r="AF106">
        <f t="shared" si="35"/>
        <v>276.8020682776729</v>
      </c>
      <c r="AG106">
        <f t="shared" si="35"/>
        <v>287.33136136544908</v>
      </c>
      <c r="AH106">
        <f t="shared" si="35"/>
        <v>297.70795734897894</v>
      </c>
      <c r="AI106">
        <f t="shared" si="35"/>
        <v>307.88928149709665</v>
      </c>
      <c r="AJ106">
        <f t="shared" si="35"/>
        <v>317.83227330306886</v>
      </c>
      <c r="AK106">
        <f t="shared" si="35"/>
        <v>327.49365677041828</v>
      </c>
      <c r="AL106">
        <f t="shared" si="35"/>
        <v>336.8302449093531</v>
      </c>
      <c r="AM106" s="28"/>
      <c r="AN106" s="28"/>
    </row>
    <row r="107" spans="1:40" x14ac:dyDescent="0.25">
      <c r="A107" t="s">
        <v>34</v>
      </c>
      <c r="B107">
        <v>646.41</v>
      </c>
      <c r="C107">
        <f t="shared" si="34"/>
        <v>616.38080922190193</v>
      </c>
      <c r="D107">
        <f t="shared" si="35"/>
        <v>624.15419557600399</v>
      </c>
      <c r="E107">
        <f t="shared" si="35"/>
        <v>637.32857725461383</v>
      </c>
      <c r="F107">
        <f t="shared" si="35"/>
        <v>638.4425356787242</v>
      </c>
      <c r="G107">
        <f t="shared" si="35"/>
        <v>644.95936747732799</v>
      </c>
      <c r="H107">
        <f t="shared" si="35"/>
        <v>651.91206175660193</v>
      </c>
      <c r="I107">
        <f t="shared" si="35"/>
        <v>662.1882441903407</v>
      </c>
      <c r="J107">
        <f t="shared" si="35"/>
        <v>673.80569623242388</v>
      </c>
      <c r="K107">
        <f t="shared" si="35"/>
        <v>686.5273944043571</v>
      </c>
      <c r="L107">
        <f t="shared" si="35"/>
        <v>702.55746782577967</v>
      </c>
      <c r="M107">
        <f t="shared" si="35"/>
        <v>722.0644750767284</v>
      </c>
      <c r="N107">
        <f t="shared" si="35"/>
        <v>745.15956641081152</v>
      </c>
      <c r="O107">
        <f t="shared" si="35"/>
        <v>769.29142253869782</v>
      </c>
      <c r="P107">
        <f t="shared" si="35"/>
        <v>795.54570051620908</v>
      </c>
      <c r="Q107">
        <f t="shared" si="35"/>
        <v>824.97260459983613</v>
      </c>
      <c r="R107">
        <f t="shared" si="35"/>
        <v>856.93565034168398</v>
      </c>
      <c r="S107">
        <f t="shared" si="35"/>
        <v>890.74275302777733</v>
      </c>
      <c r="T107">
        <f t="shared" si="35"/>
        <v>926.18837027189795</v>
      </c>
      <c r="U107">
        <f t="shared" si="35"/>
        <v>963.7472605005587</v>
      </c>
      <c r="V107">
        <f t="shared" si="35"/>
        <v>1001.8689799547367</v>
      </c>
      <c r="W107">
        <f t="shared" si="35"/>
        <v>1040.1490095029449</v>
      </c>
      <c r="X107">
        <f t="shared" si="35"/>
        <v>1079.637573507368</v>
      </c>
      <c r="Y107">
        <f t="shared" si="35"/>
        <v>1118.5514062046868</v>
      </c>
      <c r="Z107">
        <f t="shared" si="35"/>
        <v>1158.9181353577196</v>
      </c>
      <c r="AA107">
        <f t="shared" si="35"/>
        <v>1201.2427101560761</v>
      </c>
      <c r="AB107">
        <f t="shared" si="35"/>
        <v>1245.6883216121244</v>
      </c>
      <c r="AC107">
        <f t="shared" si="35"/>
        <v>1292.3767492414108</v>
      </c>
      <c r="AD107">
        <f t="shared" si="35"/>
        <v>1338.2728726777161</v>
      </c>
      <c r="AE107">
        <f t="shared" si="35"/>
        <v>1386.4513000703766</v>
      </c>
      <c r="AF107">
        <f t="shared" si="35"/>
        <v>1438.0937546646078</v>
      </c>
      <c r="AG107">
        <f t="shared" si="35"/>
        <v>1492.7975028149808</v>
      </c>
      <c r="AH107">
        <f t="shared" si="35"/>
        <v>1546.7079304770407</v>
      </c>
      <c r="AI107">
        <f t="shared" si="35"/>
        <v>1599.6038454632551</v>
      </c>
      <c r="AJ107">
        <f t="shared" si="35"/>
        <v>1651.2615317942184</v>
      </c>
      <c r="AK107">
        <f t="shared" si="35"/>
        <v>1701.4561539379999</v>
      </c>
      <c r="AL107">
        <f t="shared" si="35"/>
        <v>1749.9633387868093</v>
      </c>
      <c r="AM107" s="28"/>
      <c r="AN107" s="28"/>
    </row>
    <row r="108" spans="1:40" x14ac:dyDescent="0.25">
      <c r="A108" t="s">
        <v>36</v>
      </c>
      <c r="B108">
        <v>27.78</v>
      </c>
      <c r="C108">
        <f t="shared" si="34"/>
        <v>26.29382716049383</v>
      </c>
      <c r="D108">
        <f t="shared" si="35"/>
        <v>26.823538548446646</v>
      </c>
      <c r="E108">
        <f t="shared" si="35"/>
        <v>27.389718408027687</v>
      </c>
      <c r="F108">
        <f t="shared" si="35"/>
        <v>27.437591685083714</v>
      </c>
      <c r="G108">
        <f t="shared" si="35"/>
        <v>27.717657877384596</v>
      </c>
      <c r="H108">
        <f t="shared" si="35"/>
        <v>28.016455617330191</v>
      </c>
      <c r="I108">
        <f t="shared" si="35"/>
        <v>28.458082986970609</v>
      </c>
      <c r="J108">
        <f t="shared" si="35"/>
        <v>28.957352518272831</v>
      </c>
      <c r="K108">
        <f t="shared" si="35"/>
        <v>29.504077932818252</v>
      </c>
      <c r="L108">
        <f t="shared" si="35"/>
        <v>30.192983487570068</v>
      </c>
      <c r="M108">
        <f t="shared" si="35"/>
        <v>31.031313125773927</v>
      </c>
      <c r="N108">
        <f t="shared" si="35"/>
        <v>32.023843620755173</v>
      </c>
      <c r="O108">
        <f t="shared" si="35"/>
        <v>33.060929933208079</v>
      </c>
      <c r="P108">
        <f t="shared" si="35"/>
        <v>34.189229065670858</v>
      </c>
      <c r="Q108">
        <f t="shared" si="35"/>
        <v>35.453874407548554</v>
      </c>
      <c r="R108">
        <f t="shared" si="35"/>
        <v>36.8275125175848</v>
      </c>
      <c r="S108">
        <f t="shared" si="35"/>
        <v>38.280400487479575</v>
      </c>
      <c r="T108">
        <f t="shared" si="35"/>
        <v>39.803704964578735</v>
      </c>
      <c r="U108">
        <f t="shared" si="35"/>
        <v>41.417829081705939</v>
      </c>
      <c r="V108">
        <f t="shared" si="35"/>
        <v>43.056141246488465</v>
      </c>
      <c r="W108">
        <f t="shared" si="35"/>
        <v>44.701256917423663</v>
      </c>
      <c r="X108">
        <f t="shared" si="35"/>
        <v>46.398310347975297</v>
      </c>
      <c r="Y108">
        <f t="shared" si="35"/>
        <v>48.070664229152129</v>
      </c>
      <c r="Z108">
        <f t="shared" si="35"/>
        <v>49.805457527323959</v>
      </c>
      <c r="AA108">
        <f t="shared" si="35"/>
        <v>51.624390848123966</v>
      </c>
      <c r="AB108">
        <f t="shared" si="35"/>
        <v>53.534477459174262</v>
      </c>
      <c r="AC108">
        <f t="shared" si="35"/>
        <v>55.540950935051143</v>
      </c>
      <c r="AD108">
        <f t="shared" si="35"/>
        <v>57.513374488307704</v>
      </c>
      <c r="AE108">
        <f t="shared" si="35"/>
        <v>59.583881926262109</v>
      </c>
      <c r="AF108">
        <f t="shared" si="35"/>
        <v>61.803258774744869</v>
      </c>
      <c r="AG108">
        <f t="shared" si="35"/>
        <v>64.154197224981331</v>
      </c>
      <c r="AH108">
        <f t="shared" si="35"/>
        <v>66.471042076471917</v>
      </c>
      <c r="AI108">
        <f t="shared" si="35"/>
        <v>68.74428741351349</v>
      </c>
      <c r="AJ108">
        <f t="shared" si="35"/>
        <v>70.964318858376899</v>
      </c>
      <c r="AK108">
        <f t="shared" si="35"/>
        <v>73.121473919644927</v>
      </c>
      <c r="AL108">
        <f t="shared" si="35"/>
        <v>75.206109978957016</v>
      </c>
      <c r="AM108" s="28"/>
      <c r="AN108" s="28"/>
    </row>
    <row r="109" spans="1:40" x14ac:dyDescent="0.25">
      <c r="A109" t="s">
        <v>37</v>
      </c>
      <c r="B109">
        <v>951.8</v>
      </c>
      <c r="C109">
        <f t="shared" si="34"/>
        <v>597.95725388601034</v>
      </c>
      <c r="D109">
        <f t="shared" ref="D109:AL114" si="36">C109*D25/C25</f>
        <v>919.02966128191179</v>
      </c>
      <c r="E109">
        <f t="shared" si="36"/>
        <v>938.42814905546243</v>
      </c>
      <c r="F109">
        <f t="shared" si="36"/>
        <v>940.06838610016825</v>
      </c>
      <c r="G109">
        <f t="shared" si="36"/>
        <v>949.66403051456655</v>
      </c>
      <c r="H109">
        <f t="shared" si="36"/>
        <v>959.90145632018982</v>
      </c>
      <c r="I109">
        <f t="shared" si="36"/>
        <v>975.03251933040417</v>
      </c>
      <c r="J109">
        <f t="shared" si="36"/>
        <v>992.13852148639592</v>
      </c>
      <c r="K109">
        <f t="shared" si="36"/>
        <v>1010.8704599156376</v>
      </c>
      <c r="L109">
        <f t="shared" si="36"/>
        <v>1034.4737827022745</v>
      </c>
      <c r="M109">
        <f t="shared" si="36"/>
        <v>1063.1966822574377</v>
      </c>
      <c r="N109">
        <f t="shared" si="36"/>
        <v>1097.2028206707982</v>
      </c>
      <c r="O109">
        <f t="shared" si="36"/>
        <v>1132.7355331327376</v>
      </c>
      <c r="P109">
        <f t="shared" si="36"/>
        <v>1171.3933846186294</v>
      </c>
      <c r="Q109">
        <f t="shared" si="36"/>
        <v>1214.7227379807314</v>
      </c>
      <c r="R109">
        <f t="shared" si="36"/>
        <v>1261.7864079998999</v>
      </c>
      <c r="S109">
        <f t="shared" si="36"/>
        <v>1311.5653413960783</v>
      </c>
      <c r="T109">
        <f t="shared" si="36"/>
        <v>1363.7568893191519</v>
      </c>
      <c r="U109">
        <f t="shared" si="36"/>
        <v>1419.0601051104288</v>
      </c>
      <c r="V109">
        <f t="shared" si="36"/>
        <v>1475.1920532184204</v>
      </c>
      <c r="W109">
        <f t="shared" si="36"/>
        <v>1531.5571034558616</v>
      </c>
      <c r="X109">
        <f t="shared" si="36"/>
        <v>1589.7016482794411</v>
      </c>
      <c r="Y109">
        <f t="shared" si="36"/>
        <v>1646.9999356841965</v>
      </c>
      <c r="Z109">
        <f t="shared" si="36"/>
        <v>1706.4375260801628</v>
      </c>
      <c r="AA109">
        <f t="shared" si="36"/>
        <v>1768.7579268986458</v>
      </c>
      <c r="AB109">
        <f t="shared" si="36"/>
        <v>1834.2014271289436</v>
      </c>
      <c r="AC109">
        <f t="shared" si="36"/>
        <v>1902.9473398121552</v>
      </c>
      <c r="AD109">
        <f t="shared" si="36"/>
        <v>1970.5266320364026</v>
      </c>
      <c r="AE109">
        <f t="shared" si="36"/>
        <v>2041.4664801085769</v>
      </c>
      <c r="AF109">
        <f t="shared" si="36"/>
        <v>2117.5069007128209</v>
      </c>
      <c r="AG109">
        <f t="shared" si="36"/>
        <v>2198.0548926831257</v>
      </c>
      <c r="AH109">
        <f t="shared" si="36"/>
        <v>2277.4347677604742</v>
      </c>
      <c r="AI109">
        <f t="shared" si="36"/>
        <v>2355.3208336998605</v>
      </c>
      <c r="AJ109">
        <f t="shared" si="36"/>
        <v>2431.3836821239429</v>
      </c>
      <c r="AK109">
        <f t="shared" si="36"/>
        <v>2505.2922561813543</v>
      </c>
      <c r="AL109">
        <f t="shared" si="36"/>
        <v>2576.7161799125724</v>
      </c>
      <c r="AM109" s="28"/>
      <c r="AN109" s="28"/>
    </row>
    <row r="110" spans="1:40" x14ac:dyDescent="0.25">
      <c r="A110" t="s">
        <v>38</v>
      </c>
      <c r="B110">
        <v>5306.56</v>
      </c>
      <c r="C110">
        <f t="shared" si="34"/>
        <v>5081.4673170731712</v>
      </c>
      <c r="D110">
        <f t="shared" si="36"/>
        <v>5054.5812465261952</v>
      </c>
      <c r="E110">
        <f t="shared" si="36"/>
        <v>5033.7662241480202</v>
      </c>
      <c r="F110">
        <f t="shared" si="36"/>
        <v>5058.9177093296885</v>
      </c>
      <c r="G110">
        <f t="shared" si="36"/>
        <v>5097.0785834426324</v>
      </c>
      <c r="H110">
        <f t="shared" si="36"/>
        <v>5166.4619909904914</v>
      </c>
      <c r="I110">
        <f t="shared" si="36"/>
        <v>5130.9029944916319</v>
      </c>
      <c r="J110">
        <f t="shared" si="36"/>
        <v>5117.0263128784536</v>
      </c>
      <c r="K110">
        <f t="shared" si="36"/>
        <v>5153.4526017980397</v>
      </c>
      <c r="L110">
        <f t="shared" si="36"/>
        <v>5182.0732573586465</v>
      </c>
      <c r="M110">
        <f t="shared" si="36"/>
        <v>5215.8976684909312</v>
      </c>
      <c r="N110">
        <f t="shared" si="36"/>
        <v>5192.4807683298895</v>
      </c>
      <c r="O110">
        <f t="shared" si="36"/>
        <v>5187.2770126711794</v>
      </c>
      <c r="P110">
        <f t="shared" si="36"/>
        <v>5120.4954827451256</v>
      </c>
      <c r="Q110">
        <f t="shared" si="36"/>
        <v>5100.5477529664695</v>
      </c>
      <c r="R110">
        <f t="shared" si="36"/>
        <v>5006.0128599935151</v>
      </c>
      <c r="S110">
        <f t="shared" si="36"/>
        <v>4912.3452596174693</v>
      </c>
      <c r="T110">
        <f t="shared" si="36"/>
        <v>4861.1749964106284</v>
      </c>
      <c r="U110">
        <f t="shared" si="36"/>
        <v>4764.9055182521861</v>
      </c>
      <c r="V110">
        <f t="shared" si="36"/>
        <v>4668.6360400954954</v>
      </c>
      <c r="W110">
        <f t="shared" si="36"/>
        <v>4570.6319767501764</v>
      </c>
      <c r="X110">
        <f t="shared" si="36"/>
        <v>4519.4617135471017</v>
      </c>
      <c r="Y110">
        <f t="shared" si="36"/>
        <v>4469.1587429401852</v>
      </c>
      <c r="Z110">
        <f t="shared" si="36"/>
        <v>4418.8557723342437</v>
      </c>
      <c r="AA110">
        <f t="shared" si="36"/>
        <v>4369.4200943244314</v>
      </c>
      <c r="AB110">
        <f t="shared" si="36"/>
        <v>4319.1171237204753</v>
      </c>
      <c r="AC110">
        <f t="shared" si="36"/>
        <v>4269.6814457126366</v>
      </c>
      <c r="AD110">
        <f t="shared" si="36"/>
        <v>4220.2457677058028</v>
      </c>
      <c r="AE110">
        <f t="shared" si="36"/>
        <v>4169.9427971049136</v>
      </c>
      <c r="AF110">
        <f t="shared" si="36"/>
        <v>4120.5071191001234</v>
      </c>
      <c r="AG110">
        <f t="shared" si="36"/>
        <v>4071.0714410963742</v>
      </c>
      <c r="AH110">
        <f t="shared" si="36"/>
        <v>4022.2185838032183</v>
      </c>
      <c r="AI110">
        <f t="shared" si="36"/>
        <v>3973.9519607975794</v>
      </c>
      <c r="AJ110">
        <f t="shared" si="36"/>
        <v>3926.2645372680086</v>
      </c>
      <c r="AK110">
        <f t="shared" si="36"/>
        <v>3879.1493628207932</v>
      </c>
      <c r="AL110">
        <f t="shared" si="36"/>
        <v>3832.599570466944</v>
      </c>
      <c r="AM110" s="28"/>
      <c r="AN110" s="28"/>
    </row>
    <row r="111" spans="1:40" x14ac:dyDescent="0.25">
      <c r="A111" t="s">
        <v>178</v>
      </c>
      <c r="B111">
        <v>192.87</v>
      </c>
      <c r="C111">
        <f t="shared" si="34"/>
        <v>146.21713788514691</v>
      </c>
      <c r="D111">
        <f t="shared" si="36"/>
        <v>186.22951331313547</v>
      </c>
      <c r="E111">
        <f t="shared" si="36"/>
        <v>190.16036678748375</v>
      </c>
      <c r="F111">
        <f t="shared" si="36"/>
        <v>190.49273967970103</v>
      </c>
      <c r="G111">
        <f t="shared" si="36"/>
        <v>192.43717331933644</v>
      </c>
      <c r="H111">
        <f t="shared" si="36"/>
        <v>194.51165568446629</v>
      </c>
      <c r="I111">
        <f t="shared" si="36"/>
        <v>197.57777054344928</v>
      </c>
      <c r="J111">
        <f t="shared" si="36"/>
        <v>201.04408136066522</v>
      </c>
      <c r="K111">
        <f t="shared" si="36"/>
        <v>204.83986720311933</v>
      </c>
      <c r="L111">
        <f t="shared" si="36"/>
        <v>209.62277628681204</v>
      </c>
      <c r="M111">
        <f t="shared" si="36"/>
        <v>215.44310160432028</v>
      </c>
      <c r="N111">
        <f t="shared" si="36"/>
        <v>222.33400716828834</v>
      </c>
      <c r="O111">
        <f t="shared" si="36"/>
        <v>229.53425328357963</v>
      </c>
      <c r="P111">
        <f t="shared" si="36"/>
        <v>237.36776853477099</v>
      </c>
      <c r="Q111">
        <f t="shared" si="36"/>
        <v>246.1479034191465</v>
      </c>
      <c r="R111">
        <f t="shared" si="36"/>
        <v>255.68474943364222</v>
      </c>
      <c r="S111">
        <f t="shared" si="36"/>
        <v>265.77180856804119</v>
      </c>
      <c r="T111">
        <f t="shared" si="36"/>
        <v>276.34775293442408</v>
      </c>
      <c r="U111">
        <f t="shared" si="36"/>
        <v>287.554236680656</v>
      </c>
      <c r="V111">
        <f t="shared" si="36"/>
        <v>298.92865234738048</v>
      </c>
      <c r="W111">
        <f t="shared" si="36"/>
        <v>310.35030315563364</v>
      </c>
      <c r="X111">
        <f t="shared" si="36"/>
        <v>322.13254560165569</v>
      </c>
      <c r="Y111">
        <f t="shared" si="36"/>
        <v>333.74330489116528</v>
      </c>
      <c r="Z111">
        <f t="shared" si="36"/>
        <v>345.78756635331069</v>
      </c>
      <c r="AA111">
        <f t="shared" si="36"/>
        <v>358.41599218422141</v>
      </c>
      <c r="AB111">
        <f t="shared" si="36"/>
        <v>371.67727384992588</v>
      </c>
      <c r="AC111">
        <f t="shared" si="36"/>
        <v>385.60774682661327</v>
      </c>
      <c r="AD111">
        <f t="shared" si="36"/>
        <v>399.30181920662022</v>
      </c>
      <c r="AE111">
        <f t="shared" si="36"/>
        <v>413.67686490706183</v>
      </c>
      <c r="AF111">
        <f t="shared" si="36"/>
        <v>429.08547587779145</v>
      </c>
      <c r="AG111">
        <f t="shared" si="36"/>
        <v>445.4074880771114</v>
      </c>
      <c r="AH111">
        <f t="shared" si="36"/>
        <v>461.49279644669349</v>
      </c>
      <c r="AI111">
        <f t="shared" si="36"/>
        <v>477.27540365170444</v>
      </c>
      <c r="AJ111">
        <f t="shared" si="36"/>
        <v>492.68855933099917</v>
      </c>
      <c r="AK111">
        <f t="shared" si="36"/>
        <v>507.66517908142265</v>
      </c>
      <c r="AL111">
        <f t="shared" si="36"/>
        <v>522.1383164737739</v>
      </c>
      <c r="AM111" s="28"/>
      <c r="AN111" s="28"/>
    </row>
    <row r="112" spans="1:40" x14ac:dyDescent="0.25">
      <c r="A112" t="s">
        <v>179</v>
      </c>
      <c r="B112">
        <v>15.43</v>
      </c>
      <c r="C112">
        <f t="shared" si="34"/>
        <v>14.62441767068273</v>
      </c>
      <c r="D112">
        <f t="shared" si="36"/>
        <v>14.898747293107691</v>
      </c>
      <c r="E112">
        <f t="shared" si="36"/>
        <v>15.213223723393348</v>
      </c>
      <c r="F112">
        <f t="shared" si="36"/>
        <v>15.239814244090772</v>
      </c>
      <c r="G112">
        <f t="shared" si="36"/>
        <v>15.395372967892163</v>
      </c>
      <c r="H112">
        <f t="shared" si="36"/>
        <v>15.561335859445817</v>
      </c>
      <c r="I112">
        <f t="shared" si="36"/>
        <v>15.806631407089865</v>
      </c>
      <c r="J112">
        <f t="shared" si="36"/>
        <v>16.083943461373281</v>
      </c>
      <c r="K112">
        <f t="shared" si="36"/>
        <v>16.387614200985798</v>
      </c>
      <c r="L112">
        <f t="shared" si="36"/>
        <v>16.770256847127644</v>
      </c>
      <c r="M112">
        <f t="shared" si="36"/>
        <v>17.235894943509415</v>
      </c>
      <c r="N112">
        <f t="shared" si="36"/>
        <v>17.787181679922686</v>
      </c>
      <c r="O112">
        <f t="shared" si="36"/>
        <v>18.363216301994257</v>
      </c>
      <c r="P112">
        <f t="shared" si="36"/>
        <v>18.989913768297377</v>
      </c>
      <c r="Q112">
        <f t="shared" si="36"/>
        <v>19.692342768483584</v>
      </c>
      <c r="R112">
        <f t="shared" si="36"/>
        <v>20.455310228449722</v>
      </c>
      <c r="S112">
        <f t="shared" si="36"/>
        <v>21.262295879114813</v>
      </c>
      <c r="T112">
        <f t="shared" si="36"/>
        <v>22.108393362255207</v>
      </c>
      <c r="U112">
        <f t="shared" si="36"/>
        <v>23.004935303481727</v>
      </c>
      <c r="V112">
        <f t="shared" si="36"/>
        <v>23.914912146627671</v>
      </c>
      <c r="W112">
        <f t="shared" si="36"/>
        <v>24.828667899058562</v>
      </c>
      <c r="X112">
        <f t="shared" si="36"/>
        <v>25.771271730354872</v>
      </c>
      <c r="Y112">
        <f t="shared" si="36"/>
        <v>26.70015655348513</v>
      </c>
      <c r="Z112">
        <f t="shared" si="36"/>
        <v>27.663722449481938</v>
      </c>
      <c r="AA112">
        <f t="shared" si="36"/>
        <v>28.674022706499372</v>
      </c>
      <c r="AB112">
        <f t="shared" si="36"/>
        <v>29.734952742802683</v>
      </c>
      <c r="AC112">
        <f t="shared" si="36"/>
        <v>30.849419471844445</v>
      </c>
      <c r="AD112">
        <f t="shared" si="36"/>
        <v>31.944973662872119</v>
      </c>
      <c r="AE112">
        <f t="shared" si="36"/>
        <v>33.095007131829512</v>
      </c>
      <c r="AF112">
        <f t="shared" si="36"/>
        <v>34.327727965957983</v>
      </c>
      <c r="AG112">
        <f t="shared" si="36"/>
        <v>35.633522792709201</v>
      </c>
      <c r="AH112">
        <f t="shared" si="36"/>
        <v>36.920380822172831</v>
      </c>
      <c r="AI112">
        <f t="shared" si="36"/>
        <v>38.183022130687988</v>
      </c>
      <c r="AJ112">
        <f t="shared" si="36"/>
        <v>39.416106550927104</v>
      </c>
      <c r="AK112">
        <f t="shared" si="36"/>
        <v>40.614267191509015</v>
      </c>
      <c r="AL112">
        <f t="shared" si="36"/>
        <v>41.772148199255078</v>
      </c>
      <c r="AM112" s="28"/>
      <c r="AN112" s="28"/>
    </row>
    <row r="113" spans="1:40" x14ac:dyDescent="0.25">
      <c r="A113" t="s">
        <v>183</v>
      </c>
      <c r="B113">
        <v>1</v>
      </c>
      <c r="C113">
        <f t="shared" si="34"/>
        <v>1</v>
      </c>
      <c r="D113">
        <f t="shared" si="36"/>
        <v>0.96557014213270842</v>
      </c>
      <c r="E113">
        <f t="shared" si="36"/>
        <v>0.98595098661006764</v>
      </c>
      <c r="F113">
        <f t="shared" si="36"/>
        <v>0.98767428672007584</v>
      </c>
      <c r="G113">
        <f t="shared" si="36"/>
        <v>0.99775586311679587</v>
      </c>
      <c r="H113">
        <f t="shared" si="36"/>
        <v>1.0085117212861836</v>
      </c>
      <c r="I113">
        <f t="shared" si="36"/>
        <v>1.0244090348081571</v>
      </c>
      <c r="J113">
        <f t="shared" si="36"/>
        <v>1.0423813001538094</v>
      </c>
      <c r="K113">
        <f t="shared" si="36"/>
        <v>1.0620618406342059</v>
      </c>
      <c r="L113">
        <f t="shared" si="36"/>
        <v>1.0868604567159847</v>
      </c>
      <c r="M113">
        <f t="shared" si="36"/>
        <v>1.1170379094951013</v>
      </c>
      <c r="N113">
        <f t="shared" si="36"/>
        <v>1.1527661490552614</v>
      </c>
      <c r="O113">
        <f t="shared" si="36"/>
        <v>1.1900982697339115</v>
      </c>
      <c r="P113">
        <f t="shared" si="36"/>
        <v>1.2307137892610094</v>
      </c>
      <c r="Q113">
        <f t="shared" si="36"/>
        <v>1.2762373796813726</v>
      </c>
      <c r="R113">
        <f t="shared" si="36"/>
        <v>1.3256843958813815</v>
      </c>
      <c r="S113">
        <f t="shared" si="36"/>
        <v>1.3779841788149583</v>
      </c>
      <c r="T113">
        <f t="shared" si="36"/>
        <v>1.4328187532245755</v>
      </c>
      <c r="U113">
        <f t="shared" si="36"/>
        <v>1.4909225731355618</v>
      </c>
      <c r="V113">
        <f t="shared" si="36"/>
        <v>1.5498970931061351</v>
      </c>
      <c r="W113">
        <f t="shared" si="36"/>
        <v>1.6091165197056743</v>
      </c>
      <c r="X113">
        <f t="shared" si="36"/>
        <v>1.6702055560826228</v>
      </c>
      <c r="Y113">
        <f t="shared" si="36"/>
        <v>1.7304054798110904</v>
      </c>
      <c r="Z113">
        <f t="shared" si="36"/>
        <v>1.7928530427402414</v>
      </c>
      <c r="AA113">
        <f t="shared" si="36"/>
        <v>1.858329404180127</v>
      </c>
      <c r="AB113">
        <f t="shared" si="36"/>
        <v>1.9270870215685465</v>
      </c>
      <c r="AC113">
        <f t="shared" si="36"/>
        <v>1.999314288518758</v>
      </c>
      <c r="AD113">
        <f t="shared" si="36"/>
        <v>2.0703158563105708</v>
      </c>
      <c r="AE113">
        <f t="shared" si="36"/>
        <v>2.1448481614925154</v>
      </c>
      <c r="AF113">
        <f t="shared" si="36"/>
        <v>2.2247393367438741</v>
      </c>
      <c r="AG113">
        <f t="shared" si="36"/>
        <v>2.3093663507912634</v>
      </c>
      <c r="AH113">
        <f t="shared" si="36"/>
        <v>2.3927660934655108</v>
      </c>
      <c r="AI113">
        <f t="shared" si="36"/>
        <v>2.4745963791761496</v>
      </c>
      <c r="AJ113">
        <f t="shared" si="36"/>
        <v>2.5545111180121256</v>
      </c>
      <c r="AK113">
        <f t="shared" si="36"/>
        <v>2.6321624881081669</v>
      </c>
      <c r="AL113">
        <f t="shared" si="36"/>
        <v>2.7072033829718123</v>
      </c>
      <c r="AM113" s="28"/>
      <c r="AN113" s="28"/>
    </row>
    <row r="114" spans="1:40" x14ac:dyDescent="0.25">
      <c r="A114" t="s">
        <v>184</v>
      </c>
      <c r="B114">
        <v>0.25</v>
      </c>
      <c r="C114">
        <f t="shared" si="34"/>
        <v>0.25</v>
      </c>
      <c r="D114">
        <f t="shared" si="36"/>
        <v>0.24139253553317708</v>
      </c>
      <c r="E114">
        <f t="shared" si="36"/>
        <v>0.24648774665251694</v>
      </c>
      <c r="F114">
        <f t="shared" si="36"/>
        <v>0.24691857168001896</v>
      </c>
      <c r="G114">
        <f t="shared" si="36"/>
        <v>0.24943896577919897</v>
      </c>
      <c r="H114">
        <f t="shared" si="36"/>
        <v>0.2521279303215459</v>
      </c>
      <c r="I114">
        <f t="shared" si="36"/>
        <v>0.25610225870203929</v>
      </c>
      <c r="J114">
        <f t="shared" si="36"/>
        <v>0.26059532503845234</v>
      </c>
      <c r="K114">
        <f t="shared" si="36"/>
        <v>0.26551546015855154</v>
      </c>
      <c r="L114">
        <f t="shared" si="36"/>
        <v>0.27171511417899624</v>
      </c>
      <c r="M114">
        <f t="shared" si="36"/>
        <v>0.27925947737377543</v>
      </c>
      <c r="N114">
        <f t="shared" si="36"/>
        <v>0.28819153726381547</v>
      </c>
      <c r="O114">
        <f t="shared" si="36"/>
        <v>0.29752456743347799</v>
      </c>
      <c r="P114">
        <f t="shared" si="36"/>
        <v>0.30767844731525251</v>
      </c>
      <c r="Q114">
        <f t="shared" si="36"/>
        <v>0.31905934492034332</v>
      </c>
      <c r="R114">
        <f t="shared" si="36"/>
        <v>0.33142109897034555</v>
      </c>
      <c r="S114">
        <f t="shared" si="36"/>
        <v>0.34449604470373973</v>
      </c>
      <c r="T114">
        <f t="shared" si="36"/>
        <v>0.35820468830614405</v>
      </c>
      <c r="U114">
        <f t="shared" si="36"/>
        <v>0.37273064328389066</v>
      </c>
      <c r="V114">
        <f t="shared" si="36"/>
        <v>0.38747427327653394</v>
      </c>
      <c r="W114">
        <f t="shared" si="36"/>
        <v>0.40227912992641868</v>
      </c>
      <c r="X114">
        <f t="shared" si="36"/>
        <v>0.41755138902065581</v>
      </c>
      <c r="Y114">
        <f t="shared" si="36"/>
        <v>0.43260136995277276</v>
      </c>
      <c r="Z114">
        <f t="shared" si="36"/>
        <v>0.44821326068506062</v>
      </c>
      <c r="AA114">
        <f t="shared" si="36"/>
        <v>0.46458235104503193</v>
      </c>
      <c r="AB114">
        <f t="shared" si="36"/>
        <v>0.48177175539213679</v>
      </c>
      <c r="AC114">
        <f t="shared" si="36"/>
        <v>0.49982857212968973</v>
      </c>
      <c r="AD114">
        <f t="shared" si="36"/>
        <v>0.51757896407764292</v>
      </c>
      <c r="AE114">
        <f t="shared" si="36"/>
        <v>0.53621204037312897</v>
      </c>
      <c r="AF114">
        <f t="shared" si="36"/>
        <v>0.55618483418596876</v>
      </c>
      <c r="AG114">
        <f t="shared" si="36"/>
        <v>0.57734158769781607</v>
      </c>
      <c r="AH114">
        <f t="shared" si="36"/>
        <v>0.59819152336637793</v>
      </c>
      <c r="AI114">
        <f t="shared" si="36"/>
        <v>0.61864909479403762</v>
      </c>
      <c r="AJ114">
        <f t="shared" si="36"/>
        <v>0.63862777950303173</v>
      </c>
      <c r="AK114">
        <f t="shared" si="36"/>
        <v>0.65804062202704205</v>
      </c>
      <c r="AL114">
        <f t="shared" si="36"/>
        <v>0.67680084574295352</v>
      </c>
      <c r="AM114" s="28"/>
      <c r="AN114" s="28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4"/>
  <sheetViews>
    <sheetView workbookViewId="0">
      <selection activeCell="C15" sqref="C15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72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68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181</v>
      </c>
      <c r="C13" t="str">
        <f>"Drivers!"&amp;ADDRESS(ROW(Drivers!A84),COLUMN(Drivers!A84),4)</f>
        <v>Drivers!A84</v>
      </c>
      <c r="D13">
        <v>1</v>
      </c>
      <c r="E13">
        <v>1</v>
      </c>
    </row>
    <row r="14" spans="1:6" x14ac:dyDescent="0.25">
      <c r="A14" t="s">
        <v>4</v>
      </c>
      <c r="B14" t="s">
        <v>237</v>
      </c>
      <c r="C14" t="str">
        <f>"Drivers!"&amp;ADDRESS(ROW(Drivers!A93),COLUMN(Drivers!A93),4)</f>
        <v>Drivers!A93</v>
      </c>
      <c r="D14">
        <v>1</v>
      </c>
      <c r="E1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tabSelected="1" workbookViewId="0">
      <selection activeCell="M7" sqref="M7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181</v>
      </c>
      <c r="C15" t="s">
        <v>182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89" zoomScale="70" zoomScaleNormal="70" workbookViewId="0">
      <selection activeCell="J113" sqref="J11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135</v>
      </c>
      <c r="B1" s="2" t="s">
        <v>137</v>
      </c>
    </row>
    <row r="2" spans="1:43" ht="18" thickBot="1" x14ac:dyDescent="0.35">
      <c r="A2" s="23" t="s">
        <v>143</v>
      </c>
      <c r="B2" s="4"/>
      <c r="C2" s="4"/>
      <c r="D2" s="4"/>
      <c r="AQ2" s="20" t="s">
        <v>141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137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136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178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179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183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184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170</v>
      </c>
    </row>
    <row r="38" spans="1:40" ht="18" thickBot="1" x14ac:dyDescent="0.35">
      <c r="A38" s="23" t="s">
        <v>138</v>
      </c>
      <c r="B38" s="23"/>
      <c r="C38" s="23"/>
      <c r="D38" s="2" t="s">
        <v>170</v>
      </c>
      <c r="F38" t="s">
        <v>171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178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179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183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184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139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140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142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146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139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140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166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146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139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140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168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146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139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140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169</v>
      </c>
      <c r="C179" s="23"/>
      <c r="D179" s="23"/>
      <c r="E179" s="23"/>
    </row>
    <row r="180" spans="1:41" ht="15.75" thickTop="1" x14ac:dyDescent="0.25">
      <c r="C180" s="13" t="s">
        <v>147</v>
      </c>
      <c r="D180" s="22" t="s">
        <v>147</v>
      </c>
      <c r="E180" t="s">
        <v>147</v>
      </c>
      <c r="F180" t="s">
        <v>147</v>
      </c>
      <c r="G180" t="s">
        <v>147</v>
      </c>
      <c r="H180" t="s">
        <v>147</v>
      </c>
      <c r="I180" t="s">
        <v>147</v>
      </c>
      <c r="J180" t="s">
        <v>147</v>
      </c>
      <c r="K180" t="s">
        <v>147</v>
      </c>
      <c r="L180" t="s">
        <v>147</v>
      </c>
      <c r="M180" t="s">
        <v>147</v>
      </c>
      <c r="N180" t="s">
        <v>147</v>
      </c>
      <c r="O180" t="s">
        <v>147</v>
      </c>
      <c r="P180" t="s">
        <v>147</v>
      </c>
      <c r="Q180" t="s">
        <v>147</v>
      </c>
      <c r="R180" t="s">
        <v>147</v>
      </c>
      <c r="S180" t="s">
        <v>147</v>
      </c>
      <c r="T180" t="s">
        <v>147</v>
      </c>
      <c r="U180" t="s">
        <v>147</v>
      </c>
      <c r="V180" t="s">
        <v>147</v>
      </c>
      <c r="W180" t="s">
        <v>147</v>
      </c>
      <c r="X180" t="s">
        <v>147</v>
      </c>
      <c r="Y180" t="s">
        <v>147</v>
      </c>
      <c r="Z180" t="s">
        <v>147</v>
      </c>
      <c r="AA180" t="s">
        <v>147</v>
      </c>
      <c r="AB180" t="s">
        <v>147</v>
      </c>
      <c r="AC180" t="s">
        <v>147</v>
      </c>
      <c r="AD180" t="s">
        <v>147</v>
      </c>
      <c r="AE180" t="s">
        <v>147</v>
      </c>
      <c r="AF180" t="s">
        <v>147</v>
      </c>
      <c r="AG180" t="s">
        <v>147</v>
      </c>
      <c r="AH180" t="s">
        <v>147</v>
      </c>
      <c r="AI180" t="s">
        <v>147</v>
      </c>
      <c r="AJ180" t="s">
        <v>147</v>
      </c>
      <c r="AK180" t="s">
        <v>147</v>
      </c>
      <c r="AL180" t="s">
        <v>147</v>
      </c>
      <c r="AM180" t="s">
        <v>147</v>
      </c>
      <c r="AN180" t="s">
        <v>147</v>
      </c>
      <c r="AO180" t="s">
        <v>147</v>
      </c>
    </row>
    <row r="181" spans="1:41" x14ac:dyDescent="0.25">
      <c r="B181" t="s">
        <v>148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149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150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151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152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153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154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155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156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157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158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159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160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161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162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163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164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165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146</v>
      </c>
      <c r="B199" t="s">
        <v>172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173</v>
      </c>
      <c r="C203" s="13" t="s">
        <v>173</v>
      </c>
      <c r="D203" t="s">
        <v>173</v>
      </c>
      <c r="E203" t="s">
        <v>173</v>
      </c>
      <c r="F203" t="s">
        <v>173</v>
      </c>
      <c r="G203" t="s">
        <v>173</v>
      </c>
      <c r="H203" t="s">
        <v>173</v>
      </c>
      <c r="I203" t="s">
        <v>173</v>
      </c>
      <c r="J203" t="s">
        <v>173</v>
      </c>
      <c r="K203" t="s">
        <v>173</v>
      </c>
      <c r="L203" t="s">
        <v>173</v>
      </c>
      <c r="M203" t="s">
        <v>173</v>
      </c>
      <c r="N203" t="s">
        <v>173</v>
      </c>
      <c r="O203" t="s">
        <v>173</v>
      </c>
      <c r="P203" t="s">
        <v>173</v>
      </c>
      <c r="Q203" t="s">
        <v>173</v>
      </c>
      <c r="R203" t="s">
        <v>173</v>
      </c>
      <c r="S203" t="s">
        <v>173</v>
      </c>
      <c r="T203" t="s">
        <v>173</v>
      </c>
      <c r="U203" t="s">
        <v>173</v>
      </c>
      <c r="V203" t="s">
        <v>173</v>
      </c>
      <c r="W203" t="s">
        <v>173</v>
      </c>
      <c r="X203" t="s">
        <v>173</v>
      </c>
      <c r="Y203" t="s">
        <v>173</v>
      </c>
      <c r="Z203" t="s">
        <v>173</v>
      </c>
      <c r="AA203" t="s">
        <v>173</v>
      </c>
      <c r="AB203" t="s">
        <v>173</v>
      </c>
      <c r="AC203" t="s">
        <v>173</v>
      </c>
      <c r="AD203" t="s">
        <v>173</v>
      </c>
      <c r="AE203" t="s">
        <v>173</v>
      </c>
      <c r="AF203" t="s">
        <v>173</v>
      </c>
      <c r="AG203" t="s">
        <v>173</v>
      </c>
      <c r="AH203" t="s">
        <v>173</v>
      </c>
      <c r="AI203" t="s">
        <v>173</v>
      </c>
      <c r="AJ203" t="s">
        <v>173</v>
      </c>
      <c r="AK203" t="s">
        <v>173</v>
      </c>
      <c r="AL203" t="s">
        <v>173</v>
      </c>
      <c r="AM203" t="s">
        <v>173</v>
      </c>
      <c r="AN203" t="s">
        <v>173</v>
      </c>
    </row>
    <row r="204" spans="1:41" x14ac:dyDescent="0.25">
      <c r="B204" t="s">
        <v>167</v>
      </c>
      <c r="C204" s="13" t="s">
        <v>167</v>
      </c>
      <c r="D204" t="s">
        <v>167</v>
      </c>
      <c r="E204" t="s">
        <v>167</v>
      </c>
      <c r="F204" t="s">
        <v>167</v>
      </c>
      <c r="G204" t="s">
        <v>167</v>
      </c>
      <c r="H204" t="s">
        <v>167</v>
      </c>
      <c r="I204" t="s">
        <v>167</v>
      </c>
      <c r="J204" t="s">
        <v>167</v>
      </c>
      <c r="K204" t="s">
        <v>167</v>
      </c>
      <c r="L204" t="s">
        <v>167</v>
      </c>
      <c r="M204" t="s">
        <v>167</v>
      </c>
      <c r="N204" t="s">
        <v>167</v>
      </c>
      <c r="O204" t="s">
        <v>167</v>
      </c>
      <c r="P204" t="s">
        <v>167</v>
      </c>
      <c r="Q204" t="s">
        <v>167</v>
      </c>
      <c r="R204" t="s">
        <v>167</v>
      </c>
      <c r="S204" t="s">
        <v>167</v>
      </c>
      <c r="T204" t="s">
        <v>167</v>
      </c>
      <c r="U204" t="s">
        <v>167</v>
      </c>
      <c r="V204" t="s">
        <v>167</v>
      </c>
      <c r="W204" t="s">
        <v>167</v>
      </c>
      <c r="X204" t="s">
        <v>167</v>
      </c>
      <c r="Y204" t="s">
        <v>167</v>
      </c>
      <c r="Z204" t="s">
        <v>167</v>
      </c>
      <c r="AA204" t="s">
        <v>167</v>
      </c>
      <c r="AB204" t="s">
        <v>167</v>
      </c>
      <c r="AC204" t="s">
        <v>167</v>
      </c>
      <c r="AD204" t="s">
        <v>167</v>
      </c>
      <c r="AE204" t="s">
        <v>167</v>
      </c>
      <c r="AF204" t="s">
        <v>167</v>
      </c>
      <c r="AG204" t="s">
        <v>167</v>
      </c>
      <c r="AH204" t="s">
        <v>167</v>
      </c>
      <c r="AI204" t="s">
        <v>167</v>
      </c>
      <c r="AJ204" t="s">
        <v>167</v>
      </c>
      <c r="AK204" t="s">
        <v>167</v>
      </c>
      <c r="AL204" t="s">
        <v>167</v>
      </c>
      <c r="AM204" t="s">
        <v>167</v>
      </c>
      <c r="AN204" t="s">
        <v>167</v>
      </c>
    </row>
    <row r="205" spans="1:41" x14ac:dyDescent="0.25">
      <c r="A205" t="s">
        <v>174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175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176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177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zoomScaleNormal="100" workbookViewId="0">
      <pane xSplit="11" ySplit="1" topLeftCell="L39" activePane="bottomRight" state="frozen"/>
      <selection pane="topRight" activeCell="L1" sqref="L1"/>
      <selection pane="bottomLeft" activeCell="A2" sqref="A2"/>
      <selection pane="bottomRight" activeCell="H49" sqref="H49:BG49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135</v>
      </c>
      <c r="C2" s="14" t="s">
        <v>194</v>
      </c>
      <c r="E2">
        <f>MATCH(C2,A53:A67,0)</f>
        <v>5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2E-3</v>
      </c>
      <c r="N2" s="1" cm="1">
        <f t="array" ref="N2">INDEX(N53:N67,$E$2)/100</f>
        <v>0.01</v>
      </c>
      <c r="O2" s="1" cm="1">
        <f t="array" ref="O2">INDEX(O53:O67,$E$2)/100</f>
        <v>1.1000000000000001E-2</v>
      </c>
      <c r="P2" s="1" cm="1">
        <f t="array" ref="P2">INDEX(P53:P67,$E$2)/100</f>
        <v>1.3999999999999999E-2</v>
      </c>
      <c r="Q2" s="1" cm="1">
        <f t="array" ref="Q2">INDEX(Q53:Q67,$E$2)/100</f>
        <v>1.6E-2</v>
      </c>
      <c r="R2" s="1" cm="1">
        <f t="array" ref="R2">INDEX(R53:R67,$E$2)/100</f>
        <v>1.8000000000000002E-2</v>
      </c>
      <c r="S2" s="1" cm="1">
        <f t="array" ref="S2">INDEX(S53:S67,$E$2)/100</f>
        <v>2.2031722197759951E-2</v>
      </c>
      <c r="T2" s="1" cm="1">
        <f t="array" ref="T2">INDEX(T53:T67,$E$2)/100</f>
        <v>2.6218354528799948E-2</v>
      </c>
      <c r="U2" s="1" cm="1">
        <f t="array" ref="U2">INDEX(U53:U67,$E$2)/100</f>
        <v>2.9378416318852185E-2</v>
      </c>
      <c r="V2" s="1" cm="1">
        <f t="array" ref="V2">INDEX(V53:V67,$E$2)/100</f>
        <v>3.0077539232383765E-2</v>
      </c>
      <c r="W2" s="1" cm="1">
        <f t="array" ref="W2">INDEX(W53:W67,$E$2)/100</f>
        <v>3.0977705255239574E-2</v>
      </c>
      <c r="X2" s="1" cm="1">
        <f t="array" ref="X2">INDEX(X53:X67,$E$2)/100</f>
        <v>3.4365925902850147E-2</v>
      </c>
      <c r="Y2" s="1" cm="1">
        <f t="array" ref="Y2">INDEX(Y53:Y67,$E$2)/100</f>
        <v>3.5204693916532803E-2</v>
      </c>
      <c r="Z2" s="1" cm="1">
        <f t="array" ref="Z2">INDEX(Z53:Z67,$E$2)/100</f>
        <v>3.6043461930215459E-2</v>
      </c>
      <c r="AA2" s="1" cm="1">
        <f t="array" ref="AA2">INDEX(AA53:AA67,$E$2)/100</f>
        <v>3.7007018273113035E-2</v>
      </c>
      <c r="AB2" s="1" cm="1">
        <f t="array" ref="AB2">INDEX(AB53:AB67,$E$2)/100</f>
        <v>3.7355943192743712E-2</v>
      </c>
      <c r="AC2" s="1" cm="1">
        <f t="array" ref="AC2">INDEX(AC53:AC67,$E$2)/100</f>
        <v>3.6565507425563748E-2</v>
      </c>
      <c r="AD2" s="1" cm="1">
        <f t="array" ref="AD2">INDEX(AD53:AD67,$E$2)/100</f>
        <v>3.540860429636461E-2</v>
      </c>
      <c r="AE2" s="1" cm="1">
        <f t="array" ref="AE2">INDEX(AE53:AE67,$E$2)/100</f>
        <v>3.5765875064506014E-2</v>
      </c>
      <c r="AF2" s="1" cm="1">
        <f t="array" ref="AF2">INDEX(AF53:AF67,$E$2)/100</f>
        <v>3.4029431747081063E-2</v>
      </c>
      <c r="AG2" s="1" cm="1">
        <f t="array" ref="AG2">INDEX(AG53:AG67,$E$2)/100</f>
        <v>3.4155415312099313E-2</v>
      </c>
      <c r="AH2" s="1" cm="1">
        <f t="array" ref="AH2">INDEX(AH53:AH67,$E$2)/100</f>
        <v>3.4658441664211281E-2</v>
      </c>
      <c r="AI2" s="1" cm="1">
        <f t="array" ref="AI2">INDEX(AI53:AI67,$E$2)/100</f>
        <v>3.5189897318865571E-2</v>
      </c>
      <c r="AJ2" s="1" cm="1">
        <f t="array" ref="AJ2">INDEX(AJ53:AJ67,$E$2)/100</f>
        <v>3.5737142539630007E-2</v>
      </c>
      <c r="AK2" s="1" cm="1">
        <f t="array" ref="AK2">INDEX(AK53:AK67,$E$2)/100</f>
        <v>3.3911850167972046E-2</v>
      </c>
      <c r="AL2" s="1" cm="1">
        <f t="array" ref="AL2">INDEX(AL53:AL67,$E$2)/100</f>
        <v>3.4442853691466047E-2</v>
      </c>
      <c r="AM2" s="1" cm="1">
        <f t="array" ref="AM2">INDEX(AM53:AM67,$E$2)/100</f>
        <v>3.572341352748154E-2</v>
      </c>
      <c r="AN2" s="1" cm="1">
        <f t="array" ref="AN2">INDEX(AN53:AN67,$E$2)/100</f>
        <v>3.6556928920228327E-2</v>
      </c>
      <c r="AO2" s="13">
        <f>($BH$2-$AN$2)/20+AN2</f>
        <v>3.4755266029644107E-2</v>
      </c>
      <c r="AP2" s="13">
        <f t="shared" ref="AP2:BG2" si="0">($BH$2-$AN$2)/20+AO2</f>
        <v>3.2953603139059887E-2</v>
      </c>
      <c r="AQ2" s="13">
        <f t="shared" si="0"/>
        <v>3.1151940248475667E-2</v>
      </c>
      <c r="AR2" s="13">
        <f t="shared" si="0"/>
        <v>2.9350277357891447E-2</v>
      </c>
      <c r="AS2" s="13">
        <f t="shared" si="0"/>
        <v>2.7548614467307227E-2</v>
      </c>
      <c r="AT2" s="13">
        <f t="shared" si="0"/>
        <v>2.5746951576723007E-2</v>
      </c>
      <c r="AU2" s="13">
        <f t="shared" si="0"/>
        <v>2.3945288686138787E-2</v>
      </c>
      <c r="AV2" s="13">
        <f t="shared" si="0"/>
        <v>2.2143625795554567E-2</v>
      </c>
      <c r="AW2" s="13">
        <f t="shared" si="0"/>
        <v>2.0341962904970347E-2</v>
      </c>
      <c r="AX2" s="13">
        <f t="shared" si="0"/>
        <v>1.8540300014386127E-2</v>
      </c>
      <c r="AY2" s="13">
        <f t="shared" si="0"/>
        <v>1.6738637123801907E-2</v>
      </c>
      <c r="AZ2" s="13">
        <f t="shared" si="0"/>
        <v>1.4936974233217685E-2</v>
      </c>
      <c r="BA2" s="13">
        <f t="shared" si="0"/>
        <v>1.3135311342633463E-2</v>
      </c>
      <c r="BB2" s="13">
        <f t="shared" si="0"/>
        <v>1.1333648452049242E-2</v>
      </c>
      <c r="BC2" s="13">
        <f t="shared" si="0"/>
        <v>9.5319855614650201E-3</v>
      </c>
      <c r="BD2" s="13">
        <f t="shared" si="0"/>
        <v>7.7303226708807984E-3</v>
      </c>
      <c r="BE2" s="13">
        <f t="shared" si="0"/>
        <v>5.9286597802965767E-3</v>
      </c>
      <c r="BF2" s="13">
        <f t="shared" si="0"/>
        <v>4.126996889712355E-3</v>
      </c>
      <c r="BG2" s="13">
        <f t="shared" si="0"/>
        <v>2.3253339991281337E-3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80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2E-3</v>
      </c>
      <c r="N4" s="15">
        <f t="shared" si="5"/>
        <v>0.01</v>
      </c>
      <c r="O4" s="15">
        <f t="shared" si="5"/>
        <v>1.1000000000000001E-2</v>
      </c>
      <c r="P4" s="15">
        <f t="shared" si="5"/>
        <v>1.3999999999999999E-2</v>
      </c>
      <c r="Q4" s="15">
        <f t="shared" si="5"/>
        <v>1.6E-2</v>
      </c>
      <c r="R4" s="15">
        <f t="shared" si="5"/>
        <v>1.8000000000000002E-2</v>
      </c>
      <c r="S4" s="15">
        <f t="shared" si="5"/>
        <v>2.2031722197759951E-2</v>
      </c>
      <c r="T4" s="15">
        <f t="shared" si="5"/>
        <v>2.6218354528799948E-2</v>
      </c>
      <c r="U4" s="15">
        <f t="shared" si="5"/>
        <v>2.9378416318852185E-2</v>
      </c>
      <c r="V4" s="15">
        <f t="shared" si="5"/>
        <v>3.0077539232383765E-2</v>
      </c>
      <c r="W4" s="15">
        <f t="shared" si="5"/>
        <v>3.0977705255239574E-2</v>
      </c>
      <c r="X4" s="15">
        <f t="shared" si="5"/>
        <v>3.4365925902850147E-2</v>
      </c>
      <c r="Y4" s="15">
        <f t="shared" si="5"/>
        <v>3.5204693916532803E-2</v>
      </c>
      <c r="Z4" s="15">
        <f t="shared" si="5"/>
        <v>3.6043461930215459E-2</v>
      </c>
      <c r="AA4" s="15">
        <f t="shared" si="5"/>
        <v>3.7007018273113035E-2</v>
      </c>
      <c r="AB4" s="15">
        <f t="shared" si="5"/>
        <v>3.7355943192743712E-2</v>
      </c>
      <c r="AC4" s="15">
        <f t="shared" si="5"/>
        <v>3.6565507425563748E-2</v>
      </c>
      <c r="AD4" s="15">
        <f t="shared" si="5"/>
        <v>3.540860429636461E-2</v>
      </c>
      <c r="AE4" s="15">
        <f t="shared" si="5"/>
        <v>3.5765875064506014E-2</v>
      </c>
      <c r="AF4" s="15">
        <f t="shared" si="5"/>
        <v>3.4029431747081063E-2</v>
      </c>
      <c r="AG4" s="15">
        <f t="shared" si="5"/>
        <v>3.4155415312099313E-2</v>
      </c>
      <c r="AH4" s="15">
        <f t="shared" si="5"/>
        <v>3.4658441664211281E-2</v>
      </c>
      <c r="AI4" s="15">
        <f t="shared" si="5"/>
        <v>3.5189897318865571E-2</v>
      </c>
      <c r="AJ4" s="15">
        <f t="shared" si="5"/>
        <v>3.5737142539630007E-2</v>
      </c>
      <c r="AK4" s="15">
        <f t="shared" si="5"/>
        <v>3.3911850167972046E-2</v>
      </c>
      <c r="AL4" s="15">
        <f t="shared" si="5"/>
        <v>3.4442853691466047E-2</v>
      </c>
      <c r="AM4" s="15">
        <f t="shared" si="5"/>
        <v>3.572341352748154E-2</v>
      </c>
      <c r="AN4" s="15">
        <f t="shared" si="5"/>
        <v>3.6556928920228327E-2</v>
      </c>
      <c r="AO4" s="15">
        <f t="shared" si="5"/>
        <v>3.4755266029644107E-2</v>
      </c>
      <c r="AP4" s="15">
        <f t="shared" si="5"/>
        <v>3.2953603139059887E-2</v>
      </c>
      <c r="AQ4" s="15">
        <f t="shared" si="5"/>
        <v>3.1151940248475667E-2</v>
      </c>
      <c r="AR4" s="15">
        <f t="shared" si="5"/>
        <v>2.9350277357891447E-2</v>
      </c>
      <c r="AS4" s="15">
        <f t="shared" si="5"/>
        <v>2.7548614467307227E-2</v>
      </c>
      <c r="AT4" s="15">
        <f t="shared" si="5"/>
        <v>2.5746951576723007E-2</v>
      </c>
      <c r="AU4" s="15">
        <f t="shared" si="5"/>
        <v>2.3945288686138787E-2</v>
      </c>
      <c r="AV4" s="15">
        <f t="shared" si="5"/>
        <v>2.2143625795554567E-2</v>
      </c>
      <c r="AW4" s="15">
        <f t="shared" si="5"/>
        <v>2.0341962904970347E-2</v>
      </c>
      <c r="AX4" s="15">
        <f t="shared" si="5"/>
        <v>1.8540300014386127E-2</v>
      </c>
      <c r="AY4" s="15">
        <f t="shared" si="5"/>
        <v>1.6738637123801907E-2</v>
      </c>
      <c r="AZ4" s="15">
        <f t="shared" si="5"/>
        <v>1.4936974233217685E-2</v>
      </c>
      <c r="BA4" s="15">
        <f t="shared" si="5"/>
        <v>1.3135311342633463E-2</v>
      </c>
      <c r="BB4" s="15">
        <f t="shared" si="5"/>
        <v>1.1333648452049242E-2</v>
      </c>
      <c r="BC4" s="15">
        <f t="shared" si="5"/>
        <v>9.5319855614650201E-3</v>
      </c>
      <c r="BD4" s="15">
        <f t="shared" si="5"/>
        <v>7.7303226708807984E-3</v>
      </c>
      <c r="BE4" s="15">
        <f t="shared" si="5"/>
        <v>5.9286597802965767E-3</v>
      </c>
      <c r="BF4" s="15">
        <f t="shared" si="5"/>
        <v>4.126996889712355E-3</v>
      </c>
      <c r="BG4" s="15">
        <f t="shared" si="5"/>
        <v>2.3253339991281337E-3</v>
      </c>
      <c r="BH4" s="15">
        <f t="shared" si="5"/>
        <v>5.2367110854389942E-4</v>
      </c>
    </row>
    <row r="5" spans="1:60" x14ac:dyDescent="0.25">
      <c r="A5" t="s">
        <v>81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82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2E-3</v>
      </c>
      <c r="N6" s="36">
        <f t="shared" si="8"/>
        <v>0.01</v>
      </c>
      <c r="O6" s="36">
        <f t="shared" si="8"/>
        <v>1.1000000000000001E-2</v>
      </c>
      <c r="P6" s="36">
        <f t="shared" si="8"/>
        <v>1.3999999999999999E-2</v>
      </c>
      <c r="Q6" s="36">
        <f t="shared" si="8"/>
        <v>1.6E-2</v>
      </c>
      <c r="R6" s="36">
        <f t="shared" si="8"/>
        <v>1.8000000000000002E-2</v>
      </c>
      <c r="S6" s="36">
        <f t="shared" si="8"/>
        <v>2.2031722197759951E-2</v>
      </c>
      <c r="T6" s="36">
        <f t="shared" si="8"/>
        <v>2.6218354528799948E-2</v>
      </c>
      <c r="U6" s="36">
        <f t="shared" si="8"/>
        <v>2.9378416318852185E-2</v>
      </c>
      <c r="V6" s="36">
        <f t="shared" si="8"/>
        <v>3.0077539232383765E-2</v>
      </c>
      <c r="W6" s="36">
        <f t="shared" si="8"/>
        <v>3.0977705255239574E-2</v>
      </c>
      <c r="X6" s="36">
        <f t="shared" si="8"/>
        <v>3.4365925902850147E-2</v>
      </c>
      <c r="Y6" s="36">
        <f t="shared" si="8"/>
        <v>3.5204693916532803E-2</v>
      </c>
      <c r="Z6" s="36">
        <f t="shared" si="8"/>
        <v>3.6043461930215459E-2</v>
      </c>
      <c r="AA6" s="36">
        <f t="shared" si="8"/>
        <v>3.7007018273113035E-2</v>
      </c>
      <c r="AB6" s="36">
        <f t="shared" si="8"/>
        <v>3.7355943192743712E-2</v>
      </c>
      <c r="AC6" s="36">
        <f t="shared" si="8"/>
        <v>3.6565507425563748E-2</v>
      </c>
      <c r="AD6" s="36">
        <f t="shared" si="8"/>
        <v>3.540860429636461E-2</v>
      </c>
      <c r="AE6" s="36">
        <f t="shared" si="8"/>
        <v>3.5765875064506014E-2</v>
      </c>
      <c r="AF6" s="36">
        <f t="shared" si="8"/>
        <v>3.4029431747081063E-2</v>
      </c>
      <c r="AG6" s="36">
        <f t="shared" si="8"/>
        <v>3.4155415312099313E-2</v>
      </c>
      <c r="AH6" s="36">
        <f t="shared" si="8"/>
        <v>3.4658441664211281E-2</v>
      </c>
      <c r="AI6" s="36">
        <f t="shared" si="8"/>
        <v>3.5189897318865571E-2</v>
      </c>
      <c r="AJ6" s="36">
        <f t="shared" si="8"/>
        <v>3.5737142539630007E-2</v>
      </c>
      <c r="AK6" s="36">
        <f t="shared" si="8"/>
        <v>3.3911850167972046E-2</v>
      </c>
      <c r="AL6" s="36">
        <f t="shared" si="8"/>
        <v>3.4442853691466047E-2</v>
      </c>
      <c r="AM6" s="36">
        <f t="shared" si="8"/>
        <v>3.572341352748154E-2</v>
      </c>
      <c r="AN6" s="36">
        <f t="shared" si="8"/>
        <v>3.6556928920228327E-2</v>
      </c>
      <c r="AO6" s="36">
        <f t="shared" si="8"/>
        <v>3.4755266029644107E-2</v>
      </c>
      <c r="AP6" s="36">
        <f t="shared" si="8"/>
        <v>3.2953603139059887E-2</v>
      </c>
      <c r="AQ6" s="36">
        <f t="shared" si="8"/>
        <v>3.1151940248475667E-2</v>
      </c>
      <c r="AR6" s="36">
        <f t="shared" si="8"/>
        <v>2.9350277357891447E-2</v>
      </c>
      <c r="AS6" s="36">
        <f t="shared" si="8"/>
        <v>2.7548614467307227E-2</v>
      </c>
      <c r="AT6" s="36">
        <f t="shared" si="8"/>
        <v>2.5746951576723007E-2</v>
      </c>
      <c r="AU6" s="36">
        <f t="shared" si="8"/>
        <v>2.3945288686138787E-2</v>
      </c>
      <c r="AV6" s="36">
        <f t="shared" si="8"/>
        <v>2.2143625795554567E-2</v>
      </c>
      <c r="AW6" s="36">
        <f t="shared" si="8"/>
        <v>2.0341962904970347E-2</v>
      </c>
      <c r="AX6" s="36">
        <f t="shared" si="8"/>
        <v>1.8540300014386127E-2</v>
      </c>
      <c r="AY6" s="36">
        <f t="shared" si="8"/>
        <v>1.6738637123801907E-2</v>
      </c>
      <c r="AZ6" s="36">
        <f t="shared" si="8"/>
        <v>1.4936974233217685E-2</v>
      </c>
      <c r="BA6" s="36">
        <f t="shared" si="8"/>
        <v>1.3135311342633463E-2</v>
      </c>
      <c r="BB6" s="36">
        <f t="shared" si="8"/>
        <v>1.1333648452049242E-2</v>
      </c>
      <c r="BC6" s="36">
        <f t="shared" si="8"/>
        <v>9.5319855614650201E-3</v>
      </c>
      <c r="BD6" s="36">
        <f t="shared" si="8"/>
        <v>7.7303226708807984E-3</v>
      </c>
      <c r="BE6" s="36">
        <f t="shared" si="8"/>
        <v>5.9286597802965767E-3</v>
      </c>
      <c r="BF6" s="36">
        <f t="shared" si="8"/>
        <v>4.126996889712355E-3</v>
      </c>
      <c r="BG6" s="36">
        <f t="shared" si="8"/>
        <v>2.3253339991281337E-3</v>
      </c>
      <c r="BH6" s="36">
        <f t="shared" si="8"/>
        <v>5.2367110854389942E-4</v>
      </c>
    </row>
    <row r="7" spans="1:60" x14ac:dyDescent="0.25">
      <c r="A7" t="s">
        <v>204</v>
      </c>
      <c r="B7" s="3" t="s">
        <v>207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205</v>
      </c>
      <c r="B9" s="3" t="s">
        <v>208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73.771827861439334</v>
      </c>
      <c r="N9" s="34">
        <f t="shared" si="11"/>
        <v>73.769916413946547</v>
      </c>
      <c r="O9" s="34">
        <f t="shared" si="11"/>
        <v>73.791880534727639</v>
      </c>
      <c r="P9" s="34">
        <f t="shared" si="11"/>
        <v>74.066019637924143</v>
      </c>
      <c r="Q9" s="34">
        <f t="shared" si="11"/>
        <v>74.516878548725785</v>
      </c>
      <c r="R9" s="34">
        <f t="shared" si="11"/>
        <v>75.146847628361954</v>
      </c>
      <c r="S9" s="34">
        <f t="shared" si="11"/>
        <v>76.108380342307498</v>
      </c>
      <c r="T9" s="34">
        <f t="shared" si="11"/>
        <v>77.420677428027389</v>
      </c>
      <c r="U9" s="34">
        <f t="shared" si="11"/>
        <v>79.020270614318136</v>
      </c>
      <c r="V9" s="34">
        <f t="shared" si="11"/>
        <v>80.726797287716437</v>
      </c>
      <c r="W9" s="34">
        <f t="shared" si="11"/>
        <v>82.56046306573802</v>
      </c>
      <c r="X9" s="34">
        <f t="shared" si="11"/>
        <v>84.733026664186156</v>
      </c>
      <c r="Y9" s="34">
        <f t="shared" si="11"/>
        <v>87.051497963682905</v>
      </c>
      <c r="Z9" s="34">
        <f t="shared" si="11"/>
        <v>89.521786124364354</v>
      </c>
      <c r="AA9" s="34">
        <f t="shared" si="11"/>
        <v>92.165639642613044</v>
      </c>
      <c r="AB9" s="34">
        <f t="shared" si="11"/>
        <v>94.941079832185594</v>
      </c>
      <c r="AC9" s="34">
        <f t="shared" si="11"/>
        <v>97.747163273609061</v>
      </c>
      <c r="AD9" s="34">
        <f t="shared" si="11"/>
        <v>100.54463179186122</v>
      </c>
      <c r="AE9" s="34">
        <f t="shared" si="11"/>
        <v>103.47763154369837</v>
      </c>
      <c r="AF9" s="34">
        <f t="shared" si="11"/>
        <v>106.34038828622164</v>
      </c>
      <c r="AG9" s="34">
        <f t="shared" si="11"/>
        <v>109.32049073466031</v>
      </c>
      <c r="AH9" s="34">
        <f t="shared" si="11"/>
        <v>112.46403061305986</v>
      </c>
      <c r="AI9" s="34">
        <f t="shared" si="11"/>
        <v>115.78529581584033</v>
      </c>
      <c r="AJ9" s="34">
        <f t="shared" si="11"/>
        <v>119.29860954817354</v>
      </c>
      <c r="AK9" s="34">
        <f t="shared" si="11"/>
        <v>122.73350746392158</v>
      </c>
      <c r="AL9" s="34">
        <f t="shared" si="11"/>
        <v>126.36369524664914</v>
      </c>
      <c r="AM9" s="34">
        <f t="shared" si="11"/>
        <v>130.29398684852785</v>
      </c>
      <c r="AN9" s="34">
        <f t="shared" si="11"/>
        <v>134.48976992909803</v>
      </c>
      <c r="AO9" s="34">
        <f t="shared" si="11"/>
        <v>138.61826065617544</v>
      </c>
      <c r="AP9" s="34">
        <f t="shared" si="11"/>
        <v>142.6635332755036</v>
      </c>
      <c r="AQ9" s="34">
        <f t="shared" si="11"/>
        <v>146.60659586998889</v>
      </c>
      <c r="AR9" s="34">
        <f t="shared" si="11"/>
        <v>150.42972012181622</v>
      </c>
      <c r="AS9" s="34">
        <f t="shared" si="11"/>
        <v>154.12140625262305</v>
      </c>
      <c r="AT9" s="34">
        <f t="shared" si="11"/>
        <v>157.66363355792771</v>
      </c>
      <c r="AU9" s="34">
        <f t="shared" si="11"/>
        <v>161.0359472651208</v>
      </c>
      <c r="AV9" s="34">
        <f t="shared" si="11"/>
        <v>164.22333050219726</v>
      </c>
      <c r="AW9" s="34">
        <f t="shared" si="11"/>
        <v>167.21297555847434</v>
      </c>
      <c r="AX9" s="34">
        <f t="shared" si="11"/>
        <v>169.99150878214996</v>
      </c>
      <c r="AY9" s="34">
        <f t="shared" si="11"/>
        <v>172.5408435812258</v>
      </c>
      <c r="AZ9" s="34">
        <f t="shared" si="11"/>
        <v>174.84188000009343</v>
      </c>
      <c r="BA9" s="34">
        <f t="shared" si="11"/>
        <v>176.88291923224273</v>
      </c>
      <c r="BB9" s="34">
        <f t="shared" si="11"/>
        <v>178.65606068329819</v>
      </c>
      <c r="BC9" s="34">
        <f t="shared" si="11"/>
        <v>180.1529988442656</v>
      </c>
      <c r="BD9" s="34">
        <f t="shared" si="11"/>
        <v>181.36551416253431</v>
      </c>
      <c r="BE9" s="34">
        <f t="shared" si="11"/>
        <v>182.27780185813219</v>
      </c>
      <c r="BF9" s="34">
        <f t="shared" si="11"/>
        <v>182.88434246005713</v>
      </c>
      <c r="BG9" s="34">
        <f t="shared" si="11"/>
        <v>183.19131276140175</v>
      </c>
      <c r="BH9" s="34">
        <f t="shared" si="11"/>
        <v>183.19131276140172</v>
      </c>
    </row>
    <row r="10" spans="1:60" x14ac:dyDescent="0.25">
      <c r="A10" t="s">
        <v>206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-6.6345374566152415E-3</v>
      </c>
      <c r="N10" s="1">
        <f t="shared" si="12"/>
        <v>-2.5910263418915669E-5</v>
      </c>
      <c r="O10" s="1">
        <f t="shared" si="12"/>
        <v>2.9773818175216071E-4</v>
      </c>
      <c r="P10" s="1">
        <f t="shared" si="12"/>
        <v>3.7150307216724521E-3</v>
      </c>
      <c r="Q10" s="1">
        <f t="shared" si="12"/>
        <v>6.0872571930514763E-3</v>
      </c>
      <c r="R10" s="1">
        <f t="shared" si="12"/>
        <v>8.4540454713792901E-3</v>
      </c>
      <c r="S10" s="1">
        <f t="shared" si="12"/>
        <v>1.2795383230189472E-2</v>
      </c>
      <c r="T10" s="1">
        <f t="shared" si="12"/>
        <v>1.7242478158353336E-2</v>
      </c>
      <c r="U10" s="1">
        <f t="shared" si="12"/>
        <v>2.0661059027516027E-2</v>
      </c>
      <c r="V10" s="1">
        <f t="shared" si="12"/>
        <v>2.1596062125976534E-2</v>
      </c>
      <c r="W10" s="1">
        <f t="shared" si="12"/>
        <v>2.2714462107127353E-2</v>
      </c>
      <c r="X10" s="1">
        <f t="shared" si="12"/>
        <v>2.631481847089745E-2</v>
      </c>
      <c r="Y10" s="1">
        <f t="shared" si="12"/>
        <v>2.7362073453192082E-2</v>
      </c>
      <c r="Z10" s="1">
        <f t="shared" si="12"/>
        <v>2.8377319385268107E-2</v>
      </c>
      <c r="AA10" s="1">
        <f t="shared" si="12"/>
        <v>2.9533073821559341E-2</v>
      </c>
      <c r="AB10" s="1">
        <f t="shared" si="12"/>
        <v>3.0113610672423796E-2</v>
      </c>
      <c r="AC10" s="1">
        <f t="shared" si="12"/>
        <v>2.9556051462479749E-2</v>
      </c>
      <c r="AD10" s="1">
        <f t="shared" si="12"/>
        <v>2.8619434309532066E-2</v>
      </c>
      <c r="AE10" s="1">
        <f t="shared" si="12"/>
        <v>2.9171122312216413E-2</v>
      </c>
      <c r="AF10" s="1">
        <f t="shared" si="12"/>
        <v>2.7665464504899706E-2</v>
      </c>
      <c r="AG10" s="1">
        <f t="shared" si="12"/>
        <v>2.8024182499856387E-2</v>
      </c>
      <c r="AH10" s="1">
        <f t="shared" si="12"/>
        <v>2.8755266805648105E-2</v>
      </c>
      <c r="AI10" s="1">
        <f t="shared" si="12"/>
        <v>2.9531799497810152E-2</v>
      </c>
      <c r="AJ10" s="1">
        <f t="shared" si="12"/>
        <v>3.0343349797380403E-2</v>
      </c>
      <c r="AK10" s="1">
        <f t="shared" si="12"/>
        <v>2.8792438811795273E-2</v>
      </c>
      <c r="AL10" s="1">
        <f t="shared" si="12"/>
        <v>2.957780526067566E-2</v>
      </c>
      <c r="AM10" s="1">
        <f t="shared" si="12"/>
        <v>3.1103012571824351E-2</v>
      </c>
      <c r="AN10" s="1">
        <f t="shared" si="12"/>
        <v>3.2202430688132555E-2</v>
      </c>
      <c r="AO10" s="1">
        <f t="shared" si="12"/>
        <v>3.0697433189557088E-2</v>
      </c>
      <c r="AP10" s="1">
        <f t="shared" si="12"/>
        <v>2.9182826275406359E-2</v>
      </c>
      <c r="AQ10" s="1">
        <f t="shared" si="12"/>
        <v>2.7638896247373035E-2</v>
      </c>
      <c r="AR10" s="1">
        <f t="shared" si="12"/>
        <v>2.6077436892523398E-2</v>
      </c>
      <c r="AS10" s="1">
        <f t="shared" si="12"/>
        <v>2.4540935978723866E-2</v>
      </c>
      <c r="AT10" s="1">
        <f t="shared" si="12"/>
        <v>2.2983357026333806E-2</v>
      </c>
      <c r="AU10" s="1">
        <f t="shared" si="12"/>
        <v>2.1389293339824311E-2</v>
      </c>
      <c r="AV10" s="1">
        <f t="shared" si="12"/>
        <v>1.9792992131309139E-2</v>
      </c>
      <c r="AW10" s="1">
        <f t="shared" si="12"/>
        <v>1.8204752315853723E-2</v>
      </c>
      <c r="AX10" s="1">
        <f t="shared" si="12"/>
        <v>1.6616732130958267E-2</v>
      </c>
      <c r="AY10" s="1">
        <f t="shared" si="12"/>
        <v>1.4996836120461099E-2</v>
      </c>
      <c r="AZ10" s="1">
        <f t="shared" si="12"/>
        <v>1.3336183891928144E-2</v>
      </c>
      <c r="BA10" s="1">
        <f t="shared" si="12"/>
        <v>1.1673628950616521E-2</v>
      </c>
      <c r="BB10" s="1">
        <f t="shared" si="12"/>
        <v>1.0024379169858655E-2</v>
      </c>
      <c r="BC10" s="1">
        <f t="shared" si="12"/>
        <v>8.378882615244887E-3</v>
      </c>
      <c r="BD10" s="1">
        <f t="shared" si="12"/>
        <v>6.730475351769627E-3</v>
      </c>
      <c r="BE10" s="1">
        <f t="shared" si="12"/>
        <v>5.0301056394894683E-3</v>
      </c>
      <c r="BF10" s="1">
        <f t="shared" si="12"/>
        <v>3.3275615337791109E-3</v>
      </c>
      <c r="BG10" s="1">
        <f t="shared" si="12"/>
        <v>1.6784941631164951E-3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2758.7827100534464</v>
      </c>
      <c r="N12" s="37">
        <f t="shared" si="13"/>
        <v>2786.3705371539809</v>
      </c>
      <c r="O12" s="37">
        <f t="shared" si="13"/>
        <v>2817.0206130626743</v>
      </c>
      <c r="P12" s="37">
        <f t="shared" si="13"/>
        <v>2856.4589016455516</v>
      </c>
      <c r="Q12" s="37">
        <f t="shared" si="13"/>
        <v>2902.1622440718807</v>
      </c>
      <c r="R12" s="37">
        <f t="shared" si="13"/>
        <v>2954.4011644651746</v>
      </c>
      <c r="S12" s="37">
        <f t="shared" si="13"/>
        <v>3019.4917101814099</v>
      </c>
      <c r="T12" s="37">
        <f t="shared" si="13"/>
        <v>3098.6578143357187</v>
      </c>
      <c r="U12" s="37">
        <f t="shared" si="13"/>
        <v>3189.6914736349381</v>
      </c>
      <c r="V12" s="37">
        <f t="shared" si="13"/>
        <v>3285.6295440723929</v>
      </c>
      <c r="W12" s="37">
        <f t="shared" si="13"/>
        <v>3387.4108076665748</v>
      </c>
      <c r="X12" s="37">
        <f t="shared" si="13"/>
        <v>3503.822316485358</v>
      </c>
      <c r="Y12" s="37">
        <f t="shared" si="13"/>
        <v>3627.1733086751424</v>
      </c>
      <c r="Z12" s="37">
        <f t="shared" si="13"/>
        <v>3757.9091917406686</v>
      </c>
      <c r="AA12" s="37">
        <f t="shared" si="13"/>
        <v>3896.9782058681149</v>
      </c>
      <c r="AB12" s="37">
        <f t="shared" si="13"/>
        <v>4042.5535023498846</v>
      </c>
      <c r="AC12" s="37">
        <f t="shared" si="13"/>
        <v>4190.3715224582984</v>
      </c>
      <c r="AD12" s="37">
        <f t="shared" si="13"/>
        <v>4338.746729551779</v>
      </c>
      <c r="AE12" s="37">
        <f t="shared" si="13"/>
        <v>4493.9258030174624</v>
      </c>
      <c r="AF12" s="37">
        <f t="shared" si="13"/>
        <v>4646.851544407692</v>
      </c>
      <c r="AG12" s="37">
        <f t="shared" si="13"/>
        <v>4805.5666888006072</v>
      </c>
      <c r="AH12" s="37">
        <f t="shared" si="13"/>
        <v>4972.1201415478799</v>
      </c>
      <c r="AI12" s="37">
        <f t="shared" si="13"/>
        <v>5147.0885387860135</v>
      </c>
      <c r="AJ12" s="37">
        <f t="shared" si="13"/>
        <v>5331.0307755607055</v>
      </c>
      <c r="AK12" s="37">
        <f t="shared" si="13"/>
        <v>5511.8158924623676</v>
      </c>
      <c r="AL12" s="37">
        <f t="shared" si="13"/>
        <v>5701.6585608207461</v>
      </c>
      <c r="AM12" s="37">
        <f t="shared" si="13"/>
        <v>5905.341267381451</v>
      </c>
      <c r="AN12" s="37">
        <f t="shared" si="13"/>
        <v>6121.2224083428055</v>
      </c>
      <c r="AO12" s="37">
        <f t="shared" ref="AO12" si="14">(1+AO4)*AN12</f>
        <v>6333.9671215713788</v>
      </c>
      <c r="AP12" s="37">
        <f t="shared" ref="AP12" si="15">(1+AP4)*AO12</f>
        <v>6542.6941603914947</v>
      </c>
      <c r="AQ12" s="37">
        <f t="shared" ref="AQ12" si="16">(1+AQ4)*AP12</f>
        <v>6746.5117779400616</v>
      </c>
      <c r="AR12" s="37">
        <f t="shared" ref="AR12" si="17">(1+AR4)*AQ12</f>
        <v>6944.5237698208839</v>
      </c>
      <c r="AS12" s="37">
        <f t="shared" ref="AS12" si="18">(1+AS4)*AR12</f>
        <v>7135.8357778147301</v>
      </c>
      <c r="AT12" s="37">
        <f t="shared" ref="AT12" si="19">(1+AT4)*AS12</f>
        <v>7319.5617960455738</v>
      </c>
      <c r="AU12" s="37">
        <f t="shared" ref="AU12" si="20">(1+AU4)*AT12</f>
        <v>7494.8308163079182</v>
      </c>
      <c r="AV12" s="37">
        <f t="shared" ref="AV12" si="21">(1+AV4)*AU12</f>
        <v>7660.7935453052314</v>
      </c>
      <c r="AW12" s="37">
        <f t="shared" ref="AW12" si="22">(1+AW4)*AV12</f>
        <v>7816.6291234264672</v>
      </c>
      <c r="AX12" s="37">
        <f t="shared" ref="AX12" si="23">(1+AX4)*AW12</f>
        <v>7961.5517724759829</v>
      </c>
      <c r="AY12" s="37">
        <f t="shared" ref="AY12" si="24">(1+AY4)*AX12</f>
        <v>8094.8172985378196</v>
      </c>
      <c r="AZ12" s="37">
        <f t="shared" ref="AZ12" si="25">(1+AZ4)*AY12</f>
        <v>8215.7293759486838</v>
      </c>
      <c r="BA12" s="37">
        <f t="shared" ref="BA12" si="26">(1+BA4)*AZ12</f>
        <v>8323.64553920859</v>
      </c>
      <c r="BB12" s="37">
        <f t="shared" ref="BB12" si="27">(1+BB4)*BA12</f>
        <v>8417.982811589447</v>
      </c>
      <c r="BC12" s="37">
        <f t="shared" ref="BC12" si="28">(1+BC4)*BB12</f>
        <v>8498.2229022061783</v>
      </c>
      <c r="BD12" s="37">
        <f t="shared" ref="BD12" si="29">(1+BD4)*BC12</f>
        <v>8563.916907369301</v>
      </c>
      <c r="BE12" s="37">
        <f t="shared" ref="BE12" si="30">(1+BE4)*BD12</f>
        <v>8614.6894570998229</v>
      </c>
      <c r="BF12" s="37">
        <f t="shared" ref="BF12" si="31">(1+BF4)*BE12</f>
        <v>8650.2422536951126</v>
      </c>
      <c r="BG12" s="37">
        <f t="shared" ref="BG12" si="32">(1+BG4)*BF12</f>
        <v>8670.3569561083241</v>
      </c>
      <c r="BH12" s="37">
        <f t="shared" ref="BH12" si="33">(1+BH4)*BG12</f>
        <v>8674.8973715470001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109.03367355730057</v>
      </c>
      <c r="N13" s="37">
        <f t="shared" si="34"/>
        <v>110.12401029287358</v>
      </c>
      <c r="O13" s="37">
        <f t="shared" si="34"/>
        <v>111.33537440609517</v>
      </c>
      <c r="P13" s="37">
        <f t="shared" si="34"/>
        <v>112.8940696477805</v>
      </c>
      <c r="Q13" s="37">
        <f t="shared" si="34"/>
        <v>114.70037476214499</v>
      </c>
      <c r="R13" s="37">
        <f t="shared" si="34"/>
        <v>116.7649815078636</v>
      </c>
      <c r="S13" s="37">
        <f t="shared" si="34"/>
        <v>119.33751514287142</v>
      </c>
      <c r="T13" s="37">
        <f t="shared" si="34"/>
        <v>122.46634842347326</v>
      </c>
      <c r="U13" s="37">
        <f t="shared" si="34"/>
        <v>126.06421579250767</v>
      </c>
      <c r="V13" s="37">
        <f t="shared" si="34"/>
        <v>129.8559171888065</v>
      </c>
      <c r="W13" s="37">
        <f t="shared" si="34"/>
        <v>133.87855551713014</v>
      </c>
      <c r="X13" s="37">
        <f t="shared" si="34"/>
        <v>138.47941603601245</v>
      </c>
      <c r="Y13" s="37">
        <f t="shared" si="34"/>
        <v>143.35454149130049</v>
      </c>
      <c r="Z13" s="37">
        <f t="shared" si="34"/>
        <v>148.52153545006567</v>
      </c>
      <c r="AA13" s="37">
        <f t="shared" si="34"/>
        <v>154.01787462641707</v>
      </c>
      <c r="AB13" s="37">
        <f t="shared" si="34"/>
        <v>159.77135760162864</v>
      </c>
      <c r="AC13" s="37">
        <f t="shared" si="34"/>
        <v>165.61347836440339</v>
      </c>
      <c r="AD13" s="37">
        <f t="shared" si="34"/>
        <v>171.47762048595308</v>
      </c>
      <c r="AE13" s="37">
        <f t="shared" si="34"/>
        <v>177.61066763661245</v>
      </c>
      <c r="AF13" s="37">
        <f t="shared" si="34"/>
        <v>183.65465772850604</v>
      </c>
      <c r="AG13" s="37">
        <f t="shared" si="34"/>
        <v>189.92745883722461</v>
      </c>
      <c r="AH13" s="37">
        <f t="shared" si="34"/>
        <v>196.51004858976646</v>
      </c>
      <c r="AI13" s="37">
        <f t="shared" si="34"/>
        <v>203.42521702176563</v>
      </c>
      <c r="AJ13" s="37">
        <f t="shared" si="34"/>
        <v>210.69505299862763</v>
      </c>
      <c r="AK13" s="37">
        <f t="shared" si="34"/>
        <v>217.84011206705003</v>
      </c>
      <c r="AL13" s="37">
        <f t="shared" si="34"/>
        <v>225.34314717510799</v>
      </c>
      <c r="AM13" s="37">
        <f t="shared" si="34"/>
        <v>233.3931736072285</v>
      </c>
      <c r="AN13" s="37">
        <f t="shared" si="34"/>
        <v>241.92531126525446</v>
      </c>
      <c r="AO13" s="37">
        <f t="shared" ref="AO13:BH13" si="35">(1+AO4)*AN13</f>
        <v>250.33348981758286</v>
      </c>
      <c r="AP13" s="37">
        <f t="shared" si="35"/>
        <v>258.58288029344737</v>
      </c>
      <c r="AQ13" s="37">
        <f t="shared" si="35"/>
        <v>266.63823872962757</v>
      </c>
      <c r="AR13" s="37">
        <f t="shared" si="35"/>
        <v>274.46414499056186</v>
      </c>
      <c r="AS13" s="37">
        <f t="shared" si="35"/>
        <v>282.02525190600596</v>
      </c>
      <c r="AT13" s="37">
        <f t="shared" si="35"/>
        <v>289.28654241024299</v>
      </c>
      <c r="AU13" s="37">
        <f t="shared" si="35"/>
        <v>296.21359218127122</v>
      </c>
      <c r="AV13" s="37">
        <f t="shared" si="35"/>
        <v>302.77283512209027</v>
      </c>
      <c r="AW13" s="37">
        <f t="shared" si="35"/>
        <v>308.93182890277654</v>
      </c>
      <c r="AX13" s="37">
        <f t="shared" si="35"/>
        <v>314.65951769462703</v>
      </c>
      <c r="AY13" s="37">
        <f t="shared" si="35"/>
        <v>319.92648917886788</v>
      </c>
      <c r="AZ13" s="37">
        <f t="shared" si="35"/>
        <v>324.70522290425646</v>
      </c>
      <c r="BA13" s="37">
        <f t="shared" si="35"/>
        <v>328.9703271016831</v>
      </c>
      <c r="BB13" s="37">
        <f t="shared" si="35"/>
        <v>332.69876114020923</v>
      </c>
      <c r="BC13" s="37">
        <f t="shared" si="35"/>
        <v>335.87004092771502</v>
      </c>
      <c r="BD13" s="37">
        <f t="shared" si="35"/>
        <v>338.46642471956818</v>
      </c>
      <c r="BE13" s="37">
        <f t="shared" si="35"/>
        <v>340.47307699878388</v>
      </c>
      <c r="BF13" s="37">
        <f t="shared" si="35"/>
        <v>341.8782083285887</v>
      </c>
      <c r="BG13" s="37">
        <f t="shared" si="35"/>
        <v>342.67318934997616</v>
      </c>
      <c r="BH13" s="37">
        <f t="shared" si="35"/>
        <v>342.85263739891133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203.27007272714246</v>
      </c>
      <c r="N14" s="37">
        <f t="shared" si="36"/>
        <v>205.30277345441388</v>
      </c>
      <c r="O14" s="37">
        <f t="shared" si="36"/>
        <v>207.5611039624124</v>
      </c>
      <c r="P14" s="37">
        <f t="shared" si="36"/>
        <v>210.46695941788619</v>
      </c>
      <c r="Q14" s="37">
        <f t="shared" si="36"/>
        <v>213.83443076857236</v>
      </c>
      <c r="R14" s="37">
        <f t="shared" si="36"/>
        <v>217.68345052240667</v>
      </c>
      <c r="S14" s="37">
        <f t="shared" si="36"/>
        <v>222.47939183136617</v>
      </c>
      <c r="T14" s="37">
        <f t="shared" si="36"/>
        <v>228.31243540175274</v>
      </c>
      <c r="U14" s="37">
        <f t="shared" si="36"/>
        <v>235.01989317975648</v>
      </c>
      <c r="V14" s="37">
        <f t="shared" si="36"/>
        <v>242.08871323726126</v>
      </c>
      <c r="W14" s="37">
        <f t="shared" si="36"/>
        <v>249.58806604154535</v>
      </c>
      <c r="X14" s="37">
        <f t="shared" si="36"/>
        <v>258.16539102536478</v>
      </c>
      <c r="Y14" s="37">
        <f t="shared" si="36"/>
        <v>267.25402459625479</v>
      </c>
      <c r="Z14" s="37">
        <f t="shared" si="36"/>
        <v>276.88678485748676</v>
      </c>
      <c r="AA14" s="37">
        <f t="shared" si="36"/>
        <v>287.13353916429128</v>
      </c>
      <c r="AB14" s="37">
        <f t="shared" si="36"/>
        <v>297.85968334204398</v>
      </c>
      <c r="AC14" s="37">
        <f t="shared" si="36"/>
        <v>308.75107380506353</v>
      </c>
      <c r="AD14" s="37">
        <f t="shared" si="36"/>
        <v>319.68351840350471</v>
      </c>
      <c r="AE14" s="37">
        <f t="shared" si="36"/>
        <v>331.11727918290615</v>
      </c>
      <c r="AF14" s="37">
        <f t="shared" si="36"/>
        <v>342.38501203514005</v>
      </c>
      <c r="AG14" s="37">
        <f t="shared" si="36"/>
        <v>354.0793143178384</v>
      </c>
      <c r="AH14" s="37">
        <f t="shared" si="36"/>
        <v>366.35115157762715</v>
      </c>
      <c r="AI14" s="37">
        <f t="shared" si="36"/>
        <v>379.24301098429203</v>
      </c>
      <c r="AJ14" s="37">
        <f t="shared" si="36"/>
        <v>392.79607252499613</v>
      </c>
      <c r="AK14" s="37">
        <f t="shared" si="36"/>
        <v>406.11651408303169</v>
      </c>
      <c r="AL14" s="37">
        <f t="shared" si="36"/>
        <v>420.10432575928178</v>
      </c>
      <c r="AM14" s="37">
        <f t="shared" si="36"/>
        <v>435.11188631306442</v>
      </c>
      <c r="AN14" s="37">
        <f t="shared" si="36"/>
        <v>451.01824061335759</v>
      </c>
      <c r="AO14" s="37">
        <f t="shared" ref="AO14:BH14" si="37">(1+AO6)*AN14</f>
        <v>466.69349955009693</v>
      </c>
      <c r="AP14" s="37">
        <f t="shared" si="37"/>
        <v>482.07273192184982</v>
      </c>
      <c r="AQ14" s="37">
        <f t="shared" si="37"/>
        <v>497.09023286209873</v>
      </c>
      <c r="AR14" s="37">
        <f t="shared" si="37"/>
        <v>511.67996906850021</v>
      </c>
      <c r="AS14" s="37">
        <f t="shared" si="37"/>
        <v>525.77604326701203</v>
      </c>
      <c r="AT14" s="37">
        <f t="shared" si="37"/>
        <v>539.31317359320883</v>
      </c>
      <c r="AU14" s="37">
        <f t="shared" si="37"/>
        <v>552.22718322713592</v>
      </c>
      <c r="AV14" s="37">
        <f t="shared" si="37"/>
        <v>564.45549532665075</v>
      </c>
      <c r="AW14" s="37">
        <f t="shared" si="37"/>
        <v>575.93762807409212</v>
      </c>
      <c r="AX14" s="37">
        <f t="shared" si="37"/>
        <v>586.61568448815979</v>
      </c>
      <c r="AY14" s="37">
        <f t="shared" si="37"/>
        <v>596.4348315619377</v>
      </c>
      <c r="AZ14" s="37">
        <f t="shared" si="37"/>
        <v>605.34376327277187</v>
      </c>
      <c r="BA14" s="37">
        <f t="shared" si="37"/>
        <v>613.29514207268119</v>
      </c>
      <c r="BB14" s="37">
        <f t="shared" si="37"/>
        <v>620.24601361028249</v>
      </c>
      <c r="BC14" s="37">
        <f t="shared" si="37"/>
        <v>626.15818965657195</v>
      </c>
      <c r="BD14" s="37">
        <f t="shared" si="37"/>
        <v>630.99859450563179</v>
      </c>
      <c r="BE14" s="37">
        <f t="shared" si="37"/>
        <v>634.73957049430101</v>
      </c>
      <c r="BF14" s="37">
        <f t="shared" si="37"/>
        <v>637.35913872750837</v>
      </c>
      <c r="BG14" s="37">
        <f t="shared" si="37"/>
        <v>638.84121160244638</v>
      </c>
      <c r="BH14" s="37">
        <f t="shared" si="37"/>
        <v>639.17575428790974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153.32655627042456</v>
      </c>
      <c r="N15" s="17">
        <f t="shared" si="38"/>
        <v>154.89162019025139</v>
      </c>
      <c r="O15" s="17">
        <f t="shared" si="38"/>
        <v>156.56135961246716</v>
      </c>
      <c r="P15" s="17">
        <f t="shared" si="38"/>
        <v>159.0292585636183</v>
      </c>
      <c r="Q15" s="17">
        <f t="shared" si="38"/>
        <v>161.81927303587736</v>
      </c>
      <c r="R15" s="17">
        <f t="shared" si="38"/>
        <v>164.87448014005415</v>
      </c>
      <c r="S15" s="17">
        <f t="shared" si="38"/>
        <v>168.72421730058949</v>
      </c>
      <c r="T15" s="17">
        <f t="shared" si="38"/>
        <v>173.40896507001955</v>
      </c>
      <c r="U15" s="17">
        <f t="shared" si="38"/>
        <v>178.95541697933879</v>
      </c>
      <c r="V15" s="17">
        <f t="shared" si="38"/>
        <v>184.75085539349249</v>
      </c>
      <c r="W15" s="17">
        <f t="shared" si="38"/>
        <v>191.05600864487914</v>
      </c>
      <c r="X15" s="17">
        <f t="shared" si="38"/>
        <v>198.12309082173635</v>
      </c>
      <c r="Y15" s="17">
        <f t="shared" si="38"/>
        <v>205.79924561662574</v>
      </c>
      <c r="Z15" s="17">
        <f t="shared" si="38"/>
        <v>213.91826391923422</v>
      </c>
      <c r="AA15" s="17">
        <f t="shared" si="38"/>
        <v>222.43078325058318</v>
      </c>
      <c r="AB15" s="17">
        <f t="shared" si="38"/>
        <v>231.45082025356473</v>
      </c>
      <c r="AC15" s="17">
        <f t="shared" si="38"/>
        <v>240.60602473379652</v>
      </c>
      <c r="AD15" s="17">
        <f t="shared" si="38"/>
        <v>249.79924851910897</v>
      </c>
      <c r="AE15" s="17">
        <f t="shared" si="38"/>
        <v>259.28271052626644</v>
      </c>
      <c r="AF15" s="17">
        <f t="shared" si="38"/>
        <v>268.62814668587379</v>
      </c>
      <c r="AG15" s="17">
        <f t="shared" si="38"/>
        <v>278.32250635499526</v>
      </c>
      <c r="AH15" s="17">
        <f t="shared" si="38"/>
        <v>288.48705670492302</v>
      </c>
      <c r="AI15" s="17">
        <f t="shared" si="38"/>
        <v>299.16098922830128</v>
      </c>
      <c r="AJ15" s="17">
        <f t="shared" si="38"/>
        <v>310.37355014965215</v>
      </c>
      <c r="AK15" s="17">
        <f t="shared" si="38"/>
        <v>321.39583353365316</v>
      </c>
      <c r="AL15" s="17">
        <f t="shared" si="38"/>
        <v>332.96622859009818</v>
      </c>
      <c r="AM15" s="17">
        <f t="shared" si="38"/>
        <v>345.36853463611919</v>
      </c>
      <c r="AN15" s="17">
        <f t="shared" si="38"/>
        <v>358.50603229683588</v>
      </c>
      <c r="AO15" s="17">
        <f t="shared" ref="AO15:BH27" si="39">$I15/$I$35*AO$35</f>
        <v>371.45300834958601</v>
      </c>
      <c r="AP15" s="17">
        <f t="shared" si="39"/>
        <v>384.15634190330559</v>
      </c>
      <c r="AQ15" s="17">
        <f t="shared" si="39"/>
        <v>396.56230596020259</v>
      </c>
      <c r="AR15" s="17">
        <f t="shared" si="39"/>
        <v>408.616904653912</v>
      </c>
      <c r="AS15" s="17">
        <f t="shared" si="39"/>
        <v>420.26625317254434</v>
      </c>
      <c r="AT15" s="17">
        <f t="shared" si="39"/>
        <v>431.45696988360572</v>
      </c>
      <c r="AU15" s="17">
        <f t="shared" si="39"/>
        <v>442.1365768460326</v>
      </c>
      <c r="AV15" s="17">
        <f t="shared" si="39"/>
        <v>452.2539046562319</v>
      </c>
      <c r="AW15" s="17">
        <f t="shared" si="39"/>
        <v>461.75949738679077</v>
      </c>
      <c r="AX15" s="17">
        <f t="shared" si="39"/>
        <v>470.60601324322437</v>
      </c>
      <c r="AY15" s="17">
        <f t="shared" si="39"/>
        <v>478.7486164897378</v>
      </c>
      <c r="AZ15" s="17">
        <f t="shared" si="39"/>
        <v>486.14535618252467</v>
      </c>
      <c r="BA15" s="17">
        <f t="shared" si="39"/>
        <v>492.75752730063232</v>
      </c>
      <c r="BB15" s="17">
        <f t="shared" si="39"/>
        <v>498.55000998082255</v>
      </c>
      <c r="BC15" s="17">
        <f t="shared" si="39"/>
        <v>503.49158274392465</v>
      </c>
      <c r="BD15" s="17">
        <f t="shared" si="39"/>
        <v>507.55520584453268</v>
      </c>
      <c r="BE15" s="17">
        <f t="shared" si="39"/>
        <v>510.71827118097099</v>
      </c>
      <c r="BF15" s="17">
        <f t="shared" si="39"/>
        <v>512.96281556454733</v>
      </c>
      <c r="BG15" s="17">
        <f t="shared" si="39"/>
        <v>514.27569456139031</v>
      </c>
      <c r="BH15" s="17">
        <f t="shared" si="39"/>
        <v>514.64871458081916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362.34806556899423</v>
      </c>
      <c r="N16" s="17">
        <f t="shared" si="40"/>
        <v>366.04669350165892</v>
      </c>
      <c r="O16" s="17">
        <f t="shared" si="40"/>
        <v>369.99269518826225</v>
      </c>
      <c r="P16" s="17">
        <f t="shared" si="40"/>
        <v>375.82494260006865</v>
      </c>
      <c r="Q16" s="17">
        <f t="shared" si="40"/>
        <v>382.41842758742808</v>
      </c>
      <c r="R16" s="17">
        <f t="shared" si="40"/>
        <v>389.63862747347122</v>
      </c>
      <c r="S16" s="17">
        <f t="shared" si="40"/>
        <v>398.73649575539338</v>
      </c>
      <c r="T16" s="17">
        <f t="shared" si="40"/>
        <v>409.80769785646794</v>
      </c>
      <c r="U16" s="17">
        <f t="shared" si="40"/>
        <v>422.91531710390387</v>
      </c>
      <c r="V16" s="17">
        <f t="shared" si="40"/>
        <v>436.61135221728028</v>
      </c>
      <c r="W16" s="17">
        <f t="shared" si="40"/>
        <v>451.51196786618669</v>
      </c>
      <c r="X16" s="17">
        <f t="shared" si="40"/>
        <v>468.21320748370539</v>
      </c>
      <c r="Y16" s="17">
        <f t="shared" si="40"/>
        <v>486.35383431700268</v>
      </c>
      <c r="Z16" s="17">
        <f t="shared" si="40"/>
        <v>505.541055681844</v>
      </c>
      <c r="AA16" s="17">
        <f t="shared" si="38"/>
        <v>525.65821599550031</v>
      </c>
      <c r="AB16" s="17">
        <f t="shared" si="38"/>
        <v>546.97476440624382</v>
      </c>
      <c r="AC16" s="17">
        <f t="shared" si="38"/>
        <v>568.61074654784807</v>
      </c>
      <c r="AD16" s="17">
        <f t="shared" si="38"/>
        <v>590.33657758442098</v>
      </c>
      <c r="AE16" s="17">
        <f t="shared" si="38"/>
        <v>612.74831236003206</v>
      </c>
      <c r="AF16" s="17">
        <f t="shared" si="38"/>
        <v>634.83385837829496</v>
      </c>
      <c r="AG16" s="17">
        <f t="shared" si="38"/>
        <v>657.74399579011276</v>
      </c>
      <c r="AH16" s="17">
        <f t="shared" si="38"/>
        <v>681.76530851156349</v>
      </c>
      <c r="AI16" s="17">
        <f t="shared" si="38"/>
        <v>706.99041560285298</v>
      </c>
      <c r="AJ16" s="17">
        <f t="shared" si="38"/>
        <v>733.48843302887724</v>
      </c>
      <c r="AK16" s="17">
        <f t="shared" si="38"/>
        <v>759.53677820465953</v>
      </c>
      <c r="AL16" s="17">
        <f t="shared" si="38"/>
        <v>786.88044500675937</v>
      </c>
      <c r="AM16" s="17">
        <f t="shared" si="38"/>
        <v>816.19012047122555</v>
      </c>
      <c r="AN16" s="17">
        <f t="shared" si="38"/>
        <v>847.23723311479125</v>
      </c>
      <c r="AO16" s="17">
        <f t="shared" si="39"/>
        <v>877.83409670969229</v>
      </c>
      <c r="AP16" s="17">
        <f t="shared" si="39"/>
        <v>907.85517362835446</v>
      </c>
      <c r="AQ16" s="17">
        <f t="shared" si="39"/>
        <v>937.17349386510909</v>
      </c>
      <c r="AR16" s="17">
        <f t="shared" si="39"/>
        <v>965.66145201224367</v>
      </c>
      <c r="AS16" s="17">
        <f t="shared" si="39"/>
        <v>993.19170511086941</v>
      </c>
      <c r="AT16" s="17">
        <f t="shared" si="39"/>
        <v>1019.6380993377895</v>
      </c>
      <c r="AU16" s="17">
        <f t="shared" si="39"/>
        <v>1044.8766165131667</v>
      </c>
      <c r="AV16" s="17">
        <f t="shared" si="39"/>
        <v>1068.7863308505011</v>
      </c>
      <c r="AW16" s="17">
        <f t="shared" si="39"/>
        <v>1091.2503659256115</v>
      </c>
      <c r="AX16" s="17">
        <f t="shared" si="39"/>
        <v>1112.156841526293</v>
      </c>
      <c r="AY16" s="17">
        <f t="shared" si="39"/>
        <v>1131.399799868527</v>
      </c>
      <c r="AZ16" s="17">
        <f t="shared" si="39"/>
        <v>1148.8801006356791</v>
      </c>
      <c r="BA16" s="17">
        <f t="shared" si="39"/>
        <v>1164.5062744188547</v>
      </c>
      <c r="BB16" s="17">
        <f t="shared" si="39"/>
        <v>1178.1953244116489</v>
      </c>
      <c r="BC16" s="17">
        <f t="shared" si="39"/>
        <v>1189.8734666404512</v>
      </c>
      <c r="BD16" s="17">
        <f t="shared" si="39"/>
        <v>1199.4767995889185</v>
      </c>
      <c r="BE16" s="17">
        <f t="shared" si="39"/>
        <v>1206.9518947962049</v>
      </c>
      <c r="BF16" s="17">
        <f t="shared" si="39"/>
        <v>1212.2563008642458</v>
      </c>
      <c r="BG16" s="17">
        <f t="shared" si="39"/>
        <v>1215.358954288439</v>
      </c>
      <c r="BH16" s="17">
        <f t="shared" si="39"/>
        <v>1216.2404916146943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23.733813109883421</v>
      </c>
      <c r="N17" s="17">
        <f t="shared" si="38"/>
        <v>23.976073390696605</v>
      </c>
      <c r="O17" s="17">
        <f t="shared" si="38"/>
        <v>24.234536662506997</v>
      </c>
      <c r="P17" s="17">
        <f t="shared" si="38"/>
        <v>24.616549106440015</v>
      </c>
      <c r="Q17" s="17">
        <f t="shared" si="38"/>
        <v>25.048422642696039</v>
      </c>
      <c r="R17" s="17">
        <f t="shared" si="38"/>
        <v>25.521346030439972</v>
      </c>
      <c r="S17" s="17">
        <f t="shared" si="38"/>
        <v>26.117256774885117</v>
      </c>
      <c r="T17" s="17">
        <f t="shared" si="38"/>
        <v>26.842420965167289</v>
      </c>
      <c r="U17" s="17">
        <f t="shared" si="38"/>
        <v>27.700970561797934</v>
      </c>
      <c r="V17" s="17">
        <f t="shared" si="38"/>
        <v>28.598061421705903</v>
      </c>
      <c r="W17" s="17">
        <f t="shared" si="38"/>
        <v>29.574052355942065</v>
      </c>
      <c r="X17" s="17">
        <f t="shared" si="38"/>
        <v>30.667984233743397</v>
      </c>
      <c r="Y17" s="17">
        <f t="shared" si="38"/>
        <v>31.856196033029612</v>
      </c>
      <c r="Z17" s="17">
        <f t="shared" si="38"/>
        <v>33.112959816923464</v>
      </c>
      <c r="AA17" s="17">
        <f t="shared" si="38"/>
        <v>34.430634639986565</v>
      </c>
      <c r="AB17" s="17">
        <f t="shared" si="38"/>
        <v>35.826869432447566</v>
      </c>
      <c r="AC17" s="17">
        <f t="shared" si="38"/>
        <v>37.244027147340439</v>
      </c>
      <c r="AD17" s="17">
        <f t="shared" si="38"/>
        <v>38.667069968527365</v>
      </c>
      <c r="AE17" s="17">
        <f t="shared" si="38"/>
        <v>40.135039512665436</v>
      </c>
      <c r="AF17" s="17">
        <f t="shared" si="38"/>
        <v>41.58164367986052</v>
      </c>
      <c r="AG17" s="17">
        <f t="shared" si="38"/>
        <v>43.082258617048026</v>
      </c>
      <c r="AH17" s="17">
        <f t="shared" si="38"/>
        <v>44.655655582448468</v>
      </c>
      <c r="AI17" s="17">
        <f t="shared" si="38"/>
        <v>46.307901128292194</v>
      </c>
      <c r="AJ17" s="17">
        <f t="shared" si="38"/>
        <v>48.043522353105779</v>
      </c>
      <c r="AK17" s="17">
        <f t="shared" si="38"/>
        <v>49.749690027143039</v>
      </c>
      <c r="AL17" s="17">
        <f t="shared" si="38"/>
        <v>51.540701320665157</v>
      </c>
      <c r="AM17" s="17">
        <f t="shared" si="38"/>
        <v>53.460486261955317</v>
      </c>
      <c r="AN17" s="17">
        <f t="shared" si="38"/>
        <v>55.49407340951408</v>
      </c>
      <c r="AO17" s="17">
        <f t="shared" si="39"/>
        <v>57.498169225976241</v>
      </c>
      <c r="AP17" s="17">
        <f t="shared" si="39"/>
        <v>59.464550991602898</v>
      </c>
      <c r="AQ17" s="17">
        <f t="shared" si="39"/>
        <v>61.384902165831406</v>
      </c>
      <c r="AR17" s="17">
        <f t="shared" si="39"/>
        <v>63.250864589239271</v>
      </c>
      <c r="AS17" s="17">
        <f t="shared" si="39"/>
        <v>65.054097292812685</v>
      </c>
      <c r="AT17" s="17">
        <f t="shared" si="39"/>
        <v>66.786337195974269</v>
      </c>
      <c r="AU17" s="17">
        <f t="shared" si="39"/>
        <v>68.43946110287402</v>
      </c>
      <c r="AV17" s="17">
        <f t="shared" si="39"/>
        <v>70.005548369552002</v>
      </c>
      <c r="AW17" s="17">
        <f t="shared" si="39"/>
        <v>71.476943585445639</v>
      </c>
      <c r="AX17" s="17">
        <f t="shared" si="39"/>
        <v>72.846318592081175</v>
      </c>
      <c r="AY17" s="17">
        <f t="shared" si="39"/>
        <v>74.106733150273129</v>
      </c>
      <c r="AZ17" s="17">
        <f t="shared" si="39"/>
        <v>75.251693565228464</v>
      </c>
      <c r="BA17" s="17">
        <f t="shared" si="39"/>
        <v>76.275208586924734</v>
      </c>
      <c r="BB17" s="17">
        <f t="shared" si="39"/>
        <v>77.171841921148967</v>
      </c>
      <c r="BC17" s="17">
        <f t="shared" si="39"/>
        <v>77.936760714612916</v>
      </c>
      <c r="BD17" s="17">
        <f t="shared" si="39"/>
        <v>78.565779415383403</v>
      </c>
      <c r="BE17" s="17">
        <f t="shared" si="39"/>
        <v>79.055398457090519</v>
      </c>
      <c r="BF17" s="17">
        <f t="shared" si="39"/>
        <v>79.402837271425355</v>
      </c>
      <c r="BG17" s="17">
        <f t="shared" si="39"/>
        <v>79.606061197566405</v>
      </c>
      <c r="BH17" s="17">
        <f t="shared" si="39"/>
        <v>79.663801928479032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77.878117507877974</v>
      </c>
      <c r="N18" s="17">
        <f t="shared" si="38"/>
        <v>78.673049806759352</v>
      </c>
      <c r="O18" s="17">
        <f t="shared" si="38"/>
        <v>79.521149223415577</v>
      </c>
      <c r="P18" s="17">
        <f t="shared" si="38"/>
        <v>80.774652394623189</v>
      </c>
      <c r="Q18" s="17">
        <f t="shared" si="38"/>
        <v>82.191765517127862</v>
      </c>
      <c r="R18" s="17">
        <f t="shared" si="38"/>
        <v>83.743576134007142</v>
      </c>
      <c r="S18" s="17">
        <f t="shared" si="38"/>
        <v>85.698947012055399</v>
      </c>
      <c r="T18" s="17">
        <f t="shared" si="38"/>
        <v>88.078439163688742</v>
      </c>
      <c r="U18" s="17">
        <f t="shared" si="38"/>
        <v>90.895610853007369</v>
      </c>
      <c r="V18" s="17">
        <f t="shared" si="38"/>
        <v>93.83924856851894</v>
      </c>
      <c r="W18" s="17">
        <f t="shared" si="38"/>
        <v>97.041782283230617</v>
      </c>
      <c r="X18" s="17">
        <f t="shared" si="38"/>
        <v>100.63131738787627</v>
      </c>
      <c r="Y18" s="17">
        <f t="shared" si="38"/>
        <v>104.53021461524696</v>
      </c>
      <c r="Z18" s="17">
        <f t="shared" si="38"/>
        <v>108.65405249955951</v>
      </c>
      <c r="AA18" s="17">
        <f t="shared" si="38"/>
        <v>112.97775869175781</v>
      </c>
      <c r="AB18" s="17">
        <f t="shared" si="38"/>
        <v>117.5592448917391</v>
      </c>
      <c r="AC18" s="17">
        <f t="shared" si="38"/>
        <v>122.2093857914188</v>
      </c>
      <c r="AD18" s="17">
        <f t="shared" si="38"/>
        <v>126.87883757879246</v>
      </c>
      <c r="AE18" s="17">
        <f t="shared" si="38"/>
        <v>131.69570809711485</v>
      </c>
      <c r="AF18" s="17">
        <f t="shared" si="38"/>
        <v>136.44247208310452</v>
      </c>
      <c r="AG18" s="17">
        <f t="shared" si="38"/>
        <v>141.3664624200681</v>
      </c>
      <c r="AH18" s="17">
        <f t="shared" si="38"/>
        <v>146.52927351960307</v>
      </c>
      <c r="AI18" s="17">
        <f t="shared" si="38"/>
        <v>151.95081165067995</v>
      </c>
      <c r="AJ18" s="17">
        <f t="shared" si="38"/>
        <v>157.64593164970415</v>
      </c>
      <c r="AK18" s="17">
        <f t="shared" si="38"/>
        <v>163.24440527008858</v>
      </c>
      <c r="AL18" s="17">
        <f t="shared" si="38"/>
        <v>169.12127753368486</v>
      </c>
      <c r="AM18" s="17">
        <f t="shared" si="38"/>
        <v>175.42069670225453</v>
      </c>
      <c r="AN18" s="17">
        <f t="shared" si="38"/>
        <v>182.09353675989118</v>
      </c>
      <c r="AO18" s="17">
        <f t="shared" si="39"/>
        <v>188.66960646975556</v>
      </c>
      <c r="AP18" s="17">
        <f t="shared" si="39"/>
        <v>195.12192449803945</v>
      </c>
      <c r="AQ18" s="17">
        <f t="shared" si="39"/>
        <v>201.42320165525618</v>
      </c>
      <c r="AR18" s="17">
        <f t="shared" si="39"/>
        <v>207.54601218732901</v>
      </c>
      <c r="AS18" s="17">
        <f t="shared" si="39"/>
        <v>213.46298674732751</v>
      </c>
      <c r="AT18" s="17">
        <f t="shared" si="39"/>
        <v>219.14701156481777</v>
      </c>
      <c r="AU18" s="17">
        <f t="shared" si="39"/>
        <v>224.57143187522334</v>
      </c>
      <c r="AV18" s="17">
        <f t="shared" si="39"/>
        <v>229.71025755052744</v>
      </c>
      <c r="AW18" s="17">
        <f t="shared" si="39"/>
        <v>234.53836877704489</v>
      </c>
      <c r="AX18" s="17">
        <f t="shared" si="39"/>
        <v>239.03171955828549</v>
      </c>
      <c r="AY18" s="17">
        <f t="shared" si="39"/>
        <v>243.16753678314754</v>
      </c>
      <c r="AZ18" s="17">
        <f t="shared" si="39"/>
        <v>246.92451259335266</v>
      </c>
      <c r="BA18" s="17">
        <f t="shared" si="39"/>
        <v>250.2829878101962</v>
      </c>
      <c r="BB18" s="17">
        <f t="shared" si="39"/>
        <v>253.22512423980839</v>
      </c>
      <c r="BC18" s="17">
        <f t="shared" si="39"/>
        <v>255.73506376809107</v>
      </c>
      <c r="BD18" s="17">
        <f t="shared" si="39"/>
        <v>257.79907228060677</v>
      </c>
      <c r="BE18" s="17">
        <f t="shared" si="39"/>
        <v>259.40566659765238</v>
      </c>
      <c r="BF18" s="17">
        <f t="shared" si="39"/>
        <v>260.54572279866369</v>
      </c>
      <c r="BG18" s="17">
        <f t="shared" si="39"/>
        <v>261.21256452052063</v>
      </c>
      <c r="BH18" s="17">
        <f t="shared" si="39"/>
        <v>261.40203004829675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17.412697674874938</v>
      </c>
      <c r="N19" s="17">
        <f t="shared" si="38"/>
        <v>17.590435866749111</v>
      </c>
      <c r="O19" s="17">
        <f t="shared" si="38"/>
        <v>17.780061646275421</v>
      </c>
      <c r="P19" s="17">
        <f t="shared" si="38"/>
        <v>18.060331283667811</v>
      </c>
      <c r="Q19" s="17">
        <f t="shared" si="38"/>
        <v>18.377182321711658</v>
      </c>
      <c r="R19" s="17">
        <f t="shared" si="38"/>
        <v>18.724150250381051</v>
      </c>
      <c r="S19" s="17">
        <f t="shared" si="38"/>
        <v>19.161349851902813</v>
      </c>
      <c r="T19" s="17">
        <f t="shared" si="38"/>
        <v>19.693378344398639</v>
      </c>
      <c r="U19" s="17">
        <f t="shared" si="38"/>
        <v>20.32326720784426</v>
      </c>
      <c r="V19" s="17">
        <f t="shared" si="38"/>
        <v>20.981432495408864</v>
      </c>
      <c r="W19" s="17">
        <f t="shared" si="38"/>
        <v>21.697484104671602</v>
      </c>
      <c r="X19" s="17">
        <f t="shared" si="38"/>
        <v>22.500065003782609</v>
      </c>
      <c r="Y19" s="17">
        <f t="shared" si="38"/>
        <v>23.371815899388764</v>
      </c>
      <c r="Z19" s="17">
        <f t="shared" si="38"/>
        <v>24.293861072507724</v>
      </c>
      <c r="AA19" s="17">
        <f t="shared" si="38"/>
        <v>25.260594619349277</v>
      </c>
      <c r="AB19" s="17">
        <f t="shared" si="38"/>
        <v>26.284964964379967</v>
      </c>
      <c r="AC19" s="17">
        <f t="shared" si="38"/>
        <v>27.324685751461171</v>
      </c>
      <c r="AD19" s="17">
        <f t="shared" si="38"/>
        <v>28.368724242411048</v>
      </c>
      <c r="AE19" s="17">
        <f t="shared" si="38"/>
        <v>29.445723953736646</v>
      </c>
      <c r="AF19" s="17">
        <f t="shared" si="38"/>
        <v>30.507048609069535</v>
      </c>
      <c r="AG19" s="17">
        <f t="shared" si="38"/>
        <v>31.607999143510472</v>
      </c>
      <c r="AH19" s="17">
        <f t="shared" si="38"/>
        <v>32.762347395695649</v>
      </c>
      <c r="AI19" s="17">
        <f t="shared" si="38"/>
        <v>33.974544190253489</v>
      </c>
      <c r="AJ19" s="17">
        <f t="shared" si="38"/>
        <v>35.247910906585723</v>
      </c>
      <c r="AK19" s="17">
        <f t="shared" si="38"/>
        <v>36.49966854675538</v>
      </c>
      <c r="AL19" s="17">
        <f t="shared" si="38"/>
        <v>37.813673087113052</v>
      </c>
      <c r="AM19" s="17">
        <f t="shared" si="38"/>
        <v>39.222154506794517</v>
      </c>
      <c r="AN19" s="17">
        <f t="shared" si="38"/>
        <v>40.714128764449988</v>
      </c>
      <c r="AO19" s="17">
        <f t="shared" si="39"/>
        <v>42.184466227796968</v>
      </c>
      <c r="AP19" s="17">
        <f t="shared" si="39"/>
        <v>43.627134164875535</v>
      </c>
      <c r="AQ19" s="17">
        <f t="shared" si="39"/>
        <v>45.036031010553799</v>
      </c>
      <c r="AR19" s="17">
        <f t="shared" si="39"/>
        <v>46.405024665347</v>
      </c>
      <c r="AS19" s="17">
        <f t="shared" si="39"/>
        <v>47.727995641793072</v>
      </c>
      <c r="AT19" s="17">
        <f t="shared" si="39"/>
        <v>48.998881596547079</v>
      </c>
      <c r="AU19" s="17">
        <f t="shared" si="39"/>
        <v>50.211722814967501</v>
      </c>
      <c r="AV19" s="17">
        <f t="shared" si="39"/>
        <v>51.360708187898531</v>
      </c>
      <c r="AW19" s="17">
        <f t="shared" si="39"/>
        <v>52.440221198976559</v>
      </c>
      <c r="AX19" s="17">
        <f t="shared" si="39"/>
        <v>53.444885425650895</v>
      </c>
      <c r="AY19" s="17">
        <f t="shared" si="39"/>
        <v>54.369609048660635</v>
      </c>
      <c r="AZ19" s="17">
        <f t="shared" si="39"/>
        <v>55.209627863294962</v>
      </c>
      <c r="BA19" s="17">
        <f t="shared" si="39"/>
        <v>55.960546291613937</v>
      </c>
      <c r="BB19" s="17">
        <f t="shared" si="39"/>
        <v>56.618375908025648</v>
      </c>
      <c r="BC19" s="17">
        <f t="shared" si="39"/>
        <v>57.179571011178766</v>
      </c>
      <c r="BD19" s="17">
        <f t="shared" si="39"/>
        <v>57.641060802880126</v>
      </c>
      <c r="BE19" s="17">
        <f t="shared" si="39"/>
        <v>58.000277769392667</v>
      </c>
      <c r="BF19" s="17">
        <f t="shared" si="39"/>
        <v>58.255181901590888</v>
      </c>
      <c r="BG19" s="17">
        <f t="shared" si="39"/>
        <v>58.404280437498784</v>
      </c>
      <c r="BH19" s="17">
        <f t="shared" si="39"/>
        <v>58.446642863049739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20.593008878113583</v>
      </c>
      <c r="N20" s="17">
        <f t="shared" si="38"/>
        <v>20.803209745985196</v>
      </c>
      <c r="O20" s="17">
        <f t="shared" si="38"/>
        <v>21.027469388816932</v>
      </c>
      <c r="P20" s="17">
        <f t="shared" si="38"/>
        <v>21.358928375750075</v>
      </c>
      <c r="Q20" s="17">
        <f t="shared" si="38"/>
        <v>21.733650108206927</v>
      </c>
      <c r="R20" s="17">
        <f t="shared" si="38"/>
        <v>22.143989377223196</v>
      </c>
      <c r="S20" s="17">
        <f t="shared" si="38"/>
        <v>22.661040522528285</v>
      </c>
      <c r="T20" s="17">
        <f t="shared" si="38"/>
        <v>23.290240412972867</v>
      </c>
      <c r="U20" s="17">
        <f t="shared" si="38"/>
        <v>24.035174207802203</v>
      </c>
      <c r="V20" s="17">
        <f t="shared" si="38"/>
        <v>24.813548923952062</v>
      </c>
      <c r="W20" s="17">
        <f t="shared" si="38"/>
        <v>25.660382506092056</v>
      </c>
      <c r="X20" s="17">
        <f t="shared" si="38"/>
        <v>26.609549366356628</v>
      </c>
      <c r="Y20" s="17">
        <f t="shared" si="38"/>
        <v>27.640519654126816</v>
      </c>
      <c r="Z20" s="17">
        <f t="shared" si="38"/>
        <v>28.730970128291894</v>
      </c>
      <c r="AA20" s="17">
        <f t="shared" si="38"/>
        <v>29.87427100473241</v>
      </c>
      <c r="AB20" s="17">
        <f t="shared" si="38"/>
        <v>31.085735649876479</v>
      </c>
      <c r="AC20" s="17">
        <f t="shared" si="38"/>
        <v>32.315354391262929</v>
      </c>
      <c r="AD20" s="17">
        <f t="shared" si="38"/>
        <v>33.550079435863324</v>
      </c>
      <c r="AE20" s="17">
        <f t="shared" si="38"/>
        <v>34.823785844322693</v>
      </c>
      <c r="AF20" s="17">
        <f t="shared" si="38"/>
        <v>36.078954254061244</v>
      </c>
      <c r="AG20" s="17">
        <f t="shared" si="38"/>
        <v>37.380985941134057</v>
      </c>
      <c r="AH20" s="17">
        <f t="shared" si="38"/>
        <v>38.746168077155666</v>
      </c>
      <c r="AI20" s="17">
        <f t="shared" si="38"/>
        <v>40.179764399704212</v>
      </c>
      <c r="AJ20" s="17">
        <f t="shared" si="38"/>
        <v>41.685702915616126</v>
      </c>
      <c r="AK20" s="17">
        <f t="shared" si="38"/>
        <v>43.16608560407542</v>
      </c>
      <c r="AL20" s="17">
        <f t="shared" si="38"/>
        <v>44.720084167118962</v>
      </c>
      <c r="AM20" s="17">
        <f t="shared" si="38"/>
        <v>46.385815171109797</v>
      </c>
      <c r="AN20" s="17">
        <f t="shared" si="38"/>
        <v>48.150288413997863</v>
      </c>
      <c r="AO20" s="17">
        <f t="shared" si="39"/>
        <v>49.889173048755914</v>
      </c>
      <c r="AP20" s="17">
        <f t="shared" si="39"/>
        <v>51.595334505822741</v>
      </c>
      <c r="AQ20" s="17">
        <f t="shared" si="39"/>
        <v>53.261556810552847</v>
      </c>
      <c r="AR20" s="17">
        <f t="shared" si="39"/>
        <v>54.880587877055298</v>
      </c>
      <c r="AS20" s="17">
        <f t="shared" si="39"/>
        <v>56.445190534962315</v>
      </c>
      <c r="AT20" s="17">
        <f t="shared" si="39"/>
        <v>57.948195195008886</v>
      </c>
      <c r="AU20" s="17">
        <f t="shared" si="39"/>
        <v>59.382553641070473</v>
      </c>
      <c r="AV20" s="17">
        <f t="shared" si="39"/>
        <v>60.741393404292936</v>
      </c>
      <c r="AW20" s="17">
        <f t="shared" si="39"/>
        <v>62.018072149668818</v>
      </c>
      <c r="AX20" s="17">
        <f t="shared" si="39"/>
        <v>63.206231487511133</v>
      </c>
      <c r="AY20" s="17">
        <f t="shared" si="39"/>
        <v>64.299849612284419</v>
      </c>
      <c r="AZ20" s="17">
        <f t="shared" si="39"/>
        <v>65.293292169580255</v>
      </c>
      <c r="BA20" s="17">
        <f t="shared" si="39"/>
        <v>66.181360758942191</v>
      </c>
      <c r="BB20" s="17">
        <f t="shared" si="39"/>
        <v>66.959338495878328</v>
      </c>
      <c r="BC20" s="17">
        <f t="shared" si="39"/>
        <v>67.623032080719071</v>
      </c>
      <c r="BD20" s="17">
        <f t="shared" si="39"/>
        <v>68.168809854795839</v>
      </c>
      <c r="BE20" s="17">
        <f t="shared" si="39"/>
        <v>68.593635365390654</v>
      </c>
      <c r="BF20" s="17">
        <f t="shared" si="39"/>
        <v>68.895096009538861</v>
      </c>
      <c r="BG20" s="17">
        <f t="shared" si="39"/>
        <v>69.071426382407807</v>
      </c>
      <c r="BH20" s="17">
        <f t="shared" si="39"/>
        <v>69.121526017843848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12.918779670298592</v>
      </c>
      <c r="N21" s="17">
        <f t="shared" si="38"/>
        <v>13.05064668956769</v>
      </c>
      <c r="O21" s="17">
        <f t="shared" si="38"/>
        <v>13.191333314423284</v>
      </c>
      <c r="P21" s="17">
        <f t="shared" si="38"/>
        <v>13.399270175290695</v>
      </c>
      <c r="Q21" s="17">
        <f t="shared" si="38"/>
        <v>13.634347406011827</v>
      </c>
      <c r="R21" s="17">
        <f t="shared" si="38"/>
        <v>13.891768875495416</v>
      </c>
      <c r="S21" s="17">
        <f t="shared" si="38"/>
        <v>14.216134773845083</v>
      </c>
      <c r="T21" s="17">
        <f t="shared" si="38"/>
        <v>14.610855856195927</v>
      </c>
      <c r="U21" s="17">
        <f t="shared" si="38"/>
        <v>15.078181229642823</v>
      </c>
      <c r="V21" s="17">
        <f t="shared" si="38"/>
        <v>15.566485368119569</v>
      </c>
      <c r="W21" s="17">
        <f t="shared" si="38"/>
        <v>16.097736363534008</v>
      </c>
      <c r="X21" s="17">
        <f t="shared" si="38"/>
        <v>16.693184926232362</v>
      </c>
      <c r="Y21" s="17">
        <f t="shared" si="38"/>
        <v>17.339951898128479</v>
      </c>
      <c r="Z21" s="17">
        <f t="shared" si="38"/>
        <v>18.024033058899665</v>
      </c>
      <c r="AA21" s="17">
        <f t="shared" si="38"/>
        <v>18.741269292177456</v>
      </c>
      <c r="AB21" s="17">
        <f t="shared" si="38"/>
        <v>19.501267256613158</v>
      </c>
      <c r="AC21" s="17">
        <f t="shared" si="38"/>
        <v>20.272653977828256</v>
      </c>
      <c r="AD21" s="17">
        <f t="shared" si="38"/>
        <v>21.047244077750229</v>
      </c>
      <c r="AE21" s="17">
        <f t="shared" si="38"/>
        <v>21.846288673560714</v>
      </c>
      <c r="AF21" s="17">
        <f t="shared" si="38"/>
        <v>22.63370367592907</v>
      </c>
      <c r="AG21" s="17">
        <f t="shared" si="38"/>
        <v>23.450517799042373</v>
      </c>
      <c r="AH21" s="17">
        <f t="shared" si="38"/>
        <v>24.306948606676073</v>
      </c>
      <c r="AI21" s="17">
        <f t="shared" si="38"/>
        <v>25.206298242116599</v>
      </c>
      <c r="AJ21" s="17">
        <f t="shared" si="38"/>
        <v>26.151030893825368</v>
      </c>
      <c r="AK21" s="17">
        <f t="shared" si="38"/>
        <v>27.079731400542279</v>
      </c>
      <c r="AL21" s="17">
        <f t="shared" si="38"/>
        <v>28.054613952322111</v>
      </c>
      <c r="AM21" s="17">
        <f t="shared" si="38"/>
        <v>29.099590524609887</v>
      </c>
      <c r="AN21" s="17">
        <f t="shared" si="38"/>
        <v>30.20651186834974</v>
      </c>
      <c r="AO21" s="17">
        <f t="shared" si="39"/>
        <v>31.297380502528892</v>
      </c>
      <c r="AP21" s="17">
        <f t="shared" si="39"/>
        <v>32.367720639624054</v>
      </c>
      <c r="AQ21" s="17">
        <f t="shared" si="39"/>
        <v>33.413005423598619</v>
      </c>
      <c r="AR21" s="17">
        <f t="shared" si="39"/>
        <v>34.428685344454834</v>
      </c>
      <c r="AS21" s="17">
        <f t="shared" si="39"/>
        <v>35.410220249271326</v>
      </c>
      <c r="AT21" s="17">
        <f t="shared" si="39"/>
        <v>36.353112381329318</v>
      </c>
      <c r="AU21" s="17">
        <f t="shared" si="39"/>
        <v>37.252940125908957</v>
      </c>
      <c r="AV21" s="17">
        <f t="shared" si="39"/>
        <v>38.105392121254276</v>
      </c>
      <c r="AW21" s="17">
        <f t="shared" si="39"/>
        <v>38.906301377346196</v>
      </c>
      <c r="AX21" s="17">
        <f t="shared" si="39"/>
        <v>39.651679033891874</v>
      </c>
      <c r="AY21" s="17">
        <f t="shared" si="39"/>
        <v>40.337747382670514</v>
      </c>
      <c r="AZ21" s="17">
        <f t="shared" si="39"/>
        <v>40.960971778326609</v>
      </c>
      <c r="BA21" s="17">
        <f t="shared" si="39"/>
        <v>41.518091066041428</v>
      </c>
      <c r="BB21" s="17">
        <f t="shared" si="39"/>
        <v>42.006146164320789</v>
      </c>
      <c r="BC21" s="17">
        <f t="shared" si="39"/>
        <v>42.422506456393549</v>
      </c>
      <c r="BD21" s="17">
        <f t="shared" si="39"/>
        <v>42.764893664303578</v>
      </c>
      <c r="BE21" s="17">
        <f t="shared" si="39"/>
        <v>43.03140290548248</v>
      </c>
      <c r="BF21" s="17">
        <f t="shared" si="39"/>
        <v>43.220520662099197</v>
      </c>
      <c r="BG21" s="17">
        <f t="shared" si="39"/>
        <v>43.331139428388205</v>
      </c>
      <c r="BH21" s="17">
        <f t="shared" si="39"/>
        <v>43.362568839971111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0.11852091440640911</v>
      </c>
      <c r="N22" s="17">
        <f t="shared" si="38"/>
        <v>0.11973070357401551</v>
      </c>
      <c r="O22" s="17">
        <f t="shared" si="38"/>
        <v>0.12102140655434204</v>
      </c>
      <c r="P22" s="17">
        <f t="shared" si="38"/>
        <v>0.12292908417697886</v>
      </c>
      <c r="Q22" s="17">
        <f t="shared" si="38"/>
        <v>0.12508575601845712</v>
      </c>
      <c r="R22" s="17">
        <f t="shared" si="38"/>
        <v>0.12744742087610472</v>
      </c>
      <c r="S22" s="17">
        <f t="shared" si="38"/>
        <v>0.13042325480591818</v>
      </c>
      <c r="T22" s="17">
        <f t="shared" si="38"/>
        <v>0.13404454913941219</v>
      </c>
      <c r="U22" s="17">
        <f t="shared" si="38"/>
        <v>0.1383319378866314</v>
      </c>
      <c r="V22" s="17">
        <f t="shared" si="38"/>
        <v>0.14281179236806943</v>
      </c>
      <c r="W22" s="17">
        <f t="shared" si="38"/>
        <v>0.14768565471132117</v>
      </c>
      <c r="X22" s="17">
        <f t="shared" si="38"/>
        <v>0.15314848556176477</v>
      </c>
      <c r="Y22" s="17">
        <f t="shared" si="38"/>
        <v>0.15908212750576584</v>
      </c>
      <c r="Z22" s="17">
        <f t="shared" si="38"/>
        <v>0.16535810145779506</v>
      </c>
      <c r="AA22" s="17">
        <f t="shared" si="38"/>
        <v>0.17193825038694913</v>
      </c>
      <c r="AB22" s="17">
        <f t="shared" si="38"/>
        <v>0.1789107087762675</v>
      </c>
      <c r="AC22" s="17">
        <f t="shared" si="38"/>
        <v>0.18598765117273627</v>
      </c>
      <c r="AD22" s="17">
        <f t="shared" si="38"/>
        <v>0.19309398236468098</v>
      </c>
      <c r="AE22" s="17">
        <f t="shared" si="38"/>
        <v>0.2004246667299148</v>
      </c>
      <c r="AF22" s="17">
        <f t="shared" si="38"/>
        <v>0.20764865757733092</v>
      </c>
      <c r="AG22" s="17">
        <f t="shared" si="38"/>
        <v>0.21514236512882909</v>
      </c>
      <c r="AH22" s="17">
        <f t="shared" si="38"/>
        <v>0.22299952850161534</v>
      </c>
      <c r="AI22" s="17">
        <f t="shared" si="38"/>
        <v>0.23125044258822566</v>
      </c>
      <c r="AJ22" s="17">
        <f t="shared" si="38"/>
        <v>0.23991771462225109</v>
      </c>
      <c r="AK22" s="17">
        <f t="shared" si="38"/>
        <v>0.2484379027572686</v>
      </c>
      <c r="AL22" s="17">
        <f t="shared" si="38"/>
        <v>0.25738177937910189</v>
      </c>
      <c r="AM22" s="17">
        <f t="shared" si="38"/>
        <v>0.266968720409265</v>
      </c>
      <c r="AN22" s="17">
        <f t="shared" si="38"/>
        <v>0.27712396209495171</v>
      </c>
      <c r="AO22" s="17">
        <f t="shared" si="39"/>
        <v>0.28713193121586139</v>
      </c>
      <c r="AP22" s="17">
        <f t="shared" si="39"/>
        <v>0.29695156550113805</v>
      </c>
      <c r="AQ22" s="17">
        <f t="shared" si="39"/>
        <v>0.30654133416145524</v>
      </c>
      <c r="AR22" s="17">
        <f t="shared" si="39"/>
        <v>0.31585949857298012</v>
      </c>
      <c r="AS22" s="17">
        <f t="shared" si="39"/>
        <v>0.32486440595661764</v>
      </c>
      <c r="AT22" s="17">
        <f t="shared" si="39"/>
        <v>0.33351479248925975</v>
      </c>
      <c r="AU22" s="17">
        <f t="shared" si="39"/>
        <v>0.34177009289824734</v>
      </c>
      <c r="AV22" s="17">
        <f t="shared" si="39"/>
        <v>0.34959075340600249</v>
      </c>
      <c r="AW22" s="17">
        <f t="shared" si="39"/>
        <v>0.35693854474629533</v>
      </c>
      <c r="AX22" s="17">
        <f t="shared" si="39"/>
        <v>0.36377687187056762</v>
      </c>
      <c r="AY22" s="17">
        <f t="shared" si="39"/>
        <v>0.37007107690523405</v>
      </c>
      <c r="AZ22" s="17">
        <f t="shared" si="39"/>
        <v>0.37578873191125328</v>
      </c>
      <c r="BA22" s="17">
        <f t="shared" si="39"/>
        <v>0.38089991803707729</v>
      </c>
      <c r="BB22" s="17">
        <f t="shared" si="39"/>
        <v>0.38537748774606229</v>
      </c>
      <c r="BC22" s="17">
        <f t="shared" si="39"/>
        <v>0.38919730693939036</v>
      </c>
      <c r="BD22" s="17">
        <f t="shared" si="39"/>
        <v>0.3923384739844365</v>
      </c>
      <c r="BE22" s="17">
        <f t="shared" si="39"/>
        <v>0.39478351289433466</v>
      </c>
      <c r="BF22" s="17">
        <f t="shared" si="39"/>
        <v>0.39651853818439625</v>
      </c>
      <c r="BG22" s="17">
        <f t="shared" si="39"/>
        <v>0.39753338925126791</v>
      </c>
      <c r="BH22" s="17">
        <f t="shared" si="39"/>
        <v>0.39782173247679914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140.42753008586038</v>
      </c>
      <c r="N23" s="17">
        <f t="shared" si="38"/>
        <v>141.86092861794606</v>
      </c>
      <c r="O23" s="17">
        <f t="shared" si="38"/>
        <v>143.39019653246962</v>
      </c>
      <c r="P23" s="17">
        <f t="shared" si="38"/>
        <v>145.65047656902379</v>
      </c>
      <c r="Q23" s="17">
        <f t="shared" si="38"/>
        <v>148.20577325586862</v>
      </c>
      <c r="R23" s="17">
        <f t="shared" si="38"/>
        <v>151.00395250137143</v>
      </c>
      <c r="S23" s="17">
        <f t="shared" si="38"/>
        <v>154.52981973587873</v>
      </c>
      <c r="T23" s="17">
        <f t="shared" si="38"/>
        <v>158.82044997201353</v>
      </c>
      <c r="U23" s="17">
        <f t="shared" si="38"/>
        <v>163.90029107267711</v>
      </c>
      <c r="V23" s="17">
        <f t="shared" si="38"/>
        <v>169.2081719907676</v>
      </c>
      <c r="W23" s="17">
        <f t="shared" si="38"/>
        <v>174.98288655713037</v>
      </c>
      <c r="X23" s="17">
        <f t="shared" si="38"/>
        <v>181.45543064309763</v>
      </c>
      <c r="Y23" s="17">
        <f t="shared" si="38"/>
        <v>188.48580740641492</v>
      </c>
      <c r="Z23" s="17">
        <f t="shared" si="38"/>
        <v>195.92179054391087</v>
      </c>
      <c r="AA23" s="17">
        <f t="shared" si="38"/>
        <v>203.71817033347023</v>
      </c>
      <c r="AB23" s="17">
        <f t="shared" si="38"/>
        <v>211.9793714484143</v>
      </c>
      <c r="AC23" s="17">
        <f t="shared" si="38"/>
        <v>220.36436869783037</v>
      </c>
      <c r="AD23" s="17">
        <f t="shared" si="38"/>
        <v>228.78418677175287</v>
      </c>
      <c r="AE23" s="17">
        <f t="shared" si="38"/>
        <v>237.46982596382739</v>
      </c>
      <c r="AF23" s="17">
        <f t="shared" si="38"/>
        <v>246.02905111954092</v>
      </c>
      <c r="AG23" s="17">
        <f t="shared" si="38"/>
        <v>254.90784561680769</v>
      </c>
      <c r="AH23" s="17">
        <f t="shared" si="38"/>
        <v>264.2172746863306</v>
      </c>
      <c r="AI23" s="17">
        <f t="shared" si="38"/>
        <v>273.9932327266161</v>
      </c>
      <c r="AJ23" s="17">
        <f t="shared" si="38"/>
        <v>284.26250554159719</v>
      </c>
      <c r="AK23" s="17">
        <f t="shared" si="38"/>
        <v>294.35750845023711</v>
      </c>
      <c r="AL23" s="17">
        <f t="shared" si="38"/>
        <v>304.95451160100595</v>
      </c>
      <c r="AM23" s="17">
        <f t="shared" si="38"/>
        <v>316.31343889824416</v>
      </c>
      <c r="AN23" s="17">
        <f t="shared" si="38"/>
        <v>328.34570775550196</v>
      </c>
      <c r="AO23" s="17">
        <f t="shared" si="39"/>
        <v>340.20348316892648</v>
      </c>
      <c r="AP23" s="17">
        <f t="shared" si="39"/>
        <v>351.83811319126511</v>
      </c>
      <c r="AQ23" s="17">
        <f t="shared" si="39"/>
        <v>363.2003907589642</v>
      </c>
      <c r="AR23" s="17">
        <f t="shared" si="39"/>
        <v>374.24086255921935</v>
      </c>
      <c r="AS23" s="17">
        <f t="shared" si="39"/>
        <v>384.91017699093248</v>
      </c>
      <c r="AT23" s="17">
        <f t="shared" si="39"/>
        <v>395.15944330102462</v>
      </c>
      <c r="AU23" s="17">
        <f t="shared" si="39"/>
        <v>404.94059840227339</v>
      </c>
      <c r="AV23" s="17">
        <f t="shared" si="39"/>
        <v>414.2067776605453</v>
      </c>
      <c r="AW23" s="17">
        <f t="shared" si="39"/>
        <v>422.91268576690231</v>
      </c>
      <c r="AX23" s="17">
        <f t="shared" si="39"/>
        <v>431.01496368797757</v>
      </c>
      <c r="AY23" s="17">
        <f t="shared" si="39"/>
        <v>438.47254761988484</v>
      </c>
      <c r="AZ23" s="17">
        <f t="shared" si="39"/>
        <v>445.24701585951664</v>
      </c>
      <c r="BA23" s="17">
        <f t="shared" si="39"/>
        <v>451.30291955426378</v>
      </c>
      <c r="BB23" s="17">
        <f t="shared" si="39"/>
        <v>456.6080933977928</v>
      </c>
      <c r="BC23" s="17">
        <f t="shared" si="39"/>
        <v>461.13394250535436</v>
      </c>
      <c r="BD23" s="17">
        <f t="shared" si="39"/>
        <v>464.85570192589319</v>
      </c>
      <c r="BE23" s="17">
        <f t="shared" si="39"/>
        <v>467.75266552763759</v>
      </c>
      <c r="BF23" s="17">
        <f t="shared" si="39"/>
        <v>469.80838132547888</v>
      </c>
      <c r="BG23" s="17">
        <f t="shared" si="39"/>
        <v>471.01081069787733</v>
      </c>
      <c r="BH23" s="17">
        <f t="shared" si="39"/>
        <v>471.35244936292753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59.862938518103803</v>
      </c>
      <c r="N24" s="17">
        <f t="shared" si="38"/>
        <v>60.473982863509001</v>
      </c>
      <c r="O24" s="17">
        <f t="shared" si="38"/>
        <v>61.125895427155598</v>
      </c>
      <c r="P24" s="17">
        <f t="shared" si="38"/>
        <v>62.089431599722403</v>
      </c>
      <c r="Q24" s="17">
        <f t="shared" si="38"/>
        <v>63.178730602322389</v>
      </c>
      <c r="R24" s="17">
        <f t="shared" si="38"/>
        <v>64.371568160839232</v>
      </c>
      <c r="S24" s="17">
        <f t="shared" si="38"/>
        <v>65.874612281555841</v>
      </c>
      <c r="T24" s="17">
        <f t="shared" si="38"/>
        <v>67.703667694498108</v>
      </c>
      <c r="U24" s="17">
        <f t="shared" ref="L24:AO27" si="41">$I24/$I$35*U$35</f>
        <v>69.869156294239403</v>
      </c>
      <c r="V24" s="17">
        <f t="shared" si="41"/>
        <v>72.131856128572394</v>
      </c>
      <c r="W24" s="17">
        <f t="shared" si="41"/>
        <v>74.593562767109802</v>
      </c>
      <c r="X24" s="17">
        <f t="shared" si="41"/>
        <v>77.352747582488021</v>
      </c>
      <c r="Y24" s="17">
        <f t="shared" si="41"/>
        <v>80.349731234370566</v>
      </c>
      <c r="Z24" s="17">
        <f t="shared" si="41"/>
        <v>83.519621077974662</v>
      </c>
      <c r="AA24" s="17">
        <f t="shared" si="41"/>
        <v>86.843144632941559</v>
      </c>
      <c r="AB24" s="17">
        <f t="shared" si="41"/>
        <v>90.364817157746444</v>
      </c>
      <c r="AC24" s="17">
        <f t="shared" si="41"/>
        <v>93.939262813162884</v>
      </c>
      <c r="AD24" s="17">
        <f t="shared" si="41"/>
        <v>97.528552259360964</v>
      </c>
      <c r="AE24" s="17">
        <f t="shared" si="41"/>
        <v>101.23115875416781</v>
      </c>
      <c r="AF24" s="17">
        <f t="shared" si="41"/>
        <v>104.87987613135023</v>
      </c>
      <c r="AG24" s="17">
        <f t="shared" si="41"/>
        <v>108.6648229204861</v>
      </c>
      <c r="AH24" s="17">
        <f t="shared" si="41"/>
        <v>112.63334518735755</v>
      </c>
      <c r="AI24" s="17">
        <f t="shared" si="41"/>
        <v>116.80074437726967</v>
      </c>
      <c r="AJ24" s="17">
        <f t="shared" si="41"/>
        <v>121.178439027122</v>
      </c>
      <c r="AK24" s="17">
        <f t="shared" si="41"/>
        <v>125.48184405098377</v>
      </c>
      <c r="AL24" s="17">
        <f t="shared" si="41"/>
        <v>129.99924706806141</v>
      </c>
      <c r="AM24" s="17">
        <f t="shared" si="41"/>
        <v>134.84145120004627</v>
      </c>
      <c r="AN24" s="17">
        <f t="shared" si="41"/>
        <v>139.97069452145854</v>
      </c>
      <c r="AO24" s="17">
        <f t="shared" si="41"/>
        <v>145.02555292494466</v>
      </c>
      <c r="AP24" s="17">
        <f t="shared" si="39"/>
        <v>149.98528654186649</v>
      </c>
      <c r="AQ24" s="17">
        <f t="shared" si="39"/>
        <v>154.82891886271503</v>
      </c>
      <c r="AR24" s="17">
        <f t="shared" si="39"/>
        <v>159.53536840423607</v>
      </c>
      <c r="AS24" s="17">
        <f t="shared" si="39"/>
        <v>164.08359704192165</v>
      </c>
      <c r="AT24" s="17">
        <f t="shared" si="39"/>
        <v>168.45276310645031</v>
      </c>
      <c r="AU24" s="17">
        <f t="shared" si="39"/>
        <v>172.62237775468975</v>
      </c>
      <c r="AV24" s="17">
        <f t="shared" si="39"/>
        <v>176.57246303281511</v>
      </c>
      <c r="AW24" s="17">
        <f t="shared" si="39"/>
        <v>180.28370997560802</v>
      </c>
      <c r="AX24" s="17">
        <f t="shared" si="39"/>
        <v>183.73763503395921</v>
      </c>
      <c r="AY24" s="17">
        <f t="shared" si="39"/>
        <v>186.91673309355198</v>
      </c>
      <c r="AZ24" s="17">
        <f t="shared" si="39"/>
        <v>189.8046253428422</v>
      </c>
      <c r="BA24" s="17">
        <f t="shared" si="39"/>
        <v>192.38620026856049</v>
      </c>
      <c r="BB24" s="17">
        <f t="shared" si="39"/>
        <v>194.64774610240696</v>
      </c>
      <c r="BC24" s="17">
        <f t="shared" si="39"/>
        <v>196.57707311330375</v>
      </c>
      <c r="BD24" s="17">
        <f t="shared" si="39"/>
        <v>198.16362423497247</v>
      </c>
      <c r="BE24" s="17">
        <f t="shared" si="39"/>
        <v>199.39857263771356</v>
      </c>
      <c r="BF24" s="17">
        <f t="shared" si="39"/>
        <v>200.27490499463551</v>
      </c>
      <c r="BG24" s="17">
        <f t="shared" si="39"/>
        <v>200.78748935432793</v>
      </c>
      <c r="BH24" s="17">
        <f t="shared" si="39"/>
        <v>200.93312671182329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257.04223311889973</v>
      </c>
      <c r="N25" s="17">
        <f t="shared" si="41"/>
        <v>259.66596337614612</v>
      </c>
      <c r="O25" s="17">
        <f t="shared" si="41"/>
        <v>262.46517546472933</v>
      </c>
      <c r="P25" s="17">
        <f t="shared" si="41"/>
        <v>266.60245130882288</v>
      </c>
      <c r="Q25" s="17">
        <f t="shared" si="41"/>
        <v>271.2797333650289</v>
      </c>
      <c r="R25" s="17">
        <f t="shared" si="41"/>
        <v>276.40159402505213</v>
      </c>
      <c r="S25" s="17">
        <f t="shared" si="41"/>
        <v>282.85543386033504</v>
      </c>
      <c r="T25" s="17">
        <f t="shared" si="41"/>
        <v>290.70911594610016</v>
      </c>
      <c r="U25" s="17">
        <f t="shared" si="41"/>
        <v>300.00739029163185</v>
      </c>
      <c r="V25" s="17">
        <f t="shared" si="41"/>
        <v>309.72307469825057</v>
      </c>
      <c r="W25" s="17">
        <f t="shared" si="41"/>
        <v>320.29326365517778</v>
      </c>
      <c r="X25" s="17">
        <f t="shared" si="41"/>
        <v>332.14077806207735</v>
      </c>
      <c r="Y25" s="17">
        <f t="shared" si="41"/>
        <v>345.00936402812971</v>
      </c>
      <c r="Z25" s="17">
        <f t="shared" si="41"/>
        <v>358.62038253659307</v>
      </c>
      <c r="AA25" s="17">
        <f t="shared" si="41"/>
        <v>372.89108052669593</v>
      </c>
      <c r="AB25" s="17">
        <f t="shared" si="41"/>
        <v>388.01259965853018</v>
      </c>
      <c r="AC25" s="17">
        <f t="shared" si="41"/>
        <v>403.36071848087181</v>
      </c>
      <c r="AD25" s="17">
        <f t="shared" si="41"/>
        <v>418.7725742534019</v>
      </c>
      <c r="AE25" s="17">
        <f t="shared" si="41"/>
        <v>434.6709959705027</v>
      </c>
      <c r="AF25" s="17">
        <f t="shared" si="41"/>
        <v>450.33802612083645</v>
      </c>
      <c r="AG25" s="17">
        <f t="shared" si="41"/>
        <v>466.59000437314808</v>
      </c>
      <c r="AH25" s="17">
        <f t="shared" si="41"/>
        <v>483.63022743787826</v>
      </c>
      <c r="AI25" s="17">
        <f t="shared" si="41"/>
        <v>501.52439736321446</v>
      </c>
      <c r="AJ25" s="17">
        <f t="shared" si="41"/>
        <v>520.32154358700711</v>
      </c>
      <c r="AK25" s="17">
        <f t="shared" si="41"/>
        <v>538.79970160482628</v>
      </c>
      <c r="AL25" s="17">
        <f t="shared" si="41"/>
        <v>558.19673402842727</v>
      </c>
      <c r="AM25" s="17">
        <f t="shared" si="41"/>
        <v>578.98841238759348</v>
      </c>
      <c r="AN25" s="17">
        <f t="shared" si="41"/>
        <v>601.01259279342662</v>
      </c>
      <c r="AO25" s="17">
        <f t="shared" si="39"/>
        <v>622.71737582439937</v>
      </c>
      <c r="AP25" s="17">
        <f t="shared" si="39"/>
        <v>644.01370768059326</v>
      </c>
      <c r="AQ25" s="17">
        <f t="shared" si="39"/>
        <v>664.81151846265607</v>
      </c>
      <c r="AR25" s="17">
        <f t="shared" si="39"/>
        <v>685.02028753015065</v>
      </c>
      <c r="AS25" s="17">
        <f t="shared" si="39"/>
        <v>704.5496804184146</v>
      </c>
      <c r="AT25" s="17">
        <f t="shared" si="39"/>
        <v>723.31020621108212</v>
      </c>
      <c r="AU25" s="17">
        <f t="shared" si="39"/>
        <v>741.21388897307395</v>
      </c>
      <c r="AV25" s="17">
        <f t="shared" si="39"/>
        <v>758.17494644926796</v>
      </c>
      <c r="AW25" s="17">
        <f t="shared" si="39"/>
        <v>774.11046891852811</v>
      </c>
      <c r="AX25" s="17">
        <f t="shared" si="39"/>
        <v>788.94109086929359</v>
      </c>
      <c r="AY25" s="17">
        <f t="shared" si="39"/>
        <v>802.59164803822637</v>
      </c>
      <c r="AZ25" s="17">
        <f t="shared" si="39"/>
        <v>814.99181233253057</v>
      </c>
      <c r="BA25" s="17">
        <f t="shared" si="39"/>
        <v>826.07669724291145</v>
      </c>
      <c r="BB25" s="17">
        <f t="shared" si="39"/>
        <v>835.7874265492726</v>
      </c>
      <c r="BC25" s="17">
        <f t="shared" si="39"/>
        <v>844.07165942480287</v>
      </c>
      <c r="BD25" s="17">
        <f t="shared" si="39"/>
        <v>850.88406545374664</v>
      </c>
      <c r="BE25" s="17">
        <f t="shared" si="39"/>
        <v>856.18674358958833</v>
      </c>
      <c r="BF25" s="17">
        <f t="shared" si="39"/>
        <v>859.94957968740948</v>
      </c>
      <c r="BG25" s="17">
        <f t="shared" si="39"/>
        <v>862.15053793868742</v>
      </c>
      <c r="BH25" s="17">
        <f t="shared" si="39"/>
        <v>862.77588230905815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7.2001455501893528</v>
      </c>
      <c r="N26" s="17">
        <f t="shared" si="41"/>
        <v>7.2736402421214414</v>
      </c>
      <c r="O26" s="17">
        <f t="shared" si="41"/>
        <v>7.3520504481762794</v>
      </c>
      <c r="P26" s="17">
        <f t="shared" si="41"/>
        <v>7.4679418637514647</v>
      </c>
      <c r="Q26" s="17">
        <f t="shared" si="41"/>
        <v>7.59895967812127</v>
      </c>
      <c r="R26" s="17">
        <f t="shared" si="41"/>
        <v>7.7424308182233617</v>
      </c>
      <c r="S26" s="17">
        <f t="shared" si="41"/>
        <v>7.9232127294595296</v>
      </c>
      <c r="T26" s="17">
        <f t="shared" si="41"/>
        <v>8.1432063602192901</v>
      </c>
      <c r="U26" s="17">
        <f t="shared" si="41"/>
        <v>8.4036652266128566</v>
      </c>
      <c r="V26" s="17">
        <f t="shared" si="41"/>
        <v>8.6758163863602178</v>
      </c>
      <c r="W26" s="17">
        <f t="shared" si="41"/>
        <v>8.9719035237127613</v>
      </c>
      <c r="X26" s="17">
        <f t="shared" si="41"/>
        <v>9.3037704978772098</v>
      </c>
      <c r="Y26" s="17">
        <f t="shared" si="41"/>
        <v>9.6642392459752742</v>
      </c>
      <c r="Z26" s="17">
        <f t="shared" si="41"/>
        <v>10.045504663561051</v>
      </c>
      <c r="AA26" s="17">
        <f t="shared" si="41"/>
        <v>10.445248711007158</v>
      </c>
      <c r="AB26" s="17">
        <f t="shared" si="41"/>
        <v>10.86882555815825</v>
      </c>
      <c r="AC26" s="17">
        <f t="shared" si="41"/>
        <v>11.298749808743729</v>
      </c>
      <c r="AD26" s="17">
        <f t="shared" si="41"/>
        <v>11.730459428654369</v>
      </c>
      <c r="AE26" s="17">
        <f t="shared" si="41"/>
        <v>12.175798503842323</v>
      </c>
      <c r="AF26" s="17">
        <f t="shared" si="41"/>
        <v>12.614655947822852</v>
      </c>
      <c r="AG26" s="17">
        <f t="shared" si="41"/>
        <v>13.069898681576367</v>
      </c>
      <c r="AH26" s="17">
        <f t="shared" si="41"/>
        <v>13.547221356473131</v>
      </c>
      <c r="AI26" s="17">
        <f t="shared" si="41"/>
        <v>14.048464387234709</v>
      </c>
      <c r="AJ26" s="17">
        <f t="shared" si="41"/>
        <v>14.575001163301753</v>
      </c>
      <c r="AK26" s="17">
        <f t="shared" si="41"/>
        <v>15.092602592504068</v>
      </c>
      <c r="AL26" s="17">
        <f t="shared" si="41"/>
        <v>15.635943097280441</v>
      </c>
      <c r="AM26" s="17">
        <f t="shared" si="41"/>
        <v>16.21834976486285</v>
      </c>
      <c r="AN26" s="17">
        <f t="shared" si="41"/>
        <v>16.835280697268317</v>
      </c>
      <c r="AO26" s="17">
        <f t="shared" si="39"/>
        <v>17.443264821363577</v>
      </c>
      <c r="AP26" s="17">
        <f t="shared" si="39"/>
        <v>18.039807604194138</v>
      </c>
      <c r="AQ26" s="17">
        <f t="shared" si="39"/>
        <v>18.622386050308403</v>
      </c>
      <c r="AR26" s="17">
        <f t="shared" si="39"/>
        <v>19.188464538308544</v>
      </c>
      <c r="AS26" s="17">
        <f t="shared" si="39"/>
        <v>19.735512661864522</v>
      </c>
      <c r="AT26" s="17">
        <f t="shared" si="39"/>
        <v>20.261023643722531</v>
      </c>
      <c r="AU26" s="17">
        <f t="shared" si="39"/>
        <v>20.762533143568525</v>
      </c>
      <c r="AV26" s="17">
        <f t="shared" si="39"/>
        <v>21.237638269414649</v>
      </c>
      <c r="AW26" s="17">
        <f t="shared" si="39"/>
        <v>21.684016593337443</v>
      </c>
      <c r="AX26" s="17">
        <f t="shared" si="39"/>
        <v>22.099444966136986</v>
      </c>
      <c r="AY26" s="17">
        <f t="shared" si="39"/>
        <v>22.48181792199297</v>
      </c>
      <c r="AZ26" s="17">
        <f t="shared" si="39"/>
        <v>22.829165463608636</v>
      </c>
      <c r="BA26" s="17">
        <f t="shared" si="39"/>
        <v>23.139670020752447</v>
      </c>
      <c r="BB26" s="17">
        <f t="shared" si="39"/>
        <v>23.411682380573282</v>
      </c>
      <c r="BC26" s="17">
        <f t="shared" si="39"/>
        <v>23.643736396567963</v>
      </c>
      <c r="BD26" s="17">
        <f t="shared" si="39"/>
        <v>23.834562294554516</v>
      </c>
      <c r="BE26" s="17">
        <f t="shared" si="39"/>
        <v>23.983098408330832</v>
      </c>
      <c r="BF26" s="17">
        <f t="shared" si="39"/>
        <v>24.088501194702072</v>
      </c>
      <c r="BG26" s="17">
        <f t="shared" si="39"/>
        <v>24.150153397014527</v>
      </c>
      <c r="BH26" s="17">
        <f t="shared" si="39"/>
        <v>24.167670247965546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45.74907296087391</v>
      </c>
      <c r="N27" s="17">
        <f t="shared" si="41"/>
        <v>46.216051579569985</v>
      </c>
      <c r="O27" s="17">
        <f t="shared" si="41"/>
        <v>46.71426292997603</v>
      </c>
      <c r="P27" s="17">
        <f t="shared" si="41"/>
        <v>47.450626492313837</v>
      </c>
      <c r="Q27" s="17">
        <f t="shared" si="41"/>
        <v>48.283101823124447</v>
      </c>
      <c r="R27" s="17">
        <f t="shared" si="41"/>
        <v>49.194704458176425</v>
      </c>
      <c r="S27" s="17">
        <f t="shared" si="41"/>
        <v>50.343376355084416</v>
      </c>
      <c r="T27" s="17">
        <f t="shared" si="41"/>
        <v>51.741195967813098</v>
      </c>
      <c r="U27" s="17">
        <f t="shared" si="41"/>
        <v>53.396128024239715</v>
      </c>
      <c r="V27" s="17">
        <f t="shared" si="41"/>
        <v>55.125351854074793</v>
      </c>
      <c r="W27" s="17">
        <f t="shared" si="41"/>
        <v>57.00666271856997</v>
      </c>
      <c r="X27" s="17">
        <f t="shared" si="41"/>
        <v>59.1153154268412</v>
      </c>
      <c r="Y27" s="17">
        <f t="shared" si="41"/>
        <v>61.405701217225612</v>
      </c>
      <c r="Z27" s="17">
        <f t="shared" si="41"/>
        <v>63.828227162708892</v>
      </c>
      <c r="AA27" s="17">
        <f t="shared" si="41"/>
        <v>66.368164649362356</v>
      </c>
      <c r="AB27" s="17">
        <f t="shared" si="41"/>
        <v>69.059533587639251</v>
      </c>
      <c r="AC27" s="17">
        <f t="shared" si="41"/>
        <v>71.791233352676201</v>
      </c>
      <c r="AD27" s="17">
        <f t="shared" si="41"/>
        <v>74.534277192766851</v>
      </c>
      <c r="AE27" s="17">
        <f t="shared" si="41"/>
        <v>77.363921357747103</v>
      </c>
      <c r="AF27" s="17">
        <f t="shared" si="41"/>
        <v>80.152381824849726</v>
      </c>
      <c r="AG27" s="17">
        <f t="shared" si="41"/>
        <v>83.04495293972802</v>
      </c>
      <c r="AH27" s="17">
        <f t="shared" si="41"/>
        <v>86.077818001623513</v>
      </c>
      <c r="AI27" s="17">
        <f t="shared" si="41"/>
        <v>89.262670839055104</v>
      </c>
      <c r="AJ27" s="17">
        <f t="shared" si="41"/>
        <v>92.60823784418892</v>
      </c>
      <c r="AK27" s="17">
        <f t="shared" si="41"/>
        <v>95.897030464305686</v>
      </c>
      <c r="AL27" s="17">
        <f t="shared" si="41"/>
        <v>99.349366840333332</v>
      </c>
      <c r="AM27" s="17">
        <f t="shared" si="41"/>
        <v>103.04992607797629</v>
      </c>
      <c r="AN27" s="17">
        <f t="shared" si="41"/>
        <v>106.96984936865135</v>
      </c>
      <c r="AO27" s="17">
        <f t="shared" si="39"/>
        <v>110.83292544932249</v>
      </c>
      <c r="AP27" s="17">
        <f t="shared" si="39"/>
        <v>114.6233042834393</v>
      </c>
      <c r="AQ27" s="17">
        <f t="shared" si="39"/>
        <v>118.32495498632171</v>
      </c>
      <c r="AR27" s="17">
        <f t="shared" si="39"/>
        <v>121.92176644917033</v>
      </c>
      <c r="AS27" s="17">
        <f t="shared" si="39"/>
        <v>125.3976606992544</v>
      </c>
      <c r="AT27" s="17">
        <f t="shared" si="39"/>
        <v>128.73670990085427</v>
      </c>
      <c r="AU27" s="17">
        <f t="shared" si="39"/>
        <v>131.92325585872345</v>
      </c>
      <c r="AV27" s="17">
        <f t="shared" si="39"/>
        <v>134.94203081471696</v>
      </c>
      <c r="AW27" s="17">
        <f t="shared" si="39"/>
        <v>137.77827827207</v>
      </c>
      <c r="AX27" s="17">
        <f t="shared" si="39"/>
        <v>140.41787254203911</v>
      </c>
      <c r="AY27" s="17">
        <f t="shared" si="39"/>
        <v>142.84743568542035</v>
      </c>
      <c r="AZ27" s="17">
        <f t="shared" si="39"/>
        <v>145.05445051774376</v>
      </c>
      <c r="BA27" s="17">
        <f t="shared" si="39"/>
        <v>147.02736836231185</v>
      </c>
      <c r="BB27" s="17">
        <f t="shared" si="39"/>
        <v>148.75571026998003</v>
      </c>
      <c r="BC27" s="17">
        <f t="shared" si="39"/>
        <v>150.23016047860466</v>
      </c>
      <c r="BD27" s="17">
        <f t="shared" si="39"/>
        <v>151.44265095799247</v>
      </c>
      <c r="BE27" s="17">
        <f t="shared" ref="BE27:BH27" si="42">$I27/$I$35*BE$35</f>
        <v>152.38643597721318</v>
      </c>
      <c r="BF27" s="17">
        <f t="shared" si="42"/>
        <v>153.05615573917697</v>
      </c>
      <c r="BG27" s="17">
        <f t="shared" si="42"/>
        <v>153.44788825098942</v>
      </c>
      <c r="BH27" s="17">
        <f t="shared" si="42"/>
        <v>153.55918873604446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178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96.485901069684203</v>
      </c>
      <c r="N29" s="17">
        <f t="shared" si="44"/>
        <v>97.470770267879786</v>
      </c>
      <c r="O29" s="17">
        <f t="shared" si="44"/>
        <v>98.521510052447283</v>
      </c>
      <c r="P29" s="17">
        <f t="shared" si="44"/>
        <v>100.07451861040886</v>
      </c>
      <c r="Q29" s="17">
        <f t="shared" si="44"/>
        <v>101.83022921202563</v>
      </c>
      <c r="R29" s="17">
        <f t="shared" si="44"/>
        <v>103.75282121155557</v>
      </c>
      <c r="S29" s="17">
        <f t="shared" si="44"/>
        <v>106.17539801658455</v>
      </c>
      <c r="T29" s="17">
        <f t="shared" si="44"/>
        <v>109.12343337857645</v>
      </c>
      <c r="U29" s="17">
        <f t="shared" si="44"/>
        <v>112.61372510120849</v>
      </c>
      <c r="V29" s="17">
        <f t="shared" si="44"/>
        <v>116.26069997030584</v>
      </c>
      <c r="W29" s="17">
        <f t="shared" si="44"/>
        <v>120.22843007290803</v>
      </c>
      <c r="X29" s="17">
        <f t="shared" si="44"/>
        <v>124.67562962107333</v>
      </c>
      <c r="Y29" s="17">
        <f t="shared" si="44"/>
        <v>129.50610863365219</v>
      </c>
      <c r="Z29" s="17">
        <f t="shared" si="44"/>
        <v>134.61527442843331</v>
      </c>
      <c r="AA29" s="17">
        <f t="shared" ref="L29:AO32" si="45">$I29/$I$35*AA$35</f>
        <v>139.97206400250883</v>
      </c>
      <c r="AB29" s="17">
        <f t="shared" si="45"/>
        <v>145.64822616961308</v>
      </c>
      <c r="AC29" s="17">
        <f t="shared" si="45"/>
        <v>151.40944702553838</v>
      </c>
      <c r="AD29" s="17">
        <f t="shared" si="45"/>
        <v>157.19459281004737</v>
      </c>
      <c r="AE29" s="17">
        <f t="shared" si="45"/>
        <v>163.16238077371145</v>
      </c>
      <c r="AF29" s="17">
        <f t="shared" si="45"/>
        <v>169.04331132274547</v>
      </c>
      <c r="AG29" s="17">
        <f t="shared" si="45"/>
        <v>175.14381374529427</v>
      </c>
      <c r="AH29" s="17">
        <f t="shared" si="45"/>
        <v>181.54019949435667</v>
      </c>
      <c r="AI29" s="17">
        <f t="shared" si="45"/>
        <v>188.25713113703137</v>
      </c>
      <c r="AJ29" s="17">
        <f t="shared" si="45"/>
        <v>195.31301284539754</v>
      </c>
      <c r="AK29" s="17">
        <f t="shared" si="45"/>
        <v>202.24915600297973</v>
      </c>
      <c r="AL29" s="17">
        <f t="shared" si="45"/>
        <v>209.53021689620385</v>
      </c>
      <c r="AM29" s="17">
        <f t="shared" si="45"/>
        <v>217.33478580650913</v>
      </c>
      <c r="AN29" s="17">
        <f t="shared" si="45"/>
        <v>225.60199880879858</v>
      </c>
      <c r="AO29" s="17">
        <f t="shared" si="45"/>
        <v>233.7493196706458</v>
      </c>
      <c r="AP29" s="17">
        <f t="shared" ref="AO29:BH32" si="46">$I29/$I$35*AP$35</f>
        <v>241.74332028171813</v>
      </c>
      <c r="AQ29" s="17">
        <f t="shared" si="46"/>
        <v>249.55019111860466</v>
      </c>
      <c r="AR29" s="17">
        <f t="shared" si="46"/>
        <v>257.13595346328691</v>
      </c>
      <c r="AS29" s="17">
        <f t="shared" si="46"/>
        <v>264.46669848251645</v>
      </c>
      <c r="AT29" s="17">
        <f t="shared" si="46"/>
        <v>271.50883398563155</v>
      </c>
      <c r="AU29" s="17">
        <f t="shared" si="46"/>
        <v>278.22933646024813</v>
      </c>
      <c r="AV29" s="17">
        <f t="shared" si="46"/>
        <v>284.59600583526981</v>
      </c>
      <c r="AW29" s="17">
        <f t="shared" si="46"/>
        <v>290.57772030221327</v>
      </c>
      <c r="AX29" s="17">
        <f t="shared" si="46"/>
        <v>296.1446884419646</v>
      </c>
      <c r="AY29" s="17">
        <f t="shared" si="46"/>
        <v>301.26869585726928</v>
      </c>
      <c r="AZ29" s="17">
        <f t="shared" si="46"/>
        <v>305.9233435034194</v>
      </c>
      <c r="BA29" s="17">
        <f t="shared" si="46"/>
        <v>310.08427494201732</v>
      </c>
      <c r="BB29" s="17">
        <f t="shared" si="46"/>
        <v>313.72938981594018</v>
      </c>
      <c r="BC29" s="17">
        <f t="shared" si="46"/>
        <v>316.83904095757532</v>
      </c>
      <c r="BD29" s="17">
        <f t="shared" si="46"/>
        <v>319.39621269616327</v>
      </c>
      <c r="BE29" s="17">
        <f t="shared" si="46"/>
        <v>321.3866781220629</v>
      </c>
      <c r="BF29" s="17">
        <f t="shared" si="46"/>
        <v>322.79913329361392</v>
      </c>
      <c r="BG29" s="17">
        <f t="shared" si="46"/>
        <v>323.62530663296968</v>
      </c>
      <c r="BH29" s="17">
        <f t="shared" si="46"/>
        <v>323.8600420471542</v>
      </c>
    </row>
    <row r="30" spans="1:60" x14ac:dyDescent="0.25">
      <c r="A30" s="3" t="s">
        <v>179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2.459308973932989</v>
      </c>
      <c r="N30" s="17">
        <f t="shared" si="45"/>
        <v>2.4844120991608221</v>
      </c>
      <c r="O30" s="17">
        <f t="shared" si="45"/>
        <v>2.5111941860025979</v>
      </c>
      <c r="P30" s="17">
        <f t="shared" si="45"/>
        <v>2.5507784966723115</v>
      </c>
      <c r="Q30" s="17">
        <f t="shared" si="45"/>
        <v>2.5955294373829858</v>
      </c>
      <c r="R30" s="17">
        <f t="shared" si="45"/>
        <v>2.6445339831791732</v>
      </c>
      <c r="S30" s="17">
        <f t="shared" si="45"/>
        <v>2.7062825372228025</v>
      </c>
      <c r="T30" s="17">
        <f t="shared" si="45"/>
        <v>2.7814243946428032</v>
      </c>
      <c r="U30" s="17">
        <f t="shared" si="45"/>
        <v>2.8703877111476017</v>
      </c>
      <c r="V30" s="17">
        <f t="shared" si="45"/>
        <v>2.9633446916374409</v>
      </c>
      <c r="W30" s="17">
        <f t="shared" si="45"/>
        <v>3.0644773352599146</v>
      </c>
      <c r="X30" s="17">
        <f t="shared" si="45"/>
        <v>3.1778310754066195</v>
      </c>
      <c r="Y30" s="17">
        <f t="shared" si="45"/>
        <v>3.3009541457446416</v>
      </c>
      <c r="Z30" s="17">
        <f t="shared" si="45"/>
        <v>3.431180605249248</v>
      </c>
      <c r="AA30" s="17">
        <f t="shared" si="45"/>
        <v>3.5677186955291949</v>
      </c>
      <c r="AB30" s="17">
        <f t="shared" si="45"/>
        <v>3.7123972071075513</v>
      </c>
      <c r="AC30" s="17">
        <f t="shared" si="45"/>
        <v>3.8592437618342785</v>
      </c>
      <c r="AD30" s="17">
        <f t="shared" si="45"/>
        <v>4.0067001340671311</v>
      </c>
      <c r="AE30" s="17">
        <f t="shared" si="45"/>
        <v>4.1588118346457321</v>
      </c>
      <c r="AF30" s="17">
        <f t="shared" si="45"/>
        <v>4.3087096447296167</v>
      </c>
      <c r="AG30" s="17">
        <f t="shared" si="45"/>
        <v>4.4642040764232043</v>
      </c>
      <c r="AH30" s="17">
        <f t="shared" si="45"/>
        <v>4.6272402164085191</v>
      </c>
      <c r="AI30" s="17">
        <f t="shared" si="45"/>
        <v>4.7984466837056834</v>
      </c>
      <c r="AJ30" s="17">
        <f t="shared" si="45"/>
        <v>4.9782925784117102</v>
      </c>
      <c r="AK30" s="17">
        <f t="shared" si="45"/>
        <v>5.1550864822133242</v>
      </c>
      <c r="AL30" s="17">
        <f t="shared" si="45"/>
        <v>5.340671922116365</v>
      </c>
      <c r="AM30" s="17">
        <f t="shared" si="45"/>
        <v>5.5396009484922493</v>
      </c>
      <c r="AN30" s="17">
        <f t="shared" si="45"/>
        <v>5.7503222134702492</v>
      </c>
      <c r="AO30" s="17">
        <f t="shared" si="46"/>
        <v>5.9579875727291247</v>
      </c>
      <c r="AP30" s="17">
        <f t="shared" si="46"/>
        <v>6.1617449841486156</v>
      </c>
      <c r="AQ30" s="17">
        <f t="shared" si="46"/>
        <v>6.3607326838501965</v>
      </c>
      <c r="AR30" s="17">
        <f t="shared" si="46"/>
        <v>6.5540845953893383</v>
      </c>
      <c r="AS30" s="17">
        <f t="shared" si="46"/>
        <v>6.740936423599817</v>
      </c>
      <c r="AT30" s="17">
        <f t="shared" si="46"/>
        <v>6.9204319441521411</v>
      </c>
      <c r="AU30" s="17">
        <f t="shared" si="46"/>
        <v>7.0917294276386329</v>
      </c>
      <c r="AV30" s="17">
        <f t="shared" si="46"/>
        <v>7.2540081331745521</v>
      </c>
      <c r="AW30" s="17">
        <f t="shared" si="46"/>
        <v>7.4064748034856294</v>
      </c>
      <c r="AX30" s="17">
        <f t="shared" si="46"/>
        <v>7.5483700913142799</v>
      </c>
      <c r="AY30" s="17">
        <f t="shared" si="46"/>
        <v>7.6789748457836078</v>
      </c>
      <c r="AZ30" s="17">
        <f t="shared" si="46"/>
        <v>7.7976161871585061</v>
      </c>
      <c r="BA30" s="17">
        <f t="shared" si="46"/>
        <v>7.9036732992693555</v>
      </c>
      <c r="BB30" s="17">
        <f t="shared" si="46"/>
        <v>7.9965828707307933</v>
      </c>
      <c r="BC30" s="17">
        <f t="shared" si="46"/>
        <v>8.0758441189923502</v>
      </c>
      <c r="BD30" s="17">
        <f t="shared" si="46"/>
        <v>8.1410233351770582</v>
      </c>
      <c r="BE30" s="17">
        <f t="shared" si="46"/>
        <v>8.1917578925574457</v>
      </c>
      <c r="BF30" s="17">
        <f t="shared" si="46"/>
        <v>8.2277596673262234</v>
      </c>
      <c r="BG30" s="17">
        <f t="shared" si="46"/>
        <v>8.2488178269638102</v>
      </c>
      <c r="BH30" s="17">
        <f t="shared" si="46"/>
        <v>8.2548009488935836</v>
      </c>
    </row>
    <row r="31" spans="1:60" x14ac:dyDescent="0.25">
      <c r="A31" s="3" t="s">
        <v>183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0.28642554314882196</v>
      </c>
      <c r="N31" s="17">
        <f t="shared" si="45"/>
        <v>0.28934920030387079</v>
      </c>
      <c r="O31" s="17">
        <f t="shared" si="45"/>
        <v>0.29246839917299322</v>
      </c>
      <c r="P31" s="17">
        <f t="shared" si="45"/>
        <v>0.29707862009436553</v>
      </c>
      <c r="Q31" s="17">
        <f t="shared" si="45"/>
        <v>0.30229057704460466</v>
      </c>
      <c r="R31" s="17">
        <f t="shared" si="45"/>
        <v>0.30799793378391971</v>
      </c>
      <c r="S31" s="17">
        <f t="shared" si="45"/>
        <v>0.31518953244763559</v>
      </c>
      <c r="T31" s="17">
        <f t="shared" si="45"/>
        <v>0.32394099375357938</v>
      </c>
      <c r="U31" s="17">
        <f t="shared" si="45"/>
        <v>0.33430218322602584</v>
      </c>
      <c r="V31" s="17">
        <f t="shared" si="45"/>
        <v>0.34512849822283442</v>
      </c>
      <c r="W31" s="17">
        <f t="shared" si="45"/>
        <v>0.35690699888569277</v>
      </c>
      <c r="X31" s="17">
        <f t="shared" si="45"/>
        <v>0.37010884010759815</v>
      </c>
      <c r="Y31" s="17">
        <f t="shared" si="45"/>
        <v>0.38444847480560074</v>
      </c>
      <c r="Z31" s="17">
        <f t="shared" si="45"/>
        <v>0.39961541185633803</v>
      </c>
      <c r="AA31" s="17">
        <f t="shared" si="45"/>
        <v>0.41551743843512701</v>
      </c>
      <c r="AB31" s="17">
        <f t="shared" si="45"/>
        <v>0.43236754620931306</v>
      </c>
      <c r="AC31" s="17">
        <f t="shared" si="45"/>
        <v>0.4494701570007793</v>
      </c>
      <c r="AD31" s="17">
        <f t="shared" si="45"/>
        <v>0.46664379071464568</v>
      </c>
      <c r="AE31" s="17">
        <f t="shared" si="45"/>
        <v>0.48435961126396071</v>
      </c>
      <c r="AF31" s="17">
        <f t="shared" si="45"/>
        <v>0.50181758914521635</v>
      </c>
      <c r="AG31" s="17">
        <f t="shared" si="45"/>
        <v>0.51992738239467018</v>
      </c>
      <c r="AH31" s="17">
        <f t="shared" si="45"/>
        <v>0.53891552721223701</v>
      </c>
      <c r="AI31" s="17">
        <f t="shared" si="45"/>
        <v>0.55885523625487865</v>
      </c>
      <c r="AJ31" s="17">
        <f t="shared" si="45"/>
        <v>0.57980114367044</v>
      </c>
      <c r="AK31" s="17">
        <f t="shared" si="45"/>
        <v>0.60039159833006572</v>
      </c>
      <c r="AL31" s="17">
        <f t="shared" si="45"/>
        <v>0.6220059668328296</v>
      </c>
      <c r="AM31" s="17">
        <f t="shared" si="45"/>
        <v>0.64517440765572365</v>
      </c>
      <c r="AN31" s="17">
        <f t="shared" si="45"/>
        <v>0.66971624172946653</v>
      </c>
      <c r="AO31" s="17">
        <f t="shared" si="46"/>
        <v>0.6939021671049983</v>
      </c>
      <c r="AP31" s="17">
        <f t="shared" si="46"/>
        <v>0.71763294996108362</v>
      </c>
      <c r="AQ31" s="17">
        <f t="shared" si="46"/>
        <v>0.74080822422351666</v>
      </c>
      <c r="AR31" s="17">
        <f t="shared" si="46"/>
        <v>0.76332712155136861</v>
      </c>
      <c r="AS31" s="17">
        <f t="shared" si="46"/>
        <v>0.7850889810618259</v>
      </c>
      <c r="AT31" s="17">
        <f t="shared" si="46"/>
        <v>0.80599408184904431</v>
      </c>
      <c r="AU31" s="17">
        <f t="shared" si="46"/>
        <v>0.82594439117076424</v>
      </c>
      <c r="AV31" s="17">
        <f t="shared" si="46"/>
        <v>0.84484432073117255</v>
      </c>
      <c r="AW31" s="17">
        <f t="shared" si="46"/>
        <v>0.86260148313688034</v>
      </c>
      <c r="AX31" s="17">
        <f t="shared" si="46"/>
        <v>0.87912744035387169</v>
      </c>
      <c r="AY31" s="17">
        <f t="shared" si="46"/>
        <v>0.89433843585431561</v>
      </c>
      <c r="AZ31" s="17">
        <f t="shared" si="46"/>
        <v>0.908156102118862</v>
      </c>
      <c r="BA31" s="17">
        <f t="shared" si="46"/>
        <v>0.92050813525627007</v>
      </c>
      <c r="BB31" s="17">
        <f t="shared" si="46"/>
        <v>0.93132892871965034</v>
      </c>
      <c r="BC31" s="17">
        <f t="shared" si="46"/>
        <v>0.94056015843685992</v>
      </c>
      <c r="BD31" s="17">
        <f t="shared" si="46"/>
        <v>0.94815131212905468</v>
      </c>
      <c r="BE31" s="17">
        <f t="shared" si="46"/>
        <v>0.95406015616130868</v>
      </c>
      <c r="BF31" s="17">
        <f t="shared" si="46"/>
        <v>0.95825313394562428</v>
      </c>
      <c r="BG31" s="17">
        <f t="shared" si="46"/>
        <v>0.96070569069056411</v>
      </c>
      <c r="BH31" s="17">
        <f t="shared" si="46"/>
        <v>0.96140252015226446</v>
      </c>
    </row>
    <row r="32" spans="1:60" x14ac:dyDescent="0.25">
      <c r="A32" s="3" t="s">
        <v>184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7.9013942937606066E-2</v>
      </c>
      <c r="N32" s="17">
        <f t="shared" si="45"/>
        <v>7.9820469049343673E-2</v>
      </c>
      <c r="O32" s="17">
        <f t="shared" si="45"/>
        <v>8.0680937702894695E-2</v>
      </c>
      <c r="P32" s="17">
        <f t="shared" si="45"/>
        <v>8.1952722784652571E-2</v>
      </c>
      <c r="Q32" s="17">
        <f t="shared" si="45"/>
        <v>8.3390504012304745E-2</v>
      </c>
      <c r="R32" s="17">
        <f t="shared" si="45"/>
        <v>8.4964947250736486E-2</v>
      </c>
      <c r="S32" s="17">
        <f t="shared" si="45"/>
        <v>8.6948836537278779E-2</v>
      </c>
      <c r="T32" s="17">
        <f t="shared" si="45"/>
        <v>8.9363032759608121E-2</v>
      </c>
      <c r="U32" s="17">
        <f t="shared" si="45"/>
        <v>9.2221291924420926E-2</v>
      </c>
      <c r="V32" s="17">
        <f t="shared" si="45"/>
        <v>9.5207861578712943E-2</v>
      </c>
      <c r="W32" s="17">
        <f t="shared" si="45"/>
        <v>9.8457103140880783E-2</v>
      </c>
      <c r="X32" s="17">
        <f t="shared" si="45"/>
        <v>0.10209899037450984</v>
      </c>
      <c r="Y32" s="17">
        <f t="shared" si="45"/>
        <v>0.10605475167051057</v>
      </c>
      <c r="Z32" s="17">
        <f t="shared" si="45"/>
        <v>0.11023873430519671</v>
      </c>
      <c r="AA32" s="17">
        <f t="shared" si="45"/>
        <v>0.11462550025796608</v>
      </c>
      <c r="AB32" s="17">
        <f t="shared" si="45"/>
        <v>0.119273805850845</v>
      </c>
      <c r="AC32" s="17">
        <f t="shared" si="45"/>
        <v>0.12399176744849086</v>
      </c>
      <c r="AD32" s="17">
        <f t="shared" si="45"/>
        <v>0.12872932157645398</v>
      </c>
      <c r="AE32" s="17">
        <f t="shared" si="45"/>
        <v>0.13361644448660986</v>
      </c>
      <c r="AF32" s="17">
        <f t="shared" si="45"/>
        <v>0.13843243838488728</v>
      </c>
      <c r="AG32" s="17">
        <f t="shared" si="45"/>
        <v>0.14342824341921939</v>
      </c>
      <c r="AH32" s="17">
        <f t="shared" si="45"/>
        <v>0.14866635233441022</v>
      </c>
      <c r="AI32" s="17">
        <f t="shared" si="45"/>
        <v>0.15416696172548378</v>
      </c>
      <c r="AJ32" s="17">
        <f t="shared" si="45"/>
        <v>0.15994514308150071</v>
      </c>
      <c r="AK32" s="17">
        <f t="shared" si="45"/>
        <v>0.16562526850484574</v>
      </c>
      <c r="AL32" s="17">
        <f t="shared" si="45"/>
        <v>0.17158785291940126</v>
      </c>
      <c r="AM32" s="17">
        <f t="shared" si="45"/>
        <v>0.17797914693951</v>
      </c>
      <c r="AN32" s="17">
        <f t="shared" si="45"/>
        <v>0.18474930806330114</v>
      </c>
      <c r="AO32" s="17">
        <f t="shared" si="46"/>
        <v>0.19142128747724094</v>
      </c>
      <c r="AP32" s="17">
        <f t="shared" si="46"/>
        <v>0.19796771033409205</v>
      </c>
      <c r="AQ32" s="17">
        <f t="shared" si="46"/>
        <v>0.20436088944097014</v>
      </c>
      <c r="AR32" s="17">
        <f t="shared" si="46"/>
        <v>0.21057299904865343</v>
      </c>
      <c r="AS32" s="17">
        <f t="shared" si="46"/>
        <v>0.21657627063774509</v>
      </c>
      <c r="AT32" s="17">
        <f t="shared" si="46"/>
        <v>0.22234319499283986</v>
      </c>
      <c r="AU32" s="17">
        <f t="shared" si="46"/>
        <v>0.22784672859883154</v>
      </c>
      <c r="AV32" s="17">
        <f t="shared" si="46"/>
        <v>0.23306050227066832</v>
      </c>
      <c r="AW32" s="17">
        <f t="shared" si="46"/>
        <v>0.23795902983086356</v>
      </c>
      <c r="AX32" s="17">
        <f t="shared" si="46"/>
        <v>0.24251791458037844</v>
      </c>
      <c r="AY32" s="17">
        <f t="shared" si="46"/>
        <v>0.24671405127015605</v>
      </c>
      <c r="AZ32" s="17">
        <f t="shared" si="46"/>
        <v>0.25052582127416884</v>
      </c>
      <c r="BA32" s="17">
        <f t="shared" si="46"/>
        <v>0.25393327869138488</v>
      </c>
      <c r="BB32" s="17">
        <f t="shared" si="46"/>
        <v>0.25691832516404151</v>
      </c>
      <c r="BC32" s="17">
        <f t="shared" si="46"/>
        <v>0.25946487129292689</v>
      </c>
      <c r="BD32" s="17">
        <f t="shared" si="46"/>
        <v>0.26155898265629096</v>
      </c>
      <c r="BE32" s="17">
        <f t="shared" si="46"/>
        <v>0.26318900859622313</v>
      </c>
      <c r="BF32" s="17">
        <f t="shared" si="46"/>
        <v>0.26434569212293085</v>
      </c>
      <c r="BG32" s="17">
        <f t="shared" si="46"/>
        <v>0.26502225950084529</v>
      </c>
      <c r="BH32" s="17">
        <f t="shared" si="46"/>
        <v>0.26521448831786609</v>
      </c>
    </row>
    <row r="33" spans="1:60" x14ac:dyDescent="0.25">
      <c r="A33" t="s">
        <v>73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4456.8877254757872</v>
      </c>
      <c r="N33" s="17">
        <f t="shared" si="48"/>
        <v>4501.4566027305455</v>
      </c>
      <c r="O33" s="17">
        <f t="shared" si="48"/>
        <v>4550.9726253605813</v>
      </c>
      <c r="P33" s="17">
        <f t="shared" si="48"/>
        <v>4614.6862421156293</v>
      </c>
      <c r="Q33" s="17">
        <f t="shared" si="48"/>
        <v>4688.5212219894793</v>
      </c>
      <c r="R33" s="17">
        <f t="shared" si="48"/>
        <v>4772.9146039852903</v>
      </c>
      <c r="S33" s="17">
        <f t="shared" si="48"/>
        <v>4878.070132613926</v>
      </c>
      <c r="T33" s="17">
        <f t="shared" si="48"/>
        <v>5005.9651047671477</v>
      </c>
      <c r="U33" s="17">
        <f t="shared" si="48"/>
        <v>5153.0324316926435</v>
      </c>
      <c r="V33" s="17">
        <f t="shared" si="48"/>
        <v>5308.0229668226248</v>
      </c>
      <c r="W33" s="17">
        <f t="shared" si="48"/>
        <v>5472.4533377768985</v>
      </c>
      <c r="X33" s="17">
        <f t="shared" si="48"/>
        <v>5660.5192636897445</v>
      </c>
      <c r="Y33" s="17">
        <f t="shared" si="48"/>
        <v>5859.7961117765799</v>
      </c>
      <c r="Z33" s="17">
        <f t="shared" si="48"/>
        <v>6071.0034498502237</v>
      </c>
      <c r="AA33" s="17">
        <f t="shared" si="48"/>
        <v>6295.6731854549635</v>
      </c>
      <c r="AB33" s="17">
        <f t="shared" si="48"/>
        <v>6530.8539953308991</v>
      </c>
      <c r="AC33" s="17">
        <f t="shared" si="48"/>
        <v>6769.6579855924438</v>
      </c>
      <c r="AD33" s="17">
        <f t="shared" si="48"/>
        <v>7009.3621264260109</v>
      </c>
      <c r="AE33" s="17">
        <f t="shared" si="48"/>
        <v>7260.0580965216441</v>
      </c>
      <c r="AF33" s="17">
        <f t="shared" si="48"/>
        <v>7507.1137479970703</v>
      </c>
      <c r="AG33" s="17">
        <f t="shared" si="48"/>
        <v>7763.5223358550811</v>
      </c>
      <c r="AH33" s="17">
        <f t="shared" si="48"/>
        <v>8032.5939218411158</v>
      </c>
      <c r="AI33" s="17">
        <f t="shared" si="48"/>
        <v>8315.2600771548477</v>
      </c>
      <c r="AJ33" s="17">
        <f t="shared" si="48"/>
        <v>8612.4237117862249</v>
      </c>
      <c r="AK33" s="17">
        <f t="shared" si="48"/>
        <v>8904.4869342834081</v>
      </c>
      <c r="AL33" s="17">
        <f t="shared" si="48"/>
        <v>9211.182874958502</v>
      </c>
      <c r="AM33" s="17">
        <f t="shared" si="48"/>
        <v>9540.2377698779001</v>
      </c>
      <c r="AN33" s="17">
        <f t="shared" si="48"/>
        <v>9888.9995639134049</v>
      </c>
      <c r="AO33" s="17">
        <f t="shared" ref="AO33:BH33" si="49">(1+AO2)*AN33</f>
        <v>10232.69437452425</v>
      </c>
      <c r="AP33" s="17">
        <f t="shared" si="49"/>
        <v>10569.898523985612</v>
      </c>
      <c r="AQ33" s="17">
        <f t="shared" si="49"/>
        <v>10899.171371237262</v>
      </c>
      <c r="AR33" s="17">
        <f t="shared" si="49"/>
        <v>11219.065073954267</v>
      </c>
      <c r="AS33" s="17">
        <f t="shared" si="49"/>
        <v>11528.134772360265</v>
      </c>
      <c r="AT33" s="17">
        <f t="shared" si="49"/>
        <v>11824.949100114161</v>
      </c>
      <c r="AU33" s="17">
        <f t="shared" si="49"/>
        <v>12108.100920015293</v>
      </c>
      <c r="AV33" s="17">
        <f t="shared" si="49"/>
        <v>12376.218175882921</v>
      </c>
      <c r="AW33" s="17">
        <f t="shared" si="49"/>
        <v>12627.974746920552</v>
      </c>
      <c r="AX33" s="17">
        <f t="shared" si="49"/>
        <v>12862.101187302553</v>
      </c>
      <c r="AY33" s="17">
        <f t="shared" si="49"/>
        <v>13077.395231726432</v>
      </c>
      <c r="AZ33" s="17">
        <f t="shared" si="49"/>
        <v>13272.731947340333</v>
      </c>
      <c r="BA33" s="17">
        <f t="shared" si="49"/>
        <v>13447.073413835968</v>
      </c>
      <c r="BB33" s="17">
        <f t="shared" si="49"/>
        <v>13599.477816617282</v>
      </c>
      <c r="BC33" s="17">
        <f t="shared" si="49"/>
        <v>13729.107842808742</v>
      </c>
      <c r="BD33" s="17">
        <f t="shared" si="49"/>
        <v>13835.238276416972</v>
      </c>
      <c r="BE33" s="17">
        <f t="shared" si="49"/>
        <v>13917.262697137185</v>
      </c>
      <c r="BF33" s="17">
        <f t="shared" si="49"/>
        <v>13974.699197001581</v>
      </c>
      <c r="BG33" s="17">
        <f t="shared" si="49"/>
        <v>14007.195040171955</v>
      </c>
      <c r="BH33" s="17">
        <f t="shared" si="49"/>
        <v>14014.530203526232</v>
      </c>
    </row>
    <row r="34" spans="1:60" x14ac:dyDescent="0.25">
      <c r="A34" t="s">
        <v>74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2.0000000000000018E-3</v>
      </c>
      <c r="N34" s="1">
        <f t="shared" si="50"/>
        <v>1.0000000000000009E-2</v>
      </c>
      <c r="O34" s="1">
        <f t="shared" si="50"/>
        <v>1.0999999999999899E-2</v>
      </c>
      <c r="P34" s="1">
        <f t="shared" si="50"/>
        <v>1.4000000000000012E-2</v>
      </c>
      <c r="Q34" s="1">
        <f t="shared" si="50"/>
        <v>1.6000000000000014E-2</v>
      </c>
      <c r="R34" s="1">
        <f t="shared" si="50"/>
        <v>1.8000000000000016E-2</v>
      </c>
      <c r="S34" s="1">
        <f t="shared" si="50"/>
        <v>2.2031722197759951E-2</v>
      </c>
      <c r="T34" s="1">
        <f t="shared" si="50"/>
        <v>2.6218354528799948E-2</v>
      </c>
      <c r="U34" s="1">
        <f t="shared" si="50"/>
        <v>2.9378416318852185E-2</v>
      </c>
      <c r="V34" s="1">
        <f t="shared" si="50"/>
        <v>3.0077539232383765E-2</v>
      </c>
      <c r="W34" s="1">
        <f t="shared" si="50"/>
        <v>3.0977705255239574E-2</v>
      </c>
      <c r="X34" s="1">
        <f t="shared" si="50"/>
        <v>3.4365925902850147E-2</v>
      </c>
      <c r="Y34" s="1">
        <f t="shared" si="50"/>
        <v>3.5204693916532914E-2</v>
      </c>
      <c r="Z34" s="1">
        <f t="shared" si="50"/>
        <v>3.6043461930215459E-2</v>
      </c>
      <c r="AA34" s="1">
        <f t="shared" si="50"/>
        <v>3.7007018273113035E-2</v>
      </c>
      <c r="AB34" s="1">
        <f t="shared" si="50"/>
        <v>3.7355943192743712E-2</v>
      </c>
      <c r="AC34" s="1">
        <f t="shared" si="50"/>
        <v>3.6565507425563748E-2</v>
      </c>
      <c r="AD34" s="1">
        <f t="shared" si="50"/>
        <v>3.540860429636461E-2</v>
      </c>
      <c r="AE34" s="1">
        <f t="shared" si="50"/>
        <v>3.5765875064506014E-2</v>
      </c>
      <c r="AF34" s="1">
        <f t="shared" si="50"/>
        <v>3.4029431747081063E-2</v>
      </c>
      <c r="AG34" s="1">
        <f t="shared" si="50"/>
        <v>3.4155415312099313E-2</v>
      </c>
      <c r="AH34" s="1">
        <f t="shared" si="50"/>
        <v>3.4658441664211281E-2</v>
      </c>
      <c r="AI34" s="1">
        <f t="shared" si="50"/>
        <v>3.5189897318865571E-2</v>
      </c>
      <c r="AJ34" s="1">
        <f t="shared" si="50"/>
        <v>3.5737142539630007E-2</v>
      </c>
      <c r="AK34" s="1">
        <f t="shared" si="50"/>
        <v>3.3911850167972046E-2</v>
      </c>
      <c r="AL34" s="1">
        <f t="shared" si="50"/>
        <v>3.4442853691466047E-2</v>
      </c>
      <c r="AM34" s="1">
        <f t="shared" si="50"/>
        <v>3.572341352748154E-2</v>
      </c>
      <c r="AN34" s="1">
        <f t="shared" si="50"/>
        <v>3.6556928920228327E-2</v>
      </c>
      <c r="AO34" s="1">
        <f t="shared" ref="AO34" si="51">AO33/AN33-1</f>
        <v>3.4755266029644183E-2</v>
      </c>
      <c r="AP34" s="1">
        <f t="shared" ref="AP34" si="52">AP33/AO33-1</f>
        <v>3.2953603139059817E-2</v>
      </c>
      <c r="AQ34" s="1">
        <f t="shared" ref="AQ34" si="53">AQ33/AP33-1</f>
        <v>3.1151940248475674E-2</v>
      </c>
      <c r="AR34" s="1">
        <f t="shared" ref="AR34" si="54">AR33/AQ33-1</f>
        <v>2.935027735789153E-2</v>
      </c>
      <c r="AS34" s="1">
        <f t="shared" ref="AS34" si="55">AS33/AR33-1</f>
        <v>2.7548614467307164E-2</v>
      </c>
      <c r="AT34" s="1">
        <f t="shared" ref="AT34" si="56">AT33/AS33-1</f>
        <v>2.5746951576723021E-2</v>
      </c>
      <c r="AU34" s="1">
        <f t="shared" ref="AU34" si="57">AU33/AT33-1</f>
        <v>2.3945288686138877E-2</v>
      </c>
      <c r="AV34" s="1">
        <f t="shared" ref="AV34" si="58">AV33/AU33-1</f>
        <v>2.2143625795554511E-2</v>
      </c>
      <c r="AW34" s="1">
        <f t="shared" ref="AW34" si="59">AW33/AV33-1</f>
        <v>2.0341962904970368E-2</v>
      </c>
      <c r="AX34" s="1">
        <f t="shared" ref="AX34" si="60">AX33/AW33-1</f>
        <v>1.8540300014386224E-2</v>
      </c>
      <c r="AY34" s="1">
        <f t="shared" ref="AY34" si="61">AY33/AX33-1</f>
        <v>1.6738637123801858E-2</v>
      </c>
      <c r="AZ34" s="1">
        <f t="shared" ref="AZ34" si="62">AZ33/AY33-1</f>
        <v>1.4936974233217715E-2</v>
      </c>
      <c r="BA34" s="1">
        <f t="shared" ref="BA34" si="63">BA33/AZ33-1</f>
        <v>1.3135311342633571E-2</v>
      </c>
      <c r="BB34" s="1">
        <f t="shared" ref="BB34" si="64">BB33/BA33-1</f>
        <v>1.1333648452049205E-2</v>
      </c>
      <c r="BC34" s="1">
        <f t="shared" ref="BC34" si="65">BC33/BB33-1</f>
        <v>9.5319855614650617E-3</v>
      </c>
      <c r="BD34" s="1">
        <f t="shared" ref="BD34" si="66">BD33/BC33-1</f>
        <v>7.730322670880696E-3</v>
      </c>
      <c r="BE34" s="1">
        <f t="shared" ref="BE34" si="67">BE33/BD33-1</f>
        <v>5.9286597802965524E-3</v>
      </c>
      <c r="BF34" s="1">
        <f t="shared" ref="BF34" si="68">BF33/BE33-1</f>
        <v>4.1269968897124087E-3</v>
      </c>
      <c r="BG34" s="1">
        <f t="shared" ref="BG34" si="69">BG33/BF33-1</f>
        <v>2.3253339991280431E-3</v>
      </c>
      <c r="BH34" s="1">
        <f t="shared" ref="BH34" si="70">BH33/BG33-1</f>
        <v>5.2367110854389942E-4</v>
      </c>
    </row>
    <row r="35" spans="1:60" x14ac:dyDescent="0.25">
      <c r="A35" t="s">
        <v>85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1277.9221293585026</v>
      </c>
      <c r="N35" s="17">
        <f t="shared" si="71"/>
        <v>1290.9663786109268</v>
      </c>
      <c r="O35" s="17">
        <f t="shared" si="71"/>
        <v>1304.8830608205526</v>
      </c>
      <c r="P35" s="17">
        <f t="shared" si="71"/>
        <v>1325.4521178672283</v>
      </c>
      <c r="Q35" s="17">
        <f t="shared" si="71"/>
        <v>1348.7058928300073</v>
      </c>
      <c r="R35" s="17">
        <f t="shared" si="71"/>
        <v>1374.1699537413781</v>
      </c>
      <c r="S35" s="17">
        <f t="shared" si="71"/>
        <v>1406.2561391311092</v>
      </c>
      <c r="T35" s="17">
        <f t="shared" si="71"/>
        <v>1445.3018399584248</v>
      </c>
      <c r="U35" s="17">
        <f t="shared" si="71"/>
        <v>1491.5295372781291</v>
      </c>
      <c r="V35" s="17">
        <f t="shared" si="71"/>
        <v>1539.8324482606142</v>
      </c>
      <c r="W35" s="17">
        <f t="shared" si="71"/>
        <v>1592.3836505111403</v>
      </c>
      <c r="X35" s="17">
        <f t="shared" si="71"/>
        <v>1651.2852584483358</v>
      </c>
      <c r="Y35" s="17">
        <f t="shared" si="71"/>
        <v>1715.2632692990412</v>
      </c>
      <c r="Z35" s="17">
        <f t="shared" si="71"/>
        <v>1782.9323894433082</v>
      </c>
      <c r="AA35" s="17">
        <f t="shared" si="71"/>
        <v>1853.8812002346795</v>
      </c>
      <c r="AB35" s="17">
        <f t="shared" si="71"/>
        <v>1929.0599897029074</v>
      </c>
      <c r="AC35" s="17">
        <f t="shared" si="71"/>
        <v>2005.3653518572328</v>
      </c>
      <c r="AD35" s="17">
        <f t="shared" si="71"/>
        <v>2081.9875913515784</v>
      </c>
      <c r="AE35" s="17">
        <f t="shared" si="71"/>
        <v>2161.0288628486205</v>
      </c>
      <c r="AF35" s="17">
        <f t="shared" si="71"/>
        <v>2238.919738163173</v>
      </c>
      <c r="AG35" s="17">
        <f t="shared" si="71"/>
        <v>2319.7187664103139</v>
      </c>
      <c r="AH35" s="17">
        <f t="shared" si="71"/>
        <v>2404.4366661865383</v>
      </c>
      <c r="AI35" s="17">
        <f t="shared" si="71"/>
        <v>2493.4000845968926</v>
      </c>
      <c r="AJ35" s="17">
        <f t="shared" si="71"/>
        <v>2586.8527784857629</v>
      </c>
      <c r="AK35" s="17">
        <f t="shared" si="71"/>
        <v>2678.7195770045555</v>
      </c>
      <c r="AL35" s="17">
        <f t="shared" si="71"/>
        <v>2775.1546907103175</v>
      </c>
      <c r="AM35" s="17">
        <f t="shared" si="71"/>
        <v>2878.5234856327934</v>
      </c>
      <c r="AN35" s="17">
        <f t="shared" si="71"/>
        <v>2988.0198402982887</v>
      </c>
      <c r="AO35" s="17">
        <f t="shared" ref="AO35:BH35" si="72">AO33-AO12-AO13-AO14-AO28</f>
        <v>3095.9282653522168</v>
      </c>
      <c r="AP35" s="17">
        <f t="shared" si="72"/>
        <v>3201.8060171246411</v>
      </c>
      <c r="AQ35" s="17">
        <f t="shared" si="72"/>
        <v>3305.2053002623456</v>
      </c>
      <c r="AR35" s="17">
        <f t="shared" si="72"/>
        <v>3405.67607848851</v>
      </c>
      <c r="AS35" s="17">
        <f t="shared" si="72"/>
        <v>3502.7692411257353</v>
      </c>
      <c r="AT35" s="17">
        <f t="shared" si="72"/>
        <v>3596.0398713173158</v>
      </c>
      <c r="AU35" s="17">
        <f t="shared" si="72"/>
        <v>3685.0505841521217</v>
      </c>
      <c r="AV35" s="17">
        <f t="shared" si="72"/>
        <v>3769.3749009118646</v>
      </c>
      <c r="AW35" s="17">
        <f t="shared" si="72"/>
        <v>3848.6006240907373</v>
      </c>
      <c r="AX35" s="17">
        <f t="shared" si="72"/>
        <v>3922.3331767264222</v>
      </c>
      <c r="AY35" s="17">
        <f t="shared" si="72"/>
        <v>3990.1988689614541</v>
      </c>
      <c r="AZ35" s="17">
        <f t="shared" si="72"/>
        <v>4051.8480546501046</v>
      </c>
      <c r="BA35" s="17">
        <f t="shared" si="72"/>
        <v>4106.9581412552707</v>
      </c>
      <c r="BB35" s="17">
        <f t="shared" si="72"/>
        <v>4155.2364172499738</v>
      </c>
      <c r="BC35" s="17">
        <f t="shared" si="72"/>
        <v>4196.4226627472353</v>
      </c>
      <c r="BD35" s="17">
        <f t="shared" si="72"/>
        <v>4230.291511118684</v>
      </c>
      <c r="BE35" s="17">
        <f t="shared" si="72"/>
        <v>4256.6545319049337</v>
      </c>
      <c r="BF35" s="17">
        <f t="shared" si="72"/>
        <v>4275.3620083387004</v>
      </c>
      <c r="BG35" s="17">
        <f t="shared" si="72"/>
        <v>4286.3043862544773</v>
      </c>
      <c r="BH35" s="17">
        <f t="shared" si="72"/>
        <v>4289.413374997961</v>
      </c>
    </row>
    <row r="36" spans="1:60" x14ac:dyDescent="0.25">
      <c r="A36" t="s">
        <v>87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1.7478557589696297E-3</v>
      </c>
      <c r="N36" s="1">
        <f t="shared" si="73"/>
        <v>1.0207389756191398E-2</v>
      </c>
      <c r="O36" s="1">
        <f t="shared" si="73"/>
        <v>1.0780050077369152E-2</v>
      </c>
      <c r="P36" s="1">
        <f t="shared" si="73"/>
        <v>1.5763142050247092E-2</v>
      </c>
      <c r="Q36" s="1">
        <f t="shared" si="73"/>
        <v>1.7544032446978441E-2</v>
      </c>
      <c r="R36" s="1">
        <f t="shared" si="73"/>
        <v>1.8880366021045036E-2</v>
      </c>
      <c r="S36" s="1">
        <f t="shared" si="73"/>
        <v>2.3349502950760881E-2</v>
      </c>
      <c r="T36" s="1">
        <f t="shared" si="73"/>
        <v>2.7765710485318174E-2</v>
      </c>
      <c r="U36" s="1">
        <f t="shared" si="73"/>
        <v>3.1984804863345317E-2</v>
      </c>
      <c r="V36" s="1">
        <f t="shared" si="73"/>
        <v>3.2384816911257719E-2</v>
      </c>
      <c r="W36" s="1">
        <f t="shared" si="73"/>
        <v>3.4127870412061778E-2</v>
      </c>
      <c r="X36" s="1">
        <f t="shared" si="73"/>
        <v>3.6989583457660125E-2</v>
      </c>
      <c r="Y36" s="1">
        <f t="shared" si="73"/>
        <v>3.8744372314462261E-2</v>
      </c>
      <c r="Z36" s="1">
        <f t="shared" si="73"/>
        <v>3.9451156773106177E-2</v>
      </c>
      <c r="AA36" s="1">
        <f t="shared" si="73"/>
        <v>3.9793326550943364E-2</v>
      </c>
      <c r="AB36" s="1">
        <f t="shared" si="73"/>
        <v>4.0552107361955692E-2</v>
      </c>
      <c r="AC36" s="1">
        <f t="shared" si="73"/>
        <v>3.9555722767375956E-2</v>
      </c>
      <c r="AD36" s="1">
        <f t="shared" si="73"/>
        <v>3.8208618406308625E-2</v>
      </c>
      <c r="AE36" s="1">
        <f t="shared" si="73"/>
        <v>3.7964333613405676E-2</v>
      </c>
      <c r="AF36" s="1">
        <f t="shared" si="73"/>
        <v>3.6043422026246441E-2</v>
      </c>
      <c r="AG36" s="1">
        <f t="shared" si="73"/>
        <v>3.6088398735288907E-2</v>
      </c>
      <c r="AH36" s="1">
        <f t="shared" si="73"/>
        <v>3.6520763207568585E-2</v>
      </c>
      <c r="AI36" s="1">
        <f t="shared" si="73"/>
        <v>3.6999692968187503E-2</v>
      </c>
      <c r="AJ36" s="1">
        <f t="shared" si="73"/>
        <v>3.7480023549441244E-2</v>
      </c>
      <c r="AK36" s="1">
        <f t="shared" si="73"/>
        <v>3.551295971801216E-2</v>
      </c>
      <c r="AL36" s="1">
        <f t="shared" si="73"/>
        <v>3.6000451310248538E-2</v>
      </c>
      <c r="AM36" s="1">
        <f t="shared" si="73"/>
        <v>3.7247939824218701E-2</v>
      </c>
      <c r="AN36" s="1">
        <f t="shared" si="73"/>
        <v>3.803906940902535E-2</v>
      </c>
      <c r="AO36" s="1">
        <f t="shared" ref="AO36" si="74">AO35/AN35-1</f>
        <v>3.6113690946294241E-2</v>
      </c>
      <c r="AP36" s="1">
        <f t="shared" ref="AP36" si="75">AP35/AO35-1</f>
        <v>3.4199032631778037E-2</v>
      </c>
      <c r="AQ36" s="1">
        <f t="shared" ref="AQ36" si="76">AQ35/AP35-1</f>
        <v>3.2294049853326623E-2</v>
      </c>
      <c r="AR36" s="1">
        <f t="shared" ref="AR36" si="77">AR35/AQ35-1</f>
        <v>3.0397742076169854E-2</v>
      </c>
      <c r="AS36" s="1">
        <f t="shared" ref="AS36" si="78">AS35/AR35-1</f>
        <v>2.8509218257867008E-2</v>
      </c>
      <c r="AT36" s="1">
        <f t="shared" ref="AT36" si="79">AT35/AS35-1</f>
        <v>2.6627683347363318E-2</v>
      </c>
      <c r="AU36" s="1">
        <f t="shared" ref="AU36" si="80">AU35/AT35-1</f>
        <v>2.4752426563668495E-2</v>
      </c>
      <c r="AV36" s="1">
        <f t="shared" ref="AV36" si="81">AV35/AU35-1</f>
        <v>2.2882811194610664E-2</v>
      </c>
      <c r="AW36" s="1">
        <f t="shared" ref="AW36" si="82">AW35/AV35-1</f>
        <v>2.1018265696974625E-2</v>
      </c>
      <c r="AX36" s="1">
        <f t="shared" ref="AX36" si="83">AX35/AW35-1</f>
        <v>1.9158275913106593E-2</v>
      </c>
      <c r="AY36" s="1">
        <f t="shared" ref="AY36" si="84">AY35/AX35-1</f>
        <v>1.7302378247141315E-2</v>
      </c>
      <c r="AZ36" s="1">
        <f t="shared" ref="AZ36" si="85">AZ35/AY35-1</f>
        <v>1.5450153667327493E-2</v>
      </c>
      <c r="BA36" s="1">
        <f t="shared" ref="BA36" si="86">BA35/AZ35-1</f>
        <v>1.3601222420450476E-2</v>
      </c>
      <c r="BB36" s="1">
        <f t="shared" ref="BB36" si="87">BB35/BA35-1</f>
        <v>1.1755239360668801E-2</v>
      </c>
      <c r="BC36" s="1">
        <f t="shared" ref="BC36" si="88">BC35/BB35-1</f>
        <v>9.9118898087919849E-3</v>
      </c>
      <c r="BD36" s="1">
        <f t="shared" ref="BD36" si="89">BD35/BC35-1</f>
        <v>8.0708858695552887E-3</v>
      </c>
      <c r="BE36" s="1">
        <f t="shared" ref="BE36" si="90">BE35/BD35-1</f>
        <v>6.2319631441376533E-3</v>
      </c>
      <c r="BF36" s="1">
        <f t="shared" ref="BF36" si="91">BF35/BE35-1</f>
        <v>4.394877783373774E-3</v>
      </c>
      <c r="BG36" s="1">
        <f t="shared" ref="BG36" si="92">BG35/BF35-1</f>
        <v>2.559403833975793E-3</v>
      </c>
      <c r="BH36" s="1">
        <f t="shared" ref="BH36" si="93">BH35/BG35-1</f>
        <v>7.2533083591874714E-4</v>
      </c>
    </row>
    <row r="37" spans="1:60" x14ac:dyDescent="0.25">
      <c r="A37" t="s">
        <v>86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4456.887725475789</v>
      </c>
      <c r="N37" s="17">
        <f t="shared" si="94"/>
        <v>4501.4566027305473</v>
      </c>
      <c r="O37" s="17">
        <f t="shared" si="94"/>
        <v>4550.9726253605832</v>
      </c>
      <c r="P37" s="17">
        <f t="shared" si="94"/>
        <v>4614.6862421156311</v>
      </c>
      <c r="Q37" s="17">
        <f t="shared" si="94"/>
        <v>4688.5212219894811</v>
      </c>
      <c r="R37" s="17">
        <f t="shared" si="94"/>
        <v>4772.9146039852922</v>
      </c>
      <c r="S37" s="17">
        <f t="shared" si="94"/>
        <v>4878.0701326139279</v>
      </c>
      <c r="T37" s="17">
        <f t="shared" si="94"/>
        <v>5005.9651047671477</v>
      </c>
      <c r="U37" s="17">
        <f t="shared" si="94"/>
        <v>5153.0324316926453</v>
      </c>
      <c r="V37" s="17">
        <f t="shared" si="94"/>
        <v>5308.0229668226275</v>
      </c>
      <c r="W37" s="17">
        <f t="shared" si="94"/>
        <v>5472.4533377769012</v>
      </c>
      <c r="X37" s="17">
        <f t="shared" si="94"/>
        <v>5660.5192636897464</v>
      </c>
      <c r="Y37" s="17">
        <f t="shared" si="94"/>
        <v>5859.7961117765835</v>
      </c>
      <c r="Z37" s="17">
        <f t="shared" si="94"/>
        <v>6071.0034498502273</v>
      </c>
      <c r="AA37" s="17">
        <f t="shared" si="94"/>
        <v>6295.6731854549653</v>
      </c>
      <c r="AB37" s="17">
        <f t="shared" si="94"/>
        <v>6530.8539953309019</v>
      </c>
      <c r="AC37" s="17">
        <f t="shared" si="94"/>
        <v>6769.6579855924483</v>
      </c>
      <c r="AD37" s="17">
        <f t="shared" si="94"/>
        <v>7009.3621264260146</v>
      </c>
      <c r="AE37" s="17">
        <f t="shared" si="94"/>
        <v>7260.0580965216486</v>
      </c>
      <c r="AF37" s="17">
        <f t="shared" si="94"/>
        <v>7507.1137479970748</v>
      </c>
      <c r="AG37" s="17">
        <f t="shared" si="94"/>
        <v>7763.5223358550838</v>
      </c>
      <c r="AH37" s="17">
        <f t="shared" si="94"/>
        <v>8032.5939218411213</v>
      </c>
      <c r="AI37" s="17">
        <f t="shared" si="94"/>
        <v>8315.2600771548532</v>
      </c>
      <c r="AJ37" s="17">
        <f t="shared" si="94"/>
        <v>8612.4237117862303</v>
      </c>
      <c r="AK37" s="17">
        <f t="shared" si="94"/>
        <v>8904.4869342834081</v>
      </c>
      <c r="AL37" s="17">
        <f t="shared" si="94"/>
        <v>9211.1828749585075</v>
      </c>
      <c r="AM37" s="17">
        <f t="shared" si="94"/>
        <v>9540.2377698779001</v>
      </c>
      <c r="AN37" s="17">
        <f t="shared" si="94"/>
        <v>9888.9995639134086</v>
      </c>
      <c r="AO37" s="17">
        <f t="shared" ref="AO37:BH37" si="95">SUM(AO12:AO32)</f>
        <v>10232.694374524253</v>
      </c>
      <c r="AP37" s="17">
        <f t="shared" si="95"/>
        <v>10569.898523985616</v>
      </c>
      <c r="AQ37" s="17">
        <f t="shared" si="95"/>
        <v>10899.171371237266</v>
      </c>
      <c r="AR37" s="17">
        <f t="shared" si="95"/>
        <v>11219.065073954274</v>
      </c>
      <c r="AS37" s="17">
        <f t="shared" si="95"/>
        <v>11528.134772360265</v>
      </c>
      <c r="AT37" s="17">
        <f t="shared" si="95"/>
        <v>11824.949100114169</v>
      </c>
      <c r="AU37" s="17">
        <f t="shared" si="95"/>
        <v>12108.100920015302</v>
      </c>
      <c r="AV37" s="17">
        <f t="shared" si="95"/>
        <v>12376.218175882928</v>
      </c>
      <c r="AW37" s="17">
        <f t="shared" si="95"/>
        <v>12627.974746920558</v>
      </c>
      <c r="AX37" s="17">
        <f t="shared" si="95"/>
        <v>12862.10118730256</v>
      </c>
      <c r="AY37" s="17">
        <f t="shared" si="95"/>
        <v>13077.395231726434</v>
      </c>
      <c r="AZ37" s="17">
        <f t="shared" si="95"/>
        <v>13272.731947340342</v>
      </c>
      <c r="BA37" s="17">
        <f t="shared" si="95"/>
        <v>13447.073413835973</v>
      </c>
      <c r="BB37" s="17">
        <f t="shared" si="95"/>
        <v>13599.477816617285</v>
      </c>
      <c r="BC37" s="17">
        <f t="shared" si="95"/>
        <v>13729.107842808744</v>
      </c>
      <c r="BD37" s="17">
        <f t="shared" si="95"/>
        <v>13835.238276416978</v>
      </c>
      <c r="BE37" s="17">
        <f t="shared" si="95"/>
        <v>13917.262697137192</v>
      </c>
      <c r="BF37" s="17">
        <f t="shared" si="95"/>
        <v>13974.69919700159</v>
      </c>
      <c r="BG37" s="17">
        <f t="shared" si="95"/>
        <v>14007.195040171962</v>
      </c>
      <c r="BH37" s="17">
        <f t="shared" si="95"/>
        <v>14014.530203526238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  <c r="AX40" t="s">
        <v>235</v>
      </c>
      <c r="BH40" t="s">
        <v>234</v>
      </c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  <c r="AO41">
        <v>2051</v>
      </c>
      <c r="AP41">
        <v>2052</v>
      </c>
      <c r="AQ41">
        <v>2053</v>
      </c>
      <c r="AR41">
        <v>2054</v>
      </c>
      <c r="AS41">
        <v>2055</v>
      </c>
      <c r="AT41">
        <v>2056</v>
      </c>
      <c r="AU41">
        <v>2057</v>
      </c>
      <c r="AV41">
        <v>2058</v>
      </c>
      <c r="AW41">
        <v>2059</v>
      </c>
      <c r="AX41">
        <v>2060</v>
      </c>
      <c r="AY41">
        <v>2061</v>
      </c>
      <c r="AZ41">
        <v>2062</v>
      </c>
      <c r="BA41">
        <v>2063</v>
      </c>
      <c r="BB41">
        <v>2064</v>
      </c>
      <c r="BC41">
        <v>2065</v>
      </c>
      <c r="BD41">
        <v>2066</v>
      </c>
      <c r="BE41">
        <v>2067</v>
      </c>
      <c r="BF41">
        <v>2068</v>
      </c>
      <c r="BG41">
        <v>2069</v>
      </c>
      <c r="BH41">
        <v>2070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D42" si="96">1-L43-L44</f>
        <v>0.45384023967034137</v>
      </c>
      <c r="M42" s="12">
        <f t="shared" si="96"/>
        <v>0.4530506193635141</v>
      </c>
      <c r="N42" s="12">
        <f t="shared" si="96"/>
        <v>0.4492123756297739</v>
      </c>
      <c r="O42" s="12">
        <f t="shared" si="96"/>
        <v>0.44506077484649087</v>
      </c>
      <c r="P42" s="12">
        <f t="shared" si="96"/>
        <v>0.44048019500661473</v>
      </c>
      <c r="Q42" s="12">
        <f t="shared" si="96"/>
        <v>0.43534996792463587</v>
      </c>
      <c r="R42" s="12">
        <f t="shared" si="96"/>
        <v>0.42993618539113665</v>
      </c>
      <c r="S42" s="12">
        <f t="shared" si="96"/>
        <v>0.42371952259311868</v>
      </c>
      <c r="T42" s="12">
        <f t="shared" si="96"/>
        <v>0.41657241965867214</v>
      </c>
      <c r="U42" s="12">
        <f t="shared" si="96"/>
        <v>0.40909885956028302</v>
      </c>
      <c r="V42" s="12">
        <f t="shared" si="96"/>
        <v>0.40185565007277846</v>
      </c>
      <c r="W42" s="12">
        <f t="shared" si="96"/>
        <v>0.39482416004663062</v>
      </c>
      <c r="X42" s="12">
        <f t="shared" si="96"/>
        <v>0.38744915622957621</v>
      </c>
      <c r="Y42" s="12">
        <f t="shared" si="96"/>
        <v>0.3800592435396562</v>
      </c>
      <c r="Z42" s="12">
        <f t="shared" si="96"/>
        <v>0.37316446554873905</v>
      </c>
      <c r="AA42" s="12">
        <f t="shared" si="96"/>
        <v>0.36622575390923512</v>
      </c>
      <c r="AB42" s="12">
        <f t="shared" si="96"/>
        <v>0.35954615135165829</v>
      </c>
      <c r="AC42" s="12">
        <f t="shared" si="96"/>
        <v>0.35352413753940537</v>
      </c>
      <c r="AD42" s="12">
        <f t="shared" si="96"/>
        <v>0.34790997115201444</v>
      </c>
      <c r="AE42" s="21">
        <f>FORECAST(AE41,U42:AD42,U41:AD41)</f>
        <v>0.33949990116716933</v>
      </c>
      <c r="AF42" s="21">
        <f t="shared" ref="AF42:BH42" si="97">FORECAST(AF41,V42:AE42,V41:AE41)</f>
        <v>0.3328157209201148</v>
      </c>
      <c r="AG42" s="21">
        <f t="shared" si="97"/>
        <v>0.32616627660377695</v>
      </c>
      <c r="AH42" s="21">
        <f t="shared" si="97"/>
        <v>0.31958465249744172</v>
      </c>
      <c r="AI42" s="21">
        <f t="shared" si="97"/>
        <v>0.31298090329354977</v>
      </c>
      <c r="AJ42" s="21">
        <f t="shared" si="97"/>
        <v>0.3062893112729288</v>
      </c>
      <c r="AK42" s="21">
        <f t="shared" si="97"/>
        <v>0.29955436432955906</v>
      </c>
      <c r="AL42" s="21">
        <f t="shared" si="97"/>
        <v>0.29273345912335991</v>
      </c>
      <c r="AM42" s="21">
        <f t="shared" si="97"/>
        <v>0.28584772379130463</v>
      </c>
      <c r="AN42" s="21">
        <f t="shared" si="97"/>
        <v>0.27905600345837911</v>
      </c>
      <c r="AO42" s="21">
        <f t="shared" si="97"/>
        <v>0.27256224487218716</v>
      </c>
      <c r="AP42" s="21">
        <f t="shared" si="97"/>
        <v>0.2658185620351361</v>
      </c>
      <c r="AQ42" s="21">
        <f t="shared" si="97"/>
        <v>0.25905746841704591</v>
      </c>
      <c r="AR42" s="21">
        <f t="shared" si="97"/>
        <v>0.252285229459698</v>
      </c>
      <c r="AS42" s="21">
        <f t="shared" si="97"/>
        <v>0.24552291570350171</v>
      </c>
      <c r="AT42" s="21">
        <f t="shared" si="97"/>
        <v>0.238781304859641</v>
      </c>
      <c r="AU42" s="21">
        <f t="shared" si="97"/>
        <v>0.23205582431207006</v>
      </c>
      <c r="AV42" s="21">
        <f t="shared" si="97"/>
        <v>0.22534469945479252</v>
      </c>
      <c r="AW42" s="21">
        <f t="shared" si="97"/>
        <v>0.21863011926745202</v>
      </c>
      <c r="AX42" s="21">
        <f t="shared" si="97"/>
        <v>0.21188609489452759</v>
      </c>
      <c r="AY42" s="21">
        <f t="shared" si="97"/>
        <v>0.20511450898524863</v>
      </c>
      <c r="AZ42" s="21">
        <f t="shared" si="97"/>
        <v>0.19838061366019311</v>
      </c>
      <c r="BA42" s="21">
        <f t="shared" si="97"/>
        <v>0.1916513605076986</v>
      </c>
      <c r="BB42" s="21">
        <f t="shared" si="97"/>
        <v>0.18492331102104487</v>
      </c>
      <c r="BC42" s="21">
        <f t="shared" si="97"/>
        <v>0.17819185187839537</v>
      </c>
      <c r="BD42" s="21">
        <f t="shared" si="97"/>
        <v>0.17145531997294228</v>
      </c>
      <c r="BE42" s="21">
        <f t="shared" si="97"/>
        <v>0.16471515000195325</v>
      </c>
      <c r="BF42" s="21">
        <f t="shared" si="97"/>
        <v>0.15797384955566152</v>
      </c>
      <c r="BG42" s="21">
        <f t="shared" si="97"/>
        <v>0.15123577392292198</v>
      </c>
      <c r="BH42" s="21">
        <f t="shared" si="97"/>
        <v>0.14450330331373529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D43" si="98">K43*(1+L148*L$34)</f>
        <v>0.31355024567841444</v>
      </c>
      <c r="M43" s="21">
        <f t="shared" si="98"/>
        <v>0.31388781690524703</v>
      </c>
      <c r="N43" s="21">
        <f t="shared" si="98"/>
        <v>0.31543894410094331</v>
      </c>
      <c r="O43" s="21">
        <f t="shared" si="98"/>
        <v>0.31721983743486931</v>
      </c>
      <c r="P43" s="21">
        <f t="shared" si="98"/>
        <v>0.31883263902169873</v>
      </c>
      <c r="Q43" s="21">
        <f t="shared" si="98"/>
        <v>0.32078866718521404</v>
      </c>
      <c r="R43" s="21">
        <f t="shared" si="98"/>
        <v>0.32280939346620441</v>
      </c>
      <c r="S43" s="21">
        <f t="shared" si="98"/>
        <v>0.32497598023764895</v>
      </c>
      <c r="T43" s="21">
        <f t="shared" si="98"/>
        <v>0.32775482993460558</v>
      </c>
      <c r="U43" s="21">
        <f t="shared" si="98"/>
        <v>0.33022222974356419</v>
      </c>
      <c r="V43" s="21">
        <f t="shared" si="98"/>
        <v>0.332708026046104</v>
      </c>
      <c r="W43" s="21">
        <f t="shared" si="98"/>
        <v>0.33507942725265366</v>
      </c>
      <c r="X43" s="21">
        <f t="shared" si="98"/>
        <v>0.33755833542625679</v>
      </c>
      <c r="Y43" s="21">
        <f t="shared" si="98"/>
        <v>0.34023069208670387</v>
      </c>
      <c r="Z43" s="21">
        <f t="shared" si="98"/>
        <v>0.34209365651908852</v>
      </c>
      <c r="AA43" s="21">
        <f t="shared" si="98"/>
        <v>0.34372879918296723</v>
      </c>
      <c r="AB43" s="21">
        <f t="shared" si="98"/>
        <v>0.34562071119418153</v>
      </c>
      <c r="AC43" s="21">
        <f t="shared" si="98"/>
        <v>0.34714667279971562</v>
      </c>
      <c r="AD43" s="21">
        <f t="shared" si="98"/>
        <v>0.34858040550949743</v>
      </c>
      <c r="AE43" s="21">
        <f>1-AE42-AE44</f>
        <v>0.35270038692008504</v>
      </c>
      <c r="AF43" s="21">
        <f t="shared" ref="AF43:BH43" si="99">1-AF42-AF44</f>
        <v>0.35545402987661523</v>
      </c>
      <c r="AG43" s="21">
        <f t="shared" si="99"/>
        <v>0.35829684379142396</v>
      </c>
      <c r="AH43" s="21">
        <f t="shared" si="99"/>
        <v>0.36115445831596726</v>
      </c>
      <c r="AI43" s="21">
        <f t="shared" si="99"/>
        <v>0.36410706909886797</v>
      </c>
      <c r="AJ43" s="21">
        <f t="shared" si="99"/>
        <v>0.36699187756046936</v>
      </c>
      <c r="AK43" s="21">
        <f t="shared" si="99"/>
        <v>0.37022436051526397</v>
      </c>
      <c r="AL43" s="21">
        <f t="shared" si="99"/>
        <v>0.37358485092968469</v>
      </c>
      <c r="AM43" s="21">
        <f t="shared" si="99"/>
        <v>0.37697190484087623</v>
      </c>
      <c r="AN43" s="21">
        <f t="shared" si="99"/>
        <v>0.38027781250126996</v>
      </c>
      <c r="AO43" s="21">
        <f t="shared" si="99"/>
        <v>0.38282157629276181</v>
      </c>
      <c r="AP43" s="21">
        <f t="shared" si="99"/>
        <v>0.38601940369852006</v>
      </c>
      <c r="AQ43" s="21">
        <f t="shared" si="99"/>
        <v>0.38922258756347983</v>
      </c>
      <c r="AR43" s="21">
        <f t="shared" si="99"/>
        <v>0.3924274370969103</v>
      </c>
      <c r="AS43" s="21">
        <f t="shared" si="99"/>
        <v>0.39561454073212232</v>
      </c>
      <c r="AT43" s="21">
        <f t="shared" si="99"/>
        <v>0.39877898344479412</v>
      </c>
      <c r="AU43" s="21">
        <f t="shared" si="99"/>
        <v>0.40187798739007974</v>
      </c>
      <c r="AV43" s="21">
        <f t="shared" si="99"/>
        <v>0.40495944797580563</v>
      </c>
      <c r="AW43" s="21">
        <f t="shared" si="99"/>
        <v>0.40805938178134138</v>
      </c>
      <c r="AX43" s="21">
        <f t="shared" si="99"/>
        <v>0.4112108636823395</v>
      </c>
      <c r="AY43" s="21">
        <f t="shared" si="99"/>
        <v>0.41443201525713924</v>
      </c>
      <c r="AZ43" s="21">
        <f t="shared" si="99"/>
        <v>0.41755776106085651</v>
      </c>
      <c r="BA43" s="21">
        <f t="shared" si="99"/>
        <v>0.42067919656330144</v>
      </c>
      <c r="BB43" s="21">
        <f t="shared" si="99"/>
        <v>0.42380083147322711</v>
      </c>
      <c r="BC43" s="21">
        <f t="shared" si="99"/>
        <v>0.42692863962271321</v>
      </c>
      <c r="BD43" s="21">
        <f t="shared" si="99"/>
        <v>0.43006590570963166</v>
      </c>
      <c r="BE43" s="21">
        <f t="shared" si="99"/>
        <v>0.43321432302865492</v>
      </c>
      <c r="BF43" s="21">
        <f t="shared" si="99"/>
        <v>0.43636271350971079</v>
      </c>
      <c r="BG43" s="21">
        <f t="shared" si="99"/>
        <v>0.43950309396347365</v>
      </c>
      <c r="BH43" s="21">
        <f t="shared" si="99"/>
        <v>0.44263272457796088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100">K44*(1+L149*L$34)</f>
        <v>0.23260951465124413</v>
      </c>
      <c r="M44" s="21">
        <f t="shared" si="100"/>
        <v>0.23306156373123887</v>
      </c>
      <c r="N44" s="21">
        <f t="shared" si="100"/>
        <v>0.23534868026928282</v>
      </c>
      <c r="O44" s="21">
        <f t="shared" si="100"/>
        <v>0.23771938771863979</v>
      </c>
      <c r="P44" s="21">
        <f t="shared" si="100"/>
        <v>0.2406871659716866</v>
      </c>
      <c r="Q44" s="21">
        <f t="shared" si="100"/>
        <v>0.24386136489015012</v>
      </c>
      <c r="R44" s="21">
        <f t="shared" si="100"/>
        <v>0.24725442114265897</v>
      </c>
      <c r="S44" s="21">
        <f t="shared" si="100"/>
        <v>0.25130449716923237</v>
      </c>
      <c r="T44" s="21">
        <f t="shared" si="100"/>
        <v>0.25567275040672227</v>
      </c>
      <c r="U44" s="21">
        <f t="shared" si="100"/>
        <v>0.26067891069615279</v>
      </c>
      <c r="V44" s="21">
        <f t="shared" si="100"/>
        <v>0.2654363238811176</v>
      </c>
      <c r="W44" s="21">
        <f t="shared" si="100"/>
        <v>0.27009641270071577</v>
      </c>
      <c r="X44" s="21">
        <f t="shared" si="100"/>
        <v>0.274992508344167</v>
      </c>
      <c r="Y44" s="21">
        <f t="shared" si="100"/>
        <v>0.27971006437363993</v>
      </c>
      <c r="Z44" s="21">
        <f t="shared" si="100"/>
        <v>0.28474187793217243</v>
      </c>
      <c r="AA44" s="21">
        <f t="shared" si="100"/>
        <v>0.29004544690779771</v>
      </c>
      <c r="AB44" s="21">
        <f t="shared" si="100"/>
        <v>0.29483313745416012</v>
      </c>
      <c r="AC44" s="21">
        <f t="shared" si="100"/>
        <v>0.29932918966087896</v>
      </c>
      <c r="AD44" s="21">
        <f t="shared" si="100"/>
        <v>0.30350962333848813</v>
      </c>
      <c r="AE44" s="21">
        <f t="shared" si="100"/>
        <v>0.30779971191274563</v>
      </c>
      <c r="AF44" s="21">
        <f t="shared" si="100"/>
        <v>0.31173024920326997</v>
      </c>
      <c r="AG44" s="21">
        <f t="shared" si="100"/>
        <v>0.31553687960479909</v>
      </c>
      <c r="AH44" s="21">
        <f t="shared" si="100"/>
        <v>0.31926088918659101</v>
      </c>
      <c r="AI44" s="21">
        <f t="shared" si="100"/>
        <v>0.32291202760758225</v>
      </c>
      <c r="AJ44" s="21">
        <f t="shared" si="100"/>
        <v>0.32671881116660184</v>
      </c>
      <c r="AK44" s="21">
        <f t="shared" si="100"/>
        <v>0.33022127515517696</v>
      </c>
      <c r="AL44" s="21">
        <f t="shared" si="100"/>
        <v>0.33368168994695541</v>
      </c>
      <c r="AM44" s="21">
        <f t="shared" si="100"/>
        <v>0.33718037136781914</v>
      </c>
      <c r="AN44" s="21">
        <f t="shared" si="100"/>
        <v>0.34066618404035093</v>
      </c>
      <c r="AO44" s="21">
        <f>FORECAST(AO41,AE44:AN44,AE41:AN41)</f>
        <v>0.34461617883505102</v>
      </c>
      <c r="AP44" s="21">
        <f t="shared" ref="AP44:BH44" si="101">FORECAST(AP41,AF44:AO44,AF41:AO41)</f>
        <v>0.34816203426634384</v>
      </c>
      <c r="AQ44" s="21">
        <f t="shared" si="101"/>
        <v>0.35171994401947426</v>
      </c>
      <c r="AR44" s="21">
        <f t="shared" si="101"/>
        <v>0.3552873334433917</v>
      </c>
      <c r="AS44" s="21">
        <f t="shared" si="101"/>
        <v>0.35886254356437597</v>
      </c>
      <c r="AT44" s="21">
        <f t="shared" si="101"/>
        <v>0.36243971169556488</v>
      </c>
      <c r="AU44" s="21">
        <f t="shared" si="101"/>
        <v>0.3660661882978502</v>
      </c>
      <c r="AV44" s="21">
        <f t="shared" si="101"/>
        <v>0.36969585256940185</v>
      </c>
      <c r="AW44" s="21">
        <f t="shared" si="101"/>
        <v>0.3733104989512066</v>
      </c>
      <c r="AX44" s="21">
        <f t="shared" si="101"/>
        <v>0.37690304142313291</v>
      </c>
      <c r="AY44" s="21">
        <f t="shared" si="101"/>
        <v>0.38045347575761213</v>
      </c>
      <c r="AZ44" s="21">
        <f t="shared" si="101"/>
        <v>0.38406162527895038</v>
      </c>
      <c r="BA44" s="21">
        <f t="shared" si="101"/>
        <v>0.38766944292899996</v>
      </c>
      <c r="BB44" s="21">
        <f t="shared" si="101"/>
        <v>0.39127585750572802</v>
      </c>
      <c r="BC44" s="21">
        <f t="shared" si="101"/>
        <v>0.39487950849889142</v>
      </c>
      <c r="BD44" s="21">
        <f t="shared" si="101"/>
        <v>0.39847877431742607</v>
      </c>
      <c r="BE44" s="21">
        <f t="shared" si="101"/>
        <v>0.40207052696939183</v>
      </c>
      <c r="BF44" s="21">
        <f t="shared" si="101"/>
        <v>0.4056634369346277</v>
      </c>
      <c r="BG44" s="21">
        <f t="shared" si="101"/>
        <v>0.40926113211360438</v>
      </c>
      <c r="BH44" s="21">
        <f t="shared" si="101"/>
        <v>0.41286397210830383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  <c r="AN48">
        <v>2051</v>
      </c>
      <c r="AO48">
        <v>2052</v>
      </c>
      <c r="AP48">
        <v>2053</v>
      </c>
      <c r="AQ48">
        <v>2054</v>
      </c>
      <c r="AR48">
        <v>2055</v>
      </c>
      <c r="AS48">
        <v>2056</v>
      </c>
      <c r="AT48">
        <v>2057</v>
      </c>
      <c r="AU48">
        <v>2058</v>
      </c>
      <c r="AV48">
        <v>2059</v>
      </c>
      <c r="AW48">
        <v>2060</v>
      </c>
      <c r="AX48">
        <v>2061</v>
      </c>
      <c r="AY48">
        <v>2062</v>
      </c>
      <c r="AZ48">
        <v>2063</v>
      </c>
      <c r="BA48">
        <v>2064</v>
      </c>
      <c r="BB48">
        <v>2065</v>
      </c>
      <c r="BC48">
        <v>2066</v>
      </c>
      <c r="BD48">
        <v>2067</v>
      </c>
      <c r="BE48">
        <v>2068</v>
      </c>
      <c r="BF48">
        <v>2069</v>
      </c>
      <c r="BG48">
        <v>2070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I49*(1+J156*K$34)</f>
        <v>0.31654664140483468</v>
      </c>
      <c r="K49" s="21">
        <f t="shared" ref="K49:AM49" si="102">J49*(1+K156*L$34)</f>
        <v>0.3229769660124453</v>
      </c>
      <c r="L49" s="21">
        <f t="shared" si="102"/>
        <v>0.32341725558949985</v>
      </c>
      <c r="M49" s="21">
        <f t="shared" si="102"/>
        <v>0.32583348645578519</v>
      </c>
      <c r="N49" s="21">
        <f t="shared" si="102"/>
        <v>0.32868412194131336</v>
      </c>
      <c r="O49" s="21">
        <f t="shared" si="102"/>
        <v>0.33230162316533624</v>
      </c>
      <c r="P49" s="21">
        <f t="shared" si="102"/>
        <v>0.33651148349830801</v>
      </c>
      <c r="Q49" s="21">
        <f t="shared" si="102"/>
        <v>0.34119089406864367</v>
      </c>
      <c r="R49" s="21">
        <f t="shared" si="102"/>
        <v>0.36221879577366001</v>
      </c>
      <c r="S49" s="21">
        <f t="shared" si="102"/>
        <v>0.37004385784560301</v>
      </c>
      <c r="T49" s="21">
        <f t="shared" si="102"/>
        <v>0.37852012939101487</v>
      </c>
      <c r="U49" s="21">
        <f t="shared" si="102"/>
        <v>0.3878734723924257</v>
      </c>
      <c r="V49" s="21">
        <f t="shared" si="102"/>
        <v>0.39741278536009639</v>
      </c>
      <c r="W49" s="21">
        <f t="shared" si="102"/>
        <v>0.40816256077414653</v>
      </c>
      <c r="X49" s="21">
        <f t="shared" si="102"/>
        <v>0.41948785970919228</v>
      </c>
      <c r="Y49" s="21">
        <f t="shared" si="102"/>
        <v>0.43088849431928106</v>
      </c>
      <c r="Z49" s="21">
        <f t="shared" si="102"/>
        <v>0.44353505886754657</v>
      </c>
      <c r="AA49" s="21">
        <f t="shared" si="102"/>
        <v>0.45796945182824422</v>
      </c>
      <c r="AB49" s="21">
        <f t="shared" si="102"/>
        <v>0.49299530640753597</v>
      </c>
      <c r="AC49" s="21">
        <f t="shared" si="102"/>
        <v>0.50697126094253331</v>
      </c>
      <c r="AD49" s="21">
        <f t="shared" si="102"/>
        <v>0.52141886766898637</v>
      </c>
      <c r="AE49" s="21">
        <f t="shared" si="102"/>
        <v>0.53536238342083242</v>
      </c>
      <c r="AF49" s="21">
        <f t="shared" si="102"/>
        <v>0.54982306688002347</v>
      </c>
      <c r="AG49" s="21">
        <f t="shared" si="102"/>
        <v>0.56494419301691312</v>
      </c>
      <c r="AH49" s="21">
        <f t="shared" si="102"/>
        <v>0.58080477896828098</v>
      </c>
      <c r="AI49" s="21">
        <f t="shared" si="102"/>
        <v>0.5973336654005954</v>
      </c>
      <c r="AJ49" s="21">
        <f t="shared" si="102"/>
        <v>0.61315517605582059</v>
      </c>
      <c r="AK49" s="21">
        <f t="shared" si="102"/>
        <v>0.62969384765623759</v>
      </c>
      <c r="AL49" s="21">
        <f t="shared" si="102"/>
        <v>0.64739092344815219</v>
      </c>
      <c r="AM49" s="21">
        <f t="shared" si="102"/>
        <v>0.66610516650076956</v>
      </c>
      <c r="AN49" s="21">
        <f t="shared" ref="AN49" si="103">AM49*(1+AN156*AO$34)</f>
        <v>0.68450380655855048</v>
      </c>
      <c r="AO49" s="21">
        <f t="shared" ref="AO49" si="104">AN49*(1+AO156*AP$34)</f>
        <v>0.70243053660688781</v>
      </c>
      <c r="AP49" s="21">
        <f t="shared" ref="AP49" si="105">AO49*(1+AP156*AQ$34)</f>
        <v>0.71982098533620387</v>
      </c>
      <c r="AQ49" s="21">
        <f t="shared" ref="AQ49" si="106">AP49*(1+AQ156*AR$34)</f>
        <v>0.73661130703682831</v>
      </c>
      <c r="AR49" s="21">
        <f t="shared" ref="AR49" si="107">AQ49*(1+AR156*AS$34)</f>
        <v>0.75273856178520915</v>
      </c>
      <c r="AS49" s="21">
        <f t="shared" ref="AS49" si="108">AR49*(1+AS156*AT$34)</f>
        <v>0.76814109964660782</v>
      </c>
      <c r="AT49" s="21">
        <f t="shared" ref="AT49" si="109">AS49*(1+AT156*AU$34)</f>
        <v>0.78275894570450666</v>
      </c>
      <c r="AU49" s="21">
        <f t="shared" ref="AU49" si="110">AT49*(1+AU156*AV$34)</f>
        <v>0.79653418263056941</v>
      </c>
      <c r="AV49" s="21">
        <f t="shared" ref="AV49" si="111">AU49*(1+AV156*AW$34)</f>
        <v>0.80941132744757838</v>
      </c>
      <c r="AW49" s="21">
        <f t="shared" ref="AW49" si="112">AV49*(1+AW156*AX$34)</f>
        <v>0.82133769911310128</v>
      </c>
      <c r="AX49" s="21">
        <f t="shared" ref="AX49" si="113">AW49*(1+AX156*AY$34)</f>
        <v>0.83226377356498227</v>
      </c>
      <c r="AY49" s="21">
        <f t="shared" ref="AY49" si="114">AX49*(1+AY156*AZ$34)</f>
        <v>0.84214352292188033</v>
      </c>
      <c r="AZ49" s="21">
        <f t="shared" ref="AZ49" si="115">AY49*(1+AZ156*BA$34)</f>
        <v>0.85093473562323108</v>
      </c>
      <c r="BA49" s="21">
        <f t="shared" ref="BA49" si="116">AZ49*(1+BA156*BB$34)</f>
        <v>0.85859931442285087</v>
      </c>
      <c r="BB49" s="21">
        <f t="shared" ref="BB49" si="117">BA49*(1+BB156*BC$34)</f>
        <v>0.86510354931807654</v>
      </c>
      <c r="BC49" s="21">
        <f t="shared" ref="BC49" si="118">BB49*(1+BC156*BD$34)</f>
        <v>0.87041836270036654</v>
      </c>
      <c r="BD49" s="21">
        <f t="shared" ref="BD49" si="119">BC49*(1+BD156*BE$34)</f>
        <v>0.87451952425173407</v>
      </c>
      <c r="BE49" s="21">
        <f t="shared" ref="BE49" si="120">BD49*(1+BE156*BF$34)</f>
        <v>0.87738783338167059</v>
      </c>
      <c r="BF49" s="21">
        <f t="shared" ref="BF49" si="121">BE49*(1+BF156*BG$34)</f>
        <v>0.87900926729838769</v>
      </c>
      <c r="BG49" s="21">
        <f t="shared" ref="BG49" si="122">BF49*(1+BG156*BH$34)</f>
        <v>0.87937509313274809</v>
      </c>
    </row>
    <row r="51" spans="1:62" x14ac:dyDescent="0.25">
      <c r="A51" t="s">
        <v>202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189</v>
      </c>
    </row>
    <row r="53" spans="1:62" x14ac:dyDescent="0.25">
      <c r="A53" t="s">
        <v>190</v>
      </c>
      <c r="H53" t="s">
        <v>190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191</v>
      </c>
      <c r="H54" t="s">
        <v>191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192</v>
      </c>
      <c r="H55" t="s">
        <v>192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193</v>
      </c>
      <c r="H56" t="s">
        <v>193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194</v>
      </c>
      <c r="H57" t="s">
        <v>194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195</v>
      </c>
      <c r="H58" t="s">
        <v>195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196</v>
      </c>
      <c r="H59" t="s">
        <v>196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211</v>
      </c>
      <c r="H60" t="str">
        <f>A60</f>
        <v>IRP High?</v>
      </c>
      <c r="I60" s="28">
        <f>I57</f>
        <v>0.25993557707082449</v>
      </c>
      <c r="J60" s="28">
        <f t="shared" ref="J60:M60" si="123">J57</f>
        <v>-5.9633581828397624</v>
      </c>
      <c r="K60" s="28">
        <f t="shared" si="123"/>
        <v>4.7030620638949472</v>
      </c>
      <c r="L60" s="28">
        <f t="shared" si="123"/>
        <v>1.9104061693808072</v>
      </c>
      <c r="M60" s="28">
        <f t="shared" si="123"/>
        <v>0.2</v>
      </c>
      <c r="N60" s="28">
        <f>N58</f>
        <v>1.5</v>
      </c>
      <c r="O60" s="28">
        <f t="shared" ref="O60:AN60" si="124">O58</f>
        <v>1.8</v>
      </c>
      <c r="P60" s="28">
        <f t="shared" si="124"/>
        <v>2.0404394542826303</v>
      </c>
      <c r="Q60" s="28">
        <f t="shared" si="124"/>
        <v>2.1106061706687615</v>
      </c>
      <c r="R60" s="28">
        <f t="shared" si="124"/>
        <v>2.2415233455501835</v>
      </c>
      <c r="S60" s="28">
        <f t="shared" si="124"/>
        <v>2.7917771100771578</v>
      </c>
      <c r="T60" s="28">
        <f t="shared" si="124"/>
        <v>3.2133430145161763</v>
      </c>
      <c r="U60" s="28">
        <f t="shared" si="124"/>
        <v>3.3618923772298874</v>
      </c>
      <c r="V60" s="28">
        <f t="shared" si="124"/>
        <v>3.4979249789841216</v>
      </c>
      <c r="W60" s="28">
        <f t="shared" si="124"/>
        <v>3.616882876741641</v>
      </c>
      <c r="X60" s="28">
        <f t="shared" si="124"/>
        <v>3.7175290675305712</v>
      </c>
      <c r="Y60" s="28">
        <f t="shared" si="124"/>
        <v>3.8</v>
      </c>
      <c r="Z60" s="28">
        <f t="shared" si="124"/>
        <v>3.8</v>
      </c>
      <c r="AA60" s="28">
        <f t="shared" si="124"/>
        <v>3.8</v>
      </c>
      <c r="AB60" s="28">
        <f t="shared" si="124"/>
        <v>3.8</v>
      </c>
      <c r="AC60" s="28">
        <f t="shared" si="124"/>
        <v>3.8</v>
      </c>
      <c r="AD60" s="28">
        <f t="shared" si="124"/>
        <v>3.8</v>
      </c>
      <c r="AE60" s="28">
        <f t="shared" si="124"/>
        <v>3.8</v>
      </c>
      <c r="AF60" s="28">
        <f t="shared" si="124"/>
        <v>3.8</v>
      </c>
      <c r="AG60" s="28">
        <f t="shared" si="124"/>
        <v>3.8</v>
      </c>
      <c r="AH60" s="28">
        <f t="shared" si="124"/>
        <v>3.8</v>
      </c>
      <c r="AI60" s="28">
        <f t="shared" si="124"/>
        <v>3.8</v>
      </c>
      <c r="AJ60" s="28">
        <f t="shared" si="124"/>
        <v>3.8</v>
      </c>
      <c r="AK60" s="28">
        <f t="shared" si="124"/>
        <v>3.8</v>
      </c>
      <c r="AL60" s="28">
        <f t="shared" si="124"/>
        <v>3.8</v>
      </c>
      <c r="AM60" s="28">
        <f t="shared" si="124"/>
        <v>3.8</v>
      </c>
      <c r="AN60" s="28">
        <f t="shared" si="124"/>
        <v>3.8</v>
      </c>
      <c r="BJ60" s="28"/>
    </row>
    <row r="61" spans="1:62" x14ac:dyDescent="0.25">
      <c r="A61" t="s">
        <v>210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209</v>
      </c>
      <c r="H62" t="s">
        <v>209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197</v>
      </c>
      <c r="B63" s="29"/>
      <c r="C63" s="29"/>
      <c r="D63" s="29"/>
      <c r="E63" s="29"/>
      <c r="F63" s="29"/>
      <c r="G63" s="29"/>
      <c r="H63" s="29" t="s">
        <v>197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198</v>
      </c>
      <c r="B64" s="32"/>
      <c r="C64" s="32"/>
      <c r="D64" s="32"/>
      <c r="E64" s="32"/>
      <c r="F64" s="32"/>
      <c r="G64" s="32"/>
      <c r="H64" s="32" t="s">
        <v>198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199</v>
      </c>
      <c r="B65" s="31"/>
      <c r="C65" s="31"/>
      <c r="D65" s="31"/>
      <c r="E65" s="31"/>
      <c r="F65" s="31"/>
      <c r="G65" s="31"/>
      <c r="H65" s="31" t="s">
        <v>199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200</v>
      </c>
      <c r="H66" t="s">
        <v>200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201</v>
      </c>
      <c r="H67" t="s">
        <v>201</v>
      </c>
    </row>
    <row r="69" spans="1:60" x14ac:dyDescent="0.25">
      <c r="I69">
        <f>Drivers!H47</f>
        <v>2019</v>
      </c>
      <c r="J69">
        <f>Drivers!I47</f>
        <v>2020</v>
      </c>
      <c r="K69">
        <f>Drivers!J47</f>
        <v>2021</v>
      </c>
      <c r="L69">
        <f>Drivers!K47</f>
        <v>2022</v>
      </c>
      <c r="M69">
        <f>Drivers!L47</f>
        <v>2023</v>
      </c>
      <c r="N69">
        <f>Drivers!M47</f>
        <v>2024</v>
      </c>
      <c r="O69">
        <f>Drivers!N47</f>
        <v>2025</v>
      </c>
      <c r="P69">
        <f>Drivers!O47</f>
        <v>2026</v>
      </c>
      <c r="Q69">
        <f>Drivers!P47</f>
        <v>2027</v>
      </c>
      <c r="R69">
        <f>Drivers!Q47</f>
        <v>2028</v>
      </c>
      <c r="S69">
        <f>Drivers!R47</f>
        <v>2029</v>
      </c>
      <c r="T69">
        <f>Drivers!S47</f>
        <v>2030</v>
      </c>
      <c r="U69">
        <f>Drivers!T47</f>
        <v>2031</v>
      </c>
      <c r="V69">
        <f>Drivers!U47</f>
        <v>2032</v>
      </c>
      <c r="W69">
        <f>Drivers!V47</f>
        <v>2033</v>
      </c>
      <c r="X69">
        <f>Drivers!W47</f>
        <v>2034</v>
      </c>
      <c r="Y69">
        <f>Drivers!X47</f>
        <v>2035</v>
      </c>
      <c r="Z69">
        <f>Drivers!Y47</f>
        <v>2036</v>
      </c>
      <c r="AA69">
        <f>Drivers!Z47</f>
        <v>2037</v>
      </c>
      <c r="AB69">
        <f>Drivers!AA47</f>
        <v>2038</v>
      </c>
      <c r="AC69">
        <f>Drivers!AB47</f>
        <v>2039</v>
      </c>
      <c r="AD69">
        <f>Drivers!AC47</f>
        <v>2040</v>
      </c>
      <c r="AE69">
        <f>Drivers!AD47</f>
        <v>2041</v>
      </c>
      <c r="AF69">
        <f>Drivers!AE47</f>
        <v>2042</v>
      </c>
      <c r="AG69">
        <f>Drivers!AF47</f>
        <v>2043</v>
      </c>
      <c r="AH69">
        <f>Drivers!AG47</f>
        <v>2044</v>
      </c>
      <c r="AI69">
        <f>Drivers!AH47</f>
        <v>2045</v>
      </c>
      <c r="AJ69">
        <f>Drivers!AI47</f>
        <v>2046</v>
      </c>
      <c r="AK69">
        <f>Drivers!AJ47</f>
        <v>2047</v>
      </c>
      <c r="AL69">
        <f>Drivers!AK47</f>
        <v>2048</v>
      </c>
      <c r="AM69">
        <f>Drivers!AL47</f>
        <v>2049</v>
      </c>
      <c r="AN69">
        <f>Drivers!AM47</f>
        <v>2050</v>
      </c>
      <c r="AO69">
        <f>Drivers!AN47</f>
        <v>2051</v>
      </c>
      <c r="AP69">
        <f>Drivers!AO47</f>
        <v>2052</v>
      </c>
      <c r="AQ69">
        <f>Drivers!AP47</f>
        <v>2053</v>
      </c>
      <c r="AR69">
        <f>Drivers!AQ47</f>
        <v>2054</v>
      </c>
      <c r="AS69">
        <f>Drivers!AR47</f>
        <v>2055</v>
      </c>
      <c r="AT69">
        <f>Drivers!AS47</f>
        <v>2056</v>
      </c>
      <c r="AU69">
        <f>Drivers!AT47</f>
        <v>2057</v>
      </c>
      <c r="AV69">
        <f>Drivers!AU47</f>
        <v>2058</v>
      </c>
      <c r="AW69">
        <f>Drivers!AV47</f>
        <v>2059</v>
      </c>
      <c r="AX69">
        <f>Drivers!AW47</f>
        <v>2060</v>
      </c>
      <c r="AY69">
        <f>Drivers!AX47</f>
        <v>2061</v>
      </c>
      <c r="AZ69">
        <f>Drivers!AY47</f>
        <v>2062</v>
      </c>
      <c r="BA69">
        <f>Drivers!AZ47</f>
        <v>2063</v>
      </c>
      <c r="BB69">
        <f>Drivers!BA47</f>
        <v>2064</v>
      </c>
      <c r="BC69">
        <f>Drivers!BB47</f>
        <v>2065</v>
      </c>
      <c r="BD69">
        <f>Drivers!BC47</f>
        <v>2066</v>
      </c>
      <c r="BE69">
        <f>Drivers!BD47</f>
        <v>2067</v>
      </c>
      <c r="BF69">
        <f>Drivers!BE47</f>
        <v>2068</v>
      </c>
      <c r="BG69">
        <f>Drivers!BF47</f>
        <v>2069</v>
      </c>
      <c r="BH69">
        <f>Drivers!BG47</f>
        <v>2070</v>
      </c>
    </row>
    <row r="70" spans="1:60" x14ac:dyDescent="0.25">
      <c r="A70" t="s">
        <v>203</v>
      </c>
      <c r="I70">
        <f>Drivers!H48</f>
        <v>58087.055</v>
      </c>
      <c r="J70">
        <f>Drivers!I48</f>
        <v>58801.927000000003</v>
      </c>
      <c r="K70">
        <f>Drivers!J48</f>
        <v>59392.254999999997</v>
      </c>
      <c r="L70">
        <f>Drivers!K48</f>
        <v>59893.885000000002</v>
      </c>
      <c r="M70">
        <f>Drivers!L48</f>
        <v>60414.495000000003</v>
      </c>
      <c r="N70">
        <f>Drivers!M48</f>
        <v>61020.220999999998</v>
      </c>
      <c r="O70">
        <f>Drivers!N48</f>
        <v>61673.080999999998</v>
      </c>
      <c r="P70">
        <f>Drivers!O48</f>
        <v>62305.038999999997</v>
      </c>
      <c r="Q70">
        <f>Drivers!P48</f>
        <v>62918.915999999997</v>
      </c>
      <c r="R70">
        <f>Drivers!Q48</f>
        <v>63514.502</v>
      </c>
      <c r="S70">
        <f>Drivers!R48</f>
        <v>64093.732000000004</v>
      </c>
      <c r="T70">
        <f>Drivers!S48</f>
        <v>64659.277999999998</v>
      </c>
      <c r="U70">
        <f>Drivers!T48</f>
        <v>65211.525999999998</v>
      </c>
      <c r="V70">
        <f>Drivers!U48</f>
        <v>65752.923999999999</v>
      </c>
      <c r="W70">
        <f>Drivers!V48</f>
        <v>66284.188999999998</v>
      </c>
      <c r="X70">
        <f>Drivers!W48</f>
        <v>66804.167000000001</v>
      </c>
      <c r="Y70">
        <f>Drivers!X48</f>
        <v>67314.133000000002</v>
      </c>
      <c r="Z70">
        <f>Drivers!Y48</f>
        <v>67815.933000000005</v>
      </c>
      <c r="AA70">
        <f>Drivers!Z48</f>
        <v>68308.245999999999</v>
      </c>
      <c r="AB70">
        <f>Drivers!AA48</f>
        <v>68788.494999999995</v>
      </c>
      <c r="AC70">
        <f>Drivers!AB48</f>
        <v>69256.823000000004</v>
      </c>
      <c r="AD70">
        <f>Drivers!AC48</f>
        <v>69713.937000000005</v>
      </c>
      <c r="AE70">
        <f>Drivers!AD48</f>
        <v>70160.652000000002</v>
      </c>
      <c r="AF70">
        <f>Drivers!AE48</f>
        <v>70595.131999999998</v>
      </c>
      <c r="AG70">
        <f>Drivers!AF48</f>
        <v>71016.168000000005</v>
      </c>
      <c r="AH70">
        <f>Drivers!AG48</f>
        <v>71423.671000000002</v>
      </c>
      <c r="AI70">
        <f>Drivers!AH48</f>
        <v>71816.201000000001</v>
      </c>
      <c r="AJ70">
        <f>Drivers!AI48</f>
        <v>72192.154999999999</v>
      </c>
      <c r="AK70">
        <f>Drivers!AJ48</f>
        <v>72551.392999999996</v>
      </c>
      <c r="AL70">
        <f>Drivers!AK48</f>
        <v>72894.218999999997</v>
      </c>
      <c r="AM70">
        <f>Drivers!AL48</f>
        <v>73220.86</v>
      </c>
      <c r="AN70">
        <f>Drivers!AM48</f>
        <v>73529.752999999997</v>
      </c>
      <c r="AO70">
        <f>Drivers!AN48</f>
        <v>73819.237999999998</v>
      </c>
      <c r="AP70">
        <f>Drivers!AO48</f>
        <v>74089.701000000001</v>
      </c>
      <c r="AQ70">
        <f>Drivers!AP48</f>
        <v>74342.981</v>
      </c>
      <c r="AR70">
        <f>Drivers!AQ48</f>
        <v>74580.11</v>
      </c>
      <c r="AS70">
        <f>Drivers!AR48</f>
        <v>74799.05</v>
      </c>
      <c r="AT70">
        <f>Drivers!AS48</f>
        <v>75001.119999999995</v>
      </c>
      <c r="AU70">
        <f>Drivers!AT48</f>
        <v>75188.808000000005</v>
      </c>
      <c r="AV70">
        <f>Drivers!AU48</f>
        <v>75362.119000000006</v>
      </c>
      <c r="AW70">
        <f>Drivers!AV48</f>
        <v>75520.304000000004</v>
      </c>
      <c r="AX70">
        <f>Drivers!AW48</f>
        <v>75663.198000000004</v>
      </c>
      <c r="AY70">
        <f>Drivers!AX48</f>
        <v>75793.040999999997</v>
      </c>
      <c r="AZ70">
        <f>Drivers!AY48</f>
        <v>75912.773000000001</v>
      </c>
      <c r="BA70">
        <f>Drivers!AZ48</f>
        <v>76022.452999999994</v>
      </c>
      <c r="BB70">
        <f>Drivers!BA48</f>
        <v>76120.998999999996</v>
      </c>
      <c r="BC70">
        <f>Drivers!BB48</f>
        <v>76208.044999999998</v>
      </c>
      <c r="BD70">
        <f>Drivers!BC48</f>
        <v>76283.732000000004</v>
      </c>
      <c r="BE70">
        <f>Drivers!BD48</f>
        <v>76351.933999999994</v>
      </c>
      <c r="BF70">
        <f>Drivers!BE48</f>
        <v>76412.77</v>
      </c>
      <c r="BG70">
        <f>Drivers!BF48</f>
        <v>76462.114000000001</v>
      </c>
      <c r="BH70">
        <f>Drivers!BG48</f>
        <v>76502.154999999999</v>
      </c>
    </row>
    <row r="73" spans="1:60" x14ac:dyDescent="0.25">
      <c r="A73" t="str">
        <f t="shared" ref="A73" si="125">A68&amp;" "&amp;B68</f>
        <v xml:space="preserve"> </v>
      </c>
    </row>
    <row r="79" spans="1:60" x14ac:dyDescent="0.25">
      <c r="A79" s="20" t="s">
        <v>75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73</v>
      </c>
      <c r="B99">
        <f>SUM(B81:B98)</f>
        <v>2893.58</v>
      </c>
      <c r="C99">
        <f t="shared" ref="C99" si="126">SUM(C81:C98)</f>
        <v>2965.2699999999995</v>
      </c>
      <c r="D99">
        <f t="shared" ref="D99" si="127">SUM(D81:D98)</f>
        <v>3020.96</v>
      </c>
      <c r="E99">
        <f t="shared" ref="E99" si="128">SUM(E81:E98)</f>
        <v>3059.4500000000003</v>
      </c>
      <c r="F99">
        <f t="shared" ref="F99" si="129">SUM(F81:F98)</f>
        <v>3083.92</v>
      </c>
      <c r="G99">
        <f t="shared" ref="G99" si="130">SUM(G81:G98)</f>
        <v>3120.5399999999995</v>
      </c>
      <c r="H99">
        <f t="shared" ref="H99" si="131">SUM(H81:H98)</f>
        <v>3152.24</v>
      </c>
      <c r="I99">
        <f t="shared" ref="I99" si="132">SUM(I81:I98)</f>
        <v>3179.29</v>
      </c>
      <c r="J99">
        <f t="shared" ref="J99" si="133">SUM(J81:J98)</f>
        <v>2948.9199999999996</v>
      </c>
      <c r="K99">
        <f t="shared" ref="K99" si="134">SUM(K81:K98)</f>
        <v>3014.3800000000006</v>
      </c>
      <c r="L99">
        <f t="shared" ref="L99" si="135">SUM(L81:L98)</f>
        <v>3077.2000000000003</v>
      </c>
      <c r="M99">
        <f t="shared" ref="M99" si="136">SUM(M81:M98)</f>
        <v>3140.61</v>
      </c>
      <c r="N99">
        <f t="shared" ref="N99" si="137">SUM(N81:N98)</f>
        <v>3201.7699999999991</v>
      </c>
      <c r="O99">
        <f t="shared" ref="O99" si="138">SUM(O81:O98)</f>
        <v>3265.5400000000009</v>
      </c>
      <c r="P99">
        <f t="shared" ref="P99" si="139">SUM(P81:P98)</f>
        <v>3341.2800000000007</v>
      </c>
      <c r="Q99">
        <f t="shared" ref="Q99" si="140">SUM(Q81:Q98)</f>
        <v>3416.2799999999997</v>
      </c>
      <c r="R99">
        <f t="shared" ref="R99" si="141">SUM(R81:R98)</f>
        <v>3494.88</v>
      </c>
      <c r="S99">
        <f t="shared" ref="S99" si="142">SUM(S81:S98)</f>
        <v>3576.08</v>
      </c>
      <c r="T99">
        <f t="shared" ref="T99" si="143">SUM(T81:T98)</f>
        <v>3660.1199999999994</v>
      </c>
      <c r="U99">
        <f t="shared" ref="U99" si="144">SUM(U81:U98)</f>
        <v>3761.0299999999997</v>
      </c>
      <c r="V99">
        <f t="shared" ref="V99" si="145">SUM(V81:V98)</f>
        <v>3857.2000000000003</v>
      </c>
      <c r="W99">
        <f t="shared" ref="W99" si="146">SUM(W81:W98)</f>
        <v>3964.01</v>
      </c>
      <c r="X99">
        <f t="shared" ref="X99" si="147">SUM(X81:X98)</f>
        <v>4078.2199999999993</v>
      </c>
      <c r="Y99">
        <f t="shared" ref="Y99" si="148">SUM(Y81:Y98)</f>
        <v>4200.2899999999991</v>
      </c>
      <c r="Z99">
        <f t="shared" ref="Z99" si="149">SUM(Z81:Z98)</f>
        <v>4325.97</v>
      </c>
      <c r="AA99">
        <f t="shared" ref="AA99" si="150">SUM(AA81:AA98)</f>
        <v>4457.0000000000018</v>
      </c>
      <c r="AB99">
        <f t="shared" ref="AB99" si="151">SUM(AB81:AB98)</f>
        <v>4590.03</v>
      </c>
      <c r="AC99">
        <f t="shared" ref="AC99" si="152">SUM(AC81:AC98)</f>
        <v>4728.5300000000007</v>
      </c>
      <c r="AD99">
        <f t="shared" ref="AD99" si="153">SUM(AD81:AD98)</f>
        <v>4875.51</v>
      </c>
      <c r="AE99">
        <f t="shared" ref="AE99" si="154">SUM(AE81:AE98)</f>
        <v>5028.54</v>
      </c>
      <c r="AF99">
        <f t="shared" ref="AF99" si="155">SUM(AF81:AF98)</f>
        <v>5188.0999999999995</v>
      </c>
      <c r="AG99">
        <f t="shared" ref="AG99" si="156">SUM(AG81:AG98)</f>
        <v>5353.79</v>
      </c>
      <c r="AH99">
        <f t="shared" ref="AH99" si="157">SUM(AH81:AH98)</f>
        <v>5526.5</v>
      </c>
      <c r="AI99">
        <f t="shared" ref="AI99" si="158">SUM(AI81:AI98)</f>
        <v>5709.9300000000012</v>
      </c>
      <c r="AJ99">
        <f t="shared" ref="AJ99" si="159">SUM(AJ81:AJ98)</f>
        <v>5902.43</v>
      </c>
      <c r="AK99">
        <f t="shared" ref="AK99" si="160">SUM(AK81:AK98)</f>
        <v>6104.12</v>
      </c>
      <c r="AL99">
        <f t="shared" ref="AL99" si="161">SUM(AL81:AL98)</f>
        <v>6308.13</v>
      </c>
      <c r="AM99">
        <f t="shared" ref="AM99" si="162">SUM(AM81:AM98)</f>
        <v>6522.2000000000007</v>
      </c>
      <c r="AN99">
        <f t="shared" ref="AN99" si="163">SUM(AN81:AN98)</f>
        <v>6747.130000000001</v>
      </c>
    </row>
    <row r="100" spans="1:40" x14ac:dyDescent="0.25">
      <c r="A100" t="s">
        <v>74</v>
      </c>
      <c r="C100" s="1">
        <f>C99/B99-1</f>
        <v>2.477553756937767E-2</v>
      </c>
      <c r="D100" s="1">
        <f t="shared" ref="D100:AN100" si="164">D99/C99-1</f>
        <v>1.878075183710104E-2</v>
      </c>
      <c r="E100" s="1">
        <f t="shared" si="164"/>
        <v>1.2740982998781902E-2</v>
      </c>
      <c r="F100" s="1">
        <f t="shared" si="164"/>
        <v>7.9981696056479201E-3</v>
      </c>
      <c r="G100" s="1">
        <f t="shared" si="164"/>
        <v>1.187449739292834E-2</v>
      </c>
      <c r="H100" s="1">
        <f t="shared" si="164"/>
        <v>1.0158498208643563E-2</v>
      </c>
      <c r="I100" s="1">
        <f t="shared" si="164"/>
        <v>8.581199401060946E-3</v>
      </c>
      <c r="J100" s="1">
        <f t="shared" si="164"/>
        <v>-7.2459574307471297E-2</v>
      </c>
      <c r="K100" s="1">
        <f t="shared" si="164"/>
        <v>2.2197957218236253E-2</v>
      </c>
      <c r="L100" s="1">
        <f t="shared" si="164"/>
        <v>2.0840106423211324E-2</v>
      </c>
      <c r="M100" s="1">
        <f t="shared" si="164"/>
        <v>2.0606395424411783E-2</v>
      </c>
      <c r="N100" s="1">
        <f t="shared" si="164"/>
        <v>1.9473923855556352E-2</v>
      </c>
      <c r="O100" s="1">
        <f t="shared" si="164"/>
        <v>1.9917108349444712E-2</v>
      </c>
      <c r="P100" s="1">
        <f t="shared" si="164"/>
        <v>2.3193713750252476E-2</v>
      </c>
      <c r="Q100" s="1">
        <f t="shared" si="164"/>
        <v>2.2446487573624108E-2</v>
      </c>
      <c r="R100" s="1">
        <f t="shared" si="164"/>
        <v>2.3007481822333142E-2</v>
      </c>
      <c r="S100" s="1">
        <f t="shared" si="164"/>
        <v>2.3233988005310513E-2</v>
      </c>
      <c r="T100" s="1">
        <f t="shared" si="164"/>
        <v>2.3500592827900846E-2</v>
      </c>
      <c r="U100" s="1">
        <f t="shared" si="164"/>
        <v>2.7570134312536299E-2</v>
      </c>
      <c r="V100" s="1">
        <f t="shared" si="164"/>
        <v>2.5570123077986784E-2</v>
      </c>
      <c r="W100" s="1">
        <f t="shared" si="164"/>
        <v>2.7691071243388876E-2</v>
      </c>
      <c r="X100" s="1">
        <f t="shared" si="164"/>
        <v>2.8811733572821296E-2</v>
      </c>
      <c r="Y100" s="1">
        <f t="shared" si="164"/>
        <v>2.9932176292598145E-2</v>
      </c>
      <c r="Z100" s="1">
        <f t="shared" si="164"/>
        <v>2.9921743498663389E-2</v>
      </c>
      <c r="AA100" s="1">
        <f t="shared" si="164"/>
        <v>3.0289160581326691E-2</v>
      </c>
      <c r="AB100" s="1">
        <f t="shared" si="164"/>
        <v>2.9847431007403502E-2</v>
      </c>
      <c r="AC100" s="1">
        <f t="shared" si="164"/>
        <v>3.0174094722692724E-2</v>
      </c>
      <c r="AD100" s="1">
        <f t="shared" si="164"/>
        <v>3.1083656019947004E-2</v>
      </c>
      <c r="AE100" s="1">
        <f t="shared" si="164"/>
        <v>3.1387485616889199E-2</v>
      </c>
      <c r="AF100" s="1">
        <f t="shared" si="164"/>
        <v>3.1730880136182638E-2</v>
      </c>
      <c r="AG100" s="1">
        <f t="shared" si="164"/>
        <v>3.1936547098166956E-2</v>
      </c>
      <c r="AH100" s="1">
        <f t="shared" si="164"/>
        <v>3.2259390076936123E-2</v>
      </c>
      <c r="AI100" s="1">
        <f t="shared" si="164"/>
        <v>3.3190988871799831E-2</v>
      </c>
      <c r="AJ100" s="1">
        <f t="shared" si="164"/>
        <v>3.3713197885087753E-2</v>
      </c>
      <c r="AK100" s="1">
        <f t="shared" si="164"/>
        <v>3.4170672079126607E-2</v>
      </c>
      <c r="AL100" s="1">
        <f t="shared" si="164"/>
        <v>3.3421688957622209E-2</v>
      </c>
      <c r="AM100" s="1">
        <f t="shared" si="164"/>
        <v>3.3935572031648098E-2</v>
      </c>
      <c r="AN100" s="1">
        <f t="shared" si="164"/>
        <v>3.4486829597375257E-2</v>
      </c>
    </row>
    <row r="101" spans="1:40" x14ac:dyDescent="0.25">
      <c r="A101" t="s">
        <v>79</v>
      </c>
      <c r="C101" s="1">
        <f>C83/C99</f>
        <v>0.63554077706245982</v>
      </c>
      <c r="D101" s="1">
        <f t="shared" ref="D101:AN101" si="165">D83/D99</f>
        <v>0.63816799957629367</v>
      </c>
      <c r="E101" s="1">
        <f t="shared" si="165"/>
        <v>0.63979146578633417</v>
      </c>
      <c r="F101" s="1">
        <f t="shared" si="165"/>
        <v>0.64292199538250017</v>
      </c>
      <c r="G101" s="1">
        <f t="shared" si="165"/>
        <v>0.64328609791895008</v>
      </c>
      <c r="H101" s="1">
        <f t="shared" si="165"/>
        <v>0.64608024769687589</v>
      </c>
      <c r="I101" s="1">
        <f t="shared" si="165"/>
        <v>0.65144733572590108</v>
      </c>
      <c r="J101" s="1">
        <f t="shared" si="165"/>
        <v>0.64959374957611604</v>
      </c>
      <c r="K101" s="1">
        <f t="shared" si="165"/>
        <v>0.65027965949880229</v>
      </c>
      <c r="L101" s="1">
        <f t="shared" si="165"/>
        <v>0.65131613154816059</v>
      </c>
      <c r="M101" s="1">
        <f t="shared" si="165"/>
        <v>0.65213764205042968</v>
      </c>
      <c r="N101" s="1">
        <f t="shared" si="165"/>
        <v>0.65312623954874971</v>
      </c>
      <c r="O101" s="1">
        <f t="shared" si="165"/>
        <v>0.65407558933591359</v>
      </c>
      <c r="P101" s="1">
        <f t="shared" si="165"/>
        <v>0.65498252166834259</v>
      </c>
      <c r="Q101" s="1">
        <f t="shared" si="165"/>
        <v>0.65585373564227756</v>
      </c>
      <c r="R101" s="1">
        <f t="shared" si="165"/>
        <v>0.65671782722153549</v>
      </c>
      <c r="S101" s="1">
        <f t="shared" si="165"/>
        <v>0.65758875640365988</v>
      </c>
      <c r="T101" s="1">
        <f t="shared" si="165"/>
        <v>0.6583909817164465</v>
      </c>
      <c r="U101" s="1">
        <f t="shared" si="165"/>
        <v>0.65874507781113156</v>
      </c>
      <c r="V101" s="1">
        <f t="shared" si="165"/>
        <v>0.65962615368661204</v>
      </c>
      <c r="W101" s="1">
        <f t="shared" si="165"/>
        <v>0.66027583179658977</v>
      </c>
      <c r="X101" s="1">
        <f t="shared" si="165"/>
        <v>0.66099425729852734</v>
      </c>
      <c r="Y101" s="1">
        <f t="shared" si="165"/>
        <v>0.66164002961700275</v>
      </c>
      <c r="Z101" s="1">
        <f t="shared" si="165"/>
        <v>0.66260746144795268</v>
      </c>
      <c r="AA101" s="1">
        <f t="shared" si="165"/>
        <v>0.66353601076957569</v>
      </c>
      <c r="AB101" s="1">
        <f t="shared" si="165"/>
        <v>0.66448585303364038</v>
      </c>
      <c r="AC101" s="1">
        <f t="shared" si="165"/>
        <v>0.66543513523230258</v>
      </c>
      <c r="AD101" s="1">
        <f t="shared" si="165"/>
        <v>0.66640002789451769</v>
      </c>
      <c r="AE101" s="1">
        <f t="shared" si="165"/>
        <v>0.6672672386020595</v>
      </c>
      <c r="AF101" s="1">
        <f t="shared" si="165"/>
        <v>0.66818295715194398</v>
      </c>
      <c r="AG101" s="1">
        <f t="shared" si="165"/>
        <v>0.66915586901989055</v>
      </c>
      <c r="AH101" s="1">
        <f t="shared" si="165"/>
        <v>0.6700714738080159</v>
      </c>
      <c r="AI101" s="1">
        <f t="shared" si="165"/>
        <v>0.67100997735523893</v>
      </c>
      <c r="AJ101" s="1">
        <f t="shared" si="165"/>
        <v>0.67192834137804258</v>
      </c>
      <c r="AK101" s="1">
        <f t="shared" si="165"/>
        <v>0.67288978591508686</v>
      </c>
      <c r="AL101" s="1">
        <f t="shared" si="165"/>
        <v>0.67389226284176129</v>
      </c>
      <c r="AM101" s="1">
        <f t="shared" si="165"/>
        <v>0.67487044248873074</v>
      </c>
      <c r="AN101" s="1">
        <f t="shared" si="165"/>
        <v>0.67584884239669296</v>
      </c>
    </row>
    <row r="102" spans="1:40" x14ac:dyDescent="0.25">
      <c r="A102" t="s">
        <v>76</v>
      </c>
      <c r="C102" s="1">
        <f>C82/B82-1</f>
        <v>-6.6245106895512773E-3</v>
      </c>
      <c r="D102" s="1">
        <f t="shared" ref="D102:AN102" si="166">D82/C82-1</f>
        <v>-3.9405880569870488E-3</v>
      </c>
      <c r="E102" s="1">
        <f t="shared" si="166"/>
        <v>-3.9561777236762907E-3</v>
      </c>
      <c r="F102" s="1">
        <f t="shared" si="166"/>
        <v>-1.8026275588145291E-2</v>
      </c>
      <c r="G102" s="1">
        <f t="shared" si="166"/>
        <v>-6.6894835096452665E-3</v>
      </c>
      <c r="H102" s="1">
        <f t="shared" si="166"/>
        <v>-1.1276429130775201E-2</v>
      </c>
      <c r="I102" s="1">
        <f t="shared" si="166"/>
        <v>-1.4097893236179271E-2</v>
      </c>
      <c r="J102" s="1">
        <f t="shared" si="166"/>
        <v>-1.0604113110539881E-2</v>
      </c>
      <c r="K102" s="1">
        <f t="shared" si="166"/>
        <v>-1.9649236765183486E-2</v>
      </c>
      <c r="L102" s="1">
        <f t="shared" si="166"/>
        <v>-4.4724200761967481E-3</v>
      </c>
      <c r="M102" s="1">
        <f t="shared" si="166"/>
        <v>-4.3261231281197521E-3</v>
      </c>
      <c r="N102" s="1">
        <f t="shared" si="166"/>
        <v>-8.3556149732619822E-3</v>
      </c>
      <c r="O102" s="1">
        <f t="shared" si="166"/>
        <v>-9.9427030670711236E-3</v>
      </c>
      <c r="P102" s="1">
        <f t="shared" si="166"/>
        <v>-4.0000000000000036E-2</v>
      </c>
      <c r="Q102" s="1">
        <f t="shared" si="166"/>
        <v>-5.3900709219858123E-2</v>
      </c>
      <c r="R102" s="1">
        <f t="shared" si="166"/>
        <v>-5.6221889055472318E-2</v>
      </c>
      <c r="S102" s="1">
        <f t="shared" si="166"/>
        <v>-6.7513899920571885E-2</v>
      </c>
      <c r="T102" s="1">
        <f t="shared" si="166"/>
        <v>-7.3466780238500951E-2</v>
      </c>
      <c r="U102" s="1">
        <f t="shared" si="166"/>
        <v>5.7458055619397097E-3</v>
      </c>
      <c r="V102" s="1">
        <f t="shared" si="166"/>
        <v>-2.468007312614251E-2</v>
      </c>
      <c r="W102" s="1">
        <f t="shared" si="166"/>
        <v>-8.6691658856606901E-3</v>
      </c>
      <c r="X102" s="1">
        <f t="shared" si="166"/>
        <v>-8.7449775466793556E-3</v>
      </c>
      <c r="Y102" s="1">
        <f t="shared" si="166"/>
        <v>-1.8836432999523089E-2</v>
      </c>
      <c r="Z102" s="1">
        <f t="shared" si="166"/>
        <v>-3.1348724179829923E-2</v>
      </c>
      <c r="AA102" s="1">
        <f t="shared" si="166"/>
        <v>-3.2363271450075226E-2</v>
      </c>
      <c r="AB102" s="1">
        <f t="shared" si="166"/>
        <v>-3.3445683173450869E-2</v>
      </c>
      <c r="AC102" s="1">
        <f t="shared" si="166"/>
        <v>-3.4334763948497882E-2</v>
      </c>
      <c r="AD102" s="1">
        <f t="shared" si="166"/>
        <v>-3.5833333333333273E-2</v>
      </c>
      <c r="AE102" s="1">
        <f t="shared" si="166"/>
        <v>4.321521175453702E-3</v>
      </c>
      <c r="AF102" s="1">
        <f t="shared" si="166"/>
        <v>4.3029259896729677E-3</v>
      </c>
      <c r="AG102" s="1">
        <f t="shared" si="166"/>
        <v>3.9988574692944034E-3</v>
      </c>
      <c r="AH102" s="1">
        <f t="shared" si="166"/>
        <v>4.2674253200567502E-3</v>
      </c>
      <c r="AI102" s="1">
        <f t="shared" si="166"/>
        <v>4.2492917847027911E-3</v>
      </c>
      <c r="AJ102" s="1">
        <f t="shared" si="166"/>
        <v>8.4626234132580969E-3</v>
      </c>
      <c r="AK102" s="1">
        <f t="shared" si="166"/>
        <v>8.1118881118880104E-3</v>
      </c>
      <c r="AL102" s="1">
        <f t="shared" si="166"/>
        <v>8.3240843507215168E-3</v>
      </c>
      <c r="AM102" s="1">
        <f t="shared" si="166"/>
        <v>8.255365987892116E-3</v>
      </c>
      <c r="AN102" s="1">
        <f t="shared" si="166"/>
        <v>7.9148471615719806E-3</v>
      </c>
    </row>
    <row r="103" spans="1:40" x14ac:dyDescent="0.25">
      <c r="A103" t="s">
        <v>77</v>
      </c>
      <c r="C103" s="1">
        <f>C81/B81-1</f>
        <v>4.2251503867086759E-2</v>
      </c>
      <c r="D103" s="1">
        <f t="shared" ref="D103:AN103" si="167">D81/C81-1</f>
        <v>3.7652878933626566E-2</v>
      </c>
      <c r="E103" s="1">
        <f t="shared" si="167"/>
        <v>-1.5229770891272754E-2</v>
      </c>
      <c r="F103" s="1">
        <f t="shared" si="167"/>
        <v>-1.0892953200645539E-2</v>
      </c>
      <c r="G103" s="1">
        <f t="shared" si="167"/>
        <v>3.3310673011556879E-2</v>
      </c>
      <c r="H103" s="1">
        <f t="shared" si="167"/>
        <v>-1.6052631578947318E-2</v>
      </c>
      <c r="I103" s="1">
        <f t="shared" si="167"/>
        <v>-1.6715699384862281E-2</v>
      </c>
      <c r="J103" s="1">
        <f t="shared" si="167"/>
        <v>-3.4951720386237062E-2</v>
      </c>
      <c r="K103" s="1">
        <f t="shared" si="167"/>
        <v>2.8184892897406888E-2</v>
      </c>
      <c r="L103" s="1">
        <f t="shared" si="167"/>
        <v>2.7960526315789602E-2</v>
      </c>
      <c r="M103" s="1">
        <f t="shared" si="167"/>
        <v>2.0266666666666655E-2</v>
      </c>
      <c r="N103" s="1">
        <f t="shared" si="167"/>
        <v>1.8034500784108953E-2</v>
      </c>
      <c r="O103" s="1">
        <f t="shared" si="167"/>
        <v>1.5789473684210353E-2</v>
      </c>
      <c r="P103" s="1">
        <f t="shared" si="167"/>
        <v>2.5527612789081333E-2</v>
      </c>
      <c r="Q103" s="1">
        <f t="shared" si="167"/>
        <v>2.3536660505237172E-2</v>
      </c>
      <c r="R103" s="1">
        <f t="shared" si="167"/>
        <v>2.3356609679749507E-2</v>
      </c>
      <c r="S103" s="1">
        <f t="shared" si="167"/>
        <v>2.1058823529411796E-2</v>
      </c>
      <c r="T103" s="1">
        <f t="shared" si="167"/>
        <v>2.0970157852286953E-2</v>
      </c>
      <c r="U103" s="1">
        <f t="shared" si="167"/>
        <v>2.1555129217921243E-2</v>
      </c>
      <c r="V103" s="1">
        <f t="shared" si="167"/>
        <v>1.878038002651361E-2</v>
      </c>
      <c r="W103" s="1">
        <f t="shared" si="167"/>
        <v>1.9301669919757014E-2</v>
      </c>
      <c r="X103" s="1">
        <f t="shared" si="167"/>
        <v>1.9468085106382871E-2</v>
      </c>
      <c r="Y103" s="1">
        <f t="shared" si="167"/>
        <v>1.9409370760722133E-2</v>
      </c>
      <c r="Z103" s="1">
        <f t="shared" si="167"/>
        <v>2.0780018425632152E-2</v>
      </c>
      <c r="AA103" s="1">
        <f t="shared" si="167"/>
        <v>2.1359807460890501E-2</v>
      </c>
      <c r="AB103" s="1">
        <f t="shared" si="167"/>
        <v>2.130584192439855E-2</v>
      </c>
      <c r="AC103" s="1">
        <f t="shared" si="167"/>
        <v>2.1534320323014944E-2</v>
      </c>
      <c r="AD103" s="1">
        <f t="shared" si="167"/>
        <v>2.2021456804065309E-2</v>
      </c>
      <c r="AE103" s="1">
        <f t="shared" si="167"/>
        <v>2.0718232044198981E-2</v>
      </c>
      <c r="AF103" s="1">
        <f t="shared" si="167"/>
        <v>2.0658547586829057E-2</v>
      </c>
      <c r="AG103" s="1">
        <f t="shared" si="167"/>
        <v>2.0505568322432222E-2</v>
      </c>
      <c r="AH103" s="1">
        <f t="shared" si="167"/>
        <v>2.1739130434782705E-2</v>
      </c>
      <c r="AI103" s="1">
        <f t="shared" si="167"/>
        <v>2.3141476646605152E-2</v>
      </c>
      <c r="AJ103" s="1">
        <f t="shared" si="167"/>
        <v>2.3695111847555905E-2</v>
      </c>
      <c r="AK103" s="1">
        <f t="shared" si="167"/>
        <v>2.4765296212366561E-2</v>
      </c>
      <c r="AL103" s="1">
        <f t="shared" si="167"/>
        <v>2.3692939504027732E-2</v>
      </c>
      <c r="AM103" s="1">
        <f t="shared" si="167"/>
        <v>2.4918993982409932E-2</v>
      </c>
      <c r="AN103" s="1">
        <f t="shared" si="167"/>
        <v>2.5592773805043434E-2</v>
      </c>
    </row>
    <row r="104" spans="1:40" x14ac:dyDescent="0.25">
      <c r="A104" t="s">
        <v>83</v>
      </c>
      <c r="C104" s="16">
        <f t="shared" ref="C104:J104" si="168">C103/C100</f>
        <v>1.7053718309349306</v>
      </c>
      <c r="D104" s="16">
        <f t="shared" si="168"/>
        <v>2.0048653674899199</v>
      </c>
      <c r="E104" s="16">
        <f t="shared" si="168"/>
        <v>-1.1953371959391823</v>
      </c>
      <c r="F104" s="16">
        <f t="shared" si="168"/>
        <v>-1.3619307588768139</v>
      </c>
      <c r="G104" s="16">
        <f t="shared" si="168"/>
        <v>2.805228036968916</v>
      </c>
      <c r="H104" s="16">
        <f t="shared" si="168"/>
        <v>-1.580217001494238</v>
      </c>
      <c r="I104" s="16">
        <f t="shared" si="168"/>
        <v>-1.947944407724125</v>
      </c>
      <c r="J104" s="16">
        <f t="shared" si="168"/>
        <v>0.48236165779728013</v>
      </c>
      <c r="K104" s="16">
        <f>K103/K100</f>
        <v>1.2697066049957155</v>
      </c>
      <c r="L104" s="16">
        <f t="shared" ref="L104:AN104" si="169">L103/L100</f>
        <v>1.3416690753866634</v>
      </c>
      <c r="M104" s="16">
        <f t="shared" si="169"/>
        <v>0.98351343110970968</v>
      </c>
      <c r="N104" s="16">
        <f t="shared" si="169"/>
        <v>0.92608458972500818</v>
      </c>
      <c r="O104" s="16">
        <f t="shared" si="169"/>
        <v>0.79275934072279941</v>
      </c>
      <c r="P104" s="16">
        <f t="shared" si="169"/>
        <v>1.1006263621238084</v>
      </c>
      <c r="Q104" s="16">
        <f t="shared" si="169"/>
        <v>1.0485676401725355</v>
      </c>
      <c r="R104" s="16">
        <f t="shared" si="169"/>
        <v>1.0151745358363151</v>
      </c>
      <c r="S104" s="16">
        <f t="shared" si="169"/>
        <v>0.90638006374964353</v>
      </c>
      <c r="T104" s="16">
        <f t="shared" si="169"/>
        <v>0.89232463222758962</v>
      </c>
      <c r="U104" s="16">
        <f t="shared" si="169"/>
        <v>0.78182895206716496</v>
      </c>
      <c r="V104" s="16">
        <f t="shared" si="169"/>
        <v>0.73446576573898326</v>
      </c>
      <c r="W104" s="16">
        <f t="shared" si="169"/>
        <v>0.69703586943626117</v>
      </c>
      <c r="X104" s="16">
        <f t="shared" si="169"/>
        <v>0.67569988654717805</v>
      </c>
      <c r="Y104" s="16">
        <f t="shared" si="169"/>
        <v>0.64844502354216826</v>
      </c>
      <c r="Z104" s="16">
        <f t="shared" si="169"/>
        <v>0.69447886372531731</v>
      </c>
      <c r="AA104" s="16">
        <f t="shared" si="169"/>
        <v>0.70519641518421117</v>
      </c>
      <c r="AB104" s="16">
        <f t="shared" si="169"/>
        <v>0.71382498276363371</v>
      </c>
      <c r="AC104" s="16">
        <f t="shared" si="169"/>
        <v>0.71366914304871742</v>
      </c>
      <c r="AD104" s="16">
        <f t="shared" si="169"/>
        <v>0.70845774351426682</v>
      </c>
      <c r="AE104" s="16">
        <f t="shared" si="169"/>
        <v>0.66007937995042099</v>
      </c>
      <c r="AF104" s="16">
        <f t="shared" si="169"/>
        <v>0.65105498171392262</v>
      </c>
      <c r="AG104" s="16">
        <f t="shared" si="169"/>
        <v>0.6420721770391129</v>
      </c>
      <c r="AH104" s="16">
        <f t="shared" si="169"/>
        <v>0.67388535192192345</v>
      </c>
      <c r="AI104" s="16">
        <f t="shared" si="169"/>
        <v>0.69722166868812163</v>
      </c>
      <c r="AJ104" s="16">
        <f t="shared" si="169"/>
        <v>0.7028437921647559</v>
      </c>
      <c r="AK104" s="16">
        <f t="shared" si="169"/>
        <v>0.72475297398363481</v>
      </c>
      <c r="AL104" s="16">
        <f t="shared" si="169"/>
        <v>0.7089091019328716</v>
      </c>
      <c r="AM104" s="16">
        <f t="shared" si="169"/>
        <v>0.73430304811631397</v>
      </c>
      <c r="AN104" s="16">
        <f t="shared" si="169"/>
        <v>0.74210282893012769</v>
      </c>
    </row>
    <row r="105" spans="1:40" x14ac:dyDescent="0.25">
      <c r="A105" t="s">
        <v>78</v>
      </c>
      <c r="C105" s="1">
        <f>C89/B89-1</f>
        <v>2.3558043319542588E-2</v>
      </c>
      <c r="D105" s="1">
        <f t="shared" ref="D105:AN105" si="170">D89/C89-1</f>
        <v>-9.5106757335106096E-4</v>
      </c>
      <c r="E105" s="1">
        <f t="shared" si="170"/>
        <v>2.2609357894235904E-2</v>
      </c>
      <c r="F105" s="1">
        <f t="shared" si="170"/>
        <v>-1.7920312790914106E-2</v>
      </c>
      <c r="G105" s="1">
        <f t="shared" si="170"/>
        <v>2.3034267026873279E-2</v>
      </c>
      <c r="H105" s="1">
        <f t="shared" si="170"/>
        <v>-1.0192263145702984E-2</v>
      </c>
      <c r="I105" s="1">
        <f t="shared" si="170"/>
        <v>-1.6756377252515886E-2</v>
      </c>
      <c r="J105" s="1">
        <f t="shared" si="170"/>
        <v>-8.0925405817108609E-2</v>
      </c>
      <c r="K105" s="1">
        <f t="shared" si="170"/>
        <v>1.7144041021391221E-2</v>
      </c>
      <c r="L105" s="1">
        <f t="shared" si="170"/>
        <v>1.3596089214787721E-2</v>
      </c>
      <c r="M105" s="1">
        <f t="shared" si="170"/>
        <v>1.2509419743782946E-2</v>
      </c>
      <c r="N105" s="1">
        <f t="shared" si="170"/>
        <v>1.1759452217922073E-2</v>
      </c>
      <c r="O105" s="1">
        <f t="shared" si="170"/>
        <v>1.5840321710558491E-2</v>
      </c>
      <c r="P105" s="1">
        <f t="shared" si="170"/>
        <v>2.4379646615815487E-2</v>
      </c>
      <c r="Q105" s="1">
        <f t="shared" si="170"/>
        <v>2.5731655591686664E-2</v>
      </c>
      <c r="R105" s="1">
        <f t="shared" si="170"/>
        <v>2.6969905812083583E-2</v>
      </c>
      <c r="S105" s="1">
        <f t="shared" si="170"/>
        <v>2.3129921259842368E-2</v>
      </c>
      <c r="T105" s="1">
        <f t="shared" si="170"/>
        <v>2.6105207923389662E-2</v>
      </c>
      <c r="U105" s="1">
        <f t="shared" si="170"/>
        <v>2.4034773715162494E-2</v>
      </c>
      <c r="V105" s="1">
        <f t="shared" si="170"/>
        <v>2.1764461090303833E-2</v>
      </c>
      <c r="W105" s="1">
        <f t="shared" si="170"/>
        <v>2.268561886531173E-2</v>
      </c>
      <c r="X105" s="1">
        <f t="shared" si="170"/>
        <v>2.3138191955396348E-2</v>
      </c>
      <c r="Y105" s="1">
        <f t="shared" si="170"/>
        <v>2.3043089019500806E-2</v>
      </c>
      <c r="Z105" s="1">
        <f t="shared" si="170"/>
        <v>2.4883004223262173E-2</v>
      </c>
      <c r="AA105" s="1">
        <f t="shared" si="170"/>
        <v>2.5244088057319036E-2</v>
      </c>
      <c r="AB105" s="1">
        <f t="shared" si="170"/>
        <v>2.4658724698555234E-2</v>
      </c>
      <c r="AC105" s="1">
        <f t="shared" si="170"/>
        <v>2.4984097816100004E-2</v>
      </c>
      <c r="AD105" s="1">
        <f t="shared" si="170"/>
        <v>2.6098948457162541E-2</v>
      </c>
      <c r="AE105" s="1">
        <f t="shared" si="170"/>
        <v>2.3083126133996323E-2</v>
      </c>
      <c r="AF105" s="1">
        <f t="shared" si="170"/>
        <v>2.3022102532102906E-2</v>
      </c>
      <c r="AG105" s="1">
        <f t="shared" si="170"/>
        <v>2.3113964686998445E-2</v>
      </c>
      <c r="AH105" s="1">
        <f t="shared" si="170"/>
        <v>2.3658613115782989E-2</v>
      </c>
      <c r="AI105" s="1">
        <f t="shared" si="170"/>
        <v>2.4736390387444906E-2</v>
      </c>
      <c r="AJ105" s="1">
        <f t="shared" si="170"/>
        <v>2.5006730280278777E-2</v>
      </c>
      <c r="AK105" s="1">
        <f t="shared" si="170"/>
        <v>2.5739049231038535E-2</v>
      </c>
      <c r="AL105" s="1">
        <f t="shared" si="170"/>
        <v>2.5377677885572991E-2</v>
      </c>
      <c r="AM105" s="1">
        <f t="shared" si="170"/>
        <v>2.6303376709858162E-2</v>
      </c>
      <c r="AN105" s="1">
        <f t="shared" si="170"/>
        <v>2.7332450187893764E-2</v>
      </c>
    </row>
    <row r="106" spans="1:40" x14ac:dyDescent="0.25">
      <c r="A106" t="s">
        <v>84</v>
      </c>
      <c r="C106" s="16">
        <f t="shared" ref="C106:J106" si="171">C105/C100</f>
        <v>0.95085901783459603</v>
      </c>
      <c r="D106" s="16">
        <f t="shared" si="171"/>
        <v>-5.064054845090088E-2</v>
      </c>
      <c r="E106" s="16">
        <f t="shared" si="171"/>
        <v>1.7745379533429615</v>
      </c>
      <c r="F106" s="16">
        <f t="shared" si="171"/>
        <v>-2.240551735519543</v>
      </c>
      <c r="G106" s="16">
        <f t="shared" si="171"/>
        <v>1.9398098517071514</v>
      </c>
      <c r="H106" s="16">
        <f t="shared" si="171"/>
        <v>-1.0033238118830097</v>
      </c>
      <c r="I106" s="16">
        <f t="shared" si="171"/>
        <v>-1.9526847552853968</v>
      </c>
      <c r="J106" s="16">
        <f t="shared" si="171"/>
        <v>1.1168352366205441</v>
      </c>
      <c r="K106" s="16">
        <f>K105/K100</f>
        <v>0.7723251672593956</v>
      </c>
      <c r="L106" s="16">
        <f t="shared" ref="L106:AN106" si="172">L105/L100</f>
        <v>0.65240018158662805</v>
      </c>
      <c r="M106" s="16">
        <f t="shared" si="172"/>
        <v>0.60706491776642357</v>
      </c>
      <c r="N106" s="16">
        <f t="shared" si="172"/>
        <v>0.60385633142787676</v>
      </c>
      <c r="O106" s="16">
        <f t="shared" si="172"/>
        <v>0.79531232308630373</v>
      </c>
      <c r="P106" s="16">
        <f t="shared" si="172"/>
        <v>1.0511316505124195</v>
      </c>
      <c r="Q106" s="16">
        <f t="shared" si="172"/>
        <v>1.1463555492718966</v>
      </c>
      <c r="R106" s="16">
        <f t="shared" si="172"/>
        <v>1.1722232802506944</v>
      </c>
      <c r="S106" s="16">
        <f t="shared" si="172"/>
        <v>0.99552092626352573</v>
      </c>
      <c r="T106" s="16">
        <f t="shared" si="172"/>
        <v>1.1108318889894775</v>
      </c>
      <c r="U106" s="16">
        <f t="shared" si="172"/>
        <v>0.87176846665682528</v>
      </c>
      <c r="V106" s="16">
        <f t="shared" si="172"/>
        <v>0.85116763122038974</v>
      </c>
      <c r="W106" s="16">
        <f t="shared" si="172"/>
        <v>0.81923948213913256</v>
      </c>
      <c r="X106" s="16">
        <f t="shared" si="172"/>
        <v>0.8030822545583679</v>
      </c>
      <c r="Y106" s="16">
        <f t="shared" si="172"/>
        <v>0.76984342181624377</v>
      </c>
      <c r="Z106" s="16">
        <f t="shared" si="172"/>
        <v>0.83160275150322382</v>
      </c>
      <c r="AA106" s="16">
        <f t="shared" si="172"/>
        <v>0.83343637039852636</v>
      </c>
      <c r="AB106" s="16">
        <f t="shared" si="172"/>
        <v>0.82615903165799309</v>
      </c>
      <c r="AC106" s="16">
        <f t="shared" si="172"/>
        <v>0.82799825630925949</v>
      </c>
      <c r="AD106" s="16">
        <f t="shared" si="172"/>
        <v>0.83963573784288192</v>
      </c>
      <c r="AE106" s="16">
        <f t="shared" si="172"/>
        <v>0.73542450694348049</v>
      </c>
      <c r="AF106" s="16">
        <f t="shared" si="172"/>
        <v>0.72554251357972466</v>
      </c>
      <c r="AG106" s="16">
        <f t="shared" si="172"/>
        <v>0.72374651573792403</v>
      </c>
      <c r="AH106" s="16">
        <f t="shared" si="172"/>
        <v>0.73338686997364322</v>
      </c>
      <c r="AI106" s="16">
        <f t="shared" si="172"/>
        <v>0.74527428161267495</v>
      </c>
      <c r="AJ106" s="16">
        <f t="shared" si="172"/>
        <v>0.74174898404817069</v>
      </c>
      <c r="AK106" s="16">
        <f t="shared" si="172"/>
        <v>0.75324972161614034</v>
      </c>
      <c r="AL106" s="16">
        <f t="shared" si="172"/>
        <v>0.75931763705153243</v>
      </c>
      <c r="AM106" s="16">
        <f t="shared" si="172"/>
        <v>0.7750974901889911</v>
      </c>
      <c r="AN106" s="16">
        <f t="shared" si="172"/>
        <v>0.79254748862081537</v>
      </c>
    </row>
    <row r="109" spans="1:40" x14ac:dyDescent="0.25">
      <c r="A109" s="20" t="s">
        <v>127</v>
      </c>
    </row>
    <row r="110" spans="1:40" x14ac:dyDescent="0.25">
      <c r="B110" s="3" t="s">
        <v>88</v>
      </c>
      <c r="C110" s="3" t="s">
        <v>89</v>
      </c>
      <c r="D110" s="3" t="s">
        <v>90</v>
      </c>
      <c r="E110" s="3" t="s">
        <v>91</v>
      </c>
      <c r="F110" s="3" t="s">
        <v>92</v>
      </c>
      <c r="G110" s="3" t="s">
        <v>93</v>
      </c>
      <c r="H110" s="3" t="s">
        <v>94</v>
      </c>
      <c r="I110" s="3" t="s">
        <v>95</v>
      </c>
      <c r="J110" s="3" t="s">
        <v>96</v>
      </c>
      <c r="K110" s="3" t="s">
        <v>97</v>
      </c>
      <c r="L110" s="3" t="s">
        <v>98</v>
      </c>
      <c r="M110" s="3" t="s">
        <v>99</v>
      </c>
      <c r="N110" s="3" t="s">
        <v>100</v>
      </c>
      <c r="O110" s="3" t="s">
        <v>101</v>
      </c>
      <c r="P110" s="3" t="s">
        <v>102</v>
      </c>
      <c r="Q110" s="3" t="s">
        <v>103</v>
      </c>
      <c r="R110" s="3" t="s">
        <v>104</v>
      </c>
      <c r="S110" s="3" t="s">
        <v>105</v>
      </c>
      <c r="T110" s="3" t="s">
        <v>106</v>
      </c>
      <c r="U110" s="3" t="s">
        <v>107</v>
      </c>
      <c r="V110" s="3" t="s">
        <v>108</v>
      </c>
      <c r="W110" s="3" t="s">
        <v>109</v>
      </c>
      <c r="X110" s="3" t="s">
        <v>110</v>
      </c>
      <c r="Y110" s="3" t="s">
        <v>111</v>
      </c>
      <c r="Z110" s="3" t="s">
        <v>112</v>
      </c>
      <c r="AA110" s="3" t="s">
        <v>113</v>
      </c>
      <c r="AB110" s="3" t="s">
        <v>114</v>
      </c>
      <c r="AC110" s="3" t="s">
        <v>115</v>
      </c>
      <c r="AD110" s="3" t="s">
        <v>116</v>
      </c>
      <c r="AE110" s="3" t="s">
        <v>117</v>
      </c>
      <c r="AF110" s="3" t="s">
        <v>118</v>
      </c>
      <c r="AG110" s="3" t="s">
        <v>119</v>
      </c>
      <c r="AH110" s="3" t="s">
        <v>120</v>
      </c>
      <c r="AI110" s="3" t="s">
        <v>121</v>
      </c>
      <c r="AJ110" s="3" t="s">
        <v>122</v>
      </c>
      <c r="AK110" s="3" t="s">
        <v>123</v>
      </c>
      <c r="AL110" s="3" t="s">
        <v>124</v>
      </c>
      <c r="AM110" s="3" t="s">
        <v>125</v>
      </c>
      <c r="AN110" s="3" t="s">
        <v>126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62" x14ac:dyDescent="0.25">
      <c r="A129" t="s">
        <v>73</v>
      </c>
      <c r="B129">
        <f>SUM(B111:B128)</f>
        <v>2893.5800000000004</v>
      </c>
      <c r="C129">
        <f t="shared" ref="C129" si="173">SUM(C111:C128)</f>
        <v>2965.2699999999995</v>
      </c>
      <c r="D129">
        <f t="shared" ref="D129" si="174">SUM(D111:D128)</f>
        <v>3020.9599999999996</v>
      </c>
      <c r="E129">
        <f t="shared" ref="E129" si="175">SUM(E111:E128)</f>
        <v>3059.4500000000003</v>
      </c>
      <c r="F129">
        <f t="shared" ref="F129" si="176">SUM(F111:F128)</f>
        <v>3083.9200000000005</v>
      </c>
      <c r="G129">
        <f t="shared" ref="G129" si="177">SUM(G111:G128)</f>
        <v>3120.5399999999995</v>
      </c>
      <c r="H129">
        <f t="shared" ref="H129" si="178">SUM(H111:H128)</f>
        <v>3152.2400000000002</v>
      </c>
      <c r="I129">
        <f t="shared" ref="I129" si="179">SUM(I111:I128)</f>
        <v>3179.29</v>
      </c>
      <c r="J129">
        <f t="shared" ref="J129" si="180">SUM(J111:J128)</f>
        <v>2948.9199999999992</v>
      </c>
      <c r="K129">
        <f t="shared" ref="K129" si="181">SUM(K111:K128)</f>
        <v>3066.3201349646861</v>
      </c>
      <c r="L129">
        <f t="shared" ref="L129" si="182">SUM(L111:L128)</f>
        <v>3168.8584092559568</v>
      </c>
      <c r="M129">
        <f t="shared" ref="M129" si="183">SUM(M111:M128)</f>
        <v>3279.6439559197274</v>
      </c>
      <c r="N129">
        <f t="shared" ref="N129" si="184">SUM(N111:N128)</f>
        <v>3406.7754771453078</v>
      </c>
      <c r="O129">
        <f t="shared" ref="O129" si="185">SUM(O111:O128)</f>
        <v>3542.5134634741785</v>
      </c>
      <c r="P129">
        <f t="shared" ref="P129" si="186">SUM(P111:P128)</f>
        <v>3698.5922523926524</v>
      </c>
      <c r="Q129">
        <f t="shared" ref="Q129" si="187">SUM(Q111:Q128)</f>
        <v>3866.061040181226</v>
      </c>
      <c r="R129">
        <f t="shared" ref="R129" si="188">SUM(R111:R128)</f>
        <v>4047.2575792168536</v>
      </c>
      <c r="S129">
        <f t="shared" ref="S129" si="189">SUM(S111:S128)</f>
        <v>4252.9867357313888</v>
      </c>
      <c r="T129">
        <f t="shared" ref="T129" si="190">SUM(T111:T128)</f>
        <v>4470.1671743814259</v>
      </c>
      <c r="U129">
        <f t="shared" ref="U129" si="191">SUM(U111:U128)</f>
        <v>4692.6065618792227</v>
      </c>
      <c r="V129">
        <f t="shared" ref="V129" si="192">SUM(V111:V128)</f>
        <v>4928.5832236449414</v>
      </c>
      <c r="W129">
        <f t="shared" ref="W129" si="193">SUM(W111:W128)</f>
        <v>5177.666220973535</v>
      </c>
      <c r="X129">
        <f t="shared" ref="X129" si="194">SUM(X111:X128)</f>
        <v>5441.1847293518413</v>
      </c>
      <c r="Y129">
        <f t="shared" ref="Y129" si="195">SUM(Y111:Y128)</f>
        <v>5702.4488176996365</v>
      </c>
      <c r="Z129">
        <f t="shared" ref="Z129" si="196">SUM(Z111:Z128)</f>
        <v>5976.1244991132244</v>
      </c>
      <c r="AA129">
        <f t="shared" ref="AA129" si="197">SUM(AA111:AA128)</f>
        <v>6282.0830906195679</v>
      </c>
      <c r="AB129">
        <f t="shared" ref="AB129" si="198">SUM(AB111:AB128)</f>
        <v>6607.059104863325</v>
      </c>
      <c r="AC129">
        <f t="shared" ref="AC129" si="199">SUM(AC111:AC128)</f>
        <v>6954.0963235486188</v>
      </c>
      <c r="AD129">
        <f t="shared" ref="AD129" si="200">SUM(AD111:AD128)</f>
        <v>7318.5663285636874</v>
      </c>
      <c r="AE129">
        <f t="shared" ref="AE129" si="201">SUM(AE111:AE128)</f>
        <v>7702.4011553720284</v>
      </c>
      <c r="AF129">
        <f t="shared" ref="AF129" si="202">SUM(AF111:AF128)</f>
        <v>8109.6742160179629</v>
      </c>
      <c r="AG129">
        <f t="shared" ref="AG129" si="203">SUM(AG111:AG128)</f>
        <v>8542.3014584026914</v>
      </c>
      <c r="AH129">
        <f t="shared" ref="AH129" si="204">SUM(AH111:AH128)</f>
        <v>9001.7693057198649</v>
      </c>
      <c r="AI129">
        <f t="shared" ref="AI129" si="205">SUM(AI111:AI128)</f>
        <v>9482.7115836289122</v>
      </c>
      <c r="AJ129">
        <f t="shared" ref="AJ129" si="206">SUM(AJ111:AJ128)</f>
        <v>9973.9690598553916</v>
      </c>
      <c r="AK129">
        <f t="shared" ref="AK129" si="207">SUM(AK111:AK128)</f>
        <v>10492.141578554751</v>
      </c>
      <c r="AL129">
        <f t="shared" ref="AL129" si="208">SUM(AL111:AL128)</f>
        <v>11038.753930473713</v>
      </c>
      <c r="AM129">
        <f t="shared" ref="AM129" si="209">SUM(AM111:AM128)</f>
        <v>11615.828149862718</v>
      </c>
      <c r="AN129">
        <f t="shared" ref="AN129" si="210">SUM(AN111:AN128)</f>
        <v>12227.805598253761</v>
      </c>
    </row>
    <row r="130" spans="1:62" x14ac:dyDescent="0.25">
      <c r="A130" t="s">
        <v>74</v>
      </c>
      <c r="C130" s="1">
        <f>C129/B129-1</f>
        <v>2.4775537569377448E-2</v>
      </c>
      <c r="D130" s="1">
        <f t="shared" ref="D130:AN130" si="211">D129/C129-1</f>
        <v>1.8780751837100818E-2</v>
      </c>
      <c r="E130" s="1">
        <f t="shared" si="211"/>
        <v>1.2740982998782124E-2</v>
      </c>
      <c r="F130" s="1">
        <f t="shared" si="211"/>
        <v>7.9981696056481422E-3</v>
      </c>
      <c r="G130" s="1">
        <f t="shared" si="211"/>
        <v>1.1874497392928118E-2</v>
      </c>
      <c r="H130" s="1">
        <f t="shared" si="211"/>
        <v>1.0158498208643563E-2</v>
      </c>
      <c r="I130" s="1">
        <f t="shared" si="211"/>
        <v>8.581199401060724E-3</v>
      </c>
      <c r="J130" s="1">
        <f t="shared" si="211"/>
        <v>-7.2459574307471408E-2</v>
      </c>
      <c r="K130" s="1">
        <f t="shared" si="211"/>
        <v>3.9811230879334358E-2</v>
      </c>
      <c r="L130" s="1">
        <f t="shared" si="211"/>
        <v>3.3440172512336774E-2</v>
      </c>
      <c r="M130" s="1">
        <f t="shared" si="211"/>
        <v>3.4960712141689942E-2</v>
      </c>
      <c r="N130" s="1">
        <f t="shared" si="211"/>
        <v>3.8763817943136436E-2</v>
      </c>
      <c r="O130" s="1">
        <f t="shared" si="211"/>
        <v>3.9843537456307976E-2</v>
      </c>
      <c r="P130" s="1">
        <f t="shared" si="211"/>
        <v>4.4058770849499052E-2</v>
      </c>
      <c r="Q130" s="1">
        <f t="shared" si="211"/>
        <v>4.5279061967492318E-2</v>
      </c>
      <c r="R130" s="1">
        <f t="shared" si="211"/>
        <v>4.686851478866827E-2</v>
      </c>
      <c r="S130" s="1">
        <f t="shared" si="211"/>
        <v>5.0831742850017347E-2</v>
      </c>
      <c r="T130" s="1">
        <f t="shared" si="211"/>
        <v>5.1065392897983841E-2</v>
      </c>
      <c r="U130" s="1">
        <f t="shared" si="211"/>
        <v>4.976086549348735E-2</v>
      </c>
      <c r="V130" s="1">
        <f t="shared" si="211"/>
        <v>5.0286905295384265E-2</v>
      </c>
      <c r="W130" s="1">
        <f t="shared" si="211"/>
        <v>5.0538458219314464E-2</v>
      </c>
      <c r="X130" s="1">
        <f t="shared" si="211"/>
        <v>5.0895229072676296E-2</v>
      </c>
      <c r="Y130" s="1">
        <f t="shared" si="211"/>
        <v>4.8016029843360508E-2</v>
      </c>
      <c r="Z130" s="1">
        <f t="shared" si="211"/>
        <v>4.7992658972078051E-2</v>
      </c>
      <c r="AA130" s="1">
        <f t="shared" si="211"/>
        <v>5.1196823552076776E-2</v>
      </c>
      <c r="AB130" s="1">
        <f t="shared" si="211"/>
        <v>5.17306138037259E-2</v>
      </c>
      <c r="AC130" s="1">
        <f t="shared" si="211"/>
        <v>5.2525217827981363E-2</v>
      </c>
      <c r="AD130" s="1">
        <f t="shared" si="211"/>
        <v>5.2410836441949549E-2</v>
      </c>
      <c r="AE130" s="1">
        <f t="shared" si="211"/>
        <v>5.2446723794832506E-2</v>
      </c>
      <c r="AF130" s="1">
        <f t="shared" si="211"/>
        <v>5.2876116477247104E-2</v>
      </c>
      <c r="AG130" s="1">
        <f t="shared" si="211"/>
        <v>5.3347055733782511E-2</v>
      </c>
      <c r="AH130" s="1">
        <f t="shared" si="211"/>
        <v>5.3787360415057162E-2</v>
      </c>
      <c r="AI130" s="1">
        <f t="shared" si="211"/>
        <v>5.3427527586543455E-2</v>
      </c>
      <c r="AJ130" s="1">
        <f t="shared" si="211"/>
        <v>5.1805590826424996E-2</v>
      </c>
      <c r="AK130" s="1">
        <f t="shared" si="211"/>
        <v>5.1952489083304965E-2</v>
      </c>
      <c r="AL130" s="1">
        <f t="shared" si="211"/>
        <v>5.209730995588191E-2</v>
      </c>
      <c r="AM130" s="1">
        <f t="shared" si="211"/>
        <v>5.2277115970121191E-2</v>
      </c>
      <c r="AN130" s="1">
        <f t="shared" si="211"/>
        <v>5.2684788419349537E-2</v>
      </c>
    </row>
    <row r="131" spans="1:62" x14ac:dyDescent="0.25">
      <c r="A131" t="s">
        <v>79</v>
      </c>
      <c r="C131" s="1">
        <f>C111/C129</f>
        <v>0.63554077706245982</v>
      </c>
      <c r="D131" s="1">
        <f t="shared" ref="D131:AN131" si="212">D111/D129</f>
        <v>0.63816799957629378</v>
      </c>
      <c r="E131" s="1">
        <f t="shared" si="212"/>
        <v>0.63979146578633417</v>
      </c>
      <c r="F131" s="1">
        <f t="shared" si="212"/>
        <v>0.64292199538250006</v>
      </c>
      <c r="G131" s="1">
        <f t="shared" si="212"/>
        <v>0.64328609791895008</v>
      </c>
      <c r="H131" s="1">
        <f t="shared" si="212"/>
        <v>0.64608024769687578</v>
      </c>
      <c r="I131" s="1">
        <f t="shared" si="212"/>
        <v>0.65144733572590108</v>
      </c>
      <c r="J131" s="1">
        <f t="shared" si="212"/>
        <v>0.64959374957611615</v>
      </c>
      <c r="K131" s="1">
        <f t="shared" si="212"/>
        <v>0.65057145094506752</v>
      </c>
      <c r="L131" s="1">
        <f t="shared" si="212"/>
        <v>0.65224113970649311</v>
      </c>
      <c r="M131" s="1">
        <f t="shared" si="212"/>
        <v>0.65398093286773529</v>
      </c>
      <c r="N131" s="1">
        <f t="shared" si="212"/>
        <v>0.6559775916398406</v>
      </c>
      <c r="O131" s="1">
        <f t="shared" si="212"/>
        <v>0.65859589893506321</v>
      </c>
      <c r="P131" s="1">
        <f t="shared" si="212"/>
        <v>0.66063485161235391</v>
      </c>
      <c r="Q131" s="1">
        <f t="shared" si="212"/>
        <v>0.66291509233269297</v>
      </c>
      <c r="R131" s="1">
        <f t="shared" si="212"/>
        <v>0.66527060197240806</v>
      </c>
      <c r="S131" s="1">
        <f t="shared" si="212"/>
        <v>0.66758439084725851</v>
      </c>
      <c r="T131" s="1">
        <f t="shared" si="212"/>
        <v>0.67013412183116006</v>
      </c>
      <c r="U131" s="1">
        <f t="shared" si="212"/>
        <v>0.67258196993849639</v>
      </c>
      <c r="V131" s="1">
        <f t="shared" si="212"/>
        <v>0.67522638116394529</v>
      </c>
      <c r="W131" s="1">
        <f t="shared" si="212"/>
        <v>0.67787077086500469</v>
      </c>
      <c r="X131" s="1">
        <f t="shared" si="212"/>
        <v>0.68052880548055039</v>
      </c>
      <c r="Y131" s="1">
        <f t="shared" si="212"/>
        <v>0.6831451467082994</v>
      </c>
      <c r="Z131" s="1">
        <f t="shared" si="212"/>
        <v>0.6855984987956345</v>
      </c>
      <c r="AA131" s="1">
        <f t="shared" si="212"/>
        <v>0.68802208467320247</v>
      </c>
      <c r="AB131" s="1">
        <f t="shared" si="212"/>
        <v>0.6907610214667862</v>
      </c>
      <c r="AC131" s="1">
        <f t="shared" si="212"/>
        <v>0.69323918387832129</v>
      </c>
      <c r="AD131" s="1">
        <f t="shared" si="212"/>
        <v>0.69559930991285646</v>
      </c>
      <c r="AE131" s="1">
        <f t="shared" si="212"/>
        <v>0.69764449325251598</v>
      </c>
      <c r="AF131" s="1">
        <f t="shared" si="212"/>
        <v>0.69963768486305167</v>
      </c>
      <c r="AG131" s="1">
        <f t="shared" si="212"/>
        <v>0.70146122559924229</v>
      </c>
      <c r="AH131" s="1">
        <f t="shared" si="212"/>
        <v>0.70316487478598821</v>
      </c>
      <c r="AI131" s="1">
        <f t="shared" si="212"/>
        <v>0.70476806643324652</v>
      </c>
      <c r="AJ131" s="1">
        <f t="shared" si="212"/>
        <v>0.70631781058147081</v>
      </c>
      <c r="AK131" s="1">
        <f t="shared" si="212"/>
        <v>0.70770436876770226</v>
      </c>
      <c r="AL131" s="1">
        <f t="shared" si="212"/>
        <v>0.70894688022551711</v>
      </c>
      <c r="AM131" s="1">
        <f t="shared" si="212"/>
        <v>0.71009359287573681</v>
      </c>
      <c r="AN131" s="1">
        <f t="shared" si="212"/>
        <v>0.7111442161666317</v>
      </c>
    </row>
    <row r="132" spans="1:62" x14ac:dyDescent="0.25">
      <c r="A132" t="s">
        <v>76</v>
      </c>
      <c r="C132" s="1">
        <f>C128/B128-1</f>
        <v>-6.6245106895512773E-3</v>
      </c>
      <c r="D132" s="1">
        <f t="shared" ref="D132:AN132" si="213">D128/C128-1</f>
        <v>-3.9405880569870488E-3</v>
      </c>
      <c r="E132" s="1">
        <f t="shared" si="213"/>
        <v>-3.9561777236762907E-3</v>
      </c>
      <c r="F132" s="1">
        <f t="shared" si="213"/>
        <v>-1.8026275588145291E-2</v>
      </c>
      <c r="G132" s="1">
        <f t="shared" si="213"/>
        <v>-6.6894835096452665E-3</v>
      </c>
      <c r="H132" s="1">
        <f t="shared" si="213"/>
        <v>-1.1276429130775201E-2</v>
      </c>
      <c r="I132" s="1">
        <f t="shared" si="213"/>
        <v>-1.4097893236179271E-2</v>
      </c>
      <c r="J132" s="1">
        <f t="shared" si="213"/>
        <v>-1.0604113110539881E-2</v>
      </c>
      <c r="K132" s="1">
        <f t="shared" si="213"/>
        <v>-5.2910053079827657E-3</v>
      </c>
      <c r="L132" s="1">
        <f t="shared" si="213"/>
        <v>-4.1180508063809462E-3</v>
      </c>
      <c r="M132" s="1">
        <f t="shared" si="213"/>
        <v>4.9965540833047939E-3</v>
      </c>
      <c r="N132" s="1">
        <f t="shared" si="213"/>
        <v>7.5432881706234411E-3</v>
      </c>
      <c r="O132" s="1">
        <f t="shared" si="213"/>
        <v>1.3612387255170777E-2</v>
      </c>
      <c r="P132" s="1">
        <f t="shared" si="213"/>
        <v>-6.8826590732435911E-3</v>
      </c>
      <c r="Q132" s="1">
        <f t="shared" si="213"/>
        <v>-2.7045301047546877E-3</v>
      </c>
      <c r="R132" s="1">
        <f t="shared" si="213"/>
        <v>7.11864405072693E-3</v>
      </c>
      <c r="S132" s="1">
        <f t="shared" si="213"/>
        <v>5.5536856108120425E-3</v>
      </c>
      <c r="T132" s="1">
        <f t="shared" si="213"/>
        <v>6.5271966358741995E-3</v>
      </c>
      <c r="U132" s="1">
        <f t="shared" si="213"/>
        <v>-4.4895244595196671E-3</v>
      </c>
      <c r="V132" s="1">
        <f t="shared" si="213"/>
        <v>-1.0021713879905247E-3</v>
      </c>
      <c r="W132" s="1">
        <f t="shared" si="213"/>
        <v>-1.2874101337353672E-2</v>
      </c>
      <c r="X132" s="1">
        <f t="shared" si="213"/>
        <v>-3.8956639735111542E-3</v>
      </c>
      <c r="Y132" s="1">
        <f t="shared" si="213"/>
        <v>-1.853426289715121E-2</v>
      </c>
      <c r="Z132" s="1">
        <f t="shared" si="213"/>
        <v>-1.8711018728019502E-2</v>
      </c>
      <c r="AA132" s="1">
        <f t="shared" si="213"/>
        <v>-1.0416666684138098E-2</v>
      </c>
      <c r="AB132" s="1">
        <f t="shared" si="213"/>
        <v>-1.9803746672260369E-2</v>
      </c>
      <c r="AC132" s="1">
        <f t="shared" si="213"/>
        <v>-2.0203858772839367E-2</v>
      </c>
      <c r="AD132" s="1">
        <f t="shared" si="213"/>
        <v>-2.0992011907467911E-2</v>
      </c>
      <c r="AE132" s="1">
        <f t="shared" si="213"/>
        <v>-1.1195445939066517E-2</v>
      </c>
      <c r="AF132" s="1">
        <f t="shared" si="213"/>
        <v>-1.1130301304718149E-2</v>
      </c>
      <c r="AG132" s="1">
        <f t="shared" si="213"/>
        <v>-1.1255579293396822E-2</v>
      </c>
      <c r="AH132" s="1">
        <f t="shared" si="213"/>
        <v>-1.1187438684765683E-2</v>
      </c>
      <c r="AI132" s="1">
        <f t="shared" si="213"/>
        <v>-1.1512504981907257E-2</v>
      </c>
      <c r="AJ132" s="1">
        <f t="shared" si="213"/>
        <v>-1.144578315238054E-2</v>
      </c>
      <c r="AK132" s="1">
        <f t="shared" si="213"/>
        <v>-1.1578305931107424E-2</v>
      </c>
      <c r="AL132" s="1">
        <f t="shared" si="213"/>
        <v>-1.191944103962328E-2</v>
      </c>
      <c r="AM132" s="1">
        <f t="shared" si="213"/>
        <v>-1.1855241285111062E-2</v>
      </c>
      <c r="AN132" s="1">
        <f t="shared" si="213"/>
        <v>-1.1997474236750127E-2</v>
      </c>
    </row>
    <row r="133" spans="1:62" x14ac:dyDescent="0.25">
      <c r="A133" t="s">
        <v>77</v>
      </c>
      <c r="C133" s="1">
        <f>C112/B112-1</f>
        <v>4.2251503867086759E-2</v>
      </c>
      <c r="D133" s="1">
        <f t="shared" ref="D133:AN133" si="214">D112/C112-1</f>
        <v>3.7652878933626566E-2</v>
      </c>
      <c r="E133" s="1">
        <f t="shared" si="214"/>
        <v>-1.5229770891272754E-2</v>
      </c>
      <c r="F133" s="1">
        <f t="shared" si="214"/>
        <v>-1.0892953200645539E-2</v>
      </c>
      <c r="G133" s="1">
        <f t="shared" si="214"/>
        <v>3.3310673011556879E-2</v>
      </c>
      <c r="H133" s="1">
        <f t="shared" si="214"/>
        <v>-1.6052631578947318E-2</v>
      </c>
      <c r="I133" s="1">
        <f t="shared" si="214"/>
        <v>-1.6715699384862281E-2</v>
      </c>
      <c r="J133" s="1">
        <f t="shared" si="214"/>
        <v>-3.4951720386237062E-2</v>
      </c>
      <c r="K133" s="1">
        <f t="shared" si="214"/>
        <v>4.2409172523243166E-2</v>
      </c>
      <c r="L133" s="1">
        <f t="shared" si="214"/>
        <v>3.4852902186127022E-2</v>
      </c>
      <c r="M133" s="1">
        <f t="shared" si="214"/>
        <v>3.1374055563690995E-2</v>
      </c>
      <c r="N133" s="1">
        <f t="shared" si="214"/>
        <v>3.4144524447055513E-2</v>
      </c>
      <c r="O133" s="1">
        <f t="shared" si="214"/>
        <v>3.6258854591952661E-2</v>
      </c>
      <c r="P133" s="1">
        <f t="shared" si="214"/>
        <v>3.719151893132655E-2</v>
      </c>
      <c r="Q133" s="1">
        <f t="shared" si="214"/>
        <v>3.6974977647040053E-2</v>
      </c>
      <c r="R133" s="1">
        <f t="shared" si="214"/>
        <v>3.5548852730415303E-2</v>
      </c>
      <c r="S133" s="1">
        <f t="shared" si="214"/>
        <v>3.8801622791648782E-2</v>
      </c>
      <c r="T133" s="1">
        <f t="shared" si="214"/>
        <v>3.745243339638038E-2</v>
      </c>
      <c r="U133" s="1">
        <f t="shared" si="214"/>
        <v>3.5810810800812609E-2</v>
      </c>
      <c r="V133" s="1">
        <f t="shared" si="214"/>
        <v>3.531823687414648E-2</v>
      </c>
      <c r="W133" s="1">
        <f t="shared" si="214"/>
        <v>3.4113411331826216E-2</v>
      </c>
      <c r="X133" s="1">
        <f t="shared" si="214"/>
        <v>3.5164069970970768E-2</v>
      </c>
      <c r="Y133" s="1">
        <f t="shared" si="214"/>
        <v>3.1447069696195706E-2</v>
      </c>
      <c r="Z133" s="1">
        <f t="shared" si="214"/>
        <v>3.179261432272118E-2</v>
      </c>
      <c r="AA133" s="1">
        <f t="shared" si="214"/>
        <v>3.6580548304996574E-2</v>
      </c>
      <c r="AB133" s="1">
        <f t="shared" si="214"/>
        <v>3.833841462623222E-2</v>
      </c>
      <c r="AC133" s="1">
        <f t="shared" si="214"/>
        <v>3.9125009168031299E-2</v>
      </c>
      <c r="AD133" s="1">
        <f t="shared" si="214"/>
        <v>4.0053687474992605E-2</v>
      </c>
      <c r="AE133" s="1">
        <f t="shared" si="214"/>
        <v>4.0345038368265085E-2</v>
      </c>
      <c r="AF133" s="1">
        <f t="shared" si="214"/>
        <v>4.1391917470513961E-2</v>
      </c>
      <c r="AG133" s="1">
        <f t="shared" si="214"/>
        <v>4.2818632054148376E-2</v>
      </c>
      <c r="AH133" s="1">
        <f t="shared" si="214"/>
        <v>4.388601658624558E-2</v>
      </c>
      <c r="AI133" s="1">
        <f t="shared" si="214"/>
        <v>4.3826307296453537E-2</v>
      </c>
      <c r="AJ133" s="1">
        <f t="shared" si="214"/>
        <v>4.1986206890803013E-2</v>
      </c>
      <c r="AK133" s="1">
        <f t="shared" si="214"/>
        <v>4.3418405162324314E-2</v>
      </c>
      <c r="AL133" s="1">
        <f t="shared" si="214"/>
        <v>4.4402719978461347E-2</v>
      </c>
      <c r="AM133" s="1">
        <f t="shared" si="214"/>
        <v>4.4750012142049878E-2</v>
      </c>
      <c r="AN133" s="1">
        <f t="shared" si="214"/>
        <v>4.5065575290461179E-2</v>
      </c>
    </row>
    <row r="134" spans="1:62" x14ac:dyDescent="0.25">
      <c r="A134" t="s">
        <v>83</v>
      </c>
      <c r="C134" s="16">
        <f t="shared" ref="C134" si="215">C133/C130</f>
        <v>1.7053718309349459</v>
      </c>
      <c r="D134" s="16">
        <f t="shared" ref="D134" si="216">D133/D130</f>
        <v>2.0048653674899435</v>
      </c>
      <c r="E134" s="16">
        <f t="shared" ref="E134" si="217">E133/E130</f>
        <v>-1.1953371959391614</v>
      </c>
      <c r="F134" s="16">
        <f t="shared" ref="F134" si="218">F133/F130</f>
        <v>-1.3619307588767759</v>
      </c>
      <c r="G134" s="16">
        <f t="shared" ref="G134" si="219">G133/G130</f>
        <v>2.8052280369689684</v>
      </c>
      <c r="H134" s="16">
        <f t="shared" ref="H134" si="220">H133/H130</f>
        <v>-1.580217001494238</v>
      </c>
      <c r="I134" s="16">
        <f t="shared" ref="I134" si="221">I133/I130</f>
        <v>-1.9479444077241754</v>
      </c>
      <c r="J134" s="16">
        <f t="shared" ref="J134" si="222">J133/J130</f>
        <v>0.48236165779727941</v>
      </c>
      <c r="K134" s="16">
        <f t="shared" ref="K134" si="223">K133/K130</f>
        <v>1.06525650140743</v>
      </c>
      <c r="L134" s="16">
        <f t="shared" ref="L134" si="224">L133/L130</f>
        <v>1.0422464828274753</v>
      </c>
      <c r="M134" s="16">
        <f t="shared" ref="M134" si="225">M133/M130</f>
        <v>0.89740893825438028</v>
      </c>
      <c r="N134" s="16">
        <f t="shared" ref="N134" si="226">N133/N130</f>
        <v>0.88083491923171564</v>
      </c>
      <c r="O134" s="16">
        <f t="shared" ref="O134" si="227">O133/O130</f>
        <v>0.91003100896133426</v>
      </c>
      <c r="P134" s="16">
        <f t="shared" ref="P134" si="228">P133/P130</f>
        <v>0.84413428278263958</v>
      </c>
      <c r="Q134" s="16">
        <f t="shared" ref="Q134" si="229">Q133/Q130</f>
        <v>0.81660211233143243</v>
      </c>
      <c r="R134" s="16">
        <f t="shared" ref="R134" si="230">R133/R130</f>
        <v>0.75848046157865878</v>
      </c>
      <c r="S134" s="16">
        <f t="shared" ref="S134" si="231">S133/S130</f>
        <v>0.76333449565433387</v>
      </c>
      <c r="T134" s="16">
        <f t="shared" ref="T134" si="232">T133/T130</f>
        <v>0.73342103665394642</v>
      </c>
      <c r="U134" s="16">
        <f t="shared" ref="U134" si="233">U133/U130</f>
        <v>0.71965811779337907</v>
      </c>
      <c r="V134" s="16">
        <f t="shared" ref="V134" si="234">V133/V130</f>
        <v>0.70233466678229395</v>
      </c>
      <c r="W134" s="16">
        <f t="shared" ref="W134" si="235">W133/W130</f>
        <v>0.6749990508968271</v>
      </c>
      <c r="X134" s="16">
        <f t="shared" ref="X134" si="236">X133/X130</f>
        <v>0.69091092842431112</v>
      </c>
      <c r="Y134" s="16">
        <f t="shared" ref="Y134" si="237">Y133/Y130</f>
        <v>0.65492856862142468</v>
      </c>
      <c r="Z134" s="16">
        <f t="shared" ref="Z134" si="238">Z133/Z130</f>
        <v>0.66244744516485332</v>
      </c>
      <c r="AA134" s="16">
        <f t="shared" ref="AA134" si="239">AA133/AA130</f>
        <v>0.71450816216727375</v>
      </c>
      <c r="AB134" s="16">
        <f t="shared" ref="AB134" si="240">AB133/AB130</f>
        <v>0.74111656149478922</v>
      </c>
      <c r="AC134" s="16">
        <f t="shared" ref="AC134" si="241">AC133/AC130</f>
        <v>0.74488047429264592</v>
      </c>
      <c r="AD134" s="16">
        <f t="shared" ref="AD134" si="242">AD133/AD130</f>
        <v>0.76422530518772069</v>
      </c>
      <c r="AE134" s="16">
        <f t="shared" ref="AE134" si="243">AE133/AE130</f>
        <v>0.76925755221797509</v>
      </c>
      <c r="AF134" s="16">
        <f t="shared" ref="AF134" si="244">AF133/AF130</f>
        <v>0.78280933298732602</v>
      </c>
      <c r="AG134" s="16">
        <f t="shared" ref="AG134" si="245">AG133/AG130</f>
        <v>0.80264283502028555</v>
      </c>
      <c r="AH134" s="16">
        <f t="shared" ref="AH134" si="246">AH133/AH130</f>
        <v>0.81591690403829864</v>
      </c>
      <c r="AI134" s="16">
        <f t="shared" ref="AI134" si="247">AI133/AI130</f>
        <v>0.8202945050276268</v>
      </c>
      <c r="AJ134" s="16">
        <f t="shared" ref="AJ134" si="248">AJ133/AJ130</f>
        <v>0.81045706112064431</v>
      </c>
      <c r="AK134" s="16">
        <f t="shared" ref="AK134" si="249">AK133/AK130</f>
        <v>0.83573291537011085</v>
      </c>
      <c r="AL134" s="16">
        <f t="shared" ref="AL134" si="250">AL133/AL130</f>
        <v>0.85230350695771717</v>
      </c>
      <c r="AM134" s="16">
        <f t="shared" ref="AM134" si="251">AM133/AM130</f>
        <v>0.85601531973620348</v>
      </c>
      <c r="AN134" s="16">
        <f t="shared" ref="AN134" si="252">AN133/AN130</f>
        <v>0.8553811573040303</v>
      </c>
    </row>
    <row r="135" spans="1:62" x14ac:dyDescent="0.25">
      <c r="A135" t="s">
        <v>78</v>
      </c>
      <c r="C135" s="1">
        <f>C119/B119-1</f>
        <v>2.9213483146067531E-2</v>
      </c>
      <c r="D135" s="1">
        <f t="shared" ref="D135:AN135" si="253">D119/C119-1</f>
        <v>1.2372634643377012E-2</v>
      </c>
      <c r="E135" s="1">
        <f t="shared" si="253"/>
        <v>1.5815959741193542E-2</v>
      </c>
      <c r="F135" s="1">
        <f t="shared" si="253"/>
        <v>1.4154281670204494E-3</v>
      </c>
      <c r="G135" s="1">
        <f t="shared" si="253"/>
        <v>2.1201413427560656E-3</v>
      </c>
      <c r="H135" s="1">
        <f t="shared" si="253"/>
        <v>2.1156558533146352E-3</v>
      </c>
      <c r="I135" s="1">
        <f t="shared" si="253"/>
        <v>-9.1484869809993485E-3</v>
      </c>
      <c r="J135" s="1">
        <f t="shared" si="253"/>
        <v>-0.12926136363636365</v>
      </c>
      <c r="K135" s="1">
        <f t="shared" si="253"/>
        <v>4.2319749134614559E-2</v>
      </c>
      <c r="L135" s="1">
        <f t="shared" si="253"/>
        <v>3.007518789247543E-2</v>
      </c>
      <c r="M135" s="1">
        <f t="shared" si="253"/>
        <v>2.9927007224092916E-2</v>
      </c>
      <c r="N135" s="1">
        <f t="shared" si="253"/>
        <v>3.401842657448495E-2</v>
      </c>
      <c r="O135" s="1">
        <f t="shared" si="253"/>
        <v>3.5640849826206855E-2</v>
      </c>
      <c r="P135" s="1">
        <f t="shared" si="253"/>
        <v>3.7061548574648606E-2</v>
      </c>
      <c r="Q135" s="1">
        <f t="shared" si="253"/>
        <v>3.8289725524040197E-2</v>
      </c>
      <c r="R135" s="1">
        <f t="shared" si="253"/>
        <v>3.8721573384220997E-2</v>
      </c>
      <c r="S135" s="1">
        <f t="shared" si="253"/>
        <v>4.2011834257869252E-2</v>
      </c>
      <c r="T135" s="1">
        <f t="shared" si="253"/>
        <v>4.145371941842968E-2</v>
      </c>
      <c r="U135" s="1">
        <f t="shared" si="253"/>
        <v>3.7077426333856245E-2</v>
      </c>
      <c r="V135" s="1">
        <f t="shared" si="253"/>
        <v>3.6803364824563367E-2</v>
      </c>
      <c r="W135" s="1">
        <f t="shared" si="253"/>
        <v>3.7018255525506083E-2</v>
      </c>
      <c r="X135" s="1">
        <f t="shared" si="253"/>
        <v>3.6185819020235543E-2</v>
      </c>
      <c r="Y135" s="1">
        <f t="shared" si="253"/>
        <v>3.3034450163613283E-2</v>
      </c>
      <c r="Z135" s="1">
        <f t="shared" si="253"/>
        <v>3.152124252939581E-2</v>
      </c>
      <c r="AA135" s="1">
        <f t="shared" si="253"/>
        <v>3.0115146101412194E-2</v>
      </c>
      <c r="AB135" s="1">
        <f t="shared" si="253"/>
        <v>3.5253654297710435E-2</v>
      </c>
      <c r="AC135" s="1">
        <f t="shared" si="253"/>
        <v>3.5714285671274437E-2</v>
      </c>
      <c r="AD135" s="1">
        <f t="shared" si="253"/>
        <v>3.5685645507791186E-2</v>
      </c>
      <c r="AE135" s="1">
        <f t="shared" si="253"/>
        <v>4.1424699920966868E-2</v>
      </c>
      <c r="AF135" s="1">
        <f t="shared" si="253"/>
        <v>4.349442375302992E-2</v>
      </c>
      <c r="AG135" s="1">
        <f t="shared" si="253"/>
        <v>4.4887780511404074E-2</v>
      </c>
      <c r="AH135" s="1">
        <f t="shared" si="253"/>
        <v>4.6368905521774195E-2</v>
      </c>
      <c r="AI135" s="1">
        <f t="shared" si="253"/>
        <v>4.6920821080256747E-2</v>
      </c>
      <c r="AJ135" s="1">
        <f t="shared" si="253"/>
        <v>4.6374105165067681E-2</v>
      </c>
      <c r="AK135" s="1">
        <f t="shared" si="253"/>
        <v>4.7590719778477508E-2</v>
      </c>
      <c r="AL135" s="1">
        <f t="shared" si="253"/>
        <v>4.8835888669823024E-2</v>
      </c>
      <c r="AM135" s="1">
        <f t="shared" si="253"/>
        <v>4.9810503490801183E-2</v>
      </c>
      <c r="AN135" s="1">
        <f t="shared" si="253"/>
        <v>5.1572975733585213E-2</v>
      </c>
    </row>
    <row r="136" spans="1:62" x14ac:dyDescent="0.25">
      <c r="A136" t="s">
        <v>84</v>
      </c>
      <c r="C136" s="16">
        <f t="shared" ref="C136" si="254">C135/C130</f>
        <v>1.1791261063160696</v>
      </c>
      <c r="D136" s="16">
        <f t="shared" ref="D136" si="255">D135/D130</f>
        <v>0.65879336198539395</v>
      </c>
      <c r="E136" s="16">
        <f t="shared" ref="E136" si="256">E135/E130</f>
        <v>1.2413453296896595</v>
      </c>
      <c r="F136" s="16">
        <f t="shared" ref="F136" si="257">F135/F130</f>
        <v>0.17696901126238973</v>
      </c>
      <c r="G136" s="16">
        <f t="shared" ref="G136" si="258">G135/G130</f>
        <v>0.17854577525266208</v>
      </c>
      <c r="H136" s="16">
        <f t="shared" ref="H136" si="259">H135/H130</f>
        <v>0.20826462828083062</v>
      </c>
      <c r="I136" s="16">
        <f t="shared" ref="I136" si="260">I135/I130</f>
        <v>-1.0661081922730407</v>
      </c>
      <c r="J136" s="16">
        <f t="shared" ref="J136" si="261">J135/J130</f>
        <v>1.7839100611861491</v>
      </c>
      <c r="K136" s="16">
        <f t="shared" ref="K136" si="262">K135/K130</f>
        <v>1.0630103164326514</v>
      </c>
      <c r="L136" s="16">
        <f t="shared" ref="L136" si="263">L135/L130</f>
        <v>0.89937298862259363</v>
      </c>
      <c r="M136" s="16">
        <f t="shared" ref="M136" si="264">M135/M130</f>
        <v>0.85601823849593628</v>
      </c>
      <c r="N136" s="16">
        <f t="shared" ref="N136" si="265">N135/N130</f>
        <v>0.87758194057116323</v>
      </c>
      <c r="O136" s="16">
        <f t="shared" ref="O136" si="266">O135/O130</f>
        <v>0.89452021837393969</v>
      </c>
      <c r="P136" s="16">
        <f t="shared" ref="P136" si="267">P135/P130</f>
        <v>0.84118435126680335</v>
      </c>
      <c r="Q136" s="16">
        <f t="shared" ref="Q136" si="268">Q135/Q130</f>
        <v>0.84563866520755115</v>
      </c>
      <c r="R136" s="16">
        <f t="shared" ref="R136" si="269">R135/R130</f>
        <v>0.8261745344143695</v>
      </c>
      <c r="S136" s="16">
        <f t="shared" ref="S136" si="270">S135/S130</f>
        <v>0.82648817259380891</v>
      </c>
      <c r="T136" s="16">
        <f t="shared" ref="T136" si="271">T135/T130</f>
        <v>0.81177715603293343</v>
      </c>
      <c r="U136" s="16">
        <f t="shared" ref="U136" si="272">U135/U130</f>
        <v>0.74511216728553287</v>
      </c>
      <c r="V136" s="16">
        <f t="shared" ref="V136" si="273">V135/V130</f>
        <v>0.73186776176384583</v>
      </c>
      <c r="W136" s="16">
        <f t="shared" ref="W136" si="274">W135/W130</f>
        <v>0.73247694587087109</v>
      </c>
      <c r="X136" s="16">
        <f t="shared" ref="X136" si="275">X135/X130</f>
        <v>0.71098646532396348</v>
      </c>
      <c r="Y136" s="16">
        <f t="shared" ref="Y136" si="276">Y135/Y130</f>
        <v>0.68798795467637297</v>
      </c>
      <c r="Z136" s="16">
        <f t="shared" ref="Z136" si="277">Z135/Z130</f>
        <v>0.65679300135745244</v>
      </c>
      <c r="AA136" s="16">
        <f t="shared" ref="AA136" si="278">AA135/AA130</f>
        <v>0.5882229406435624</v>
      </c>
      <c r="AB136" s="16">
        <f t="shared" ref="AB136" si="279">AB135/AB130</f>
        <v>0.68148532765275804</v>
      </c>
      <c r="AC136" s="16">
        <f t="shared" ref="AC136" si="280">AC135/AC130</f>
        <v>0.67994550328639736</v>
      </c>
      <c r="AD136" s="16">
        <f t="shared" ref="AD136" si="281">AD135/AD130</f>
        <v>0.68088296105170443</v>
      </c>
      <c r="AE136" s="16">
        <f t="shared" ref="AE136" si="282">AE135/AE130</f>
        <v>0.78984342440563238</v>
      </c>
      <c r="AF136" s="16">
        <f t="shared" ref="AF136" si="283">AF135/AF130</f>
        <v>0.82257220557689448</v>
      </c>
      <c r="AG136" s="16">
        <f t="shared" ref="AG136" si="284">AG135/AG130</f>
        <v>0.84142938900709519</v>
      </c>
      <c r="AH136" s="16">
        <f t="shared" ref="AH136" si="285">AH135/AH130</f>
        <v>0.86207810095090198</v>
      </c>
      <c r="AI136" s="16">
        <f t="shared" ref="AI136" si="286">AI135/AI130</f>
        <v>0.8782143437997022</v>
      </c>
      <c r="AJ136" s="16">
        <f t="shared" ref="AJ136" si="287">AJ135/AJ130</f>
        <v>0.89515638033054101</v>
      </c>
      <c r="AK136" s="16">
        <f t="shared" ref="AK136" si="288">AK135/AK130</f>
        <v>0.91604311204736633</v>
      </c>
      <c r="AL136" s="16">
        <f t="shared" ref="AL136" si="289">AL135/AL130</f>
        <v>0.93739751075783395</v>
      </c>
      <c r="AM136" s="16">
        <f t="shared" ref="AM136" si="290">AM135/AM130</f>
        <v>0.95281659224028747</v>
      </c>
      <c r="AN136" s="16">
        <f t="shared" ref="AN136" si="291">AN135/AN130</f>
        <v>0.97889689378811306</v>
      </c>
    </row>
    <row r="140" spans="1:62" x14ac:dyDescent="0.25">
      <c r="A140" t="s">
        <v>128</v>
      </c>
    </row>
    <row r="141" spans="1:62" x14ac:dyDescent="0.25">
      <c r="B141" s="3" t="s">
        <v>88</v>
      </c>
      <c r="C141" s="3" t="s">
        <v>89</v>
      </c>
      <c r="D141" s="3" t="s">
        <v>90</v>
      </c>
      <c r="E141" s="3" t="s">
        <v>91</v>
      </c>
      <c r="F141" s="3" t="s">
        <v>92</v>
      </c>
      <c r="G141" s="3" t="s">
        <v>93</v>
      </c>
      <c r="H141" s="3" t="s">
        <v>94</v>
      </c>
      <c r="I141" s="3" t="s">
        <v>95</v>
      </c>
      <c r="J141" s="3" t="s">
        <v>96</v>
      </c>
      <c r="K141" s="3" t="s">
        <v>97</v>
      </c>
      <c r="L141" s="3" t="s">
        <v>98</v>
      </c>
      <c r="M141" s="3" t="s">
        <v>99</v>
      </c>
      <c r="N141" s="3" t="s">
        <v>100</v>
      </c>
      <c r="O141" s="3" t="s">
        <v>101</v>
      </c>
      <c r="P141" s="3" t="s">
        <v>102</v>
      </c>
      <c r="Q141" s="3" t="s">
        <v>103</v>
      </c>
      <c r="R141" s="3" t="s">
        <v>104</v>
      </c>
      <c r="S141" s="3" t="s">
        <v>105</v>
      </c>
      <c r="T141" s="3" t="s">
        <v>106</v>
      </c>
      <c r="U141" s="3" t="s">
        <v>107</v>
      </c>
      <c r="V141" s="3" t="s">
        <v>108</v>
      </c>
      <c r="W141" s="3" t="s">
        <v>109</v>
      </c>
      <c r="X141" s="3" t="s">
        <v>110</v>
      </c>
      <c r="Y141" s="3" t="s">
        <v>111</v>
      </c>
      <c r="Z141" s="3" t="s">
        <v>112</v>
      </c>
      <c r="AA141" s="3" t="s">
        <v>113</v>
      </c>
      <c r="AB141" s="3" t="s">
        <v>114</v>
      </c>
      <c r="AC141" s="3" t="s">
        <v>115</v>
      </c>
      <c r="AD141" s="3" t="s">
        <v>116</v>
      </c>
      <c r="AE141" s="3" t="s">
        <v>117</v>
      </c>
      <c r="AF141" s="3" t="s">
        <v>118</v>
      </c>
      <c r="AG141" s="3" t="s">
        <v>119</v>
      </c>
      <c r="AH141" s="3" t="s">
        <v>120</v>
      </c>
      <c r="AI141" s="3" t="s">
        <v>121</v>
      </c>
      <c r="AJ141" s="3" t="s">
        <v>122</v>
      </c>
      <c r="AK141" s="3" t="s">
        <v>123</v>
      </c>
      <c r="AL141" s="3" t="s">
        <v>124</v>
      </c>
      <c r="AM141" s="3" t="s">
        <v>125</v>
      </c>
      <c r="AN141" s="3" t="s">
        <v>126</v>
      </c>
      <c r="AO141" s="3" t="s">
        <v>212</v>
      </c>
      <c r="AP141" s="3" t="s">
        <v>213</v>
      </c>
      <c r="AQ141" s="3" t="s">
        <v>214</v>
      </c>
      <c r="AR141" s="3" t="s">
        <v>215</v>
      </c>
      <c r="AS141" s="3" t="s">
        <v>216</v>
      </c>
      <c r="AT141" s="3" t="s">
        <v>217</v>
      </c>
      <c r="AU141" s="3" t="s">
        <v>218</v>
      </c>
      <c r="AV141" s="3" t="s">
        <v>219</v>
      </c>
      <c r="AW141" s="3" t="s">
        <v>220</v>
      </c>
      <c r="AX141" s="3" t="s">
        <v>221</v>
      </c>
      <c r="AY141" s="3" t="s">
        <v>222</v>
      </c>
      <c r="AZ141" s="3" t="s">
        <v>223</v>
      </c>
      <c r="BA141" s="3" t="s">
        <v>224</v>
      </c>
      <c r="BB141" s="3" t="s">
        <v>225</v>
      </c>
      <c r="BC141" s="3" t="s">
        <v>226</v>
      </c>
      <c r="BD141" s="3" t="s">
        <v>227</v>
      </c>
      <c r="BE141" s="3" t="s">
        <v>228</v>
      </c>
      <c r="BF141" s="3" t="s">
        <v>229</v>
      </c>
      <c r="BG141" s="3" t="s">
        <v>230</v>
      </c>
      <c r="BH141" s="3" t="s">
        <v>231</v>
      </c>
      <c r="BI141" s="3" t="s">
        <v>232</v>
      </c>
      <c r="BJ141" s="3" t="s">
        <v>233</v>
      </c>
    </row>
    <row r="142" spans="1:62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62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62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62" x14ac:dyDescent="0.25">
      <c r="A145" s="3"/>
    </row>
    <row r="146" spans="1:62" x14ac:dyDescent="0.25">
      <c r="A146" s="3" t="s">
        <v>130</v>
      </c>
      <c r="C146" s="1">
        <f>C143/B143-1</f>
        <v>-1.1917819406385477E-2</v>
      </c>
      <c r="D146" s="1">
        <f t="shared" ref="D146:AN146" si="292">D143/C143-1</f>
        <v>1.1655771467528719E-2</v>
      </c>
      <c r="E146" s="1">
        <f t="shared" si="292"/>
        <v>1.0993865347500575E-2</v>
      </c>
      <c r="F146" s="1">
        <f t="shared" si="292"/>
        <v>6.7021228353065787E-3</v>
      </c>
      <c r="G146" s="1">
        <f t="shared" si="292"/>
        <v>2.7088384719731184E-3</v>
      </c>
      <c r="H146" s="1">
        <f t="shared" si="292"/>
        <v>1.0680812020439578E-2</v>
      </c>
      <c r="I146" s="1">
        <f t="shared" si="292"/>
        <v>9.5690956753664569E-3</v>
      </c>
      <c r="J146" s="1">
        <f t="shared" si="292"/>
        <v>3.6722863267435235E-2</v>
      </c>
      <c r="K146" s="1">
        <f t="shared" si="292"/>
        <v>-4.2234688411278309E-2</v>
      </c>
      <c r="L146" s="1">
        <f t="shared" si="292"/>
        <v>2.3707736274035884E-2</v>
      </c>
      <c r="M146" s="1">
        <f t="shared" si="292"/>
        <v>1.8819520397883593E-2</v>
      </c>
      <c r="N146" s="1">
        <f t="shared" si="292"/>
        <v>1.9155764888693083E-2</v>
      </c>
      <c r="O146" s="1">
        <f t="shared" si="292"/>
        <v>2.0449740557907825E-2</v>
      </c>
      <c r="P146" s="1">
        <f t="shared" si="292"/>
        <v>1.6000182828238341E-2</v>
      </c>
      <c r="Q146" s="1">
        <f t="shared" si="292"/>
        <v>1.736160088129024E-2</v>
      </c>
      <c r="R146" s="1">
        <f t="shared" si="292"/>
        <v>1.6402013272732052E-2</v>
      </c>
      <c r="S146" s="1">
        <f t="shared" si="292"/>
        <v>1.5485187807613654E-2</v>
      </c>
      <c r="T146" s="1">
        <f t="shared" si="292"/>
        <v>1.6654631990979052E-2</v>
      </c>
      <c r="U146" s="1">
        <f t="shared" si="292"/>
        <v>1.2751168095644472E-2</v>
      </c>
      <c r="V146" s="1">
        <f t="shared" si="292"/>
        <v>1.2585539578651828E-2</v>
      </c>
      <c r="W146" s="1">
        <f t="shared" si="292"/>
        <v>1.1628253857440818E-2</v>
      </c>
      <c r="X146" s="1">
        <f t="shared" si="292"/>
        <v>1.0956244087257483E-2</v>
      </c>
      <c r="Y146" s="1">
        <f t="shared" si="292"/>
        <v>1.0797700037746383E-2</v>
      </c>
      <c r="Z146" s="1">
        <f t="shared" si="292"/>
        <v>7.2908705811867147E-3</v>
      </c>
      <c r="AA146" s="1">
        <f t="shared" si="292"/>
        <v>6.6125588640768562E-3</v>
      </c>
      <c r="AB146" s="1">
        <f t="shared" si="292"/>
        <v>7.6220701023639315E-3</v>
      </c>
      <c r="AC146" s="1">
        <f t="shared" si="292"/>
        <v>6.3422025015256178E-3</v>
      </c>
      <c r="AD146" s="1">
        <f t="shared" si="292"/>
        <v>6.1131840133166193E-3</v>
      </c>
      <c r="AE146" s="1">
        <f t="shared" si="292"/>
        <v>4.0342304875999879E-3</v>
      </c>
      <c r="AF146" s="1">
        <f t="shared" si="292"/>
        <v>3.2468906385272334E-3</v>
      </c>
      <c r="AG146" s="1">
        <f t="shared" si="292"/>
        <v>2.8372295593606101E-3</v>
      </c>
      <c r="AH146" s="1">
        <f t="shared" si="292"/>
        <v>2.536124020307895E-3</v>
      </c>
      <c r="AI146" s="1">
        <f t="shared" si="292"/>
        <v>2.2754840796199716E-3</v>
      </c>
      <c r="AJ146" s="1">
        <f t="shared" si="292"/>
        <v>3.7068643561632975E-4</v>
      </c>
      <c r="AK146" s="1">
        <f t="shared" si="292"/>
        <v>-2.7448309723843156E-4</v>
      </c>
      <c r="AL146" s="1">
        <f t="shared" si="292"/>
        <v>-5.5313303867576824E-4</v>
      </c>
      <c r="AM146" s="1">
        <f t="shared" si="292"/>
        <v>-8.234492729193299E-4</v>
      </c>
      <c r="AN146" s="1">
        <f t="shared" si="292"/>
        <v>-1.0583999955118273E-3</v>
      </c>
      <c r="AO146" s="35">
        <f>AVERAGE(T146:AN146)</f>
        <v>5.8069335012798304E-3</v>
      </c>
      <c r="AP146" s="35">
        <f>AO146</f>
        <v>5.8069335012798304E-3</v>
      </c>
      <c r="AQ146" s="35">
        <f t="shared" ref="AP146:BJ149" si="293">AP146</f>
        <v>5.8069335012798304E-3</v>
      </c>
      <c r="AR146" s="35">
        <f t="shared" si="293"/>
        <v>5.8069335012798304E-3</v>
      </c>
      <c r="AS146" s="35">
        <f t="shared" si="293"/>
        <v>5.8069335012798304E-3</v>
      </c>
      <c r="AT146" s="35">
        <f t="shared" si="293"/>
        <v>5.8069335012798304E-3</v>
      </c>
      <c r="AU146" s="35">
        <f t="shared" si="293"/>
        <v>5.8069335012798304E-3</v>
      </c>
      <c r="AV146" s="35">
        <f t="shared" si="293"/>
        <v>5.8069335012798304E-3</v>
      </c>
      <c r="AW146" s="35">
        <f t="shared" si="293"/>
        <v>5.8069335012798304E-3</v>
      </c>
      <c r="AX146" s="35">
        <f t="shared" si="293"/>
        <v>5.8069335012798304E-3</v>
      </c>
      <c r="AY146" s="35">
        <f t="shared" si="293"/>
        <v>5.8069335012798304E-3</v>
      </c>
      <c r="AZ146" s="35">
        <f t="shared" si="293"/>
        <v>5.8069335012798304E-3</v>
      </c>
      <c r="BA146" s="35">
        <f t="shared" si="293"/>
        <v>5.8069335012798304E-3</v>
      </c>
      <c r="BB146" s="35">
        <f t="shared" si="293"/>
        <v>5.8069335012798304E-3</v>
      </c>
      <c r="BC146" s="35">
        <f t="shared" si="293"/>
        <v>5.8069335012798304E-3</v>
      </c>
      <c r="BD146" s="35">
        <f t="shared" si="293"/>
        <v>5.8069335012798304E-3</v>
      </c>
      <c r="BE146" s="35">
        <f t="shared" si="293"/>
        <v>5.8069335012798304E-3</v>
      </c>
      <c r="BF146" s="35">
        <f t="shared" si="293"/>
        <v>5.8069335012798304E-3</v>
      </c>
      <c r="BG146" s="35">
        <f t="shared" si="293"/>
        <v>5.8069335012798304E-3</v>
      </c>
      <c r="BH146" s="35">
        <f t="shared" si="293"/>
        <v>5.8069335012798304E-3</v>
      </c>
      <c r="BI146" s="35">
        <f t="shared" si="293"/>
        <v>5.8069335012798304E-3</v>
      </c>
      <c r="BJ146" s="35">
        <f t="shared" si="293"/>
        <v>5.8069335012798304E-3</v>
      </c>
    </row>
    <row r="147" spans="1:62" x14ac:dyDescent="0.25">
      <c r="A147" s="3" t="s">
        <v>132</v>
      </c>
      <c r="C147" s="1">
        <f>C144/B144-1</f>
        <v>3.432985724051929E-2</v>
      </c>
      <c r="D147" s="1">
        <f t="shared" ref="D147:AN147" si="294">D144/C144-1</f>
        <v>2.4463612091416564E-2</v>
      </c>
      <c r="E147" s="1">
        <f t="shared" si="294"/>
        <v>1.6314688921422738E-2</v>
      </c>
      <c r="F147" s="1">
        <f t="shared" si="294"/>
        <v>9.596406332857299E-3</v>
      </c>
      <c r="G147" s="1">
        <f t="shared" si="294"/>
        <v>2.9033756210473882E-2</v>
      </c>
      <c r="H147" s="1">
        <f t="shared" si="294"/>
        <v>1.5355288995467564E-2</v>
      </c>
      <c r="I147" s="1">
        <f t="shared" si="294"/>
        <v>-2.2615689481781942E-3</v>
      </c>
      <c r="J147" s="1">
        <f t="shared" si="294"/>
        <v>-0.1075237313320575</v>
      </c>
      <c r="K147" s="1">
        <f t="shared" si="294"/>
        <v>3.5494817940016521E-2</v>
      </c>
      <c r="L147" s="1">
        <f t="shared" si="294"/>
        <v>3.2506643046944061E-2</v>
      </c>
      <c r="M147" s="1">
        <f t="shared" si="294"/>
        <v>3.3971004546624384E-2</v>
      </c>
      <c r="N147" s="1">
        <f t="shared" si="294"/>
        <v>3.8040321911557262E-2</v>
      </c>
      <c r="O147" s="1">
        <f t="shared" si="294"/>
        <v>3.648643248211636E-2</v>
      </c>
      <c r="P147" s="1">
        <f t="shared" si="294"/>
        <v>3.9289019123997626E-2</v>
      </c>
      <c r="Q147" s="1">
        <f t="shared" si="294"/>
        <v>3.7321461695418279E-2</v>
      </c>
      <c r="R147" s="1">
        <f t="shared" si="294"/>
        <v>3.6229033296377056E-2</v>
      </c>
      <c r="S147" s="1">
        <f t="shared" si="294"/>
        <v>3.7792503623938822E-2</v>
      </c>
      <c r="T147" s="1">
        <f t="shared" si="294"/>
        <v>3.3855465762080428E-2</v>
      </c>
      <c r="U147" s="1">
        <f t="shared" si="294"/>
        <v>3.3164988580435706E-2</v>
      </c>
      <c r="V147" s="1">
        <f t="shared" si="294"/>
        <v>3.0512485210785201E-2</v>
      </c>
      <c r="W147" s="1">
        <f t="shared" si="294"/>
        <v>2.8642214031059154E-2</v>
      </c>
      <c r="X147" s="1">
        <f t="shared" si="294"/>
        <v>2.6846031839276474E-2</v>
      </c>
      <c r="Y147" s="1">
        <f t="shared" si="294"/>
        <v>2.3398169336384278E-2</v>
      </c>
      <c r="Z147" s="1">
        <f t="shared" si="294"/>
        <v>2.3953267371010112E-2</v>
      </c>
      <c r="AA147" s="1">
        <f t="shared" si="294"/>
        <v>2.5767708475501472E-2</v>
      </c>
      <c r="AB147" s="1">
        <f t="shared" si="294"/>
        <v>2.2858511402645165E-2</v>
      </c>
      <c r="AC147" s="1">
        <f t="shared" si="294"/>
        <v>2.1905406108538417E-2</v>
      </c>
      <c r="AD147" s="1">
        <f t="shared" si="294"/>
        <v>2.0672097759674157E-2</v>
      </c>
      <c r="AE147" s="1">
        <f t="shared" si="294"/>
        <v>2.0727327147560537E-2</v>
      </c>
      <c r="AF147" s="1">
        <f t="shared" si="294"/>
        <v>1.9842142560418496E-2</v>
      </c>
      <c r="AG147" s="1">
        <f t="shared" si="294"/>
        <v>1.9072720737989712E-2</v>
      </c>
      <c r="AH147" s="1">
        <f t="shared" si="294"/>
        <v>1.8316051821024582E-2</v>
      </c>
      <c r="AI147" s="1">
        <f t="shared" si="294"/>
        <v>1.7363195566843848E-2</v>
      </c>
      <c r="AJ147" s="1">
        <f t="shared" si="294"/>
        <v>1.7089555626162989E-2</v>
      </c>
      <c r="AK147" s="1">
        <f t="shared" si="294"/>
        <v>1.6423072631931435E-2</v>
      </c>
      <c r="AL147" s="1">
        <f t="shared" si="294"/>
        <v>1.5850365524357146E-2</v>
      </c>
      <c r="AM147" s="1">
        <f t="shared" si="294"/>
        <v>1.5343720960387275E-2</v>
      </c>
      <c r="AN147" s="1">
        <f t="shared" si="294"/>
        <v>1.4899006023455286E-2</v>
      </c>
      <c r="AO147" s="35">
        <f t="shared" ref="AO147:AO149" si="295">AVERAGE(T147:AN147)</f>
        <v>2.2214452594167707E-2</v>
      </c>
      <c r="AP147" s="35">
        <f t="shared" ref="AP147:BD147" si="296">AO147</f>
        <v>2.2214452594167707E-2</v>
      </c>
      <c r="AQ147" s="35">
        <f t="shared" si="296"/>
        <v>2.2214452594167707E-2</v>
      </c>
      <c r="AR147" s="35">
        <f t="shared" si="296"/>
        <v>2.2214452594167707E-2</v>
      </c>
      <c r="AS147" s="35">
        <f t="shared" si="296"/>
        <v>2.2214452594167707E-2</v>
      </c>
      <c r="AT147" s="35">
        <f t="shared" si="296"/>
        <v>2.2214452594167707E-2</v>
      </c>
      <c r="AU147" s="35">
        <f t="shared" si="296"/>
        <v>2.2214452594167707E-2</v>
      </c>
      <c r="AV147" s="35">
        <f t="shared" si="296"/>
        <v>2.2214452594167707E-2</v>
      </c>
      <c r="AW147" s="35">
        <f t="shared" si="296"/>
        <v>2.2214452594167707E-2</v>
      </c>
      <c r="AX147" s="35">
        <f t="shared" si="296"/>
        <v>2.2214452594167707E-2</v>
      </c>
      <c r="AY147" s="35">
        <f t="shared" si="296"/>
        <v>2.2214452594167707E-2</v>
      </c>
      <c r="AZ147" s="35">
        <f t="shared" si="296"/>
        <v>2.2214452594167707E-2</v>
      </c>
      <c r="BA147" s="35">
        <f t="shared" si="296"/>
        <v>2.2214452594167707E-2</v>
      </c>
      <c r="BB147" s="35">
        <f t="shared" si="296"/>
        <v>2.2214452594167707E-2</v>
      </c>
      <c r="BC147" s="35">
        <f t="shared" si="296"/>
        <v>2.2214452594167707E-2</v>
      </c>
      <c r="BD147" s="35">
        <f t="shared" si="296"/>
        <v>2.2214452594167707E-2</v>
      </c>
      <c r="BE147" s="35">
        <f t="shared" si="293"/>
        <v>2.2214452594167707E-2</v>
      </c>
      <c r="BF147" s="35">
        <f t="shared" si="293"/>
        <v>2.2214452594167707E-2</v>
      </c>
      <c r="BG147" s="35">
        <f t="shared" si="293"/>
        <v>2.2214452594167707E-2</v>
      </c>
      <c r="BH147" s="35">
        <f t="shared" si="293"/>
        <v>2.2214452594167707E-2</v>
      </c>
      <c r="BI147" s="35">
        <f t="shared" si="293"/>
        <v>2.2214452594167707E-2</v>
      </c>
      <c r="BJ147" s="35">
        <f t="shared" si="293"/>
        <v>2.2214452594167707E-2</v>
      </c>
    </row>
    <row r="148" spans="1:62" x14ac:dyDescent="0.25">
      <c r="A148" t="s">
        <v>131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97">M146/M130</f>
        <v>0.53830483548536456</v>
      </c>
      <c r="N148" s="17">
        <f t="shared" si="297"/>
        <v>0.49416610398885708</v>
      </c>
      <c r="O148" s="17">
        <f t="shared" si="297"/>
        <v>0.51325112837515507</v>
      </c>
      <c r="P148" s="17">
        <f t="shared" si="297"/>
        <v>0.36315545167824997</v>
      </c>
      <c r="Q148" s="17">
        <f t="shared" si="297"/>
        <v>0.38343552465275982</v>
      </c>
      <c r="R148" s="17">
        <f t="shared" si="297"/>
        <v>0.34995803359012523</v>
      </c>
      <c r="S148" s="17">
        <f t="shared" si="297"/>
        <v>0.30463617691220612</v>
      </c>
      <c r="T148" s="17">
        <f t="shared" si="297"/>
        <v>0.32614322627950659</v>
      </c>
      <c r="U148" s="17">
        <f t="shared" si="297"/>
        <v>0.25624892109871622</v>
      </c>
      <c r="V148" s="17">
        <f t="shared" si="297"/>
        <v>0.2502746889021033</v>
      </c>
      <c r="W148" s="17">
        <f t="shared" si="297"/>
        <v>0.23008722994633829</v>
      </c>
      <c r="X148" s="17">
        <f t="shared" si="297"/>
        <v>0.21527055260154968</v>
      </c>
      <c r="Y148" s="17">
        <f t="shared" si="297"/>
        <v>0.22487698531034322</v>
      </c>
      <c r="Z148" s="17">
        <f t="shared" si="297"/>
        <v>0.15191637090640292</v>
      </c>
      <c r="AA148" s="17">
        <f t="shared" si="297"/>
        <v>0.12915955337249865</v>
      </c>
      <c r="AB148" s="17">
        <f t="shared" si="297"/>
        <v>0.14734157478361395</v>
      </c>
      <c r="AC148" s="17">
        <f t="shared" si="297"/>
        <v>0.1207458581570505</v>
      </c>
      <c r="AD148" s="17">
        <f t="shared" si="297"/>
        <v>0.11663969568750551</v>
      </c>
      <c r="AE148" s="17">
        <f t="shared" si="297"/>
        <v>7.6920543280865034E-2</v>
      </c>
      <c r="AF148" s="17">
        <f t="shared" si="297"/>
        <v>6.140561854470513E-2</v>
      </c>
      <c r="AG148" s="17">
        <f t="shared" si="297"/>
        <v>5.3184370165041898E-2</v>
      </c>
      <c r="AH148" s="17">
        <f t="shared" si="297"/>
        <v>4.7150929153941819E-2</v>
      </c>
      <c r="AI148" s="17">
        <f t="shared" si="297"/>
        <v>4.2590106306792441E-2</v>
      </c>
      <c r="AJ148" s="17">
        <f t="shared" si="297"/>
        <v>7.1553365129705272E-3</v>
      </c>
      <c r="AK148" s="17">
        <f t="shared" si="297"/>
        <v>-5.2833483454142573E-3</v>
      </c>
      <c r="AL148" s="17">
        <f t="shared" si="297"/>
        <v>-1.0617305176489601E-2</v>
      </c>
      <c r="AM148" s="17">
        <f t="shared" si="297"/>
        <v>-1.5751620142740268E-2</v>
      </c>
      <c r="AN148" s="17">
        <f t="shared" si="297"/>
        <v>-2.0089290044925164E-2</v>
      </c>
      <c r="AO148" s="35">
        <f t="shared" si="295"/>
        <v>0.11454142844287508</v>
      </c>
      <c r="AP148" s="35">
        <f t="shared" si="293"/>
        <v>0.11454142844287508</v>
      </c>
      <c r="AQ148" s="35">
        <f t="shared" si="293"/>
        <v>0.11454142844287508</v>
      </c>
      <c r="AR148" s="35">
        <f t="shared" si="293"/>
        <v>0.11454142844287508</v>
      </c>
      <c r="AS148" s="35">
        <f t="shared" si="293"/>
        <v>0.11454142844287508</v>
      </c>
      <c r="AT148" s="35">
        <f t="shared" si="293"/>
        <v>0.11454142844287508</v>
      </c>
      <c r="AU148" s="35">
        <f t="shared" si="293"/>
        <v>0.11454142844287508</v>
      </c>
      <c r="AV148" s="35">
        <f t="shared" si="293"/>
        <v>0.11454142844287508</v>
      </c>
      <c r="AW148" s="35">
        <f t="shared" si="293"/>
        <v>0.11454142844287508</v>
      </c>
      <c r="AX148" s="35">
        <f t="shared" si="293"/>
        <v>0.11454142844287508</v>
      </c>
      <c r="AY148" s="35">
        <f t="shared" si="293"/>
        <v>0.11454142844287508</v>
      </c>
      <c r="AZ148" s="35">
        <f t="shared" si="293"/>
        <v>0.11454142844287508</v>
      </c>
      <c r="BA148" s="35">
        <f t="shared" si="293"/>
        <v>0.11454142844287508</v>
      </c>
      <c r="BB148" s="35">
        <f t="shared" si="293"/>
        <v>0.11454142844287508</v>
      </c>
      <c r="BC148" s="35">
        <f t="shared" si="293"/>
        <v>0.11454142844287508</v>
      </c>
      <c r="BD148" s="35">
        <f t="shared" si="293"/>
        <v>0.11454142844287508</v>
      </c>
      <c r="BE148" s="35">
        <f t="shared" si="293"/>
        <v>0.11454142844287508</v>
      </c>
      <c r="BF148" s="35">
        <f t="shared" si="293"/>
        <v>0.11454142844287508</v>
      </c>
      <c r="BG148" s="35">
        <f t="shared" si="293"/>
        <v>0.11454142844287508</v>
      </c>
      <c r="BH148" s="35">
        <f t="shared" si="293"/>
        <v>0.11454142844287508</v>
      </c>
      <c r="BI148" s="35">
        <f t="shared" si="293"/>
        <v>0.11454142844287508</v>
      </c>
      <c r="BJ148" s="35">
        <f t="shared" si="293"/>
        <v>0.11454142844287508</v>
      </c>
    </row>
    <row r="149" spans="1:62" x14ac:dyDescent="0.25">
      <c r="A149" t="s">
        <v>133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98">M147/M130</f>
        <v>0.9716908628447144</v>
      </c>
      <c r="N149" s="17">
        <f t="shared" si="298"/>
        <v>0.98133579017834394</v>
      </c>
      <c r="O149" s="17">
        <f t="shared" si="298"/>
        <v>0.91574279824242555</v>
      </c>
      <c r="P149" s="17">
        <f t="shared" si="298"/>
        <v>0.89174115315666691</v>
      </c>
      <c r="Q149" s="17">
        <f t="shared" si="298"/>
        <v>0.82425430372680586</v>
      </c>
      <c r="R149" s="17">
        <f t="shared" si="298"/>
        <v>0.77299298814427986</v>
      </c>
      <c r="S149" s="17">
        <f t="shared" si="298"/>
        <v>0.74348234990581141</v>
      </c>
      <c r="T149" s="17">
        <f t="shared" si="298"/>
        <v>0.66298257666822158</v>
      </c>
      <c r="U149" s="17">
        <f t="shared" si="298"/>
        <v>0.66648737419521586</v>
      </c>
      <c r="V149" s="17">
        <f t="shared" si="298"/>
        <v>0.60676800514081108</v>
      </c>
      <c r="W149" s="17">
        <f t="shared" si="298"/>
        <v>0.56674095412180292</v>
      </c>
      <c r="X149" s="17">
        <f t="shared" si="298"/>
        <v>0.52747639274678271</v>
      </c>
      <c r="Y149" s="17">
        <f t="shared" si="298"/>
        <v>0.48729912516121315</v>
      </c>
      <c r="Z149" s="17">
        <f t="shared" si="298"/>
        <v>0.49910273537763417</v>
      </c>
      <c r="AA149" s="17">
        <f t="shared" si="298"/>
        <v>0.50330678131409612</v>
      </c>
      <c r="AB149" s="17">
        <f t="shared" si="298"/>
        <v>0.44187589749802619</v>
      </c>
      <c r="AC149" s="17">
        <f t="shared" si="298"/>
        <v>0.41704550717482058</v>
      </c>
      <c r="AD149" s="17">
        <f t="shared" si="298"/>
        <v>0.39442411461169208</v>
      </c>
      <c r="AE149" s="17">
        <f t="shared" si="298"/>
        <v>0.3952072817483171</v>
      </c>
      <c r="AF149" s="17">
        <f t="shared" si="298"/>
        <v>0.3752571838167556</v>
      </c>
      <c r="AG149" s="17">
        <f t="shared" si="298"/>
        <v>0.35752152533343534</v>
      </c>
      <c r="AH149" s="17">
        <f t="shared" si="298"/>
        <v>0.34052706211434036</v>
      </c>
      <c r="AI149" s="17">
        <f t="shared" si="298"/>
        <v>0.32498594547012194</v>
      </c>
      <c r="AJ149" s="17">
        <f t="shared" si="298"/>
        <v>0.32987859714642898</v>
      </c>
      <c r="AK149" s="17">
        <f t="shared" si="298"/>
        <v>0.31611714706483662</v>
      </c>
      <c r="AL149" s="17">
        <f t="shared" si="298"/>
        <v>0.30424537347091185</v>
      </c>
      <c r="AM149" s="17">
        <f t="shared" si="298"/>
        <v>0.29350741095122629</v>
      </c>
      <c r="AN149" s="17">
        <f t="shared" si="298"/>
        <v>0.28279521414920078</v>
      </c>
      <c r="AO149" s="35">
        <f t="shared" si="295"/>
        <v>0.43302629548932831</v>
      </c>
      <c r="AP149" s="35">
        <f t="shared" si="293"/>
        <v>0.43302629548932831</v>
      </c>
      <c r="AQ149" s="35">
        <f t="shared" si="293"/>
        <v>0.43302629548932831</v>
      </c>
      <c r="AR149" s="35">
        <f t="shared" si="293"/>
        <v>0.43302629548932831</v>
      </c>
      <c r="AS149" s="35">
        <f t="shared" si="293"/>
        <v>0.43302629548932831</v>
      </c>
      <c r="AT149" s="35">
        <f t="shared" si="293"/>
        <v>0.43302629548932831</v>
      </c>
      <c r="AU149" s="35">
        <f t="shared" si="293"/>
        <v>0.43302629548932831</v>
      </c>
      <c r="AV149" s="35">
        <f t="shared" si="293"/>
        <v>0.43302629548932831</v>
      </c>
      <c r="AW149" s="35">
        <f t="shared" si="293"/>
        <v>0.43302629548932831</v>
      </c>
      <c r="AX149" s="35">
        <f t="shared" si="293"/>
        <v>0.43302629548932831</v>
      </c>
      <c r="AY149" s="35">
        <f t="shared" si="293"/>
        <v>0.43302629548932831</v>
      </c>
      <c r="AZ149" s="35">
        <f t="shared" si="293"/>
        <v>0.43302629548932831</v>
      </c>
      <c r="BA149" s="35">
        <f t="shared" si="293"/>
        <v>0.43302629548932831</v>
      </c>
      <c r="BB149" s="35">
        <f t="shared" si="293"/>
        <v>0.43302629548932831</v>
      </c>
      <c r="BC149" s="35">
        <f t="shared" si="293"/>
        <v>0.43302629548932831</v>
      </c>
      <c r="BD149" s="35">
        <f t="shared" si="293"/>
        <v>0.43302629548932831</v>
      </c>
      <c r="BE149" s="35">
        <f t="shared" si="293"/>
        <v>0.43302629548932831</v>
      </c>
      <c r="BF149" s="35">
        <f t="shared" si="293"/>
        <v>0.43302629548932831</v>
      </c>
      <c r="BG149" s="35">
        <f t="shared" si="293"/>
        <v>0.43302629548932831</v>
      </c>
      <c r="BH149" s="35">
        <f t="shared" si="293"/>
        <v>0.43302629548932831</v>
      </c>
      <c r="BI149" s="35">
        <f t="shared" si="293"/>
        <v>0.43302629548932831</v>
      </c>
      <c r="BJ149" s="35">
        <f t="shared" si="293"/>
        <v>0.43302629548932831</v>
      </c>
    </row>
    <row r="152" spans="1:62" x14ac:dyDescent="0.25">
      <c r="A152" t="s">
        <v>129</v>
      </c>
    </row>
    <row r="153" spans="1:62" x14ac:dyDescent="0.25">
      <c r="B153" s="3" t="s">
        <v>88</v>
      </c>
      <c r="C153" s="3" t="s">
        <v>89</v>
      </c>
      <c r="D153" s="3" t="s">
        <v>90</v>
      </c>
      <c r="E153" s="3" t="s">
        <v>91</v>
      </c>
      <c r="F153" s="3" t="s">
        <v>92</v>
      </c>
      <c r="G153" s="3" t="s">
        <v>93</v>
      </c>
      <c r="H153" s="3" t="s">
        <v>94</v>
      </c>
      <c r="I153" s="3" t="s">
        <v>95</v>
      </c>
      <c r="J153" s="3" t="s">
        <v>96</v>
      </c>
      <c r="K153" s="3" t="s">
        <v>97</v>
      </c>
      <c r="L153" s="3" t="s">
        <v>98</v>
      </c>
      <c r="M153" s="3" t="s">
        <v>99</v>
      </c>
      <c r="N153" s="3" t="s">
        <v>100</v>
      </c>
      <c r="O153" s="3" t="s">
        <v>101</v>
      </c>
      <c r="P153" s="3" t="s">
        <v>102</v>
      </c>
      <c r="Q153" s="3" t="s">
        <v>103</v>
      </c>
      <c r="R153" s="3" t="s">
        <v>104</v>
      </c>
      <c r="S153" s="3" t="s">
        <v>105</v>
      </c>
      <c r="T153" s="3" t="s">
        <v>106</v>
      </c>
      <c r="U153" s="3" t="s">
        <v>107</v>
      </c>
      <c r="V153" s="3" t="s">
        <v>108</v>
      </c>
      <c r="W153" s="3" t="s">
        <v>109</v>
      </c>
      <c r="X153" s="3" t="s">
        <v>110</v>
      </c>
      <c r="Y153" s="3" t="s">
        <v>111</v>
      </c>
      <c r="Z153" s="3" t="s">
        <v>112</v>
      </c>
      <c r="AA153" s="3" t="s">
        <v>113</v>
      </c>
      <c r="AB153" s="3" t="s">
        <v>114</v>
      </c>
      <c r="AC153" s="3" t="s">
        <v>115</v>
      </c>
      <c r="AD153" s="3" t="s">
        <v>116</v>
      </c>
      <c r="AE153" s="3" t="s">
        <v>117</v>
      </c>
      <c r="AF153" s="3" t="s">
        <v>118</v>
      </c>
      <c r="AG153" s="3" t="s">
        <v>119</v>
      </c>
      <c r="AH153" s="3" t="s">
        <v>120</v>
      </c>
      <c r="AI153" s="3" t="s">
        <v>121</v>
      </c>
      <c r="AJ153" s="3" t="s">
        <v>122</v>
      </c>
      <c r="AK153" s="3" t="s">
        <v>123</v>
      </c>
      <c r="AL153" s="3" t="s">
        <v>124</v>
      </c>
      <c r="AM153" s="3" t="s">
        <v>125</v>
      </c>
      <c r="AN153" s="3" t="s">
        <v>126</v>
      </c>
    </row>
    <row r="154" spans="1:62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62" x14ac:dyDescent="0.25">
      <c r="A155" t="s">
        <v>74</v>
      </c>
      <c r="C155" s="1">
        <f>C154/B154-1</f>
        <v>1.7064846416382284E-2</v>
      </c>
      <c r="D155" s="1">
        <f t="shared" ref="D155:AN155" si="299">D154/C154-1</f>
        <v>1.0067114093959662E-2</v>
      </c>
      <c r="E155" s="1">
        <f t="shared" si="299"/>
        <v>6.6445182724252927E-3</v>
      </c>
      <c r="F155" s="1">
        <f t="shared" si="299"/>
        <v>0</v>
      </c>
      <c r="G155" s="1">
        <f t="shared" si="299"/>
        <v>1.3201320132013139E-2</v>
      </c>
      <c r="H155" s="1">
        <f t="shared" si="299"/>
        <v>3.2573289902280145E-3</v>
      </c>
      <c r="I155" s="1">
        <f t="shared" si="299"/>
        <v>-6.4935064935065512E-3</v>
      </c>
      <c r="J155" s="1">
        <f t="shared" si="299"/>
        <v>-8.8235294117646967E-2</v>
      </c>
      <c r="K155" s="1">
        <f t="shared" si="299"/>
        <v>4.2332613390928753E-2</v>
      </c>
      <c r="L155" s="1">
        <f t="shared" si="299"/>
        <v>2.2793203481143776E-2</v>
      </c>
      <c r="M155" s="1">
        <f t="shared" si="299"/>
        <v>2.6118937788305763E-2</v>
      </c>
      <c r="N155" s="1">
        <f t="shared" si="299"/>
        <v>3.0830447724925492E-2</v>
      </c>
      <c r="O155" s="1">
        <f t="shared" si="299"/>
        <v>3.1322745086483694E-2</v>
      </c>
      <c r="P155" s="1">
        <f t="shared" si="299"/>
        <v>3.4885714285714187E-2</v>
      </c>
      <c r="Q155" s="1">
        <f t="shared" si="299"/>
        <v>3.497970790425442E-2</v>
      </c>
      <c r="R155" s="1">
        <f t="shared" si="299"/>
        <v>0.13110862142552282</v>
      </c>
      <c r="S155" s="1">
        <f t="shared" si="299"/>
        <v>4.1883828974365045E-2</v>
      </c>
      <c r="T155" s="1">
        <f t="shared" si="299"/>
        <v>3.9815296860499227E-2</v>
      </c>
      <c r="U155" s="1">
        <f t="shared" si="299"/>
        <v>4.0881187687753062E-2</v>
      </c>
      <c r="V155" s="1">
        <f t="shared" si="299"/>
        <v>3.992387485360549E-2</v>
      </c>
      <c r="W155" s="1">
        <f t="shared" si="299"/>
        <v>3.9778783308195065E-2</v>
      </c>
      <c r="X155" s="1">
        <f t="shared" si="299"/>
        <v>4.0113726476219913E-2</v>
      </c>
      <c r="Y155" s="1">
        <f t="shared" si="299"/>
        <v>3.6205069081577612E-2</v>
      </c>
      <c r="Z155" s="1">
        <f t="shared" si="299"/>
        <v>3.8062594214342216E-2</v>
      </c>
      <c r="AA155" s="1">
        <f t="shared" si="299"/>
        <v>4.4601953496412605E-2</v>
      </c>
      <c r="AB155" s="1">
        <f t="shared" si="299"/>
        <v>0.10820024824162178</v>
      </c>
      <c r="AC155" s="1">
        <f t="shared" si="299"/>
        <v>4.2053074085689257E-2</v>
      </c>
      <c r="AD155" s="1">
        <f t="shared" si="299"/>
        <v>4.1760415024577613E-2</v>
      </c>
      <c r="AE155" s="1">
        <f t="shared" si="299"/>
        <v>4.121442229650718E-2</v>
      </c>
      <c r="AF155" s="1">
        <f t="shared" si="299"/>
        <v>4.1815851708967067E-2</v>
      </c>
      <c r="AG155" s="1">
        <f t="shared" si="299"/>
        <v>4.2331397265833015E-2</v>
      </c>
      <c r="AH155" s="1">
        <f t="shared" si="299"/>
        <v>4.2911718902082896E-2</v>
      </c>
      <c r="AI155" s="1">
        <f t="shared" si="299"/>
        <v>4.2545993303701568E-2</v>
      </c>
      <c r="AJ155" s="1">
        <f t="shared" si="299"/>
        <v>4.046281583600031E-2</v>
      </c>
      <c r="AK155" s="1">
        <f t="shared" si="299"/>
        <v>4.0685293927857025E-2</v>
      </c>
      <c r="AL155" s="1">
        <f t="shared" si="299"/>
        <v>4.0985893659897688E-2</v>
      </c>
      <c r="AM155" s="1">
        <f t="shared" si="299"/>
        <v>4.1337820531911929E-2</v>
      </c>
      <c r="AN155" s="1">
        <f t="shared" si="299"/>
        <v>4.1870441870441866E-2</v>
      </c>
      <c r="AO155" s="35">
        <f>AN155</f>
        <v>4.1870441870441866E-2</v>
      </c>
      <c r="AP155" s="35">
        <f t="shared" ref="AP155:BJ155" si="300">AO155</f>
        <v>4.1870441870441866E-2</v>
      </c>
      <c r="AQ155" s="35">
        <f t="shared" si="300"/>
        <v>4.1870441870441866E-2</v>
      </c>
      <c r="AR155" s="35">
        <f t="shared" si="300"/>
        <v>4.1870441870441866E-2</v>
      </c>
      <c r="AS155" s="35">
        <f t="shared" si="300"/>
        <v>4.1870441870441866E-2</v>
      </c>
      <c r="AT155" s="35">
        <f t="shared" si="300"/>
        <v>4.1870441870441866E-2</v>
      </c>
      <c r="AU155" s="35">
        <f t="shared" si="300"/>
        <v>4.1870441870441866E-2</v>
      </c>
      <c r="AV155" s="35">
        <f t="shared" si="300"/>
        <v>4.1870441870441866E-2</v>
      </c>
      <c r="AW155" s="35">
        <f t="shared" si="300"/>
        <v>4.1870441870441866E-2</v>
      </c>
      <c r="AX155" s="35">
        <f t="shared" si="300"/>
        <v>4.1870441870441866E-2</v>
      </c>
      <c r="AY155" s="35">
        <f t="shared" si="300"/>
        <v>4.1870441870441866E-2</v>
      </c>
      <c r="AZ155" s="35">
        <f t="shared" si="300"/>
        <v>4.1870441870441866E-2</v>
      </c>
      <c r="BA155" s="35">
        <f t="shared" si="300"/>
        <v>4.1870441870441866E-2</v>
      </c>
      <c r="BB155" s="35">
        <f t="shared" si="300"/>
        <v>4.1870441870441866E-2</v>
      </c>
      <c r="BC155" s="35">
        <f t="shared" si="300"/>
        <v>4.1870441870441866E-2</v>
      </c>
      <c r="BD155" s="35">
        <f t="shared" si="300"/>
        <v>4.1870441870441866E-2</v>
      </c>
      <c r="BE155" s="35">
        <f t="shared" si="300"/>
        <v>4.1870441870441866E-2</v>
      </c>
      <c r="BF155" s="35">
        <f t="shared" si="300"/>
        <v>4.1870441870441866E-2</v>
      </c>
      <c r="BG155" s="35">
        <f t="shared" si="300"/>
        <v>4.1870441870441866E-2</v>
      </c>
      <c r="BH155" s="35">
        <f t="shared" si="300"/>
        <v>4.1870441870441866E-2</v>
      </c>
      <c r="BI155" s="35">
        <f t="shared" si="300"/>
        <v>4.1870441870441866E-2</v>
      </c>
      <c r="BJ155" s="35">
        <f t="shared" si="300"/>
        <v>4.1870441870441866E-2</v>
      </c>
    </row>
    <row r="156" spans="1:62" x14ac:dyDescent="0.25">
      <c r="A156" t="s">
        <v>134</v>
      </c>
      <c r="C156" s="17">
        <f>C155/C130</f>
        <v>0.68877804845189017</v>
      </c>
      <c r="D156" s="17">
        <f t="shared" ref="D156:AN156" si="301">D155/D130</f>
        <v>0.5360336040473298</v>
      </c>
      <c r="E156" s="17">
        <f t="shared" si="301"/>
        <v>0.52150750637218679</v>
      </c>
      <c r="F156" s="17">
        <f t="shared" si="301"/>
        <v>0</v>
      </c>
      <c r="G156" s="17">
        <f t="shared" si="301"/>
        <v>1.1117371704401748</v>
      </c>
      <c r="H156" s="17">
        <f t="shared" si="301"/>
        <v>0.32065064375917796</v>
      </c>
      <c r="I156" s="17">
        <f t="shared" si="301"/>
        <v>-0.7567131574525453</v>
      </c>
      <c r="J156" s="17">
        <f t="shared" si="301"/>
        <v>1.2177175336862129</v>
      </c>
      <c r="K156" s="17">
        <f t="shared" si="301"/>
        <v>1.0633334477709711</v>
      </c>
      <c r="L156" s="17">
        <f t="shared" si="301"/>
        <v>0.68161142029799304</v>
      </c>
      <c r="M156" s="17">
        <f t="shared" si="301"/>
        <v>0.74709398602780341</v>
      </c>
      <c r="N156" s="17">
        <f t="shared" si="301"/>
        <v>0.79534084517039594</v>
      </c>
      <c r="O156" s="17">
        <f t="shared" si="301"/>
        <v>0.78614367815186847</v>
      </c>
      <c r="P156" s="17">
        <f t="shared" si="301"/>
        <v>0.79179953532704683</v>
      </c>
      <c r="Q156" s="17">
        <f t="shared" si="301"/>
        <v>0.77253605495113342</v>
      </c>
      <c r="R156" s="17">
        <f t="shared" si="301"/>
        <v>2.7973709433016185</v>
      </c>
      <c r="S156" s="17">
        <f t="shared" si="301"/>
        <v>0.82396995707871445</v>
      </c>
      <c r="T156" s="17">
        <f t="shared" si="301"/>
        <v>0.77969236308512202</v>
      </c>
      <c r="U156" s="17">
        <f t="shared" si="301"/>
        <v>0.82155298711803049</v>
      </c>
      <c r="V156" s="17">
        <f t="shared" si="301"/>
        <v>0.79392188918951079</v>
      </c>
      <c r="W156" s="17">
        <f t="shared" si="301"/>
        <v>0.78709926479301784</v>
      </c>
      <c r="X156" s="17">
        <f t="shared" si="301"/>
        <v>0.78816280439447794</v>
      </c>
      <c r="Y156" s="17">
        <f t="shared" si="301"/>
        <v>0.75402046357616392</v>
      </c>
      <c r="Z156" s="17">
        <f t="shared" si="301"/>
        <v>0.79309200676892877</v>
      </c>
      <c r="AA156" s="17">
        <f t="shared" si="301"/>
        <v>0.87118595260200171</v>
      </c>
      <c r="AB156" s="17">
        <f t="shared" si="301"/>
        <v>2.0916095960537135</v>
      </c>
      <c r="AC156" s="17">
        <f t="shared" si="301"/>
        <v>0.80062636243436269</v>
      </c>
      <c r="AD156" s="17">
        <f t="shared" si="301"/>
        <v>0.79678970723605247</v>
      </c>
      <c r="AE156" s="17">
        <f t="shared" si="301"/>
        <v>0.78583406768618735</v>
      </c>
      <c r="AF156" s="17">
        <f t="shared" si="301"/>
        <v>0.79082683250689689</v>
      </c>
      <c r="AG156" s="17">
        <f t="shared" si="301"/>
        <v>0.79350953269247193</v>
      </c>
      <c r="AH156" s="17">
        <f t="shared" si="301"/>
        <v>0.79780302604457698</v>
      </c>
      <c r="AI156" s="17">
        <f t="shared" si="301"/>
        <v>0.79633094072684418</v>
      </c>
      <c r="AJ156" s="17">
        <f t="shared" si="301"/>
        <v>0.7810511412092811</v>
      </c>
      <c r="AK156" s="17">
        <f t="shared" si="301"/>
        <v>0.78312501760250264</v>
      </c>
      <c r="AL156" s="17">
        <f t="shared" si="301"/>
        <v>0.78671804157654557</v>
      </c>
      <c r="AM156" s="17">
        <f t="shared" si="301"/>
        <v>0.79074409069426133</v>
      </c>
      <c r="AN156" s="17">
        <f t="shared" si="301"/>
        <v>0.79473493444009191</v>
      </c>
      <c r="AO156" s="35">
        <f>AN156</f>
        <v>0.79473493444009191</v>
      </c>
      <c r="AP156" s="35">
        <f t="shared" ref="AP156:BJ156" si="302">AO156</f>
        <v>0.79473493444009191</v>
      </c>
      <c r="AQ156" s="35">
        <f t="shared" si="302"/>
        <v>0.79473493444009191</v>
      </c>
      <c r="AR156" s="35">
        <f t="shared" si="302"/>
        <v>0.79473493444009191</v>
      </c>
      <c r="AS156" s="35">
        <f t="shared" si="302"/>
        <v>0.79473493444009191</v>
      </c>
      <c r="AT156" s="35">
        <f t="shared" si="302"/>
        <v>0.79473493444009191</v>
      </c>
      <c r="AU156" s="35">
        <f t="shared" si="302"/>
        <v>0.79473493444009191</v>
      </c>
      <c r="AV156" s="35">
        <f t="shared" si="302"/>
        <v>0.79473493444009191</v>
      </c>
      <c r="AW156" s="35">
        <f t="shared" si="302"/>
        <v>0.79473493444009191</v>
      </c>
      <c r="AX156" s="35">
        <f t="shared" si="302"/>
        <v>0.79473493444009191</v>
      </c>
      <c r="AY156" s="35">
        <f t="shared" si="302"/>
        <v>0.79473493444009191</v>
      </c>
      <c r="AZ156" s="35">
        <f t="shared" si="302"/>
        <v>0.79473493444009191</v>
      </c>
      <c r="BA156" s="35">
        <f t="shared" si="302"/>
        <v>0.79473493444009191</v>
      </c>
      <c r="BB156" s="35">
        <f t="shared" si="302"/>
        <v>0.79473493444009191</v>
      </c>
      <c r="BC156" s="35">
        <f t="shared" si="302"/>
        <v>0.79473493444009191</v>
      </c>
      <c r="BD156" s="35">
        <f t="shared" si="302"/>
        <v>0.79473493444009191</v>
      </c>
      <c r="BE156" s="35">
        <f t="shared" si="302"/>
        <v>0.79473493444009191</v>
      </c>
      <c r="BF156" s="35">
        <f t="shared" si="302"/>
        <v>0.79473493444009191</v>
      </c>
      <c r="BG156" s="35">
        <f t="shared" si="302"/>
        <v>0.79473493444009191</v>
      </c>
      <c r="BH156" s="35">
        <f t="shared" si="302"/>
        <v>0.79473493444009191</v>
      </c>
      <c r="BI156" s="35">
        <f t="shared" si="302"/>
        <v>0.79473493444009191</v>
      </c>
      <c r="BJ156" s="35">
        <f t="shared" si="302"/>
        <v>0.79473493444009191</v>
      </c>
    </row>
  </sheetData>
  <sortState xmlns:xlrd2="http://schemas.microsoft.com/office/spreadsheetml/2017/richdata2" ref="B12:AE33">
    <sortCondition ref="B12"/>
  </sortState>
  <phoneticPr fontId="12" type="noConversion"/>
  <dataValidations disablePrompts="1"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2020-07-09T15:17:14Z</dcterms:created>
  <dcterms:modified xsi:type="dcterms:W3CDTF">2023-10-18T12:07:26Z</dcterms:modified>
</cp:coreProperties>
</file>