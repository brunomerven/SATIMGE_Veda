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117F0654-9A98-41C9-B73D-3C525517CF5E}" xr6:coauthVersionLast="47" xr6:coauthVersionMax="47" xr10:uidLastSave="{00000000-0000-0000-0000-000000000000}"/>
  <bookViews>
    <workbookView xWindow="-120" yWindow="-120" windowWidth="29040" windowHeight="15840" activeTab="4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  <sheet name="Popul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49" i="5" l="1"/>
  <c r="BD49" i="5" s="1"/>
  <c r="BE49" i="5" s="1"/>
  <c r="BF49" i="5" s="1"/>
  <c r="AX49" i="5"/>
  <c r="AY49" i="5" s="1"/>
  <c r="AZ49" i="5" s="1"/>
  <c r="BA49" i="5" s="1"/>
  <c r="AT49" i="5"/>
  <c r="AU49" i="5" s="1"/>
  <c r="AV49" i="5" s="1"/>
  <c r="AS49" i="5"/>
  <c r="AO49" i="5"/>
  <c r="AP49" i="5" s="1"/>
  <c r="AQ49" i="5" s="1"/>
  <c r="AN49" i="5"/>
  <c r="AI49" i="5"/>
  <c r="AJ49" i="5" s="1"/>
  <c r="AK49" i="5" s="1"/>
  <c r="AL49" i="5" s="1"/>
  <c r="AG49" i="5"/>
  <c r="AF49" i="5"/>
  <c r="AE49" i="5"/>
  <c r="AD49" i="5"/>
  <c r="C9" i="1" l="1"/>
  <c r="M10" i="8"/>
  <c r="J10" i="8"/>
  <c r="K10" i="8" s="1"/>
  <c r="D10" i="8"/>
  <c r="E17" i="8"/>
  <c r="C42" i="6" l="1"/>
  <c r="E42" i="6"/>
  <c r="F42" i="6"/>
  <c r="H42" i="6"/>
  <c r="I42" i="6"/>
  <c r="J42" i="6"/>
  <c r="K42" i="6"/>
  <c r="M42" i="6"/>
  <c r="N42" i="6"/>
  <c r="O42" i="6"/>
  <c r="P42" i="6"/>
  <c r="R42" i="6"/>
  <c r="S42" i="6"/>
  <c r="T42" i="6"/>
  <c r="U42" i="6"/>
  <c r="W42" i="6"/>
  <c r="X42" i="6"/>
  <c r="Y42" i="6"/>
  <c r="Z42" i="6"/>
  <c r="AB42" i="6"/>
  <c r="AC42" i="6"/>
  <c r="AD42" i="6"/>
  <c r="AE42" i="6"/>
  <c r="AG42" i="6"/>
  <c r="AH42" i="6"/>
  <c r="AI42" i="6"/>
  <c r="AJ42" i="6"/>
  <c r="AL42" i="6"/>
  <c r="AM42" i="6"/>
  <c r="AN42" i="6"/>
  <c r="AO42" i="6"/>
  <c r="AQ42" i="6"/>
  <c r="AR42" i="6"/>
  <c r="AS42" i="6"/>
  <c r="AT42" i="6"/>
  <c r="AV42" i="6"/>
  <c r="AW42" i="6"/>
  <c r="AX42" i="6"/>
  <c r="AY42" i="6"/>
  <c r="BA42" i="6"/>
  <c r="BB42" i="6"/>
  <c r="BC42" i="6"/>
  <c r="BD42" i="6"/>
  <c r="BF42" i="6"/>
  <c r="BG42" i="6"/>
  <c r="BH42" i="6"/>
  <c r="BI42" i="6"/>
  <c r="BK42" i="6"/>
  <c r="BL42" i="6"/>
  <c r="BM42" i="6"/>
  <c r="BN42" i="6"/>
  <c r="BP42" i="6"/>
  <c r="BQ42" i="6"/>
  <c r="BR42" i="6"/>
  <c r="BS42" i="6"/>
  <c r="BU42" i="6"/>
  <c r="BV42" i="6"/>
  <c r="BW42" i="6"/>
  <c r="BX42" i="6"/>
  <c r="BZ42" i="6"/>
  <c r="CA42" i="6"/>
  <c r="CB42" i="6"/>
  <c r="CC42" i="6"/>
  <c r="E18" i="8" l="1"/>
  <c r="AK42" i="6"/>
  <c r="E19" i="8" l="1"/>
  <c r="AP42" i="6"/>
  <c r="E20" i="8" l="1"/>
  <c r="AU42" i="6"/>
  <c r="E21" i="8" l="1"/>
  <c r="AZ42" i="6"/>
  <c r="E22" i="8" l="1"/>
  <c r="BE42" i="6"/>
  <c r="E23" i="8" l="1"/>
  <c r="BJ42" i="6"/>
  <c r="E24" i="8" l="1"/>
  <c r="BO42" i="6"/>
  <c r="E25" i="8" l="1"/>
  <c r="BT42" i="6"/>
  <c r="E26" i="8" l="1"/>
  <c r="CD42" i="6" s="1"/>
  <c r="BY42" i="6"/>
  <c r="C37" i="6" l="1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B37" i="6"/>
  <c r="C10" i="1"/>
  <c r="AK43" i="6"/>
  <c r="AP43" i="6"/>
  <c r="AU43" i="6"/>
  <c r="AZ43" i="6"/>
  <c r="BE43" i="6"/>
  <c r="BJ43" i="6"/>
  <c r="BO43" i="6"/>
  <c r="BT43" i="6"/>
  <c r="BY43" i="6"/>
  <c r="CD43" i="6"/>
  <c r="AL43" i="6" l="1"/>
  <c r="AM43" i="6" s="1"/>
  <c r="BZ43" i="6"/>
  <c r="BA43" i="6"/>
  <c r="BU43" i="6"/>
  <c r="BF43" i="6"/>
  <c r="BP43" i="6"/>
  <c r="AQ43" i="6"/>
  <c r="AV43" i="6"/>
  <c r="BK43" i="6"/>
  <c r="C15" i="1"/>
  <c r="CA43" i="6" l="1"/>
  <c r="BV43" i="6"/>
  <c r="BL43" i="6"/>
  <c r="BG43" i="6"/>
  <c r="BB43" i="6"/>
  <c r="BQ43" i="6"/>
  <c r="AN43" i="6"/>
  <c r="AW43" i="6"/>
  <c r="AR43" i="6"/>
  <c r="AH88" i="6"/>
  <c r="AI88" i="6" s="1"/>
  <c r="AJ88" i="6" s="1"/>
  <c r="AK88" i="6" s="1"/>
  <c r="AL88" i="6" s="1"/>
  <c r="AH87" i="6"/>
  <c r="AI87" i="6" s="1"/>
  <c r="AJ87" i="6" s="1"/>
  <c r="AK87" i="6" s="1"/>
  <c r="AL87" i="6" s="1"/>
  <c r="BW43" i="6" l="1"/>
  <c r="BM43" i="6"/>
  <c r="AX43" i="6"/>
  <c r="BC43" i="6"/>
  <c r="AS43" i="6"/>
  <c r="AO43" i="6"/>
  <c r="CB43" i="6"/>
  <c r="BR43" i="6"/>
  <c r="BH43" i="6"/>
  <c r="AP155" i="5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O147" i="5"/>
  <c r="AO148" i="5"/>
  <c r="AO149" i="5"/>
  <c r="CC43" i="6" l="1"/>
  <c r="BN43" i="6"/>
  <c r="BX43" i="6"/>
  <c r="AY43" i="6"/>
  <c r="BD43" i="6"/>
  <c r="AT43" i="6"/>
  <c r="BS43" i="6"/>
  <c r="BI43" i="6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C105" i="6" l="1"/>
  <c r="C116" i="6"/>
  <c r="C104" i="6"/>
  <c r="C100" i="6"/>
  <c r="C112" i="6"/>
  <c r="C111" i="6"/>
  <c r="C99" i="6"/>
  <c r="C110" i="6"/>
  <c r="C98" i="6"/>
  <c r="C103" i="6"/>
  <c r="C114" i="6"/>
  <c r="C102" i="6"/>
  <c r="C115" i="6"/>
  <c r="C113" i="6"/>
  <c r="C101" i="6"/>
  <c r="C109" i="6"/>
  <c r="C108" i="6"/>
  <c r="C107" i="6"/>
  <c r="C97" i="6"/>
  <c r="C96" i="6"/>
  <c r="C106" i="6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Q70" i="5"/>
  <c r="Q7" i="5" s="1"/>
  <c r="Q8" i="5" s="1"/>
  <c r="R70" i="5"/>
  <c r="R7" i="5" s="1"/>
  <c r="S70" i="5"/>
  <c r="S7" i="5" s="1"/>
  <c r="T70" i="5"/>
  <c r="T7" i="5" s="1"/>
  <c r="U70" i="5"/>
  <c r="U7" i="5" s="1"/>
  <c r="U8" i="5" s="1"/>
  <c r="V70" i="5"/>
  <c r="V7" i="5" s="1"/>
  <c r="W70" i="5"/>
  <c r="W7" i="5" s="1"/>
  <c r="X70" i="5"/>
  <c r="X7" i="5" s="1"/>
  <c r="Y70" i="5"/>
  <c r="Y7" i="5" s="1"/>
  <c r="Z70" i="5"/>
  <c r="Z7" i="5" s="1"/>
  <c r="AA70" i="5"/>
  <c r="AA7" i="5" s="1"/>
  <c r="AB70" i="5"/>
  <c r="AB7" i="5" s="1"/>
  <c r="AC70" i="5"/>
  <c r="AC7" i="5" s="1"/>
  <c r="AC8" i="5" s="1"/>
  <c r="AD70" i="5"/>
  <c r="AD7" i="5" s="1"/>
  <c r="AE70" i="5"/>
  <c r="AE7" i="5" s="1"/>
  <c r="AF70" i="5"/>
  <c r="AF7" i="5" s="1"/>
  <c r="AG70" i="5"/>
  <c r="AG7" i="5" s="1"/>
  <c r="AH70" i="5"/>
  <c r="AH7" i="5" s="1"/>
  <c r="AI70" i="5"/>
  <c r="AI7" i="5" s="1"/>
  <c r="AJ70" i="5"/>
  <c r="AJ7" i="5" s="1"/>
  <c r="AK70" i="5"/>
  <c r="AK7" i="5" s="1"/>
  <c r="AL70" i="5"/>
  <c r="AL7" i="5" s="1"/>
  <c r="AM70" i="5"/>
  <c r="AM7" i="5" s="1"/>
  <c r="AN70" i="5"/>
  <c r="AN7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V70" i="5"/>
  <c r="AV7" i="5" s="1"/>
  <c r="AW70" i="5"/>
  <c r="AW7" i="5" s="1"/>
  <c r="AX70" i="5"/>
  <c r="AX7" i="5" s="1"/>
  <c r="AY70" i="5"/>
  <c r="AY7" i="5" s="1"/>
  <c r="AZ70" i="5"/>
  <c r="AZ7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G51" i="6"/>
  <c r="H51" i="6"/>
  <c r="I51" i="6"/>
  <c r="CD45" i="6" l="1"/>
  <c r="AF8" i="5"/>
  <c r="T8" i="5"/>
  <c r="AY8" i="5"/>
  <c r="AA8" i="5"/>
  <c r="AU8" i="5"/>
  <c r="AI8" i="5"/>
  <c r="W8" i="5"/>
  <c r="AZ8" i="5"/>
  <c r="AN8" i="5"/>
  <c r="AB8" i="5"/>
  <c r="P8" i="5"/>
  <c r="BH8" i="5"/>
  <c r="BH2" i="5" s="1"/>
  <c r="BH6" i="5" s="1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4" i="5"/>
  <c r="AG8" i="5"/>
  <c r="BG8" i="5"/>
  <c r="J35" i="5"/>
  <c r="K2" i="5" a="1"/>
  <c r="K2" i="5" s="1"/>
  <c r="K6" i="5" s="1"/>
  <c r="K14" i="5" s="1"/>
  <c r="D12" i="6" s="1"/>
  <c r="D98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M4" i="5" l="1"/>
  <c r="AN4" i="5"/>
  <c r="K4" i="5"/>
  <c r="K13" i="5" s="1"/>
  <c r="D11" i="6" s="1"/>
  <c r="D97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E98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L13" i="5" l="1"/>
  <c r="E11" i="6" s="1"/>
  <c r="E97" i="6" s="1"/>
  <c r="M14" i="5"/>
  <c r="F12" i="6" s="1"/>
  <c r="F98" i="6" s="1"/>
  <c r="AP2" i="5"/>
  <c r="AP6" i="5" s="1"/>
  <c r="AO4" i="5"/>
  <c r="AP4" i="5" l="1"/>
  <c r="AQ2" i="5"/>
  <c r="AR2" i="5" s="1"/>
  <c r="M13" i="5"/>
  <c r="F11" i="6" s="1"/>
  <c r="F97" i="6" s="1"/>
  <c r="N14" i="5"/>
  <c r="G12" i="6" s="1"/>
  <c r="G98" i="6" s="1"/>
  <c r="AQ4" i="5" l="1"/>
  <c r="AQ6" i="5"/>
  <c r="N13" i="5"/>
  <c r="G11" i="6" s="1"/>
  <c r="G97" i="6" s="1"/>
  <c r="O14" i="5"/>
  <c r="H12" i="6" s="1"/>
  <c r="H98" i="6" s="1"/>
  <c r="AR4" i="5"/>
  <c r="AS2" i="5"/>
  <c r="AR6" i="5"/>
  <c r="O13" i="5" l="1"/>
  <c r="H11" i="6" s="1"/>
  <c r="H97" i="6" s="1"/>
  <c r="P14" i="5"/>
  <c r="I12" i="6" s="1"/>
  <c r="I98" i="6" s="1"/>
  <c r="AT2" i="5"/>
  <c r="AS4" i="5"/>
  <c r="AS6" i="5"/>
  <c r="P13" i="5" l="1"/>
  <c r="I11" i="6" s="1"/>
  <c r="I97" i="6" s="1"/>
  <c r="Q14" i="5"/>
  <c r="J12" i="6" s="1"/>
  <c r="J98" i="6" s="1"/>
  <c r="Q13" i="5"/>
  <c r="J11" i="6" s="1"/>
  <c r="AU2" i="5"/>
  <c r="AT6" i="5"/>
  <c r="AT4" i="5"/>
  <c r="J97" i="6" l="1"/>
  <c r="R13" i="5"/>
  <c r="K11" i="6" s="1"/>
  <c r="R14" i="5"/>
  <c r="K12" i="6" s="1"/>
  <c r="K98" i="6" s="1"/>
  <c r="AV2" i="5"/>
  <c r="AU6" i="5"/>
  <c r="AU4" i="5"/>
  <c r="K97" i="6" l="1"/>
  <c r="S14" i="5"/>
  <c r="L12" i="6" s="1"/>
  <c r="L98" i="6" s="1"/>
  <c r="S13" i="5"/>
  <c r="L11" i="6" s="1"/>
  <c r="L97" i="6" s="1"/>
  <c r="AW2" i="5"/>
  <c r="AV6" i="5"/>
  <c r="AV4" i="5"/>
  <c r="T13" i="5" l="1"/>
  <c r="M11" i="6" s="1"/>
  <c r="M97" i="6" s="1"/>
  <c r="T14" i="5"/>
  <c r="M12" i="6" s="1"/>
  <c r="M98" i="6" s="1"/>
  <c r="AX2" i="5"/>
  <c r="AW6" i="5"/>
  <c r="AW4" i="5"/>
  <c r="U14" i="5" l="1"/>
  <c r="N12" i="6" s="1"/>
  <c r="N98" i="6" s="1"/>
  <c r="U13" i="5"/>
  <c r="N11" i="6" s="1"/>
  <c r="N97" i="6" s="1"/>
  <c r="AY2" i="5"/>
  <c r="AX6" i="5"/>
  <c r="AX4" i="5"/>
  <c r="V13" i="5" l="1"/>
  <c r="O11" i="6" s="1"/>
  <c r="O97" i="6" s="1"/>
  <c r="V14" i="5"/>
  <c r="O12" i="6" s="1"/>
  <c r="O98" i="6" s="1"/>
  <c r="AZ2" i="5"/>
  <c r="AY4" i="5"/>
  <c r="AY6" i="5"/>
  <c r="W14" i="5" l="1"/>
  <c r="P12" i="6" s="1"/>
  <c r="P98" i="6" s="1"/>
  <c r="W13" i="5"/>
  <c r="P11" i="6" s="1"/>
  <c r="P97" i="6" s="1"/>
  <c r="BA2" i="5"/>
  <c r="AZ4" i="5"/>
  <c r="AZ6" i="5"/>
  <c r="X13" i="5" l="1"/>
  <c r="Q11" i="6" s="1"/>
  <c r="Q97" i="6" s="1"/>
  <c r="X14" i="5"/>
  <c r="Q12" i="6" s="1"/>
  <c r="Q98" i="6" s="1"/>
  <c r="BB2" i="5"/>
  <c r="BA6" i="5"/>
  <c r="BA4" i="5"/>
  <c r="Y14" i="5" l="1"/>
  <c r="R12" i="6" s="1"/>
  <c r="R98" i="6" s="1"/>
  <c r="Y13" i="5"/>
  <c r="R11" i="6" s="1"/>
  <c r="R97" i="6" s="1"/>
  <c r="BC2" i="5"/>
  <c r="BB6" i="5"/>
  <c r="BB4" i="5"/>
  <c r="Z13" i="5" l="1"/>
  <c r="S11" i="6" s="1"/>
  <c r="S97" i="6" s="1"/>
  <c r="Z14" i="5"/>
  <c r="S12" i="6" s="1"/>
  <c r="S98" i="6" s="1"/>
  <c r="BD2" i="5"/>
  <c r="BC4" i="5"/>
  <c r="BC6" i="5"/>
  <c r="AA14" i="5" l="1"/>
  <c r="T12" i="6" s="1"/>
  <c r="T98" i="6" s="1"/>
  <c r="AA13" i="5"/>
  <c r="T11" i="6" s="1"/>
  <c r="T97" i="6" s="1"/>
  <c r="BE2" i="5"/>
  <c r="BD4" i="5"/>
  <c r="BD6" i="5"/>
  <c r="AB13" i="5" l="1"/>
  <c r="U11" i="6" s="1"/>
  <c r="U97" i="6" s="1"/>
  <c r="AB14" i="5"/>
  <c r="U12" i="6" s="1"/>
  <c r="U98" i="6" s="1"/>
  <c r="BF2" i="5"/>
  <c r="BE4" i="5"/>
  <c r="BE6" i="5"/>
  <c r="AC14" i="5" l="1"/>
  <c r="V12" i="6" s="1"/>
  <c r="V98" i="6" s="1"/>
  <c r="AC13" i="5"/>
  <c r="V11" i="6" s="1"/>
  <c r="V97" i="6" s="1"/>
  <c r="BG2" i="5"/>
  <c r="BF6" i="5"/>
  <c r="BF4" i="5"/>
  <c r="AD13" i="5" l="1"/>
  <c r="W11" i="6" s="1"/>
  <c r="W97" i="6" s="1"/>
  <c r="AD14" i="5"/>
  <c r="W12" i="6" s="1"/>
  <c r="W98" i="6" s="1"/>
  <c r="BG6" i="5"/>
  <c r="BG4" i="5"/>
  <c r="AE14" i="5" l="1"/>
  <c r="X12" i="6" s="1"/>
  <c r="X98" i="6" s="1"/>
  <c r="AE13" i="5"/>
  <c r="X11" i="6" s="1"/>
  <c r="X97" i="6" s="1"/>
  <c r="AF13" i="5" l="1"/>
  <c r="Y11" i="6" s="1"/>
  <c r="Y97" i="6" s="1"/>
  <c r="AF14" i="5"/>
  <c r="Y12" i="6" s="1"/>
  <c r="Y98" i="6" s="1"/>
  <c r="AG14" i="5" l="1"/>
  <c r="Z12" i="6" s="1"/>
  <c r="Z98" i="6" s="1"/>
  <c r="AG13" i="5"/>
  <c r="Z11" i="6" s="1"/>
  <c r="Z97" i="6" s="1"/>
  <c r="AH13" i="5" l="1"/>
  <c r="AH14" i="5"/>
  <c r="AI14" i="5" l="1"/>
  <c r="AA12" i="6"/>
  <c r="AA98" i="6" s="1"/>
  <c r="AI13" i="5"/>
  <c r="AA11" i="6"/>
  <c r="AA97" i="6" s="1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J51" i="6"/>
  <c r="D35" i="6"/>
  <c r="E35" i="6"/>
  <c r="F35" i="6"/>
  <c r="F38" i="6" s="1"/>
  <c r="G35" i="6"/>
  <c r="G38" i="6" s="1"/>
  <c r="H35" i="6"/>
  <c r="H38" i="6" s="1"/>
  <c r="I35" i="6"/>
  <c r="J35" i="6"/>
  <c r="J38" i="6" s="1"/>
  <c r="K35" i="6"/>
  <c r="L35" i="6"/>
  <c r="L38" i="6" s="1"/>
  <c r="M35" i="6"/>
  <c r="N35" i="6"/>
  <c r="N38" i="6" s="1"/>
  <c r="O35" i="6"/>
  <c r="O38" i="6" s="1"/>
  <c r="P35" i="6"/>
  <c r="P38" i="6" s="1"/>
  <c r="Q35" i="6"/>
  <c r="R35" i="6"/>
  <c r="R38" i="6" s="1"/>
  <c r="S35" i="6"/>
  <c r="S38" i="6" s="1"/>
  <c r="T35" i="6"/>
  <c r="T38" i="6" s="1"/>
  <c r="U35" i="6"/>
  <c r="V35" i="6"/>
  <c r="V38" i="6" s="1"/>
  <c r="W35" i="6"/>
  <c r="X35" i="6"/>
  <c r="X38" i="6" s="1"/>
  <c r="Y35" i="6"/>
  <c r="Z35" i="6"/>
  <c r="Z38" i="6" s="1"/>
  <c r="AA35" i="6"/>
  <c r="AA38" i="6" s="1"/>
  <c r="AB35" i="6"/>
  <c r="AB38" i="6" s="1"/>
  <c r="AC35" i="6"/>
  <c r="AD35" i="6"/>
  <c r="AD38" i="6" s="1"/>
  <c r="AE35" i="6"/>
  <c r="AE38" i="6" s="1"/>
  <c r="AF35" i="6"/>
  <c r="AF38" i="6" s="1"/>
  <c r="AG35" i="6"/>
  <c r="AH35" i="6"/>
  <c r="AH38" i="6" s="1"/>
  <c r="AI35" i="6"/>
  <c r="AJ35" i="6"/>
  <c r="AJ38" i="6" s="1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35" i="6"/>
  <c r="C38" i="6" s="1"/>
  <c r="B35" i="6"/>
  <c r="C12" i="1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4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BK45" i="6" l="1"/>
  <c r="BK38" i="6"/>
  <c r="BV45" i="6"/>
  <c r="BV38" i="6"/>
  <c r="BU45" i="6"/>
  <c r="BU38" i="6"/>
  <c r="BI45" i="6"/>
  <c r="BI38" i="6"/>
  <c r="AW45" i="6"/>
  <c r="AW38" i="6"/>
  <c r="AK45" i="6"/>
  <c r="G17" i="8"/>
  <c r="F17" i="8" s="1"/>
  <c r="AK38" i="6"/>
  <c r="Y38" i="6"/>
  <c r="M38" i="6"/>
  <c r="BJ45" i="6"/>
  <c r="BJ38" i="6"/>
  <c r="AN45" i="6"/>
  <c r="AN38" i="6"/>
  <c r="BH45" i="6"/>
  <c r="BH38" i="6"/>
  <c r="B38" i="6"/>
  <c r="A38" i="6" s="1"/>
  <c r="BS45" i="6"/>
  <c r="BS38" i="6"/>
  <c r="BG45" i="6"/>
  <c r="BG38" i="6"/>
  <c r="AU45" i="6"/>
  <c r="AU38" i="6"/>
  <c r="AI38" i="6"/>
  <c r="W38" i="6"/>
  <c r="K38" i="6"/>
  <c r="G10" i="8"/>
  <c r="E10" i="8" s="1"/>
  <c r="D38" i="6"/>
  <c r="CC45" i="6"/>
  <c r="CC38" i="6"/>
  <c r="CD38" i="6"/>
  <c r="BQ45" i="6"/>
  <c r="BQ38" i="6"/>
  <c r="BE45" i="6"/>
  <c r="BE38" i="6"/>
  <c r="AS45" i="6"/>
  <c r="AS38" i="6"/>
  <c r="AG38" i="6"/>
  <c r="U38" i="6"/>
  <c r="I38" i="6"/>
  <c r="AZ45" i="6"/>
  <c r="AZ38" i="6"/>
  <c r="AM45" i="6"/>
  <c r="AM38" i="6"/>
  <c r="AL45" i="6"/>
  <c r="AL38" i="6"/>
  <c r="BF45" i="6"/>
  <c r="BF38" i="6"/>
  <c r="BP45" i="6"/>
  <c r="BP38" i="6"/>
  <c r="AV45" i="6"/>
  <c r="AV38" i="6"/>
  <c r="AT45" i="6"/>
  <c r="AT38" i="6"/>
  <c r="CB45" i="6"/>
  <c r="CB38" i="6"/>
  <c r="BD45" i="6"/>
  <c r="BD38" i="6"/>
  <c r="BO45" i="6"/>
  <c r="BO38" i="6"/>
  <c r="AQ45" i="6"/>
  <c r="AQ38" i="6"/>
  <c r="BL45" i="6"/>
  <c r="BL38" i="6"/>
  <c r="AY45" i="6"/>
  <c r="AY38" i="6"/>
  <c r="AX45" i="6"/>
  <c r="AX38" i="6"/>
  <c r="BR45" i="6"/>
  <c r="BR38" i="6"/>
  <c r="AR45" i="6"/>
  <c r="AR38" i="6"/>
  <c r="CA45" i="6"/>
  <c r="CA38" i="6"/>
  <c r="BZ45" i="6"/>
  <c r="BZ38" i="6"/>
  <c r="BB45" i="6"/>
  <c r="BB38" i="6"/>
  <c r="BX45" i="6"/>
  <c r="BX38" i="6"/>
  <c r="BW45" i="6"/>
  <c r="BW38" i="6"/>
  <c r="BT45" i="6"/>
  <c r="BT38" i="6"/>
  <c r="BC45" i="6"/>
  <c r="BC38" i="6"/>
  <c r="BN45" i="6"/>
  <c r="BN38" i="6"/>
  <c r="AP45" i="6"/>
  <c r="AP38" i="6"/>
  <c r="BY45" i="6"/>
  <c r="BY38" i="6"/>
  <c r="BM45" i="6"/>
  <c r="BM38" i="6"/>
  <c r="BA45" i="6"/>
  <c r="BA38" i="6"/>
  <c r="AO45" i="6"/>
  <c r="AO38" i="6"/>
  <c r="AC38" i="6"/>
  <c r="Q38" i="6"/>
  <c r="E38" i="6"/>
  <c r="AJ13" i="5"/>
  <c r="AB11" i="6"/>
  <c r="AB97" i="6" s="1"/>
  <c r="AJ14" i="5"/>
  <c r="AB12" i="6"/>
  <c r="AB98" i="6" s="1"/>
  <c r="J52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E9" i="8" l="1"/>
  <c r="B42" i="6" s="1"/>
  <c r="B43" i="6" s="1"/>
  <c r="D42" i="6"/>
  <c r="D43" i="6" s="1"/>
  <c r="C43" i="6" s="1"/>
  <c r="E11" i="8"/>
  <c r="AK14" i="5"/>
  <c r="AC12" i="6"/>
  <c r="AC98" i="6" s="1"/>
  <c r="AK13" i="5"/>
  <c r="AC11" i="6"/>
  <c r="AC97" i="6" s="1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43" i="6" l="1"/>
  <c r="A45" i="6" s="1"/>
  <c r="B45" i="6"/>
  <c r="AL13" i="5"/>
  <c r="AD11" i="6"/>
  <c r="AD97" i="6" s="1"/>
  <c r="AL14" i="5"/>
  <c r="AD12" i="6"/>
  <c r="AD98" i="6" s="1"/>
  <c r="B63" i="6"/>
  <c r="A63" i="6"/>
  <c r="C58" i="6"/>
  <c r="B58" i="6"/>
  <c r="C57" i="6"/>
  <c r="B57" i="6"/>
  <c r="C56" i="6"/>
  <c r="B56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E98" i="6" s="1"/>
  <c r="AM13" i="5"/>
  <c r="AE11" i="6"/>
  <c r="AE97" i="6" s="1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F97" i="6" s="1"/>
  <c r="AN14" i="5"/>
  <c r="AF12" i="6"/>
  <c r="AF98" i="6" s="1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D112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E112" i="6" s="1"/>
  <c r="AO14" i="5"/>
  <c r="AG12" i="6"/>
  <c r="AG98" i="6" s="1"/>
  <c r="AO13" i="5"/>
  <c r="AG11" i="6"/>
  <c r="AG97" i="6" s="1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AH97" i="6" s="1"/>
  <c r="Q134" i="5"/>
  <c r="AP14" i="5"/>
  <c r="AH12" i="6"/>
  <c r="AH98" i="6" s="1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I98" i="6" s="1"/>
  <c r="AQ13" i="5"/>
  <c r="AI11" i="6"/>
  <c r="AI97" i="6" s="1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F112" i="6" s="1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J98" i="6" s="1"/>
  <c r="AR13" i="5"/>
  <c r="AJ11" i="6"/>
  <c r="AJ97" i="6" s="1"/>
  <c r="G26" i="6"/>
  <c r="G112" i="6" s="1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AK97" i="6" s="1"/>
  <c r="W106" i="5"/>
  <c r="AS14" i="5"/>
  <c r="AK12" i="6"/>
  <c r="AK98" i="6" s="1"/>
  <c r="H26" i="6"/>
  <c r="H112" i="6" s="1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AT14" i="5" l="1"/>
  <c r="AL12" i="6"/>
  <c r="AL98" i="6" s="1"/>
  <c r="AT13" i="5"/>
  <c r="AL11" i="6"/>
  <c r="AL97" i="6" s="1"/>
  <c r="Q28" i="5"/>
  <c r="I26" i="6"/>
  <c r="I112" i="6" s="1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J112" i="6" s="1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K112" i="6" s="1"/>
  <c r="C13" i="1"/>
  <c r="C11" i="1"/>
  <c r="C8" i="1"/>
  <c r="AW13" i="5" l="1"/>
  <c r="AO11" i="6"/>
  <c r="AW14" i="5"/>
  <c r="AO12" i="6"/>
  <c r="T28" i="5"/>
  <c r="L26" i="6"/>
  <c r="L112" i="6" s="1"/>
  <c r="C51" i="6"/>
  <c r="D51" i="6"/>
  <c r="E51" i="6"/>
  <c r="F51" i="6"/>
  <c r="B51" i="6"/>
  <c r="B49" i="6"/>
  <c r="C49" i="6" s="1"/>
  <c r="D49" i="6" s="1"/>
  <c r="E49" i="6" s="1"/>
  <c r="F49" i="6" s="1"/>
  <c r="C7" i="1"/>
  <c r="AX14" i="5" l="1"/>
  <c r="AP12" i="6"/>
  <c r="AX13" i="5"/>
  <c r="AP11" i="6"/>
  <c r="U28" i="5"/>
  <c r="M26" i="6"/>
  <c r="M112" i="6" s="1"/>
  <c r="C6" i="6"/>
  <c r="AY13" i="5" l="1"/>
  <c r="AQ11" i="6"/>
  <c r="AY14" i="5"/>
  <c r="AQ12" i="6"/>
  <c r="V28" i="5"/>
  <c r="N26" i="6"/>
  <c r="N112" i="6" s="1"/>
  <c r="J53" i="6"/>
  <c r="AZ14" i="5" l="1"/>
  <c r="AR12" i="6"/>
  <c r="AZ13" i="5"/>
  <c r="AR11" i="6"/>
  <c r="W28" i="5"/>
  <c r="O26" i="6"/>
  <c r="O112" i="6" s="1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P112" i="6" s="1"/>
  <c r="K9" i="5"/>
  <c r="K10" i="5" s="1"/>
  <c r="K12" i="5"/>
  <c r="D10" i="6" s="1"/>
  <c r="D96" i="6" s="1"/>
  <c r="K34" i="5"/>
  <c r="K44" i="5" s="1"/>
  <c r="D58" i="6" s="1"/>
  <c r="L33" i="5"/>
  <c r="L3" i="5"/>
  <c r="BB14" i="5" l="1"/>
  <c r="AT12" i="6"/>
  <c r="BB13" i="5"/>
  <c r="AT11" i="6"/>
  <c r="Y28" i="5"/>
  <c r="Q26" i="6"/>
  <c r="Q112" i="6" s="1"/>
  <c r="K43" i="5"/>
  <c r="D57" i="6" s="1"/>
  <c r="C63" i="6"/>
  <c r="K35" i="5"/>
  <c r="K22" i="5" s="1"/>
  <c r="D20" i="6" s="1"/>
  <c r="D106" i="6" s="1"/>
  <c r="L9" i="5"/>
  <c r="L10" i="5" s="1"/>
  <c r="L12" i="5"/>
  <c r="E10" i="6" s="1"/>
  <c r="E96" i="6" s="1"/>
  <c r="L34" i="5"/>
  <c r="M33" i="5"/>
  <c r="M3" i="5"/>
  <c r="BC13" i="5" l="1"/>
  <c r="AU11" i="6"/>
  <c r="BC14" i="5"/>
  <c r="AU12" i="6"/>
  <c r="K32" i="5"/>
  <c r="D30" i="6" s="1"/>
  <c r="D116" i="6" s="1"/>
  <c r="K25" i="5"/>
  <c r="D23" i="6" s="1"/>
  <c r="D109" i="6" s="1"/>
  <c r="K30" i="5"/>
  <c r="D28" i="6" s="1"/>
  <c r="D114" i="6" s="1"/>
  <c r="K20" i="5"/>
  <c r="D18" i="6" s="1"/>
  <c r="D104" i="6" s="1"/>
  <c r="K23" i="5"/>
  <c r="D21" i="6" s="1"/>
  <c r="D107" i="6" s="1"/>
  <c r="K42" i="5"/>
  <c r="D56" i="6" s="1"/>
  <c r="Z28" i="5"/>
  <c r="R26" i="6"/>
  <c r="R112" i="6" s="1"/>
  <c r="K29" i="5"/>
  <c r="D27" i="6" s="1"/>
  <c r="D113" i="6" s="1"/>
  <c r="K31" i="5"/>
  <c r="D29" i="6" s="1"/>
  <c r="D115" i="6" s="1"/>
  <c r="K27" i="5"/>
  <c r="D25" i="6" s="1"/>
  <c r="D111" i="6" s="1"/>
  <c r="K26" i="5"/>
  <c r="D24" i="6" s="1"/>
  <c r="D110" i="6" s="1"/>
  <c r="K18" i="5"/>
  <c r="D16" i="6" s="1"/>
  <c r="D102" i="6" s="1"/>
  <c r="K16" i="5"/>
  <c r="D14" i="6" s="1"/>
  <c r="D100" i="6" s="1"/>
  <c r="K21" i="5"/>
  <c r="D19" i="6" s="1"/>
  <c r="D105" i="6" s="1"/>
  <c r="K17" i="5"/>
  <c r="D15" i="6" s="1"/>
  <c r="D101" i="6" s="1"/>
  <c r="K19" i="5"/>
  <c r="D17" i="6" s="1"/>
  <c r="D103" i="6" s="1"/>
  <c r="K24" i="5"/>
  <c r="D22" i="6" s="1"/>
  <c r="D108" i="6" s="1"/>
  <c r="L35" i="5"/>
  <c r="L32" i="5" s="1"/>
  <c r="E30" i="6" s="1"/>
  <c r="M9" i="5"/>
  <c r="M10" i="5" s="1"/>
  <c r="K15" i="5"/>
  <c r="D13" i="6" s="1"/>
  <c r="D99" i="6" s="1"/>
  <c r="L43" i="5"/>
  <c r="E57" i="6" s="1"/>
  <c r="M12" i="5"/>
  <c r="F10" i="6" s="1"/>
  <c r="F96" i="6" s="1"/>
  <c r="L44" i="5"/>
  <c r="E58" i="6" s="1"/>
  <c r="D63" i="6"/>
  <c r="N3" i="5"/>
  <c r="M34" i="5"/>
  <c r="N33" i="5"/>
  <c r="E116" i="6" l="1"/>
  <c r="BD14" i="5"/>
  <c r="AV12" i="6"/>
  <c r="BD13" i="5"/>
  <c r="AV11" i="6"/>
  <c r="AA28" i="5"/>
  <c r="S26" i="6"/>
  <c r="S112" i="6" s="1"/>
  <c r="L22" i="5"/>
  <c r="E20" i="6" s="1"/>
  <c r="E106" i="6" s="1"/>
  <c r="L26" i="5"/>
  <c r="E24" i="6" s="1"/>
  <c r="E110" i="6" s="1"/>
  <c r="D7" i="6"/>
  <c r="D6" i="6" s="1"/>
  <c r="L20" i="5"/>
  <c r="E18" i="6" s="1"/>
  <c r="E104" i="6" s="1"/>
  <c r="L18" i="5"/>
  <c r="E16" i="6" s="1"/>
  <c r="E102" i="6" s="1"/>
  <c r="L17" i="5"/>
  <c r="E15" i="6" s="1"/>
  <c r="E101" i="6" s="1"/>
  <c r="L21" i="5"/>
  <c r="E19" i="6" s="1"/>
  <c r="E105" i="6" s="1"/>
  <c r="L16" i="5"/>
  <c r="E14" i="6" s="1"/>
  <c r="E100" i="6" s="1"/>
  <c r="L30" i="5"/>
  <c r="E28" i="6" s="1"/>
  <c r="E114" i="6" s="1"/>
  <c r="L31" i="5"/>
  <c r="E29" i="6" s="1"/>
  <c r="E115" i="6" s="1"/>
  <c r="L23" i="5"/>
  <c r="E21" i="6" s="1"/>
  <c r="E107" i="6" s="1"/>
  <c r="L19" i="5"/>
  <c r="E17" i="6" s="1"/>
  <c r="E103" i="6" s="1"/>
  <c r="L29" i="5"/>
  <c r="E27" i="6" s="1"/>
  <c r="E113" i="6" s="1"/>
  <c r="L27" i="5"/>
  <c r="E25" i="6" s="1"/>
  <c r="E111" i="6" s="1"/>
  <c r="L25" i="5"/>
  <c r="E23" i="6" s="1"/>
  <c r="E109" i="6" s="1"/>
  <c r="F109" i="6" s="1"/>
  <c r="L24" i="5"/>
  <c r="E22" i="6" s="1"/>
  <c r="E108" i="6" s="1"/>
  <c r="L15" i="5"/>
  <c r="E13" i="6" s="1"/>
  <c r="E99" i="6" s="1"/>
  <c r="M35" i="5"/>
  <c r="M25" i="5" s="1"/>
  <c r="F23" i="6" s="1"/>
  <c r="N9" i="5"/>
  <c r="N10" i="5" s="1"/>
  <c r="K37" i="5"/>
  <c r="L42" i="5"/>
  <c r="E56" i="6" s="1"/>
  <c r="N12" i="5"/>
  <c r="G10" i="6" s="1"/>
  <c r="G96" i="6" s="1"/>
  <c r="E63" i="6"/>
  <c r="L36" i="5"/>
  <c r="M44" i="5"/>
  <c r="F58" i="6" s="1"/>
  <c r="N34" i="5"/>
  <c r="O33" i="5"/>
  <c r="M43" i="5"/>
  <c r="F57" i="6" s="1"/>
  <c r="O3" i="5"/>
  <c r="BE13" i="5" l="1"/>
  <c r="AW11" i="6"/>
  <c r="BE14" i="5"/>
  <c r="AW12" i="6"/>
  <c r="M22" i="5"/>
  <c r="F20" i="6" s="1"/>
  <c r="F106" i="6" s="1"/>
  <c r="M32" i="5"/>
  <c r="F30" i="6" s="1"/>
  <c r="F116" i="6" s="1"/>
  <c r="M17" i="5"/>
  <c r="F15" i="6" s="1"/>
  <c r="F101" i="6" s="1"/>
  <c r="M18" i="5"/>
  <c r="F16" i="6" s="1"/>
  <c r="F102" i="6" s="1"/>
  <c r="AB28" i="5"/>
  <c r="T26" i="6"/>
  <c r="T112" i="6" s="1"/>
  <c r="M15" i="5"/>
  <c r="F13" i="6" s="1"/>
  <c r="F99" i="6" s="1"/>
  <c r="M26" i="5"/>
  <c r="F24" i="6" s="1"/>
  <c r="F110" i="6" s="1"/>
  <c r="M24" i="5"/>
  <c r="F22" i="6" s="1"/>
  <c r="F108" i="6" s="1"/>
  <c r="M31" i="5"/>
  <c r="F29" i="6" s="1"/>
  <c r="F115" i="6" s="1"/>
  <c r="M21" i="5"/>
  <c r="F19" i="6" s="1"/>
  <c r="F105" i="6" s="1"/>
  <c r="M20" i="5"/>
  <c r="F18" i="6" s="1"/>
  <c r="F104" i="6" s="1"/>
  <c r="M27" i="5"/>
  <c r="F25" i="6" s="1"/>
  <c r="F111" i="6" s="1"/>
  <c r="M16" i="5"/>
  <c r="F14" i="6" s="1"/>
  <c r="F100" i="6" s="1"/>
  <c r="M23" i="5"/>
  <c r="F21" i="6" s="1"/>
  <c r="F107" i="6" s="1"/>
  <c r="M30" i="5"/>
  <c r="F28" i="6" s="1"/>
  <c r="F114" i="6" s="1"/>
  <c r="E7" i="6"/>
  <c r="E6" i="6" s="1"/>
  <c r="M29" i="5"/>
  <c r="F27" i="6" s="1"/>
  <c r="F113" i="6" s="1"/>
  <c r="M19" i="5"/>
  <c r="F17" i="6" s="1"/>
  <c r="F103" i="6" s="1"/>
  <c r="N35" i="5"/>
  <c r="N17" i="5" s="1"/>
  <c r="G15" i="6" s="1"/>
  <c r="O9" i="5"/>
  <c r="O10" i="5" s="1"/>
  <c r="O12" i="5"/>
  <c r="H10" i="6" s="1"/>
  <c r="H96" i="6" s="1"/>
  <c r="M36" i="5"/>
  <c r="F63" i="6"/>
  <c r="L37" i="5"/>
  <c r="N44" i="5"/>
  <c r="G58" i="6" s="1"/>
  <c r="P3" i="5"/>
  <c r="M42" i="5"/>
  <c r="F56" i="6" s="1"/>
  <c r="N43" i="5"/>
  <c r="G57" i="6" s="1"/>
  <c r="O34" i="5"/>
  <c r="P33" i="5"/>
  <c r="G101" i="6" l="1"/>
  <c r="BF14" i="5"/>
  <c r="AX12" i="6"/>
  <c r="BF13" i="5"/>
  <c r="AX11" i="6"/>
  <c r="N31" i="5"/>
  <c r="G29" i="6" s="1"/>
  <c r="G115" i="6" s="1"/>
  <c r="N29" i="5"/>
  <c r="G27" i="6" s="1"/>
  <c r="G113" i="6" s="1"/>
  <c r="N25" i="5"/>
  <c r="G23" i="6" s="1"/>
  <c r="G109" i="6" s="1"/>
  <c r="N21" i="5"/>
  <c r="G19" i="6" s="1"/>
  <c r="G105" i="6" s="1"/>
  <c r="F7" i="6"/>
  <c r="F6" i="6" s="1"/>
  <c r="AC28" i="5"/>
  <c r="U26" i="6"/>
  <c r="U112" i="6" s="1"/>
  <c r="N24" i="5"/>
  <c r="G22" i="6" s="1"/>
  <c r="G108" i="6" s="1"/>
  <c r="N32" i="5"/>
  <c r="G30" i="6" s="1"/>
  <c r="G116" i="6" s="1"/>
  <c r="N15" i="5"/>
  <c r="G13" i="6" s="1"/>
  <c r="G99" i="6" s="1"/>
  <c r="N20" i="5"/>
  <c r="G18" i="6" s="1"/>
  <c r="G104" i="6" s="1"/>
  <c r="N22" i="5"/>
  <c r="G20" i="6" s="1"/>
  <c r="G106" i="6" s="1"/>
  <c r="N23" i="5"/>
  <c r="G21" i="6" s="1"/>
  <c r="G107" i="6" s="1"/>
  <c r="N27" i="5"/>
  <c r="G25" i="6" s="1"/>
  <c r="G111" i="6" s="1"/>
  <c r="N26" i="5"/>
  <c r="G24" i="6" s="1"/>
  <c r="G110" i="6" s="1"/>
  <c r="N30" i="5"/>
  <c r="G28" i="6" s="1"/>
  <c r="G114" i="6" s="1"/>
  <c r="N19" i="5"/>
  <c r="G17" i="6" s="1"/>
  <c r="G103" i="6" s="1"/>
  <c r="N16" i="5"/>
  <c r="G14" i="6" s="1"/>
  <c r="G100" i="6" s="1"/>
  <c r="N18" i="5"/>
  <c r="G16" i="6" s="1"/>
  <c r="G102" i="6" s="1"/>
  <c r="O35" i="5"/>
  <c r="O26" i="5" s="1"/>
  <c r="H24" i="6" s="1"/>
  <c r="P9" i="5"/>
  <c r="P10" i="5" s="1"/>
  <c r="M37" i="5"/>
  <c r="P12" i="5"/>
  <c r="I10" i="6" s="1"/>
  <c r="I96" i="6" s="1"/>
  <c r="N36" i="5"/>
  <c r="G63" i="6"/>
  <c r="O43" i="5"/>
  <c r="H57" i="6" s="1"/>
  <c r="N42" i="5"/>
  <c r="G56" i="6" s="1"/>
  <c r="Q3" i="5"/>
  <c r="P34" i="5"/>
  <c r="Q33" i="5"/>
  <c r="O44" i="5"/>
  <c r="H58" i="6" s="1"/>
  <c r="H110" i="6" l="1"/>
  <c r="BG13" i="5"/>
  <c r="AY11" i="6"/>
  <c r="BG14" i="5"/>
  <c r="AY12" i="6"/>
  <c r="AD28" i="5"/>
  <c r="V26" i="6"/>
  <c r="V112" i="6" s="1"/>
  <c r="O31" i="5"/>
  <c r="H29" i="6" s="1"/>
  <c r="H115" i="6" s="1"/>
  <c r="O32" i="5"/>
  <c r="H30" i="6" s="1"/>
  <c r="H116" i="6" s="1"/>
  <c r="O17" i="5"/>
  <c r="H15" i="6" s="1"/>
  <c r="H101" i="6" s="1"/>
  <c r="G7" i="6"/>
  <c r="G6" i="6" s="1"/>
  <c r="O15" i="5"/>
  <c r="H13" i="6" s="1"/>
  <c r="H99" i="6" s="1"/>
  <c r="O30" i="5"/>
  <c r="H28" i="6" s="1"/>
  <c r="H114" i="6" s="1"/>
  <c r="O21" i="5"/>
  <c r="H19" i="6" s="1"/>
  <c r="H105" i="6" s="1"/>
  <c r="O18" i="5"/>
  <c r="H16" i="6" s="1"/>
  <c r="H102" i="6" s="1"/>
  <c r="O24" i="5"/>
  <c r="H22" i="6" s="1"/>
  <c r="H108" i="6" s="1"/>
  <c r="O25" i="5"/>
  <c r="H23" i="6" s="1"/>
  <c r="H109" i="6" s="1"/>
  <c r="O16" i="5"/>
  <c r="H14" i="6" s="1"/>
  <c r="H100" i="6" s="1"/>
  <c r="O20" i="5"/>
  <c r="H18" i="6" s="1"/>
  <c r="H104" i="6" s="1"/>
  <c r="O22" i="5"/>
  <c r="H20" i="6" s="1"/>
  <c r="H106" i="6" s="1"/>
  <c r="O19" i="5"/>
  <c r="H17" i="6" s="1"/>
  <c r="H103" i="6" s="1"/>
  <c r="O27" i="5"/>
  <c r="H25" i="6" s="1"/>
  <c r="H111" i="6" s="1"/>
  <c r="O29" i="5"/>
  <c r="H27" i="6" s="1"/>
  <c r="H113" i="6" s="1"/>
  <c r="O23" i="5"/>
  <c r="H21" i="6" s="1"/>
  <c r="H107" i="6" s="1"/>
  <c r="P35" i="5"/>
  <c r="P29" i="5" s="1"/>
  <c r="I27" i="6" s="1"/>
  <c r="Q9" i="5"/>
  <c r="Q10" i="5" s="1"/>
  <c r="N37" i="5"/>
  <c r="Q12" i="5"/>
  <c r="J10" i="6" s="1"/>
  <c r="J96" i="6" s="1"/>
  <c r="O36" i="5"/>
  <c r="H63" i="6"/>
  <c r="R3" i="5"/>
  <c r="P44" i="5"/>
  <c r="I58" i="6" s="1"/>
  <c r="P43" i="5"/>
  <c r="I57" i="6" s="1"/>
  <c r="O42" i="5"/>
  <c r="H56" i="6" s="1"/>
  <c r="R33" i="5"/>
  <c r="Q34" i="5"/>
  <c r="I113" i="6" l="1"/>
  <c r="BH14" i="5"/>
  <c r="BA12" i="6" s="1"/>
  <c r="AZ12" i="6"/>
  <c r="BH13" i="5"/>
  <c r="BA11" i="6" s="1"/>
  <c r="AZ11" i="6"/>
  <c r="P16" i="5"/>
  <c r="I14" i="6" s="1"/>
  <c r="I100" i="6" s="1"/>
  <c r="P21" i="5"/>
  <c r="I19" i="6" s="1"/>
  <c r="I105" i="6" s="1"/>
  <c r="P19" i="5"/>
  <c r="I17" i="6" s="1"/>
  <c r="I103" i="6" s="1"/>
  <c r="P27" i="5"/>
  <c r="I25" i="6" s="1"/>
  <c r="I111" i="6" s="1"/>
  <c r="P36" i="5"/>
  <c r="P30" i="5"/>
  <c r="I28" i="6" s="1"/>
  <c r="I114" i="6" s="1"/>
  <c r="AE28" i="5"/>
  <c r="W26" i="6"/>
  <c r="W112" i="6" s="1"/>
  <c r="P15" i="5"/>
  <c r="I13" i="6" s="1"/>
  <c r="I99" i="6" s="1"/>
  <c r="P31" i="5"/>
  <c r="I29" i="6" s="1"/>
  <c r="I115" i="6" s="1"/>
  <c r="P24" i="5"/>
  <c r="I22" i="6" s="1"/>
  <c r="I108" i="6" s="1"/>
  <c r="P23" i="5"/>
  <c r="I21" i="6" s="1"/>
  <c r="I107" i="6" s="1"/>
  <c r="P25" i="5"/>
  <c r="I23" i="6" s="1"/>
  <c r="I109" i="6" s="1"/>
  <c r="H7" i="6"/>
  <c r="H6" i="6" s="1"/>
  <c r="P20" i="5"/>
  <c r="I18" i="6" s="1"/>
  <c r="I104" i="6" s="1"/>
  <c r="P26" i="5"/>
  <c r="I24" i="6" s="1"/>
  <c r="I110" i="6" s="1"/>
  <c r="P17" i="5"/>
  <c r="I15" i="6" s="1"/>
  <c r="I101" i="6" s="1"/>
  <c r="P22" i="5"/>
  <c r="I20" i="6" s="1"/>
  <c r="I106" i="6" s="1"/>
  <c r="P18" i="5"/>
  <c r="I16" i="6" s="1"/>
  <c r="I102" i="6" s="1"/>
  <c r="P32" i="5"/>
  <c r="I30" i="6" s="1"/>
  <c r="I116" i="6" s="1"/>
  <c r="Q35" i="5"/>
  <c r="Q23" i="5" s="1"/>
  <c r="J21" i="6" s="1"/>
  <c r="R9" i="5"/>
  <c r="R10" i="5" s="1"/>
  <c r="O37" i="5"/>
  <c r="R12" i="5"/>
  <c r="K10" i="6" s="1"/>
  <c r="K96" i="6" s="1"/>
  <c r="I63" i="6"/>
  <c r="Q44" i="5"/>
  <c r="J58" i="6" s="1"/>
  <c r="Q43" i="5"/>
  <c r="J57" i="6" s="1"/>
  <c r="P42" i="5"/>
  <c r="I56" i="6" s="1"/>
  <c r="S3" i="5"/>
  <c r="S33" i="5"/>
  <c r="R34" i="5"/>
  <c r="J107" i="6" l="1"/>
  <c r="AF28" i="5"/>
  <c r="X26" i="6"/>
  <c r="X112" i="6" s="1"/>
  <c r="Q16" i="5"/>
  <c r="J14" i="6" s="1"/>
  <c r="J100" i="6" s="1"/>
  <c r="R35" i="5"/>
  <c r="R31" i="5" s="1"/>
  <c r="K29" i="6" s="1"/>
  <c r="Q22" i="5"/>
  <c r="J20" i="6" s="1"/>
  <c r="J106" i="6" s="1"/>
  <c r="Q24" i="5"/>
  <c r="J22" i="6" s="1"/>
  <c r="J108" i="6" s="1"/>
  <c r="Q17" i="5"/>
  <c r="J15" i="6" s="1"/>
  <c r="J101" i="6" s="1"/>
  <c r="Q31" i="5"/>
  <c r="J29" i="6" s="1"/>
  <c r="J115" i="6" s="1"/>
  <c r="Q21" i="5"/>
  <c r="J19" i="6" s="1"/>
  <c r="J105" i="6" s="1"/>
  <c r="I7" i="6"/>
  <c r="I6" i="6" s="1"/>
  <c r="Q29" i="5"/>
  <c r="J27" i="6" s="1"/>
  <c r="J113" i="6" s="1"/>
  <c r="Q30" i="5"/>
  <c r="J28" i="6" s="1"/>
  <c r="J114" i="6" s="1"/>
  <c r="Q20" i="5"/>
  <c r="J18" i="6" s="1"/>
  <c r="J104" i="6" s="1"/>
  <c r="Q27" i="5"/>
  <c r="J25" i="6" s="1"/>
  <c r="J111" i="6" s="1"/>
  <c r="Q32" i="5"/>
  <c r="J30" i="6" s="1"/>
  <c r="J116" i="6" s="1"/>
  <c r="Q18" i="5"/>
  <c r="J16" i="6" s="1"/>
  <c r="J102" i="6" s="1"/>
  <c r="Q15" i="5"/>
  <c r="J13" i="6" s="1"/>
  <c r="J99" i="6" s="1"/>
  <c r="Q26" i="5"/>
  <c r="J24" i="6" s="1"/>
  <c r="J110" i="6" s="1"/>
  <c r="Q19" i="5"/>
  <c r="J17" i="6" s="1"/>
  <c r="J103" i="6" s="1"/>
  <c r="Q25" i="5"/>
  <c r="J23" i="6" s="1"/>
  <c r="J109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L96" i="6" s="1"/>
  <c r="J63" i="6"/>
  <c r="T33" i="5"/>
  <c r="S34" i="5"/>
  <c r="R44" i="5"/>
  <c r="Q36" i="5"/>
  <c r="R43" i="5"/>
  <c r="K57" i="6" s="1"/>
  <c r="Q42" i="5"/>
  <c r="J56" i="6" s="1"/>
  <c r="K106" i="6" l="1"/>
  <c r="K111" i="6"/>
  <c r="K101" i="6"/>
  <c r="K115" i="6"/>
  <c r="R25" i="5"/>
  <c r="K23" i="6" s="1"/>
  <c r="K109" i="6" s="1"/>
  <c r="R24" i="5"/>
  <c r="K22" i="6" s="1"/>
  <c r="K108" i="6" s="1"/>
  <c r="R19" i="5"/>
  <c r="K17" i="6" s="1"/>
  <c r="K103" i="6" s="1"/>
  <c r="R29" i="5"/>
  <c r="K27" i="6" s="1"/>
  <c r="K113" i="6" s="1"/>
  <c r="R21" i="5"/>
  <c r="K19" i="6" s="1"/>
  <c r="K105" i="6" s="1"/>
  <c r="R32" i="5"/>
  <c r="K30" i="6" s="1"/>
  <c r="K116" i="6" s="1"/>
  <c r="R18" i="5"/>
  <c r="K16" i="6" s="1"/>
  <c r="K102" i="6" s="1"/>
  <c r="R23" i="5"/>
  <c r="K21" i="6" s="1"/>
  <c r="K107" i="6" s="1"/>
  <c r="R15" i="5"/>
  <c r="K13" i="6" s="1"/>
  <c r="K99" i="6" s="1"/>
  <c r="R30" i="5"/>
  <c r="K28" i="6" s="1"/>
  <c r="K114" i="6" s="1"/>
  <c r="R26" i="5"/>
  <c r="K24" i="6" s="1"/>
  <c r="K110" i="6" s="1"/>
  <c r="R20" i="5"/>
  <c r="K18" i="6" s="1"/>
  <c r="K104" i="6" s="1"/>
  <c r="R16" i="5"/>
  <c r="K14" i="6" s="1"/>
  <c r="K100" i="6" s="1"/>
  <c r="AG28" i="5"/>
  <c r="Y26" i="6"/>
  <c r="Y112" i="6" s="1"/>
  <c r="J7" i="6"/>
  <c r="J6" i="6" s="1"/>
  <c r="S35" i="5"/>
  <c r="S32" i="5" s="1"/>
  <c r="L30" i="6" s="1"/>
  <c r="T9" i="5"/>
  <c r="T10" i="5" s="1"/>
  <c r="R36" i="5"/>
  <c r="T12" i="5"/>
  <c r="M10" i="6" s="1"/>
  <c r="M96" i="6" s="1"/>
  <c r="S44" i="5"/>
  <c r="L58" i="6" s="1"/>
  <c r="K58" i="6"/>
  <c r="K63" i="6"/>
  <c r="U33" i="5"/>
  <c r="T34" i="5"/>
  <c r="Q37" i="5"/>
  <c r="R42" i="5"/>
  <c r="K56" i="6" s="1"/>
  <c r="S43" i="5"/>
  <c r="L57" i="6" s="1"/>
  <c r="L116" i="6" l="1"/>
  <c r="K7" i="6"/>
  <c r="K6" i="6" s="1"/>
  <c r="S22" i="5"/>
  <c r="L20" i="6" s="1"/>
  <c r="L106" i="6" s="1"/>
  <c r="S31" i="5"/>
  <c r="L29" i="6" s="1"/>
  <c r="L115" i="6" s="1"/>
  <c r="S27" i="5"/>
  <c r="L25" i="6" s="1"/>
  <c r="L111" i="6" s="1"/>
  <c r="S18" i="5"/>
  <c r="L16" i="6" s="1"/>
  <c r="L102" i="6" s="1"/>
  <c r="S26" i="5"/>
  <c r="L24" i="6" s="1"/>
  <c r="L110" i="6" s="1"/>
  <c r="AH28" i="5"/>
  <c r="Z26" i="6"/>
  <c r="Z112" i="6" s="1"/>
  <c r="S20" i="5"/>
  <c r="L18" i="6" s="1"/>
  <c r="L104" i="6" s="1"/>
  <c r="S19" i="5"/>
  <c r="L17" i="6" s="1"/>
  <c r="L103" i="6" s="1"/>
  <c r="S17" i="5"/>
  <c r="L15" i="6" s="1"/>
  <c r="L101" i="6" s="1"/>
  <c r="S15" i="5"/>
  <c r="L13" i="6" s="1"/>
  <c r="L99" i="6" s="1"/>
  <c r="S30" i="5"/>
  <c r="L28" i="6" s="1"/>
  <c r="L114" i="6" s="1"/>
  <c r="S29" i="5"/>
  <c r="L27" i="6" s="1"/>
  <c r="L113" i="6" s="1"/>
  <c r="S21" i="5"/>
  <c r="L19" i="6" s="1"/>
  <c r="L105" i="6" s="1"/>
  <c r="S24" i="5"/>
  <c r="L22" i="6" s="1"/>
  <c r="L108" i="6" s="1"/>
  <c r="S25" i="5"/>
  <c r="L23" i="6" s="1"/>
  <c r="L109" i="6" s="1"/>
  <c r="S16" i="5"/>
  <c r="L14" i="6" s="1"/>
  <c r="L100" i="6" s="1"/>
  <c r="S23" i="5"/>
  <c r="L21" i="6" s="1"/>
  <c r="L107" i="6" s="1"/>
  <c r="T35" i="5"/>
  <c r="T29" i="5" s="1"/>
  <c r="M27" i="6" s="1"/>
  <c r="U9" i="5"/>
  <c r="U10" i="5" s="1"/>
  <c r="T44" i="5"/>
  <c r="M58" i="6" s="1"/>
  <c r="U12" i="5"/>
  <c r="N10" i="6" s="1"/>
  <c r="N96" i="6" s="1"/>
  <c r="S36" i="5"/>
  <c r="R37" i="5"/>
  <c r="L63" i="6"/>
  <c r="V33" i="5"/>
  <c r="U34" i="5"/>
  <c r="S42" i="5"/>
  <c r="L56" i="6" s="1"/>
  <c r="T43" i="5"/>
  <c r="M57" i="6" s="1"/>
  <c r="M113" i="6" l="1"/>
  <c r="T24" i="5"/>
  <c r="M22" i="6" s="1"/>
  <c r="M108" i="6" s="1"/>
  <c r="T15" i="5"/>
  <c r="M13" i="6" s="1"/>
  <c r="M99" i="6" s="1"/>
  <c r="AI28" i="5"/>
  <c r="AA26" i="6"/>
  <c r="AA112" i="6" s="1"/>
  <c r="L7" i="6"/>
  <c r="L6" i="6" s="1"/>
  <c r="T23" i="5"/>
  <c r="M21" i="6" s="1"/>
  <c r="M107" i="6" s="1"/>
  <c r="T19" i="5"/>
  <c r="M17" i="6" s="1"/>
  <c r="M103" i="6" s="1"/>
  <c r="T21" i="5"/>
  <c r="M19" i="6" s="1"/>
  <c r="M105" i="6" s="1"/>
  <c r="T26" i="5"/>
  <c r="M24" i="6" s="1"/>
  <c r="M110" i="6" s="1"/>
  <c r="T20" i="5"/>
  <c r="M18" i="6" s="1"/>
  <c r="M104" i="6" s="1"/>
  <c r="T17" i="5"/>
  <c r="M15" i="6" s="1"/>
  <c r="M101" i="6" s="1"/>
  <c r="T25" i="5"/>
  <c r="M23" i="6" s="1"/>
  <c r="M109" i="6" s="1"/>
  <c r="T31" i="5"/>
  <c r="M29" i="6" s="1"/>
  <c r="M115" i="6" s="1"/>
  <c r="T22" i="5"/>
  <c r="M20" i="6" s="1"/>
  <c r="M106" i="6" s="1"/>
  <c r="T30" i="5"/>
  <c r="M28" i="6" s="1"/>
  <c r="M114" i="6" s="1"/>
  <c r="T18" i="5"/>
  <c r="M16" i="6" s="1"/>
  <c r="M102" i="6" s="1"/>
  <c r="T16" i="5"/>
  <c r="M14" i="6" s="1"/>
  <c r="M100" i="6" s="1"/>
  <c r="T32" i="5"/>
  <c r="M30" i="6" s="1"/>
  <c r="M116" i="6" s="1"/>
  <c r="T27" i="5"/>
  <c r="M25" i="6" s="1"/>
  <c r="M111" i="6" s="1"/>
  <c r="U35" i="5"/>
  <c r="U23" i="5" s="1"/>
  <c r="N21" i="6" s="1"/>
  <c r="V9" i="5"/>
  <c r="V10" i="5" s="1"/>
  <c r="V12" i="5"/>
  <c r="O10" i="6" s="1"/>
  <c r="O96" i="6" s="1"/>
  <c r="S37" i="5"/>
  <c r="M63" i="6"/>
  <c r="T42" i="5"/>
  <c r="M56" i="6" s="1"/>
  <c r="U43" i="5"/>
  <c r="N57" i="6" s="1"/>
  <c r="W33" i="5"/>
  <c r="V34" i="5"/>
  <c r="T36" i="5"/>
  <c r="U44" i="5"/>
  <c r="N58" i="6" s="1"/>
  <c r="N107" i="6" l="1"/>
  <c r="U15" i="5"/>
  <c r="N13" i="6" s="1"/>
  <c r="N99" i="6" s="1"/>
  <c r="U22" i="5"/>
  <c r="N20" i="6" s="1"/>
  <c r="N106" i="6" s="1"/>
  <c r="U31" i="5"/>
  <c r="N29" i="6" s="1"/>
  <c r="N115" i="6" s="1"/>
  <c r="U19" i="5"/>
  <c r="N17" i="6" s="1"/>
  <c r="N103" i="6" s="1"/>
  <c r="U25" i="5"/>
  <c r="N23" i="6" s="1"/>
  <c r="N109" i="6" s="1"/>
  <c r="U20" i="5"/>
  <c r="N18" i="6" s="1"/>
  <c r="N104" i="6" s="1"/>
  <c r="U27" i="5"/>
  <c r="N25" i="6" s="1"/>
  <c r="N111" i="6" s="1"/>
  <c r="AJ28" i="5"/>
  <c r="AB26" i="6"/>
  <c r="AB112" i="6" s="1"/>
  <c r="U17" i="5"/>
  <c r="N15" i="6" s="1"/>
  <c r="N101" i="6" s="1"/>
  <c r="U21" i="5"/>
  <c r="N19" i="6" s="1"/>
  <c r="N105" i="6" s="1"/>
  <c r="U18" i="5"/>
  <c r="N16" i="6" s="1"/>
  <c r="N102" i="6" s="1"/>
  <c r="U29" i="5"/>
  <c r="N27" i="6" s="1"/>
  <c r="N113" i="6" s="1"/>
  <c r="U26" i="5"/>
  <c r="N24" i="6" s="1"/>
  <c r="N110" i="6" s="1"/>
  <c r="U30" i="5"/>
  <c r="N28" i="6" s="1"/>
  <c r="N114" i="6" s="1"/>
  <c r="U16" i="5"/>
  <c r="N14" i="6" s="1"/>
  <c r="N100" i="6" s="1"/>
  <c r="U32" i="5"/>
  <c r="N30" i="6" s="1"/>
  <c r="N116" i="6" s="1"/>
  <c r="U24" i="5"/>
  <c r="N22" i="6" s="1"/>
  <c r="N108" i="6" s="1"/>
  <c r="M7" i="6"/>
  <c r="M6" i="6" s="1"/>
  <c r="V35" i="5"/>
  <c r="V27" i="5" s="1"/>
  <c r="O25" i="6" s="1"/>
  <c r="W9" i="5"/>
  <c r="W10" i="5" s="1"/>
  <c r="W12" i="5"/>
  <c r="P10" i="6" s="1"/>
  <c r="P96" i="6" s="1"/>
  <c r="N63" i="6"/>
  <c r="T37" i="5"/>
  <c r="U36" i="5"/>
  <c r="X33" i="5"/>
  <c r="W34" i="5"/>
  <c r="U42" i="5"/>
  <c r="V43" i="5"/>
  <c r="O57" i="6" s="1"/>
  <c r="V44" i="5"/>
  <c r="O58" i="6" s="1"/>
  <c r="O111" i="6" l="1"/>
  <c r="N56" i="6"/>
  <c r="N7" i="6"/>
  <c r="N6" i="6" s="1"/>
  <c r="AK28" i="5"/>
  <c r="AC26" i="6"/>
  <c r="AC112" i="6" s="1"/>
  <c r="V15" i="5"/>
  <c r="O13" i="6" s="1"/>
  <c r="O99" i="6" s="1"/>
  <c r="V25" i="5"/>
  <c r="O23" i="6" s="1"/>
  <c r="O109" i="6" s="1"/>
  <c r="V21" i="5"/>
  <c r="O19" i="6" s="1"/>
  <c r="O105" i="6" s="1"/>
  <c r="V18" i="5"/>
  <c r="O16" i="6" s="1"/>
  <c r="O102" i="6" s="1"/>
  <c r="V29" i="5"/>
  <c r="O27" i="6" s="1"/>
  <c r="O113" i="6" s="1"/>
  <c r="V24" i="5"/>
  <c r="O22" i="6" s="1"/>
  <c r="O108" i="6" s="1"/>
  <c r="V30" i="5"/>
  <c r="O28" i="6" s="1"/>
  <c r="O114" i="6" s="1"/>
  <c r="V20" i="5"/>
  <c r="O18" i="6" s="1"/>
  <c r="O104" i="6" s="1"/>
  <c r="V32" i="5"/>
  <c r="O30" i="6" s="1"/>
  <c r="O116" i="6" s="1"/>
  <c r="V16" i="5"/>
  <c r="O14" i="6" s="1"/>
  <c r="O100" i="6" s="1"/>
  <c r="V19" i="5"/>
  <c r="O17" i="6" s="1"/>
  <c r="O103" i="6" s="1"/>
  <c r="V22" i="5"/>
  <c r="O20" i="6" s="1"/>
  <c r="O106" i="6" s="1"/>
  <c r="V31" i="5"/>
  <c r="O29" i="6" s="1"/>
  <c r="O115" i="6" s="1"/>
  <c r="V23" i="5"/>
  <c r="O21" i="6" s="1"/>
  <c r="O107" i="6" s="1"/>
  <c r="V26" i="5"/>
  <c r="O24" i="6" s="1"/>
  <c r="O110" i="6" s="1"/>
  <c r="V17" i="5"/>
  <c r="O15" i="6" s="1"/>
  <c r="O101" i="6" s="1"/>
  <c r="W35" i="5"/>
  <c r="W16" i="5" s="1"/>
  <c r="P14" i="6" s="1"/>
  <c r="X9" i="5"/>
  <c r="X10" i="5" s="1"/>
  <c r="V36" i="5"/>
  <c r="X12" i="5"/>
  <c r="Q10" i="6" s="1"/>
  <c r="Q96" i="6" s="1"/>
  <c r="O63" i="6"/>
  <c r="W44" i="5"/>
  <c r="P58" i="6" s="1"/>
  <c r="U37" i="5"/>
  <c r="V42" i="5"/>
  <c r="W43" i="5"/>
  <c r="P57" i="6" s="1"/>
  <c r="X34" i="5"/>
  <c r="Y33" i="5"/>
  <c r="O56" i="6" l="1"/>
  <c r="P100" i="6"/>
  <c r="AL28" i="5"/>
  <c r="AD26" i="6"/>
  <c r="AD112" i="6" s="1"/>
  <c r="W24" i="5"/>
  <c r="P22" i="6" s="1"/>
  <c r="P108" i="6" s="1"/>
  <c r="O7" i="6"/>
  <c r="O6" i="6" s="1"/>
  <c r="W27" i="5"/>
  <c r="P25" i="6" s="1"/>
  <c r="P111" i="6" s="1"/>
  <c r="W21" i="5"/>
  <c r="P19" i="6" s="1"/>
  <c r="P105" i="6" s="1"/>
  <c r="W25" i="5"/>
  <c r="P23" i="6" s="1"/>
  <c r="P109" i="6" s="1"/>
  <c r="W29" i="5"/>
  <c r="P27" i="6" s="1"/>
  <c r="P113" i="6" s="1"/>
  <c r="W26" i="5"/>
  <c r="P24" i="6" s="1"/>
  <c r="P110" i="6" s="1"/>
  <c r="W32" i="5"/>
  <c r="P30" i="6" s="1"/>
  <c r="P116" i="6" s="1"/>
  <c r="W20" i="5"/>
  <c r="P18" i="6" s="1"/>
  <c r="P104" i="6" s="1"/>
  <c r="W31" i="5"/>
  <c r="P29" i="6" s="1"/>
  <c r="P115" i="6" s="1"/>
  <c r="W15" i="5"/>
  <c r="P13" i="6" s="1"/>
  <c r="P99" i="6" s="1"/>
  <c r="W30" i="5"/>
  <c r="P28" i="6" s="1"/>
  <c r="P114" i="6" s="1"/>
  <c r="W19" i="5"/>
  <c r="P17" i="6" s="1"/>
  <c r="P103" i="6" s="1"/>
  <c r="W17" i="5"/>
  <c r="P15" i="6" s="1"/>
  <c r="P101" i="6" s="1"/>
  <c r="W22" i="5"/>
  <c r="P20" i="6" s="1"/>
  <c r="P106" i="6" s="1"/>
  <c r="W36" i="5"/>
  <c r="W23" i="5"/>
  <c r="P21" i="6" s="1"/>
  <c r="P107" i="6" s="1"/>
  <c r="W18" i="5"/>
  <c r="P16" i="6" s="1"/>
  <c r="P102" i="6" s="1"/>
  <c r="X35" i="5"/>
  <c r="X29" i="5" s="1"/>
  <c r="Q27" i="6" s="1"/>
  <c r="Y9" i="5"/>
  <c r="Y10" i="5" s="1"/>
  <c r="V37" i="5"/>
  <c r="Y12" i="5"/>
  <c r="R10" i="6" s="1"/>
  <c r="R96" i="6" s="1"/>
  <c r="P63" i="6"/>
  <c r="X44" i="5"/>
  <c r="Q58" i="6" s="1"/>
  <c r="W42" i="5"/>
  <c r="P56" i="6" s="1"/>
  <c r="X43" i="5"/>
  <c r="Q57" i="6" s="1"/>
  <c r="Y34" i="5"/>
  <c r="Z33" i="5"/>
  <c r="Q113" i="6" l="1"/>
  <c r="X32" i="5"/>
  <c r="Q30" i="6" s="1"/>
  <c r="Q116" i="6" s="1"/>
  <c r="X20" i="5"/>
  <c r="Q18" i="6" s="1"/>
  <c r="Q104" i="6" s="1"/>
  <c r="X18" i="5"/>
  <c r="Q16" i="6" s="1"/>
  <c r="Q102" i="6" s="1"/>
  <c r="X22" i="5"/>
  <c r="Q20" i="6" s="1"/>
  <c r="Q106" i="6" s="1"/>
  <c r="AM28" i="5"/>
  <c r="AE26" i="6"/>
  <c r="AE112" i="6" s="1"/>
  <c r="X16" i="5"/>
  <c r="Q14" i="6" s="1"/>
  <c r="Q100" i="6" s="1"/>
  <c r="X31" i="5"/>
  <c r="Q29" i="6" s="1"/>
  <c r="Q115" i="6" s="1"/>
  <c r="X15" i="5"/>
  <c r="Q13" i="6" s="1"/>
  <c r="Q99" i="6" s="1"/>
  <c r="X19" i="5"/>
  <c r="Q17" i="6" s="1"/>
  <c r="Q103" i="6" s="1"/>
  <c r="X17" i="5"/>
  <c r="Q15" i="6" s="1"/>
  <c r="Q101" i="6" s="1"/>
  <c r="X21" i="5"/>
  <c r="Q19" i="6" s="1"/>
  <c r="Q105" i="6" s="1"/>
  <c r="X23" i="5"/>
  <c r="Q21" i="6" s="1"/>
  <c r="Q107" i="6" s="1"/>
  <c r="X26" i="5"/>
  <c r="Q24" i="6" s="1"/>
  <c r="Q110" i="6" s="1"/>
  <c r="P7" i="6"/>
  <c r="P6" i="6" s="1"/>
  <c r="X24" i="5"/>
  <c r="Q22" i="6" s="1"/>
  <c r="Q108" i="6" s="1"/>
  <c r="X25" i="5"/>
  <c r="Q23" i="6" s="1"/>
  <c r="Q109" i="6" s="1"/>
  <c r="W37" i="5"/>
  <c r="X30" i="5"/>
  <c r="Q28" i="6" s="1"/>
  <c r="Q114" i="6" s="1"/>
  <c r="X27" i="5"/>
  <c r="Q25" i="6" s="1"/>
  <c r="Q111" i="6" s="1"/>
  <c r="Y35" i="5"/>
  <c r="Y15" i="5" s="1"/>
  <c r="R13" i="6" s="1"/>
  <c r="Z9" i="5"/>
  <c r="Z10" i="5" s="1"/>
  <c r="Z12" i="5"/>
  <c r="S10" i="6" s="1"/>
  <c r="S96" i="6" s="1"/>
  <c r="Q63" i="6"/>
  <c r="X42" i="5"/>
  <c r="Y43" i="5"/>
  <c r="R57" i="6" s="1"/>
  <c r="X36" i="5"/>
  <c r="Z34" i="5"/>
  <c r="AA33" i="5"/>
  <c r="Y44" i="5"/>
  <c r="R58" i="6" s="1"/>
  <c r="R99" i="6" l="1"/>
  <c r="Q56" i="6"/>
  <c r="Y24" i="5"/>
  <c r="R22" i="6" s="1"/>
  <c r="R108" i="6" s="1"/>
  <c r="Y31" i="5"/>
  <c r="R29" i="6" s="1"/>
  <c r="R115" i="6" s="1"/>
  <c r="Y30" i="5"/>
  <c r="R28" i="6" s="1"/>
  <c r="R114" i="6" s="1"/>
  <c r="Y20" i="5"/>
  <c r="R18" i="6" s="1"/>
  <c r="R104" i="6" s="1"/>
  <c r="Y26" i="5"/>
  <c r="R24" i="6" s="1"/>
  <c r="R110" i="6" s="1"/>
  <c r="AN28" i="5"/>
  <c r="AF26" i="6"/>
  <c r="AF112" i="6" s="1"/>
  <c r="Y32" i="5"/>
  <c r="R30" i="6" s="1"/>
  <c r="R116" i="6" s="1"/>
  <c r="Y18" i="5"/>
  <c r="R16" i="6" s="1"/>
  <c r="R102" i="6" s="1"/>
  <c r="Q7" i="6"/>
  <c r="Q6" i="6" s="1"/>
  <c r="Y16" i="5"/>
  <c r="R14" i="6" s="1"/>
  <c r="R100" i="6" s="1"/>
  <c r="Y27" i="5"/>
  <c r="R25" i="6" s="1"/>
  <c r="R111" i="6" s="1"/>
  <c r="Y22" i="5"/>
  <c r="R20" i="6" s="1"/>
  <c r="R106" i="6" s="1"/>
  <c r="Y21" i="5"/>
  <c r="R19" i="6" s="1"/>
  <c r="R105" i="6" s="1"/>
  <c r="Y17" i="5"/>
  <c r="R15" i="6" s="1"/>
  <c r="R101" i="6" s="1"/>
  <c r="Y25" i="5"/>
  <c r="R23" i="6" s="1"/>
  <c r="R109" i="6" s="1"/>
  <c r="Y23" i="5"/>
  <c r="R21" i="6" s="1"/>
  <c r="R107" i="6" s="1"/>
  <c r="Y29" i="5"/>
  <c r="R27" i="6" s="1"/>
  <c r="R113" i="6" s="1"/>
  <c r="Y19" i="5"/>
  <c r="R17" i="6" s="1"/>
  <c r="R103" i="6" s="1"/>
  <c r="Z35" i="5"/>
  <c r="Z30" i="5" s="1"/>
  <c r="S28" i="6" s="1"/>
  <c r="AA9" i="5"/>
  <c r="AA10" i="5" s="1"/>
  <c r="AA12" i="5"/>
  <c r="T10" i="6" s="1"/>
  <c r="T96" i="6" s="1"/>
  <c r="R63" i="6"/>
  <c r="X37" i="5"/>
  <c r="AA34" i="5"/>
  <c r="AB33" i="5"/>
  <c r="Y42" i="5"/>
  <c r="Z43" i="5"/>
  <c r="S57" i="6" s="1"/>
  <c r="Z44" i="5"/>
  <c r="Y36" i="5"/>
  <c r="R56" i="6" l="1"/>
  <c r="S114" i="6"/>
  <c r="AG26" i="6"/>
  <c r="AG112" i="6" s="1"/>
  <c r="AO28" i="5"/>
  <c r="Z31" i="5"/>
  <c r="S29" i="6" s="1"/>
  <c r="S115" i="6" s="1"/>
  <c r="Z29" i="5"/>
  <c r="S27" i="6" s="1"/>
  <c r="S113" i="6" s="1"/>
  <c r="Z18" i="5"/>
  <c r="S16" i="6" s="1"/>
  <c r="S102" i="6" s="1"/>
  <c r="Z22" i="5"/>
  <c r="S20" i="6" s="1"/>
  <c r="S106" i="6" s="1"/>
  <c r="Z17" i="5"/>
  <c r="S15" i="6" s="1"/>
  <c r="S101" i="6" s="1"/>
  <c r="Z32" i="5"/>
  <c r="S30" i="6" s="1"/>
  <c r="S116" i="6" s="1"/>
  <c r="Z21" i="5"/>
  <c r="S19" i="6" s="1"/>
  <c r="S105" i="6" s="1"/>
  <c r="R7" i="6"/>
  <c r="R6" i="6" s="1"/>
  <c r="Z24" i="5"/>
  <c r="S22" i="6" s="1"/>
  <c r="S108" i="6" s="1"/>
  <c r="Z15" i="5"/>
  <c r="S13" i="6" s="1"/>
  <c r="S99" i="6" s="1"/>
  <c r="Z27" i="5"/>
  <c r="S25" i="6" s="1"/>
  <c r="S111" i="6" s="1"/>
  <c r="Z16" i="5"/>
  <c r="S14" i="6" s="1"/>
  <c r="S100" i="6" s="1"/>
  <c r="Z20" i="5"/>
  <c r="S18" i="6" s="1"/>
  <c r="S104" i="6" s="1"/>
  <c r="Z26" i="5"/>
  <c r="S24" i="6" s="1"/>
  <c r="S110" i="6" s="1"/>
  <c r="Z23" i="5"/>
  <c r="S21" i="6" s="1"/>
  <c r="S107" i="6" s="1"/>
  <c r="Z19" i="5"/>
  <c r="S17" i="6" s="1"/>
  <c r="S103" i="6" s="1"/>
  <c r="Z25" i="5"/>
  <c r="S23" i="6" s="1"/>
  <c r="S109" i="6" s="1"/>
  <c r="AA35" i="5"/>
  <c r="AA17" i="5" s="1"/>
  <c r="T15" i="6" s="1"/>
  <c r="AB9" i="5"/>
  <c r="AB10" i="5" s="1"/>
  <c r="Z36" i="5"/>
  <c r="AB12" i="5"/>
  <c r="U10" i="6" s="1"/>
  <c r="U96" i="6" s="1"/>
  <c r="AA44" i="5"/>
  <c r="T58" i="6" s="1"/>
  <c r="S58" i="6"/>
  <c r="S63" i="6"/>
  <c r="Y37" i="5"/>
  <c r="AA43" i="5"/>
  <c r="T57" i="6" s="1"/>
  <c r="Z42" i="5"/>
  <c r="AB34" i="5"/>
  <c r="AC33" i="5"/>
  <c r="S56" i="6" l="1"/>
  <c r="T101" i="6"/>
  <c r="AP28" i="5"/>
  <c r="AH26" i="6"/>
  <c r="AH112" i="6" s="1"/>
  <c r="AA18" i="5"/>
  <c r="T16" i="6" s="1"/>
  <c r="T102" i="6" s="1"/>
  <c r="AA21" i="5"/>
  <c r="T19" i="6" s="1"/>
  <c r="T105" i="6" s="1"/>
  <c r="AA24" i="5"/>
  <c r="T22" i="6" s="1"/>
  <c r="T108" i="6" s="1"/>
  <c r="AA16" i="5"/>
  <c r="T14" i="6" s="1"/>
  <c r="T100" i="6" s="1"/>
  <c r="AA25" i="5"/>
  <c r="T23" i="6" s="1"/>
  <c r="T109" i="6" s="1"/>
  <c r="AA30" i="5"/>
  <c r="T28" i="6" s="1"/>
  <c r="T114" i="6" s="1"/>
  <c r="AA36" i="5"/>
  <c r="AA19" i="5"/>
  <c r="T17" i="6" s="1"/>
  <c r="T103" i="6" s="1"/>
  <c r="AA26" i="5"/>
  <c r="T24" i="6" s="1"/>
  <c r="T110" i="6" s="1"/>
  <c r="AA31" i="5"/>
  <c r="T29" i="6" s="1"/>
  <c r="T115" i="6" s="1"/>
  <c r="AA23" i="5"/>
  <c r="T21" i="6" s="1"/>
  <c r="T107" i="6" s="1"/>
  <c r="AA20" i="5"/>
  <c r="T18" i="6" s="1"/>
  <c r="T104" i="6" s="1"/>
  <c r="AA27" i="5"/>
  <c r="T25" i="6" s="1"/>
  <c r="T111" i="6" s="1"/>
  <c r="AA15" i="5"/>
  <c r="T13" i="6" s="1"/>
  <c r="T99" i="6" s="1"/>
  <c r="S7" i="6"/>
  <c r="S6" i="6" s="1"/>
  <c r="AA32" i="5"/>
  <c r="T30" i="6" s="1"/>
  <c r="T116" i="6" s="1"/>
  <c r="AA22" i="5"/>
  <c r="T20" i="6" s="1"/>
  <c r="T106" i="6" s="1"/>
  <c r="AA29" i="5"/>
  <c r="T27" i="6" s="1"/>
  <c r="T113" i="6" s="1"/>
  <c r="AB35" i="5"/>
  <c r="AB23" i="5" s="1"/>
  <c r="U21" i="6" s="1"/>
  <c r="AC9" i="5"/>
  <c r="AC10" i="5" s="1"/>
  <c r="Z37" i="5"/>
  <c r="AC12" i="5"/>
  <c r="V10" i="6" s="1"/>
  <c r="V96" i="6" s="1"/>
  <c r="T63" i="6"/>
  <c r="AB43" i="5"/>
  <c r="U57" i="6" s="1"/>
  <c r="AA42" i="5"/>
  <c r="AB44" i="5"/>
  <c r="U58" i="6" s="1"/>
  <c r="AC34" i="5"/>
  <c r="AD33" i="5"/>
  <c r="T56" i="6" l="1"/>
  <c r="U107" i="6"/>
  <c r="AQ28" i="5"/>
  <c r="AI26" i="6"/>
  <c r="AI112" i="6" s="1"/>
  <c r="AB25" i="5"/>
  <c r="U23" i="6" s="1"/>
  <c r="U109" i="6" s="1"/>
  <c r="AB27" i="5"/>
  <c r="U25" i="6" s="1"/>
  <c r="U111" i="6" s="1"/>
  <c r="AB19" i="5"/>
  <c r="U17" i="6" s="1"/>
  <c r="U103" i="6" s="1"/>
  <c r="AB29" i="5"/>
  <c r="U27" i="6" s="1"/>
  <c r="U113" i="6" s="1"/>
  <c r="T7" i="6"/>
  <c r="T6" i="6" s="1"/>
  <c r="AB20" i="5"/>
  <c r="U18" i="6" s="1"/>
  <c r="U104" i="6" s="1"/>
  <c r="AB26" i="5"/>
  <c r="U24" i="6" s="1"/>
  <c r="U110" i="6" s="1"/>
  <c r="AB18" i="5"/>
  <c r="U16" i="6" s="1"/>
  <c r="U102" i="6" s="1"/>
  <c r="AA37" i="5"/>
  <c r="AB17" i="5"/>
  <c r="U15" i="6" s="1"/>
  <c r="U101" i="6" s="1"/>
  <c r="AB24" i="5"/>
  <c r="U22" i="6" s="1"/>
  <c r="U108" i="6" s="1"/>
  <c r="AB31" i="5"/>
  <c r="U29" i="6" s="1"/>
  <c r="U115" i="6" s="1"/>
  <c r="AB32" i="5"/>
  <c r="U30" i="6" s="1"/>
  <c r="U116" i="6" s="1"/>
  <c r="AB16" i="5"/>
  <c r="U14" i="6" s="1"/>
  <c r="U100" i="6" s="1"/>
  <c r="AB15" i="5"/>
  <c r="U13" i="6" s="1"/>
  <c r="U99" i="6" s="1"/>
  <c r="AB22" i="5"/>
  <c r="U20" i="6" s="1"/>
  <c r="U106" i="6" s="1"/>
  <c r="AB21" i="5"/>
  <c r="U19" i="6" s="1"/>
  <c r="U105" i="6" s="1"/>
  <c r="AB30" i="5"/>
  <c r="U28" i="6" s="1"/>
  <c r="U114" i="6" s="1"/>
  <c r="AC35" i="5"/>
  <c r="AC18" i="5" s="1"/>
  <c r="V16" i="6" s="1"/>
  <c r="AD9" i="5"/>
  <c r="AD10" i="5" s="1"/>
  <c r="AB36" i="5"/>
  <c r="AD12" i="5"/>
  <c r="W10" i="6" s="1"/>
  <c r="W96" i="6" s="1"/>
  <c r="U63" i="6"/>
  <c r="AC44" i="5"/>
  <c r="V58" i="6" s="1"/>
  <c r="AC43" i="5"/>
  <c r="V57" i="6" s="1"/>
  <c r="AB42" i="5"/>
  <c r="AD34" i="5"/>
  <c r="AE33" i="5"/>
  <c r="AC25" i="5" l="1"/>
  <c r="V23" i="6" s="1"/>
  <c r="V109" i="6" s="1"/>
  <c r="U56" i="6"/>
  <c r="V102" i="6"/>
  <c r="AC29" i="5"/>
  <c r="V27" i="6" s="1"/>
  <c r="V113" i="6" s="1"/>
  <c r="AC27" i="5"/>
  <c r="V25" i="6" s="1"/>
  <c r="V111" i="6" s="1"/>
  <c r="AR28" i="5"/>
  <c r="AJ26" i="6"/>
  <c r="AJ112" i="6" s="1"/>
  <c r="AC22" i="5"/>
  <c r="V20" i="6" s="1"/>
  <c r="V106" i="6" s="1"/>
  <c r="AC31" i="5"/>
  <c r="V29" i="6" s="1"/>
  <c r="V115" i="6" s="1"/>
  <c r="AC30" i="5"/>
  <c r="V28" i="6" s="1"/>
  <c r="V114" i="6" s="1"/>
  <c r="AC19" i="5"/>
  <c r="V17" i="6" s="1"/>
  <c r="V103" i="6" s="1"/>
  <c r="AC23" i="5"/>
  <c r="V21" i="6" s="1"/>
  <c r="V107" i="6" s="1"/>
  <c r="U7" i="6"/>
  <c r="U6" i="6" s="1"/>
  <c r="AC26" i="5"/>
  <c r="V24" i="6" s="1"/>
  <c r="V110" i="6" s="1"/>
  <c r="AC17" i="5"/>
  <c r="V15" i="6" s="1"/>
  <c r="V101" i="6" s="1"/>
  <c r="AC24" i="5"/>
  <c r="V22" i="6" s="1"/>
  <c r="V108" i="6" s="1"/>
  <c r="AC20" i="5"/>
  <c r="V18" i="6" s="1"/>
  <c r="V104" i="6" s="1"/>
  <c r="AC15" i="5"/>
  <c r="V13" i="6" s="1"/>
  <c r="V99" i="6" s="1"/>
  <c r="AC21" i="5"/>
  <c r="V19" i="6" s="1"/>
  <c r="V105" i="6" s="1"/>
  <c r="AC32" i="5"/>
  <c r="V30" i="6" s="1"/>
  <c r="V116" i="6" s="1"/>
  <c r="AC16" i="5"/>
  <c r="V14" i="6" s="1"/>
  <c r="V100" i="6" s="1"/>
  <c r="AD35" i="5"/>
  <c r="AD22" i="5" s="1"/>
  <c r="W20" i="6" s="1"/>
  <c r="AE9" i="5"/>
  <c r="AE10" i="5" s="1"/>
  <c r="AB37" i="5"/>
  <c r="AC36" i="5"/>
  <c r="AE12" i="5"/>
  <c r="X10" i="6" s="1"/>
  <c r="X96" i="6" s="1"/>
  <c r="V63" i="6"/>
  <c r="AD44" i="5"/>
  <c r="W58" i="6" s="1"/>
  <c r="AF33" i="5"/>
  <c r="AE34" i="5"/>
  <c r="AD43" i="5"/>
  <c r="W57" i="6" s="1"/>
  <c r="AC42" i="5"/>
  <c r="V56" i="6" l="1"/>
  <c r="W106" i="6"/>
  <c r="AS28" i="5"/>
  <c r="AK26" i="6"/>
  <c r="AK112" i="6" s="1"/>
  <c r="AD16" i="5"/>
  <c r="W14" i="6" s="1"/>
  <c r="W100" i="6" s="1"/>
  <c r="AD19" i="5"/>
  <c r="W17" i="6" s="1"/>
  <c r="W103" i="6" s="1"/>
  <c r="AD29" i="5"/>
  <c r="W27" i="6" s="1"/>
  <c r="W113" i="6" s="1"/>
  <c r="AD31" i="5"/>
  <c r="W29" i="6" s="1"/>
  <c r="W115" i="6" s="1"/>
  <c r="AD25" i="5"/>
  <c r="W23" i="6" s="1"/>
  <c r="W109" i="6" s="1"/>
  <c r="AD27" i="5"/>
  <c r="W25" i="6" s="1"/>
  <c r="W111" i="6" s="1"/>
  <c r="AD17" i="5"/>
  <c r="W15" i="6" s="1"/>
  <c r="W101" i="6" s="1"/>
  <c r="AD24" i="5"/>
  <c r="W22" i="6" s="1"/>
  <c r="W108" i="6" s="1"/>
  <c r="AD32" i="5"/>
  <c r="W30" i="6" s="1"/>
  <c r="W116" i="6" s="1"/>
  <c r="AD18" i="5"/>
  <c r="W16" i="6" s="1"/>
  <c r="W102" i="6" s="1"/>
  <c r="AD15" i="5"/>
  <c r="W13" i="6" s="1"/>
  <c r="W99" i="6" s="1"/>
  <c r="V7" i="6"/>
  <c r="V6" i="6" s="1"/>
  <c r="AE35" i="5"/>
  <c r="AE29" i="5" s="1"/>
  <c r="X27" i="6" s="1"/>
  <c r="AD26" i="5"/>
  <c r="W24" i="6" s="1"/>
  <c r="W110" i="6" s="1"/>
  <c r="AD30" i="5"/>
  <c r="W28" i="6" s="1"/>
  <c r="W114" i="6" s="1"/>
  <c r="AD21" i="5"/>
  <c r="W19" i="6" s="1"/>
  <c r="W105" i="6" s="1"/>
  <c r="AD20" i="5"/>
  <c r="W18" i="6" s="1"/>
  <c r="W104" i="6" s="1"/>
  <c r="AD23" i="5"/>
  <c r="W21" i="6" s="1"/>
  <c r="W107" i="6" s="1"/>
  <c r="AF9" i="5"/>
  <c r="AF10" i="5" s="1"/>
  <c r="AC37" i="5"/>
  <c r="AF12" i="5"/>
  <c r="Y10" i="6" s="1"/>
  <c r="Y96" i="6" s="1"/>
  <c r="W63" i="6"/>
  <c r="AD42" i="5"/>
  <c r="AD36" i="5"/>
  <c r="AG33" i="5"/>
  <c r="AF34" i="5"/>
  <c r="AE44" i="5"/>
  <c r="X113" i="6" l="1"/>
  <c r="W56" i="6"/>
  <c r="AE42" i="5"/>
  <c r="AT28" i="5"/>
  <c r="AL26" i="6"/>
  <c r="AL112" i="6" s="1"/>
  <c r="W7" i="6"/>
  <c r="W6" i="6" s="1"/>
  <c r="AE16" i="5"/>
  <c r="X14" i="6" s="1"/>
  <c r="X100" i="6" s="1"/>
  <c r="AE24" i="5"/>
  <c r="X22" i="6" s="1"/>
  <c r="X108" i="6" s="1"/>
  <c r="AE31" i="5"/>
  <c r="X29" i="6" s="1"/>
  <c r="X115" i="6" s="1"/>
  <c r="AE25" i="5"/>
  <c r="X23" i="6" s="1"/>
  <c r="X109" i="6" s="1"/>
  <c r="AE26" i="5"/>
  <c r="X24" i="6" s="1"/>
  <c r="X110" i="6" s="1"/>
  <c r="AE15" i="5"/>
  <c r="X13" i="6" s="1"/>
  <c r="X99" i="6" s="1"/>
  <c r="AE22" i="5"/>
  <c r="X20" i="6" s="1"/>
  <c r="X106" i="6" s="1"/>
  <c r="AE19" i="5"/>
  <c r="X17" i="6" s="1"/>
  <c r="X103" i="6" s="1"/>
  <c r="AE23" i="5"/>
  <c r="X21" i="6" s="1"/>
  <c r="X107" i="6" s="1"/>
  <c r="AE27" i="5"/>
  <c r="X25" i="6" s="1"/>
  <c r="X111" i="6" s="1"/>
  <c r="AE30" i="5"/>
  <c r="X28" i="6" s="1"/>
  <c r="X114" i="6" s="1"/>
  <c r="AE32" i="5"/>
  <c r="X30" i="6" s="1"/>
  <c r="X116" i="6" s="1"/>
  <c r="AE18" i="5"/>
  <c r="X16" i="6" s="1"/>
  <c r="X102" i="6" s="1"/>
  <c r="AE20" i="5"/>
  <c r="X18" i="6" s="1"/>
  <c r="X104" i="6" s="1"/>
  <c r="AE17" i="5"/>
  <c r="X15" i="6" s="1"/>
  <c r="X101" i="6" s="1"/>
  <c r="AE21" i="5"/>
  <c r="X19" i="6" s="1"/>
  <c r="X105" i="6" s="1"/>
  <c r="AF35" i="5"/>
  <c r="AF22" i="5" s="1"/>
  <c r="Y20" i="6" s="1"/>
  <c r="AG9" i="5"/>
  <c r="AG10" i="5" s="1"/>
  <c r="AG12" i="5"/>
  <c r="Z10" i="6" s="1"/>
  <c r="Z96" i="6" s="1"/>
  <c r="AE36" i="5"/>
  <c r="X63" i="6"/>
  <c r="AF44" i="5"/>
  <c r="X58" i="6"/>
  <c r="AG34" i="5"/>
  <c r="AH33" i="5"/>
  <c r="X56" i="6"/>
  <c r="AD37" i="5"/>
  <c r="Y106" i="6" l="1"/>
  <c r="Y58" i="6"/>
  <c r="AE43" i="5"/>
  <c r="X57" i="6" s="1"/>
  <c r="AF42" i="5"/>
  <c r="AU28" i="5"/>
  <c r="AM26" i="6"/>
  <c r="AF31" i="5"/>
  <c r="Y29" i="6" s="1"/>
  <c r="Y115" i="6" s="1"/>
  <c r="AF26" i="5"/>
  <c r="Y24" i="6" s="1"/>
  <c r="Y110" i="6" s="1"/>
  <c r="AF18" i="5"/>
  <c r="Y16" i="6" s="1"/>
  <c r="Y102" i="6" s="1"/>
  <c r="AF30" i="5"/>
  <c r="Y28" i="6" s="1"/>
  <c r="Y114" i="6" s="1"/>
  <c r="AF19" i="5"/>
  <c r="Y17" i="6" s="1"/>
  <c r="Y103" i="6" s="1"/>
  <c r="AF25" i="5"/>
  <c r="Y23" i="6" s="1"/>
  <c r="Y109" i="6" s="1"/>
  <c r="AF20" i="5"/>
  <c r="Y18" i="6" s="1"/>
  <c r="Y104" i="6" s="1"/>
  <c r="AF27" i="5"/>
  <c r="Y25" i="6" s="1"/>
  <c r="Y111" i="6" s="1"/>
  <c r="AF21" i="5"/>
  <c r="Y19" i="6" s="1"/>
  <c r="Y105" i="6" s="1"/>
  <c r="AF17" i="5"/>
  <c r="Y15" i="6" s="1"/>
  <c r="Y101" i="6" s="1"/>
  <c r="AF23" i="5"/>
  <c r="Y21" i="6" s="1"/>
  <c r="Y107" i="6" s="1"/>
  <c r="AF32" i="5"/>
  <c r="Y30" i="6" s="1"/>
  <c r="Y116" i="6" s="1"/>
  <c r="AF29" i="5"/>
  <c r="Y27" i="6" s="1"/>
  <c r="Y113" i="6" s="1"/>
  <c r="AF16" i="5"/>
  <c r="Y14" i="6" s="1"/>
  <c r="Y100" i="6" s="1"/>
  <c r="AF15" i="5"/>
  <c r="Y13" i="6" s="1"/>
  <c r="Y99" i="6" s="1"/>
  <c r="AF24" i="5"/>
  <c r="Y22" i="6" s="1"/>
  <c r="Y108" i="6" s="1"/>
  <c r="X7" i="6"/>
  <c r="X6" i="6" s="1"/>
  <c r="AG35" i="5"/>
  <c r="AG15" i="5" s="1"/>
  <c r="Z13" i="6" s="1"/>
  <c r="AH9" i="5"/>
  <c r="AH10" i="5" s="1"/>
  <c r="AF36" i="5"/>
  <c r="AE37" i="5"/>
  <c r="AG44" i="5"/>
  <c r="AH12" i="5"/>
  <c r="Y63" i="6"/>
  <c r="Y56" i="6"/>
  <c r="AI33" i="5"/>
  <c r="AH34" i="5"/>
  <c r="AG42" i="5" l="1"/>
  <c r="AF43" i="5"/>
  <c r="Y57" i="6" s="1"/>
  <c r="Z58" i="6"/>
  <c r="Z99" i="6"/>
  <c r="AV28" i="5"/>
  <c r="AN26" i="6"/>
  <c r="AG19" i="5"/>
  <c r="Z17" i="6" s="1"/>
  <c r="Z103" i="6" s="1"/>
  <c r="Y7" i="6"/>
  <c r="Y6" i="6" s="1"/>
  <c r="AG29" i="5"/>
  <c r="Z27" i="6" s="1"/>
  <c r="Z113" i="6" s="1"/>
  <c r="AG18" i="5"/>
  <c r="Z16" i="6" s="1"/>
  <c r="Z102" i="6" s="1"/>
  <c r="AG32" i="5"/>
  <c r="Z30" i="6" s="1"/>
  <c r="Z116" i="6" s="1"/>
  <c r="AG16" i="5"/>
  <c r="Z14" i="6" s="1"/>
  <c r="Z100" i="6" s="1"/>
  <c r="AG25" i="5"/>
  <c r="Z23" i="6" s="1"/>
  <c r="Z109" i="6" s="1"/>
  <c r="AG26" i="5"/>
  <c r="Z24" i="6" s="1"/>
  <c r="Z110" i="6" s="1"/>
  <c r="AG24" i="5"/>
  <c r="Z22" i="6" s="1"/>
  <c r="Z108" i="6" s="1"/>
  <c r="AG30" i="5"/>
  <c r="Z28" i="6" s="1"/>
  <c r="Z114" i="6" s="1"/>
  <c r="AG31" i="5"/>
  <c r="Z29" i="6" s="1"/>
  <c r="Z115" i="6" s="1"/>
  <c r="AG27" i="5"/>
  <c r="Z25" i="6" s="1"/>
  <c r="Z111" i="6" s="1"/>
  <c r="AG20" i="5"/>
  <c r="Z18" i="6" s="1"/>
  <c r="Z104" i="6" s="1"/>
  <c r="AI12" i="5"/>
  <c r="AA10" i="6"/>
  <c r="AA96" i="6" s="1"/>
  <c r="AG23" i="5"/>
  <c r="Z21" i="6" s="1"/>
  <c r="Z107" i="6" s="1"/>
  <c r="AG17" i="5"/>
  <c r="Z15" i="6" s="1"/>
  <c r="Z101" i="6" s="1"/>
  <c r="AH35" i="5"/>
  <c r="AH27" i="5" s="1"/>
  <c r="AA25" i="6" s="1"/>
  <c r="AG21" i="5"/>
  <c r="Z19" i="6" s="1"/>
  <c r="Z105" i="6" s="1"/>
  <c r="AG22" i="5"/>
  <c r="Z20" i="6" s="1"/>
  <c r="Z106" i="6" s="1"/>
  <c r="AI9" i="5"/>
  <c r="AI10" i="5" s="1"/>
  <c r="Z63" i="6"/>
  <c r="AF37" i="5"/>
  <c r="AG36" i="5"/>
  <c r="AH44" i="5"/>
  <c r="AA58" i="6" s="1"/>
  <c r="AJ33" i="5"/>
  <c r="AI34" i="5"/>
  <c r="Z56" i="6"/>
  <c r="AH26" i="5" l="1"/>
  <c r="AA24" i="6" s="1"/>
  <c r="AA110" i="6" s="1"/>
  <c r="AG43" i="5"/>
  <c r="Z57" i="6" s="1"/>
  <c r="AH42" i="5"/>
  <c r="AA111" i="6"/>
  <c r="AH32" i="5"/>
  <c r="AA30" i="6" s="1"/>
  <c r="AA116" i="6" s="1"/>
  <c r="AH15" i="5"/>
  <c r="AA13" i="6" s="1"/>
  <c r="AA99" i="6" s="1"/>
  <c r="AW28" i="5"/>
  <c r="AO26" i="6"/>
  <c r="AH23" i="5"/>
  <c r="AA21" i="6" s="1"/>
  <c r="AA107" i="6" s="1"/>
  <c r="AH30" i="5"/>
  <c r="AA28" i="6" s="1"/>
  <c r="AA114" i="6" s="1"/>
  <c r="AH31" i="5"/>
  <c r="AA29" i="6" s="1"/>
  <c r="AA115" i="6" s="1"/>
  <c r="AH19" i="5"/>
  <c r="AA17" i="6" s="1"/>
  <c r="AA103" i="6" s="1"/>
  <c r="AH25" i="5"/>
  <c r="AA23" i="6" s="1"/>
  <c r="AA109" i="6" s="1"/>
  <c r="AH20" i="5"/>
  <c r="AA18" i="6" s="1"/>
  <c r="AA104" i="6" s="1"/>
  <c r="AH16" i="5"/>
  <c r="AA14" i="6" s="1"/>
  <c r="AA100" i="6" s="1"/>
  <c r="AH21" i="5"/>
  <c r="AA19" i="6" s="1"/>
  <c r="AA105" i="6" s="1"/>
  <c r="AH17" i="5"/>
  <c r="AA15" i="6" s="1"/>
  <c r="AA101" i="6" s="1"/>
  <c r="AH29" i="5"/>
  <c r="AA27" i="6" s="1"/>
  <c r="AA113" i="6" s="1"/>
  <c r="AJ12" i="5"/>
  <c r="AJ35" i="5" s="1"/>
  <c r="AB10" i="6"/>
  <c r="AB96" i="6" s="1"/>
  <c r="AI35" i="5"/>
  <c r="AI26" i="5" s="1"/>
  <c r="AB24" i="6" s="1"/>
  <c r="Z7" i="6"/>
  <c r="Z6" i="6" s="1"/>
  <c r="AH18" i="5"/>
  <c r="AA16" i="6" s="1"/>
  <c r="AA102" i="6" s="1"/>
  <c r="AH24" i="5"/>
  <c r="AA22" i="6" s="1"/>
  <c r="AA108" i="6" s="1"/>
  <c r="AH22" i="5"/>
  <c r="AA20" i="6" s="1"/>
  <c r="AA106" i="6" s="1"/>
  <c r="AA63" i="6"/>
  <c r="AJ9" i="5"/>
  <c r="AJ10" i="5" s="1"/>
  <c r="AH36" i="5"/>
  <c r="AJ34" i="5"/>
  <c r="AK33" i="5"/>
  <c r="AG37" i="5"/>
  <c r="AI44" i="5"/>
  <c r="AA56" i="6"/>
  <c r="AB110" i="6" l="1"/>
  <c r="AI20" i="5"/>
  <c r="AB18" i="6" s="1"/>
  <c r="AI31" i="5"/>
  <c r="AB29" i="6" s="1"/>
  <c r="AI24" i="5"/>
  <c r="AB22" i="6" s="1"/>
  <c r="AI15" i="5"/>
  <c r="AB13" i="6" s="1"/>
  <c r="AB99" i="6" s="1"/>
  <c r="AH43" i="5"/>
  <c r="AA57" i="6" s="1"/>
  <c r="AI42" i="5"/>
  <c r="AI16" i="5"/>
  <c r="AB14" i="6" s="1"/>
  <c r="AB100" i="6" s="1"/>
  <c r="AB104" i="6"/>
  <c r="AB108" i="6"/>
  <c r="AB115" i="6"/>
  <c r="AI30" i="5"/>
  <c r="AB28" i="6" s="1"/>
  <c r="AB114" i="6" s="1"/>
  <c r="AX28" i="5"/>
  <c r="AP26" i="6"/>
  <c r="AI17" i="5"/>
  <c r="AB15" i="6" s="1"/>
  <c r="AB101" i="6" s="1"/>
  <c r="AB63" i="6"/>
  <c r="AA7" i="6"/>
  <c r="AA6" i="6" s="1"/>
  <c r="AI25" i="5"/>
  <c r="AB23" i="6" s="1"/>
  <c r="AB109" i="6" s="1"/>
  <c r="AI22" i="5"/>
  <c r="AB20" i="6" s="1"/>
  <c r="AB106" i="6" s="1"/>
  <c r="AI19" i="5"/>
  <c r="AB17" i="6" s="1"/>
  <c r="AB103" i="6" s="1"/>
  <c r="AI36" i="5"/>
  <c r="AI23" i="5"/>
  <c r="AB21" i="6" s="1"/>
  <c r="AB107" i="6" s="1"/>
  <c r="AI27" i="5"/>
  <c r="AB25" i="6" s="1"/>
  <c r="AB111" i="6" s="1"/>
  <c r="AI32" i="5"/>
  <c r="AB30" i="6" s="1"/>
  <c r="AB116" i="6" s="1"/>
  <c r="AH37" i="5"/>
  <c r="AI21" i="5"/>
  <c r="AB19" i="6" s="1"/>
  <c r="AB105" i="6" s="1"/>
  <c r="AI18" i="5"/>
  <c r="AB16" i="6" s="1"/>
  <c r="AB102" i="6" s="1"/>
  <c r="AI29" i="5"/>
  <c r="AB27" i="6" s="1"/>
  <c r="AB113" i="6" s="1"/>
  <c r="AK12" i="5"/>
  <c r="AC10" i="6"/>
  <c r="AC96" i="6" s="1"/>
  <c r="AJ25" i="5"/>
  <c r="AC23" i="6" s="1"/>
  <c r="AJ30" i="5"/>
  <c r="AC28" i="6" s="1"/>
  <c r="AJ16" i="5"/>
  <c r="AC14" i="6" s="1"/>
  <c r="AJ18" i="5"/>
  <c r="AC16" i="6" s="1"/>
  <c r="AJ17" i="5"/>
  <c r="AC15" i="6" s="1"/>
  <c r="AJ21" i="5"/>
  <c r="AC19" i="6" s="1"/>
  <c r="AJ31" i="5"/>
  <c r="AC29" i="6" s="1"/>
  <c r="AJ15" i="5"/>
  <c r="AC13" i="6" s="1"/>
  <c r="AJ24" i="5"/>
  <c r="AC22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J26" i="5"/>
  <c r="AC24" i="6" s="1"/>
  <c r="AC110" i="6" s="1"/>
  <c r="AJ32" i="5"/>
  <c r="AC30" i="6" s="1"/>
  <c r="AK9" i="5"/>
  <c r="AK10" i="5" s="1"/>
  <c r="AJ44" i="5"/>
  <c r="AB58" i="6"/>
  <c r="AK34" i="5"/>
  <c r="AC63" i="6" s="1"/>
  <c r="AL33" i="5"/>
  <c r="AB56" i="6"/>
  <c r="AC108" i="6" l="1"/>
  <c r="AC99" i="6"/>
  <c r="AC102" i="6"/>
  <c r="AC101" i="6"/>
  <c r="AC105" i="6"/>
  <c r="AC58" i="6"/>
  <c r="AI43" i="5"/>
  <c r="AB57" i="6" s="1"/>
  <c r="AJ42" i="5"/>
  <c r="AC56" i="6" s="1"/>
  <c r="AC114" i="6"/>
  <c r="AC111" i="6"/>
  <c r="AC104" i="6"/>
  <c r="AC100" i="6"/>
  <c r="AC113" i="6"/>
  <c r="AC116" i="6"/>
  <c r="AC103" i="6"/>
  <c r="AC107" i="6"/>
  <c r="AC109" i="6"/>
  <c r="AC115" i="6"/>
  <c r="AC106" i="6"/>
  <c r="AY28" i="5"/>
  <c r="AQ26" i="6"/>
  <c r="AB7" i="6"/>
  <c r="AB6" i="6" s="1"/>
  <c r="AI37" i="5"/>
  <c r="AC7" i="6"/>
  <c r="AL12" i="5"/>
  <c r="AL35" i="5" s="1"/>
  <c r="AD10" i="6"/>
  <c r="AD96" i="6" s="1"/>
  <c r="AK35" i="5"/>
  <c r="AK15" i="5" s="1"/>
  <c r="AD13" i="6" s="1"/>
  <c r="AD99" i="6" s="1"/>
  <c r="AL9" i="5"/>
  <c r="AL10" i="5" s="1"/>
  <c r="AL34" i="5"/>
  <c r="AD63" i="6" s="1"/>
  <c r="AM33" i="5"/>
  <c r="AJ36" i="5"/>
  <c r="AK44" i="5"/>
  <c r="AJ43" i="5" l="1"/>
  <c r="AC57" i="6" s="1"/>
  <c r="AK42" i="5"/>
  <c r="AD58" i="6"/>
  <c r="AZ28" i="5"/>
  <c r="AR26" i="6"/>
  <c r="AK16" i="5"/>
  <c r="AD14" i="6" s="1"/>
  <c r="AD100" i="6" s="1"/>
  <c r="AK18" i="5"/>
  <c r="AD16" i="6" s="1"/>
  <c r="AD102" i="6" s="1"/>
  <c r="AK31" i="5"/>
  <c r="AD29" i="6" s="1"/>
  <c r="AD115" i="6" s="1"/>
  <c r="AK26" i="5"/>
  <c r="AD24" i="6" s="1"/>
  <c r="AD110" i="6" s="1"/>
  <c r="AK21" i="5"/>
  <c r="AD19" i="6" s="1"/>
  <c r="AD105" i="6" s="1"/>
  <c r="AK30" i="5"/>
  <c r="AD28" i="6" s="1"/>
  <c r="AD114" i="6" s="1"/>
  <c r="AC6" i="6"/>
  <c r="AK24" i="5"/>
  <c r="AD22" i="6" s="1"/>
  <c r="AD108" i="6" s="1"/>
  <c r="AK29" i="5"/>
  <c r="AD27" i="6" s="1"/>
  <c r="AD113" i="6" s="1"/>
  <c r="AK17" i="5"/>
  <c r="AD15" i="6" s="1"/>
  <c r="AD101" i="6" s="1"/>
  <c r="AK32" i="5"/>
  <c r="AD30" i="6" s="1"/>
  <c r="AD116" i="6" s="1"/>
  <c r="AK23" i="5"/>
  <c r="AD21" i="6" s="1"/>
  <c r="AD107" i="6" s="1"/>
  <c r="AK27" i="5"/>
  <c r="AD25" i="6" s="1"/>
  <c r="AD111" i="6" s="1"/>
  <c r="AK22" i="5"/>
  <c r="AD20" i="6" s="1"/>
  <c r="AD106" i="6" s="1"/>
  <c r="AK20" i="5"/>
  <c r="AD18" i="6" s="1"/>
  <c r="AD104" i="6" s="1"/>
  <c r="AK19" i="5"/>
  <c r="AD17" i="6" s="1"/>
  <c r="AD103" i="6" s="1"/>
  <c r="AE10" i="6"/>
  <c r="AE96" i="6" s="1"/>
  <c r="AM12" i="5"/>
  <c r="AM35" i="5" s="1"/>
  <c r="AK25" i="5"/>
  <c r="AD23" i="6" s="1"/>
  <c r="AD109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E99" i="6" s="1"/>
  <c r="AL25" i="5"/>
  <c r="AE23" i="6" s="1"/>
  <c r="AN33" i="5"/>
  <c r="AM34" i="5"/>
  <c r="AE63" i="6" s="1"/>
  <c r="AL36" i="5"/>
  <c r="AL44" i="5"/>
  <c r="AD56" i="6"/>
  <c r="AJ37" i="5"/>
  <c r="AE107" i="6" l="1"/>
  <c r="AE113" i="6"/>
  <c r="AK43" i="5"/>
  <c r="AD57" i="6" s="1"/>
  <c r="AL42" i="5"/>
  <c r="AE104" i="6"/>
  <c r="AE115" i="6"/>
  <c r="AE103" i="6"/>
  <c r="AE105" i="6"/>
  <c r="AE110" i="6"/>
  <c r="AE106" i="6"/>
  <c r="AE111" i="6"/>
  <c r="AE100" i="6"/>
  <c r="AE102" i="6"/>
  <c r="AE116" i="6"/>
  <c r="AE101" i="6"/>
  <c r="AE108" i="6"/>
  <c r="AE109" i="6"/>
  <c r="AE114" i="6"/>
  <c r="BA28" i="5"/>
  <c r="AS26" i="6"/>
  <c r="AD7" i="6"/>
  <c r="AD6" i="6" s="1"/>
  <c r="AK37" i="5"/>
  <c r="AE7" i="6"/>
  <c r="AE6" i="6" s="1"/>
  <c r="AF10" i="6"/>
  <c r="AF96" i="6" s="1"/>
  <c r="AN12" i="5"/>
  <c r="AN35" i="5" s="1"/>
  <c r="AN9" i="5"/>
  <c r="AN10" i="5" s="1"/>
  <c r="AO33" i="5"/>
  <c r="AM15" i="5"/>
  <c r="AF13" i="6" s="1"/>
  <c r="AF99" i="6" s="1"/>
  <c r="AM27" i="5"/>
  <c r="AF25" i="6" s="1"/>
  <c r="AM19" i="5"/>
  <c r="AF17" i="6" s="1"/>
  <c r="AM30" i="5"/>
  <c r="AF28" i="6" s="1"/>
  <c r="AM16" i="5"/>
  <c r="AF14" i="6" s="1"/>
  <c r="AM24" i="5"/>
  <c r="AF22" i="6" s="1"/>
  <c r="AM32" i="5"/>
  <c r="AF30" i="6" s="1"/>
  <c r="AM23" i="5"/>
  <c r="AF21" i="6" s="1"/>
  <c r="AF107" i="6" s="1"/>
  <c r="AM22" i="5"/>
  <c r="AF20" i="6" s="1"/>
  <c r="AF106" i="6" s="1"/>
  <c r="AM29" i="5"/>
  <c r="AF27" i="6" s="1"/>
  <c r="AF113" i="6" s="1"/>
  <c r="AM21" i="5"/>
  <c r="AF19" i="6" s="1"/>
  <c r="AM26" i="5"/>
  <c r="AF24" i="6" s="1"/>
  <c r="AM18" i="5"/>
  <c r="AF16" i="6" s="1"/>
  <c r="AM25" i="5"/>
  <c r="AF23" i="6" s="1"/>
  <c r="AM31" i="5"/>
  <c r="AF29" i="6" s="1"/>
  <c r="AF115" i="6" s="1"/>
  <c r="AM20" i="5"/>
  <c r="AF18" i="6" s="1"/>
  <c r="AF104" i="6" s="1"/>
  <c r="AM17" i="5"/>
  <c r="AF15" i="6" s="1"/>
  <c r="AM44" i="5"/>
  <c r="AE58" i="6"/>
  <c r="AL37" i="5"/>
  <c r="AM36" i="5"/>
  <c r="AE56" i="6"/>
  <c r="AN34" i="5"/>
  <c r="AF63" i="6" s="1"/>
  <c r="AF103" i="6" l="1"/>
  <c r="AF110" i="6"/>
  <c r="AF111" i="6"/>
  <c r="AF105" i="6"/>
  <c r="AF116" i="6"/>
  <c r="AL43" i="5"/>
  <c r="AE57" i="6" s="1"/>
  <c r="AM42" i="5"/>
  <c r="AF56" i="6" s="1"/>
  <c r="AF58" i="6"/>
  <c r="AF102" i="6"/>
  <c r="AF109" i="6"/>
  <c r="AF114" i="6"/>
  <c r="AF100" i="6"/>
  <c r="AF108" i="6"/>
  <c r="AF101" i="6"/>
  <c r="BB28" i="5"/>
  <c r="AT26" i="6"/>
  <c r="AO12" i="5"/>
  <c r="AG10" i="6"/>
  <c r="AG96" i="6" s="1"/>
  <c r="AF7" i="6"/>
  <c r="AF6" i="6" s="1"/>
  <c r="AN23" i="5"/>
  <c r="AG21" i="6" s="1"/>
  <c r="AG107" i="6" s="1"/>
  <c r="AN17" i="5"/>
  <c r="AG15" i="6" s="1"/>
  <c r="AN22" i="5"/>
  <c r="AG20" i="6" s="1"/>
  <c r="AG106" i="6" s="1"/>
  <c r="AN24" i="5"/>
  <c r="AG22" i="6" s="1"/>
  <c r="AN27" i="5"/>
  <c r="AG25" i="6" s="1"/>
  <c r="AG111" i="6" s="1"/>
  <c r="AN29" i="5"/>
  <c r="AG27" i="6" s="1"/>
  <c r="AG113" i="6" s="1"/>
  <c r="AN19" i="5"/>
  <c r="AG17" i="6" s="1"/>
  <c r="AG103" i="6" s="1"/>
  <c r="AN32" i="5"/>
  <c r="AG30" i="6" s="1"/>
  <c r="AN16" i="5"/>
  <c r="AG14" i="6" s="1"/>
  <c r="AN31" i="5"/>
  <c r="AG29" i="6" s="1"/>
  <c r="AG115" i="6" s="1"/>
  <c r="AN15" i="5"/>
  <c r="AG13" i="6" s="1"/>
  <c r="AG99" i="6" s="1"/>
  <c r="AN25" i="5"/>
  <c r="AG23" i="6" s="1"/>
  <c r="AN21" i="5"/>
  <c r="AG19" i="6" s="1"/>
  <c r="AG105" i="6" s="1"/>
  <c r="AN18" i="5"/>
  <c r="AG16" i="6" s="1"/>
  <c r="AN26" i="5"/>
  <c r="AG24" i="6" s="1"/>
  <c r="AG110" i="6" s="1"/>
  <c r="AN30" i="5"/>
  <c r="AG28" i="6" s="1"/>
  <c r="AN20" i="5"/>
  <c r="AG18" i="6" s="1"/>
  <c r="AG104" i="6" s="1"/>
  <c r="AO34" i="5"/>
  <c r="AO9" i="5"/>
  <c r="AO10" i="5" s="1"/>
  <c r="AP33" i="5"/>
  <c r="AM37" i="5"/>
  <c r="AN44" i="5"/>
  <c r="AG102" i="6" l="1"/>
  <c r="AG116" i="6"/>
  <c r="AM43" i="5"/>
  <c r="AF57" i="6" s="1"/>
  <c r="AN42" i="5"/>
  <c r="AO44" i="5"/>
  <c r="AG101" i="6"/>
  <c r="AG114" i="6"/>
  <c r="AG109" i="6"/>
  <c r="AG108" i="6"/>
  <c r="AG100" i="6"/>
  <c r="AG63" i="6"/>
  <c r="AG58" i="6"/>
  <c r="AP12" i="5"/>
  <c r="AH10" i="6"/>
  <c r="AH96" i="6" s="1"/>
  <c r="BC28" i="5"/>
  <c r="AU26" i="6"/>
  <c r="AO35" i="5"/>
  <c r="AO25" i="5" s="1"/>
  <c r="AH23" i="6" s="1"/>
  <c r="AG7" i="6"/>
  <c r="AQ33" i="5"/>
  <c r="AP34" i="5"/>
  <c r="AP9" i="5"/>
  <c r="AP10" i="5" s="1"/>
  <c r="AN36" i="5"/>
  <c r="AG56" i="6"/>
  <c r="AH109" i="6" l="1"/>
  <c r="AN43" i="5"/>
  <c r="AG57" i="6" s="1"/>
  <c r="AO42" i="5"/>
  <c r="AH58" i="6"/>
  <c r="AP44" i="5"/>
  <c r="AH63" i="6"/>
  <c r="AQ12" i="5"/>
  <c r="AQ35" i="5" s="1"/>
  <c r="AI10" i="6"/>
  <c r="AI96" i="6" s="1"/>
  <c r="AO17" i="5"/>
  <c r="AH15" i="6" s="1"/>
  <c r="AH101" i="6" s="1"/>
  <c r="AO30" i="5"/>
  <c r="AH28" i="6" s="1"/>
  <c r="AH114" i="6" s="1"/>
  <c r="AO23" i="5"/>
  <c r="AH21" i="6" s="1"/>
  <c r="AH107" i="6" s="1"/>
  <c r="BD28" i="5"/>
  <c r="AV26" i="6"/>
  <c r="AO32" i="5"/>
  <c r="AH30" i="6" s="1"/>
  <c r="AH116" i="6" s="1"/>
  <c r="AO18" i="5"/>
  <c r="AH16" i="6" s="1"/>
  <c r="AO22" i="5"/>
  <c r="AH20" i="6" s="1"/>
  <c r="AH106" i="6" s="1"/>
  <c r="AO31" i="5"/>
  <c r="AH29" i="6" s="1"/>
  <c r="AH115" i="6" s="1"/>
  <c r="AO26" i="5"/>
  <c r="AH24" i="6" s="1"/>
  <c r="AH110" i="6" s="1"/>
  <c r="AO16" i="5"/>
  <c r="AH14" i="6" s="1"/>
  <c r="AH100" i="6" s="1"/>
  <c r="AO36" i="5"/>
  <c r="AO29" i="5"/>
  <c r="AH27" i="6" s="1"/>
  <c r="AH113" i="6" s="1"/>
  <c r="AO24" i="5"/>
  <c r="AH22" i="6" s="1"/>
  <c r="AH108" i="6" s="1"/>
  <c r="AO27" i="5"/>
  <c r="AH25" i="6" s="1"/>
  <c r="AH111" i="6" s="1"/>
  <c r="AO19" i="5"/>
  <c r="AH17" i="6" s="1"/>
  <c r="AH103" i="6" s="1"/>
  <c r="AP35" i="5"/>
  <c r="AP36" i="5" s="1"/>
  <c r="AO20" i="5"/>
  <c r="AH18" i="6" s="1"/>
  <c r="AH104" i="6" s="1"/>
  <c r="AO21" i="5"/>
  <c r="AH19" i="6" s="1"/>
  <c r="AH105" i="6" s="1"/>
  <c r="AO15" i="5"/>
  <c r="AH13" i="6" s="1"/>
  <c r="AH99" i="6" s="1"/>
  <c r="AG6" i="6"/>
  <c r="AQ34" i="5"/>
  <c r="AQ9" i="5"/>
  <c r="AQ10" i="5" s="1"/>
  <c r="AR33" i="5"/>
  <c r="AN37" i="5"/>
  <c r="AI58" i="6" l="1"/>
  <c r="AQ44" i="5"/>
  <c r="AH56" i="6"/>
  <c r="AO43" i="5"/>
  <c r="AH57" i="6" s="1"/>
  <c r="AP42" i="5"/>
  <c r="AP32" i="5"/>
  <c r="AI30" i="6" s="1"/>
  <c r="AI116" i="6" s="1"/>
  <c r="AI63" i="6"/>
  <c r="AP16" i="5"/>
  <c r="AI14" i="6" s="1"/>
  <c r="AI100" i="6" s="1"/>
  <c r="AP24" i="5"/>
  <c r="AI22" i="6" s="1"/>
  <c r="AI108" i="6" s="1"/>
  <c r="AP27" i="5"/>
  <c r="AI25" i="6" s="1"/>
  <c r="AI111" i="6" s="1"/>
  <c r="AP23" i="5"/>
  <c r="AI21" i="6" s="1"/>
  <c r="AI107" i="6" s="1"/>
  <c r="AP15" i="5"/>
  <c r="AI13" i="6" s="1"/>
  <c r="AI99" i="6" s="1"/>
  <c r="AP22" i="5"/>
  <c r="AI20" i="6" s="1"/>
  <c r="AI106" i="6" s="1"/>
  <c r="AP20" i="5"/>
  <c r="AI18" i="6" s="1"/>
  <c r="AI104" i="6" s="1"/>
  <c r="AP29" i="5"/>
  <c r="AI27" i="6" s="1"/>
  <c r="AI113" i="6" s="1"/>
  <c r="AP19" i="5"/>
  <c r="AI17" i="6" s="1"/>
  <c r="AI103" i="6" s="1"/>
  <c r="AP25" i="5"/>
  <c r="AI23" i="6" s="1"/>
  <c r="AI109" i="6" s="1"/>
  <c r="AP26" i="5"/>
  <c r="AI24" i="6" s="1"/>
  <c r="AI110" i="6" s="1"/>
  <c r="AP31" i="5"/>
  <c r="AI29" i="6" s="1"/>
  <c r="AI115" i="6" s="1"/>
  <c r="AP21" i="5"/>
  <c r="AI19" i="6" s="1"/>
  <c r="AI105" i="6" s="1"/>
  <c r="AP18" i="5"/>
  <c r="AI16" i="6" s="1"/>
  <c r="AP17" i="5"/>
  <c r="AI15" i="6" s="1"/>
  <c r="AI101" i="6" s="1"/>
  <c r="AH7" i="6"/>
  <c r="AH6" i="6" s="1"/>
  <c r="AH102" i="6"/>
  <c r="BE28" i="5"/>
  <c r="AW26" i="6"/>
  <c r="AO37" i="5"/>
  <c r="AP30" i="5"/>
  <c r="AI28" i="6" s="1"/>
  <c r="AR12" i="5"/>
  <c r="AR35" i="5" s="1"/>
  <c r="AJ10" i="6"/>
  <c r="AJ96" i="6" s="1"/>
  <c r="AR34" i="5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99" i="6" l="1"/>
  <c r="AI56" i="6"/>
  <c r="AP43" i="5"/>
  <c r="AI57" i="6" s="1"/>
  <c r="AQ42" i="5"/>
  <c r="AJ58" i="6"/>
  <c r="AR44" i="5"/>
  <c r="AJ101" i="6"/>
  <c r="AJ108" i="6"/>
  <c r="AJ115" i="6"/>
  <c r="AJ109" i="6"/>
  <c r="AJ106" i="6"/>
  <c r="AJ105" i="6"/>
  <c r="AI7" i="6"/>
  <c r="AI6" i="6" s="1"/>
  <c r="AJ103" i="6"/>
  <c r="AI102" i="6"/>
  <c r="AJ102" i="6" s="1"/>
  <c r="AJ100" i="6"/>
  <c r="AJ104" i="6"/>
  <c r="AJ63" i="6"/>
  <c r="AJ111" i="6"/>
  <c r="AJ113" i="6"/>
  <c r="AI114" i="6"/>
  <c r="AJ114" i="6" s="1"/>
  <c r="AJ110" i="6"/>
  <c r="AJ107" i="6"/>
  <c r="AJ116" i="6"/>
  <c r="AJ7" i="6"/>
  <c r="AJ6" i="6" s="1"/>
  <c r="AS12" i="5"/>
  <c r="AS35" i="5" s="1"/>
  <c r="AK10" i="6"/>
  <c r="AK96" i="6" s="1"/>
  <c r="BF28" i="5"/>
  <c r="AX26" i="6"/>
  <c r="AP37" i="5"/>
  <c r="AQ37" i="5"/>
  <c r="AS34" i="5"/>
  <c r="AS9" i="5"/>
  <c r="AS10" i="5" s="1"/>
  <c r="AT33" i="5"/>
  <c r="AR36" i="5"/>
  <c r="AR29" i="5"/>
  <c r="AK27" i="6" s="1"/>
  <c r="AR27" i="5"/>
  <c r="AK25" i="6" s="1"/>
  <c r="AR17" i="5"/>
  <c r="AK15" i="6" s="1"/>
  <c r="AR18" i="5"/>
  <c r="AK16" i="6" s="1"/>
  <c r="AR26" i="5"/>
  <c r="AK24" i="6" s="1"/>
  <c r="AR21" i="5"/>
  <c r="AK19" i="6" s="1"/>
  <c r="AR30" i="5"/>
  <c r="AK28" i="6" s="1"/>
  <c r="AR19" i="5"/>
  <c r="AK17" i="6" s="1"/>
  <c r="AR16" i="5"/>
  <c r="AK14" i="6" s="1"/>
  <c r="AR31" i="5"/>
  <c r="AK29" i="6" s="1"/>
  <c r="AK115" i="6" s="1"/>
  <c r="AR32" i="5"/>
  <c r="AK30" i="6" s="1"/>
  <c r="AR15" i="5"/>
  <c r="AK13" i="6" s="1"/>
  <c r="AK99" i="6" s="1"/>
  <c r="AR24" i="5"/>
  <c r="AK22" i="6" s="1"/>
  <c r="AK108" i="6" s="1"/>
  <c r="AR25" i="5"/>
  <c r="AK23" i="6" s="1"/>
  <c r="AR23" i="5"/>
  <c r="AK21" i="6" s="1"/>
  <c r="AR20" i="5"/>
  <c r="AK18" i="6" s="1"/>
  <c r="AR22" i="5"/>
  <c r="AK20" i="6" s="1"/>
  <c r="AK104" i="6" l="1"/>
  <c r="AK106" i="6"/>
  <c r="AK101" i="6"/>
  <c r="AK109" i="6"/>
  <c r="AJ56" i="6"/>
  <c r="AQ43" i="5"/>
  <c r="AJ57" i="6" s="1"/>
  <c r="AR42" i="5"/>
  <c r="AK105" i="6"/>
  <c r="AK58" i="6"/>
  <c r="AS44" i="5"/>
  <c r="AK103" i="6"/>
  <c r="AK100" i="6"/>
  <c r="AK107" i="6"/>
  <c r="AK110" i="6"/>
  <c r="AK102" i="6"/>
  <c r="AK116" i="6"/>
  <c r="AK63" i="6"/>
  <c r="AK113" i="6"/>
  <c r="AK114" i="6"/>
  <c r="AK111" i="6"/>
  <c r="BG28" i="5"/>
  <c r="AY26" i="6"/>
  <c r="AK7" i="6"/>
  <c r="AK6" i="6" s="1"/>
  <c r="AT12" i="5"/>
  <c r="AL10" i="6"/>
  <c r="AL96" i="6" s="1"/>
  <c r="AR37" i="5"/>
  <c r="AS31" i="5"/>
  <c r="AL29" i="6" s="1"/>
  <c r="AL115" i="6" s="1"/>
  <c r="AS36" i="5"/>
  <c r="AS16" i="5"/>
  <c r="AL14" i="6" s="1"/>
  <c r="AS15" i="5"/>
  <c r="AL13" i="6" s="1"/>
  <c r="AL99" i="6" s="1"/>
  <c r="AS18" i="5"/>
  <c r="AL16" i="6" s="1"/>
  <c r="AS23" i="5"/>
  <c r="AL21" i="6" s="1"/>
  <c r="AS24" i="5"/>
  <c r="AL22" i="6" s="1"/>
  <c r="AL108" i="6" s="1"/>
  <c r="AS26" i="5"/>
  <c r="AL24" i="6" s="1"/>
  <c r="AL110" i="6" s="1"/>
  <c r="AS25" i="5"/>
  <c r="AL23" i="6" s="1"/>
  <c r="AL109" i="6" s="1"/>
  <c r="AS17" i="5"/>
  <c r="AL15" i="6" s="1"/>
  <c r="AL101" i="6" s="1"/>
  <c r="AS19" i="5"/>
  <c r="AL17" i="6" s="1"/>
  <c r="AS29" i="5"/>
  <c r="AL27" i="6" s="1"/>
  <c r="AS27" i="5"/>
  <c r="AL25" i="6" s="1"/>
  <c r="AS20" i="5"/>
  <c r="AL18" i="6" s="1"/>
  <c r="AL104" i="6" s="1"/>
  <c r="AS32" i="5"/>
  <c r="AL30" i="6" s="1"/>
  <c r="AS22" i="5"/>
  <c r="AL20" i="6" s="1"/>
  <c r="AL106" i="6" s="1"/>
  <c r="AS30" i="5"/>
  <c r="AL28" i="6" s="1"/>
  <c r="AS21" i="5"/>
  <c r="AL19" i="6" s="1"/>
  <c r="AT34" i="5"/>
  <c r="AT9" i="5"/>
  <c r="AT10" i="5" s="1"/>
  <c r="AU33" i="5"/>
  <c r="AL105" i="6" l="1"/>
  <c r="AL103" i="6"/>
  <c r="AL107" i="6"/>
  <c r="AL100" i="6"/>
  <c r="AL58" i="6"/>
  <c r="AT44" i="5"/>
  <c r="AU44" i="5" s="1"/>
  <c r="AS42" i="5"/>
  <c r="AK56" i="6"/>
  <c r="AR43" i="5"/>
  <c r="AK57" i="6" s="1"/>
  <c r="AL111" i="6"/>
  <c r="AL113" i="6"/>
  <c r="AL102" i="6"/>
  <c r="AL114" i="6"/>
  <c r="AL116" i="6"/>
  <c r="AL7" i="6"/>
  <c r="AL6" i="6" s="1"/>
  <c r="AU12" i="5"/>
  <c r="AU35" i="5" s="1"/>
  <c r="AM10" i="6"/>
  <c r="BH28" i="5"/>
  <c r="BA26" i="6" s="1"/>
  <c r="AZ26" i="6"/>
  <c r="AT35" i="5"/>
  <c r="AT16" i="5" s="1"/>
  <c r="AM14" i="6" s="1"/>
  <c r="AU34" i="5"/>
  <c r="AU9" i="5"/>
  <c r="AU10" i="5" s="1"/>
  <c r="AV33" i="5"/>
  <c r="AS37" i="5"/>
  <c r="AL56" i="6" l="1"/>
  <c r="AS43" i="5"/>
  <c r="AL57" i="6" s="1"/>
  <c r="AT42" i="5"/>
  <c r="AV44" i="5"/>
  <c r="AW44" i="5" s="1"/>
  <c r="AX44" i="5" s="1"/>
  <c r="AY44" i="5" s="1"/>
  <c r="AZ44" i="5" s="1"/>
  <c r="AT29" i="5"/>
  <c r="AM27" i="6" s="1"/>
  <c r="AT36" i="5"/>
  <c r="AT15" i="5"/>
  <c r="AM13" i="6" s="1"/>
  <c r="AT21" i="5"/>
  <c r="AM19" i="6" s="1"/>
  <c r="AT20" i="5"/>
  <c r="AM18" i="6" s="1"/>
  <c r="AT18" i="5"/>
  <c r="AM16" i="6" s="1"/>
  <c r="AT25" i="5"/>
  <c r="AM23" i="6" s="1"/>
  <c r="AT22" i="5"/>
  <c r="AM20" i="6" s="1"/>
  <c r="AT32" i="5"/>
  <c r="AM30" i="6" s="1"/>
  <c r="AT26" i="5"/>
  <c r="AM24" i="6" s="1"/>
  <c r="AT27" i="5"/>
  <c r="AM25" i="6" s="1"/>
  <c r="AT30" i="5"/>
  <c r="AM28" i="6" s="1"/>
  <c r="AT17" i="5"/>
  <c r="AM15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V9" i="5"/>
  <c r="AV10" i="5" s="1"/>
  <c r="AW33" i="5"/>
  <c r="BA44" i="5" l="1"/>
  <c r="AU42" i="5"/>
  <c r="AT43" i="5"/>
  <c r="BB44" i="5"/>
  <c r="AM7" i="6"/>
  <c r="AM6" i="6" s="1"/>
  <c r="AN7" i="6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W9" i="5"/>
  <c r="AW10" i="5" s="1"/>
  <c r="AX33" i="5"/>
  <c r="AU37" i="5"/>
  <c r="BC44" i="5" l="1"/>
  <c r="BD44" i="5" s="1"/>
  <c r="AN6" i="6"/>
  <c r="AU43" i="5"/>
  <c r="AV42" i="5"/>
  <c r="AO7" i="6"/>
  <c r="AO6" i="6" s="1"/>
  <c r="AX12" i="5"/>
  <c r="AP10" i="6"/>
  <c r="AW35" i="5"/>
  <c r="AW29" i="5" s="1"/>
  <c r="AP27" i="6" s="1"/>
  <c r="AV37" i="5"/>
  <c r="AX34" i="5"/>
  <c r="AX9" i="5"/>
  <c r="AX10" i="5" s="1"/>
  <c r="AY33" i="5"/>
  <c r="BE44" i="5" l="1"/>
  <c r="BF44" i="5" s="1"/>
  <c r="BG44" i="5" s="1"/>
  <c r="BH44" i="5" s="1"/>
  <c r="AV43" i="5"/>
  <c r="AW42" i="5"/>
  <c r="AW36" i="5"/>
  <c r="AW16" i="5"/>
  <c r="AP14" i="6" s="1"/>
  <c r="AW20" i="5"/>
  <c r="AP18" i="6" s="1"/>
  <c r="AW23" i="5"/>
  <c r="AP21" i="6" s="1"/>
  <c r="AW24" i="5"/>
  <c r="AP22" i="6" s="1"/>
  <c r="AW15" i="5"/>
  <c r="AP13" i="6" s="1"/>
  <c r="AW26" i="5"/>
  <c r="AP24" i="6" s="1"/>
  <c r="AW25" i="5"/>
  <c r="AP23" i="6" s="1"/>
  <c r="AW19" i="5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Y9" i="5"/>
  <c r="AY10" i="5" s="1"/>
  <c r="AZ33" i="5"/>
  <c r="AW43" i="5" l="1"/>
  <c r="AX42" i="5"/>
  <c r="AP7" i="6"/>
  <c r="AP6" i="6" s="1"/>
  <c r="AX36" i="5"/>
  <c r="AX31" i="5"/>
  <c r="AQ29" i="6" s="1"/>
  <c r="AX17" i="5"/>
  <c r="AQ15" i="6" s="1"/>
  <c r="AX15" i="5"/>
  <c r="AQ13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Z9" i="5"/>
  <c r="AZ10" i="5" s="1"/>
  <c r="BA33" i="5"/>
  <c r="AY32" i="5" l="1"/>
  <c r="AR30" i="6" s="1"/>
  <c r="AY30" i="5"/>
  <c r="AR28" i="6" s="1"/>
  <c r="AY19" i="5"/>
  <c r="AR17" i="6" s="1"/>
  <c r="AX43" i="5"/>
  <c r="AY42" i="5"/>
  <c r="AY17" i="5"/>
  <c r="AR15" i="6" s="1"/>
  <c r="AY31" i="5"/>
  <c r="AR29" i="6" s="1"/>
  <c r="AY21" i="5"/>
  <c r="AR19" i="6" s="1"/>
  <c r="AY20" i="5"/>
  <c r="AR18" i="6" s="1"/>
  <c r="AY23" i="5"/>
  <c r="AR21" i="6" s="1"/>
  <c r="AY27" i="5"/>
  <c r="AR25" i="6" s="1"/>
  <c r="AQ7" i="6"/>
  <c r="AQ6" i="6" s="1"/>
  <c r="AY16" i="5"/>
  <c r="AR14" i="6" s="1"/>
  <c r="AY29" i="5"/>
  <c r="AR27" i="6" s="1"/>
  <c r="AY24" i="5"/>
  <c r="AR22" i="6" s="1"/>
  <c r="AY15" i="5"/>
  <c r="AR13" i="6" s="1"/>
  <c r="AY22" i="5"/>
  <c r="AR20" i="6" s="1"/>
  <c r="BA12" i="5"/>
  <c r="AS10" i="6"/>
  <c r="AY26" i="5"/>
  <c r="AR24" i="6" s="1"/>
  <c r="AZ35" i="5"/>
  <c r="AZ24" i="5" s="1"/>
  <c r="AS22" i="6" s="1"/>
  <c r="AY25" i="5"/>
  <c r="AR23" i="6" s="1"/>
  <c r="AY18" i="5"/>
  <c r="AR16" i="6" s="1"/>
  <c r="AX37" i="5"/>
  <c r="BA34" i="5"/>
  <c r="BA9" i="5"/>
  <c r="BA10" i="5" s="1"/>
  <c r="BB33" i="5"/>
  <c r="AY43" i="5" l="1"/>
  <c r="AZ42" i="5"/>
  <c r="AZ20" i="5"/>
  <c r="AS18" i="6" s="1"/>
  <c r="AZ16" i="5"/>
  <c r="AS14" i="6" s="1"/>
  <c r="AZ21" i="5"/>
  <c r="AS19" i="6" s="1"/>
  <c r="AZ27" i="5"/>
  <c r="AS25" i="6" s="1"/>
  <c r="AR7" i="6"/>
  <c r="AR6" i="6" s="1"/>
  <c r="AZ22" i="5"/>
  <c r="AS20" i="6" s="1"/>
  <c r="AZ26" i="5"/>
  <c r="AS24" i="6" s="1"/>
  <c r="AZ31" i="5"/>
  <c r="AS29" i="6" s="1"/>
  <c r="AZ25" i="5"/>
  <c r="AS23" i="6" s="1"/>
  <c r="AZ29" i="5"/>
  <c r="AS27" i="6" s="1"/>
  <c r="AZ32" i="5"/>
  <c r="AS30" i="6" s="1"/>
  <c r="AZ23" i="5"/>
  <c r="AS21" i="6" s="1"/>
  <c r="AZ15" i="5"/>
  <c r="AS13" i="6" s="1"/>
  <c r="AZ36" i="5"/>
  <c r="AY37" i="5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B9" i="5"/>
  <c r="BB10" i="5" s="1"/>
  <c r="BC33" i="5"/>
  <c r="AZ43" i="5" l="1"/>
  <c r="BA42" i="5"/>
  <c r="AS7" i="6"/>
  <c r="AS6" i="6" s="1"/>
  <c r="BA36" i="5"/>
  <c r="BA22" i="5"/>
  <c r="AT20" i="6" s="1"/>
  <c r="BA30" i="5"/>
  <c r="AT28" i="6" s="1"/>
  <c r="BA20" i="5"/>
  <c r="AT18" i="6" s="1"/>
  <c r="BA32" i="5"/>
  <c r="AT30" i="6" s="1"/>
  <c r="BA26" i="5"/>
  <c r="AT24" i="6" s="1"/>
  <c r="BA31" i="5"/>
  <c r="AT29" i="6" s="1"/>
  <c r="BA15" i="5"/>
  <c r="AT13" i="6" s="1"/>
  <c r="BC12" i="5"/>
  <c r="BC35" i="5" s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BA29" i="5"/>
  <c r="AT27" i="6" s="1"/>
  <c r="BA25" i="5"/>
  <c r="AT23" i="6" s="1"/>
  <c r="BA16" i="5"/>
  <c r="AT14" i="6" s="1"/>
  <c r="BA18" i="5"/>
  <c r="AT16" i="6" s="1"/>
  <c r="BB30" i="5"/>
  <c r="AU28" i="6" s="1"/>
  <c r="BB24" i="5"/>
  <c r="AU22" i="6" s="1"/>
  <c r="BB31" i="5"/>
  <c r="AU29" i="6" s="1"/>
  <c r="BB20" i="5"/>
  <c r="AU18" i="6" s="1"/>
  <c r="BC34" i="5"/>
  <c r="BC9" i="5"/>
  <c r="BC10" i="5" s="1"/>
  <c r="BD33" i="5"/>
  <c r="BB27" i="5" l="1"/>
  <c r="AU25" i="6" s="1"/>
  <c r="BB16" i="5"/>
  <c r="AU14" i="6" s="1"/>
  <c r="BB32" i="5"/>
  <c r="AU30" i="6" s="1"/>
  <c r="BB15" i="5"/>
  <c r="AU13" i="6" s="1"/>
  <c r="BB21" i="5"/>
  <c r="AU19" i="6" s="1"/>
  <c r="BB23" i="5"/>
  <c r="AU21" i="6" s="1"/>
  <c r="BB18" i="5"/>
  <c r="AU16" i="6" s="1"/>
  <c r="BB22" i="5"/>
  <c r="AU20" i="6" s="1"/>
  <c r="BB17" i="5"/>
  <c r="AU15" i="6" s="1"/>
  <c r="BB36" i="5"/>
  <c r="BA43" i="5"/>
  <c r="BB42" i="5"/>
  <c r="BB29" i="5"/>
  <c r="AU27" i="6" s="1"/>
  <c r="AT7" i="6"/>
  <c r="AT6" i="6" s="1"/>
  <c r="BA37" i="5"/>
  <c r="BB26" i="5"/>
  <c r="AU24" i="6" s="1"/>
  <c r="BB19" i="5"/>
  <c r="AU17" i="6" s="1"/>
  <c r="BD12" i="5"/>
  <c r="BD35" i="5" s="1"/>
  <c r="AV10" i="6"/>
  <c r="BD34" i="5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 l="1"/>
  <c r="BB43" i="5"/>
  <c r="BC42" i="5"/>
  <c r="AU7" i="6"/>
  <c r="AU6" i="6" s="1"/>
  <c r="AV7" i="6"/>
  <c r="BE12" i="5"/>
  <c r="BE35" i="5" s="1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4" i="5"/>
  <c r="BE9" i="5"/>
  <c r="BE10" i="5" s="1"/>
  <c r="BF33" i="5"/>
  <c r="AV6" i="6" l="1"/>
  <c r="BC43" i="5"/>
  <c r="BD42" i="5"/>
  <c r="AW7" i="6"/>
  <c r="AW6" i="6" s="1"/>
  <c r="BF12" i="5"/>
  <c r="BF35" i="5" s="1"/>
  <c r="AX10" i="6"/>
  <c r="BD37" i="5"/>
  <c r="BF34" i="5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BD43" i="5" l="1"/>
  <c r="BE42" i="5"/>
  <c r="AX7" i="6"/>
  <c r="AX6" i="6" s="1"/>
  <c r="BG12" i="5"/>
  <c r="BG35" i="5" s="1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4" i="5"/>
  <c r="BG9" i="5"/>
  <c r="BG10" i="5" s="1"/>
  <c r="BH33" i="5"/>
  <c r="BE43" i="5" l="1"/>
  <c r="BF42" i="5"/>
  <c r="AY7" i="6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F37" i="5"/>
  <c r="BF43" i="5" l="1"/>
  <c r="BG42" i="5"/>
  <c r="AZ7" i="6"/>
  <c r="AZ6" i="6" s="1"/>
  <c r="BH35" i="5"/>
  <c r="BH29" i="5" s="1"/>
  <c r="BA27" i="6" s="1"/>
  <c r="BG37" i="5"/>
  <c r="BH21" i="5"/>
  <c r="BA19" i="6" s="1"/>
  <c r="BH23" i="5"/>
  <c r="BA21" i="6" s="1"/>
  <c r="BH19" i="5"/>
  <c r="BA17" i="6" s="1"/>
  <c r="BH26" i="5"/>
  <c r="BA24" i="6" s="1"/>
  <c r="BH18" i="5"/>
  <c r="BA16" i="6" s="1"/>
  <c r="BH32" i="5" l="1"/>
  <c r="BA30" i="6" s="1"/>
  <c r="BH16" i="5"/>
  <c r="BA14" i="6" s="1"/>
  <c r="BG43" i="5"/>
  <c r="BH42" i="5"/>
  <c r="BH43" i="5" s="1"/>
  <c r="BH30" i="5"/>
  <c r="BA28" i="6" s="1"/>
  <c r="BH17" i="5"/>
  <c r="BA15" i="6" s="1"/>
  <c r="BH27" i="5"/>
  <c r="BA25" i="6" s="1"/>
  <c r="BH15" i="5"/>
  <c r="BA13" i="6" s="1"/>
  <c r="BH24" i="5"/>
  <c r="BA22" i="6" s="1"/>
  <c r="BH22" i="5"/>
  <c r="BA20" i="6" s="1"/>
  <c r="BH20" i="5"/>
  <c r="BA18" i="6" s="1"/>
  <c r="BH25" i="5"/>
  <c r="BA23" i="6" s="1"/>
  <c r="BH31" i="5"/>
  <c r="BA29" i="6" s="1"/>
  <c r="BH36" i="5"/>
  <c r="BH37" i="5" l="1"/>
  <c r="BA7" i="6"/>
  <c r="BA6" i="6" s="1"/>
  <c r="E12" i="8" l="1"/>
  <c r="E13" i="8" s="1"/>
  <c r="L42" i="6"/>
  <c r="L43" i="6" s="1"/>
  <c r="G42" i="6"/>
  <c r="G43" i="6" s="1"/>
  <c r="E43" i="6" s="1"/>
  <c r="F43" i="6" s="1"/>
  <c r="C45" i="6" l="1"/>
  <c r="G45" i="6"/>
  <c r="L45" i="6"/>
  <c r="H43" i="6"/>
  <c r="H45" i="6" s="1"/>
  <c r="E14" i="8"/>
  <c r="Q42" i="6"/>
  <c r="Q43" i="6" s="1"/>
  <c r="D45" i="6" l="1"/>
  <c r="M43" i="6"/>
  <c r="M45" i="6" s="1"/>
  <c r="Q45" i="6"/>
  <c r="E15" i="8"/>
  <c r="V42" i="6"/>
  <c r="V43" i="6" s="1"/>
  <c r="I43" i="6"/>
  <c r="E16" i="8" l="1"/>
  <c r="AF42" i="6" s="1"/>
  <c r="AF43" i="6" s="1"/>
  <c r="AA42" i="6"/>
  <c r="AA43" i="6" s="1"/>
  <c r="R43" i="6"/>
  <c r="R45" i="6" s="1"/>
  <c r="V45" i="6"/>
  <c r="N43" i="6"/>
  <c r="E45" i="6"/>
  <c r="F45" i="6"/>
  <c r="I45" i="6"/>
  <c r="J43" i="6"/>
  <c r="N45" i="6" l="1"/>
  <c r="O43" i="6"/>
  <c r="J45" i="6"/>
  <c r="K43" i="6"/>
  <c r="K45" i="6" s="1"/>
  <c r="S43" i="6"/>
  <c r="AA45" i="6"/>
  <c r="W43" i="6"/>
  <c r="W45" i="6" s="1"/>
  <c r="AG43" i="6"/>
  <c r="AG45" i="6" s="1"/>
  <c r="AF45" i="6"/>
  <c r="AB43" i="6"/>
  <c r="AB45" i="6" s="1"/>
  <c r="AC43" i="6" l="1"/>
  <c r="AC45" i="6" s="1"/>
  <c r="AH43" i="6"/>
  <c r="X43" i="6"/>
  <c r="AD43" i="6"/>
  <c r="S45" i="6"/>
  <c r="T43" i="6"/>
  <c r="O45" i="6"/>
  <c r="P43" i="6"/>
  <c r="P45" i="6" s="1"/>
  <c r="AH45" i="6" l="1"/>
  <c r="AI43" i="6"/>
  <c r="T45" i="6"/>
  <c r="U43" i="6"/>
  <c r="U45" i="6" s="1"/>
  <c r="AD45" i="6"/>
  <c r="AE43" i="6"/>
  <c r="AE45" i="6" s="1"/>
  <c r="X45" i="6"/>
  <c r="Y43" i="6"/>
  <c r="AI45" i="6" l="1"/>
  <c r="AJ43" i="6"/>
  <c r="AJ45" i="6" s="1"/>
  <c r="Y45" i="6"/>
  <c r="Z43" i="6"/>
  <c r="Z4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5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tc={2CACE129-2C75-4F49-8FDE-E03B4FB670EA}</author>
  </authors>
  <commentList>
    <comment ref="N34" authorId="0" shapeId="0" xr:uid="{2CACE129-2C75-4F49-8FDE-E03B4FB670EA}">
      <text>
        <t>[Threaded comment]
Your version of Excel allows you to read this threaded comment; however, any edits to it will get removed if the file is opened in a newer version of Excel. Learn more: https://go.microsoft.com/fwlink/?linkid=870924
Comment:
    YHE drops here because the third decile is added to high income group in 2021.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tc={6BACE8B8-BAAD-487A-9DB4-F8AEB26E13D7}</author>
  </authors>
  <commentList>
    <comment ref="E11" authorId="0" shapeId="0" xr:uid="{6BACE8B8-BAAD-487A-9DB4-F8AEB26E13D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sure why it is half what UN says!!!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<sst xmlns="http://schemas.openxmlformats.org/spreadsheetml/2006/main" count="1125" uniqueCount="257">
  <si>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</si>
  <si>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</si>
  <si>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</si>
  <si>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</si>
  <si>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</si>
  <si>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</si>
  <si>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</si>
  <si>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</si>
  <si>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</si>
  <si>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</si>
  <si>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</si>
  <si>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</si>
  <si>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</si>
  <si>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</si>
  <si>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</si>
  <si>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</si>
  <si>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</si>
  <si>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</si>
  <si>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</si>
  <si>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</si>
  <si>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</si>
  <si>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</si>
  <si>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</si>
  <si>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</si>
  <si>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</si>
  <si>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</si>
  <si>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</si>
  <si>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</si>
  <si>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</si>
  <si>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</si>
  <si>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</si>
  <si>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</si>
  <si>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</si>
  <si>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</si>
  <si>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</si>
  <si>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</si>
  <si>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</si>
  <si>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</si>
  <si>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</si>
  <si>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</si>
  <si>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</si>
  <si>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</si>
  <si>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</si>
  <si>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</si>
  <si>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</si>
  <si>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</si>
  <si>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</si>
  <si>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</si>
  <si>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</si>
  <si>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</si>
  <si>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</si>
  <si>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</si>
  <si>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</si>
  <si>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</si>
  <si>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</si>
  <si>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</si>
  <si>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</si>
  <si>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</si>
  <si>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</si>
  <si>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</si>
  <si>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</si>
  <si>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</si>
  <si>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</si>
  <si>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</si>
  <si>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</si>
  <si>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</si>
  <si>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</si>
  <si>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</si>
  <si>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</si>
  <si>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</si>
  <si>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</si>
  <si>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</si>
  <si>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</si>
  <si>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</si>
  <si>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</si>
  <si>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</si>
  <si>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</si>
  <si>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</si>
  <si>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</si>
  <si>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</si>
  <si>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</si>
  <si>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</si>
  <si>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</si>
  <si>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</si>
  <si>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</si>
  <si>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</si>
  <si>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</si>
  <si>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</si>
  <si>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</si>
  <si>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</si>
  <si>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</si>
  <si>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</si>
  <si>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</si>
  <si>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</si>
  <si>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</si>
  <si>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</si>
  <si>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</si>
  <si>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</si>
  <si>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</si>
  <si>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</si>
  <si>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</si>
  <si>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</si>
  <si>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</si>
  <si>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</si>
  <si>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</si>
  <si>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</si>
  <si>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</si>
  <si>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</si>
  <si>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</si>
  <si>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</si>
  <si>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</si>
  <si>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</si>
  <si>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</si>
  <si>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</si>
  <si>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</si>
  <si>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</si>
  <si>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</si>
  <si>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</si>
  <si>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</si>
  <si>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</si>
  <si>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</si>
  <si>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</si>
  <si>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</si>
  <si>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</si>
  <si>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</si>
  <si>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</si>
  <si>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</si>
  <si>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</si>
  <si>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</si>
  <si>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</si>
  <si>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</si>
  <si>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</si>
  <si>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</si>
  <si>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</si>
  <si>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</si>
  <si>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</si>
  <si>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</si>
  <si>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</si>
  <si>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</si>
  <si>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</si>
  <si>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</si>
  <si>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</si>
  <si>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</si>
  <si>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</si>
  <si>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</si>
  <si>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</si>
  <si>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</si>
  <si>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</si>
  <si>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</si>
  <si>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</si>
  <si>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</si>
  <si>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</si>
  <si>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</si>
  <si>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</si>
  <si>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</si>
  <si>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</si>
  <si>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</si>
  <si>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</si>
  <si>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</si>
  <si>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</si>
  <si>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</si>
  <si>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</si>
  <si>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</si>
  <si>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</si>
  <si>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</si>
  <si>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</si>
  <si>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</si>
  <si>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</si>
  <si>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</si>
  <si>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</si>
  <si>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</si>
  <si>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</si>
  <si>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</si>
  <si>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</si>
  <si>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</si>
  <si>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</si>
  <si>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</si>
  <si>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</si>
  <si>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</si>
  <si>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</si>
  <si>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</si>
  <si>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</si>
  <si>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</si>
  <si>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</si>
  <si>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</si>
  <si>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</si>
  <si>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</si>
  <si>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</si>
  <si>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</si>
  <si>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</si>
  <si>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</si>
  <si>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</si>
  <si>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</si>
  <si>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</si>
  <si>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</si>
  <si>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</si>
  <si>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</si>
  <si>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</si>
  <si>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</si>
  <si>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</si>
  <si>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</si>
  <si>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</si>
  <si>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</si>
  <si>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</si>
  <si>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</si>
  <si>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</si>
  <si>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</si>
  <si>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</si>
  <si>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</si>
  <si>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</si>
  <si>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</si>
  <si>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</si>
  <si>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</si>
  <si>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</si>
  <si>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</si>
  <si>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</si>
  <si>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</si>
  <si>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</si>
  <si>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</si>
  <si>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</si>
  <si>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</si>
  <si>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</si>
  <si>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</si>
  <si>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</si>
  <si>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</si>
  <si>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</si>
  <si>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</si>
  <si>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</si>
  <si>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</si>
  <si>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</si>
  <si>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</si>
  <si>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</si>
  <si>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</si>
  <si>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</si>
  <si>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</si>
  <si>
    <t>QA_FS (used for intensity calcs in some places)</t>
  </si>
  <si>
    <t>QA_FS</t>
  </si>
  <si>
    <t>Active Population</t>
  </si>
  <si>
    <t>POPActive</t>
  </si>
  <si>
    <t>% 15-64</t>
  </si>
  <si>
    <t>World Population Prospects 2019</t>
  </si>
  <si>
    <t>File POP/7-1: Total population (both sexes combined) by five-year age group, region, subregion and country, 1950-2100 (thousands)</t>
  </si>
  <si>
    <t>Medium fertility variant, 2020 - 2100</t>
  </si>
  <si>
    <t>POP/DB/WPP/Rev.2019/POP/F07-1</t>
  </si>
  <si>
    <t>© August 2019 by United Nations, made available under a Creative Commons license CC BY 3.0 IGO: http://creativecommons.org/licenses/by/3.0/igo/</t>
  </si>
  <si>
    <t>Suggested citation: United Nations, Department of Economic and Social Affairs, Population Division (2019). World Population Prospects 2019, Online Edition. Rev. 1.</t>
  </si>
  <si>
    <t>Bruno: Noting that the 2022 version does not include the population by age group!</t>
  </si>
  <si>
    <t>% 15-64 years old</t>
  </si>
  <si>
    <t>POP_GR</t>
  </si>
  <si>
    <t>unemployment rate</t>
  </si>
  <si>
    <t>Active</t>
  </si>
  <si>
    <t>pop</t>
  </si>
  <si>
    <t>Actual</t>
  </si>
  <si>
    <t>employrate</t>
  </si>
  <si>
    <t>Employedcheck</t>
  </si>
  <si>
    <t>https://www.investec.com/en_za/focus/economy/making-sense-of-employment-and-unemployment-in-sa.html#:~:text=The%20SA%20labour%20force%20is,adult%20South%20Africans%20economically%20inactive.</t>
  </si>
  <si>
    <t>in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</si>
</sst>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i/>
      <sz val="8"/>
      <color theme="1"/>
      <name val="Arial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  <xf numFmtId="0" fontId="18" fillId="7" borderId="0" applyNumberFormat="0" applyBorder="0" applyAlignment="0" applyProtection="0"/>
  </cellStyleXfs>
  <cellXfs count="50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  <xf numFmtId="0" fontId="13" fillId="6" borderId="0" xfId="0" applyFont="1" applyFill="1" applyAlignment="1">
      <alignment horizontal="left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6" fillId="6" borderId="0" xfId="0" quotePrefix="1" applyFont="1" applyFill="1" applyAlignment="1">
      <alignment horizontal="left"/>
    </xf>
    <xf numFmtId="0" fontId="17" fillId="6" borderId="0" xfId="0" applyFont="1" applyFill="1" applyAlignment="1">
      <alignment horizontal="left"/>
    </xf>
    <xf numFmtId="164" fontId="0" fillId="0" borderId="0" xfId="1" quotePrefix="1" applyNumberFormat="1" applyFont="1"/>
    <xf numFmtId="164" fontId="0" fillId="0" borderId="0" xfId="0" quotePrefix="1" applyNumberFormat="1"/>
    <xf numFmtId="164" fontId="18" fillId="7" borderId="0" xfId="9" applyNumberFormat="1"/>
    <xf numFmtId="165" fontId="10" fillId="5" borderId="2" xfId="8" applyNumberFormat="1" applyBorder="1"/>
    <xf numFmtId="0" fontId="11" fillId="0" borderId="0" xfId="0" applyFont="1"/>
  </cellXfs>
  <cellStyles count="10">
    <cellStyle name="20% - Accent1 2" xfId="8" xr:uid="{73DFC625-8C36-4ADA-9B76-94CC310F5E34}"/>
    <cellStyle name="Bad" xfId="9" builtinId="27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Drivers!$B$51:$BQ$51</c15:sqref>
                  </c15:fullRef>
                </c:ext>
              </c:extLst>
              <c:f>Drivers!$F$51:$BQ$51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Drivers!$B$50:$BQ$50</c15:sqref>
                  </c15:fullRef>
                </c:ext>
              </c:extLst>
              <c:f>Drivers!$F$50:$BQ$50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552450</xdr:colOff>
      <xdr:row>48</xdr:row>
      <xdr:rowOff>109537</xdr:rowOff>
    </xdr:from>
    <xdr:to>
      <xdr:col>24</xdr:col>
      <xdr:colOff>247650</xdr:colOff>
      <xdr:row>62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51</xdr:row>
      <xdr:rowOff>133350</xdr:rowOff>
    </xdr:from>
    <xdr:to>
      <xdr:col>48</xdr:col>
      <xdr:colOff>95250</xdr:colOff>
      <xdr:row>73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8</xdr:row>
      <xdr:rowOff>0</xdr:rowOff>
    </xdr:from>
    <xdr:to>
      <xdr:col>40</xdr:col>
      <xdr:colOff>551009</xdr:colOff>
      <xdr:row>32</xdr:row>
      <xdr:rowOff>132762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623EE7-B5DD-5CC3-010E-46867D6F5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82700" y="1524000"/>
          <a:ext cx="11523809" cy="470476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  <person displayName="Bruno Merven" id="{878ABE06-FDD5-459C-B89F-C6D2AB66E29F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5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34" dT="2022-06-17T13:00:10.79" personId="{F57B30B9-09AC-4252-9D42-F9BAA336C9C2}" id="{2CACE129-2C75-4F49-8FDE-E03B4FB670EA}">
    <text>YHE drops here because the third decile is added to high income group in 2021.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1" dT="2023-12-01T07:53:56.61" personId="{878ABE06-FDD5-459C-B89F-C6D2AB66E29F}" id="{6BACE8B8-BAAD-487A-9DB4-F8AEB26E13D7}">
    <text>Not sure why it is half what UN says!!!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116"/>
  <sheetViews>
    <sheetView workbookViewId="0">
      <pane xSplit="1" topLeftCell="B1" activePane="topRight" state="frozen"/>
      <selection pane="topRight" activeCell="A39" sqref="A39:XFD39"/>
    </sheetView>
  </sheetViews>
  <sheetFormatPr defaultRowHeight="15" x14ac:dyDescent="0.25"/>
  <cols>
    <col min="3" max="3" width="7.140625" customWidth="1"/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35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177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178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182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183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2" ht="18" thickBot="1" x14ac:dyDescent="0.35">
      <c r="A33" s="4" t="s">
        <v>47</v>
      </c>
      <c r="B33" s="4"/>
      <c r="C33" s="4"/>
    </row>
    <row r="34" spans="1:82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2" x14ac:dyDescent="0.25">
      <c r="A35" s="9">
        <v>58364.834921819442</v>
      </c>
      <c r="B35" s="9">
        <f>I50</f>
        <v>58801.927000000003</v>
      </c>
      <c r="C35" s="9">
        <f>J50</f>
        <v>59392.254999999997</v>
      </c>
      <c r="D35" s="9">
        <f t="shared" ref="D35:BO35" si="22">K50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BW50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2" x14ac:dyDescent="0.25">
      <c r="J36" s="6"/>
      <c r="K36" s="6"/>
      <c r="L36" s="6"/>
      <c r="M36" s="6"/>
      <c r="N36" s="6"/>
      <c r="S36" s="6"/>
    </row>
    <row r="37" spans="1:82" x14ac:dyDescent="0.25">
      <c r="A37">
        <v>2019</v>
      </c>
      <c r="B37">
        <f>B34</f>
        <v>2020</v>
      </c>
      <c r="C37">
        <f t="shared" ref="C37:BN37" si="24">C34</f>
        <v>2021</v>
      </c>
      <c r="D37">
        <f t="shared" si="24"/>
        <v>2022</v>
      </c>
      <c r="E37">
        <f t="shared" si="24"/>
        <v>2023</v>
      </c>
      <c r="F37">
        <f t="shared" si="24"/>
        <v>2024</v>
      </c>
      <c r="G37">
        <f t="shared" si="24"/>
        <v>2025</v>
      </c>
      <c r="H37">
        <f t="shared" si="24"/>
        <v>2026</v>
      </c>
      <c r="I37">
        <f t="shared" si="24"/>
        <v>2027</v>
      </c>
      <c r="J37">
        <f t="shared" si="24"/>
        <v>2028</v>
      </c>
      <c r="K37">
        <f t="shared" si="24"/>
        <v>2029</v>
      </c>
      <c r="L37">
        <f t="shared" si="24"/>
        <v>2030</v>
      </c>
      <c r="M37">
        <f t="shared" si="24"/>
        <v>2031</v>
      </c>
      <c r="N37">
        <f t="shared" si="24"/>
        <v>2032</v>
      </c>
      <c r="O37">
        <f t="shared" si="24"/>
        <v>2033</v>
      </c>
      <c r="P37">
        <f t="shared" si="24"/>
        <v>2034</v>
      </c>
      <c r="Q37">
        <f t="shared" si="24"/>
        <v>2035</v>
      </c>
      <c r="R37">
        <f t="shared" si="24"/>
        <v>2036</v>
      </c>
      <c r="S37">
        <f t="shared" si="24"/>
        <v>2037</v>
      </c>
      <c r="T37">
        <f t="shared" si="24"/>
        <v>2038</v>
      </c>
      <c r="U37">
        <f t="shared" si="24"/>
        <v>2039</v>
      </c>
      <c r="V37">
        <f t="shared" si="24"/>
        <v>2040</v>
      </c>
      <c r="W37">
        <f t="shared" si="24"/>
        <v>2041</v>
      </c>
      <c r="X37">
        <f t="shared" si="24"/>
        <v>2042</v>
      </c>
      <c r="Y37">
        <f t="shared" si="24"/>
        <v>2043</v>
      </c>
      <c r="Z37">
        <f t="shared" si="24"/>
        <v>2044</v>
      </c>
      <c r="AA37">
        <f t="shared" si="24"/>
        <v>2045</v>
      </c>
      <c r="AB37">
        <f t="shared" si="24"/>
        <v>2046</v>
      </c>
      <c r="AC37">
        <f t="shared" si="24"/>
        <v>2047</v>
      </c>
      <c r="AD37">
        <f t="shared" si="24"/>
        <v>2048</v>
      </c>
      <c r="AE37">
        <f t="shared" si="24"/>
        <v>2049</v>
      </c>
      <c r="AF37">
        <f t="shared" si="24"/>
        <v>2050</v>
      </c>
      <c r="AG37">
        <f t="shared" si="24"/>
        <v>2051</v>
      </c>
      <c r="AH37">
        <f t="shared" si="24"/>
        <v>2052</v>
      </c>
      <c r="AI37">
        <f t="shared" si="24"/>
        <v>2053</v>
      </c>
      <c r="AJ37">
        <f t="shared" si="24"/>
        <v>2054</v>
      </c>
      <c r="AK37">
        <f t="shared" si="24"/>
        <v>2055</v>
      </c>
      <c r="AL37">
        <f t="shared" si="24"/>
        <v>2056</v>
      </c>
      <c r="AM37">
        <f t="shared" si="24"/>
        <v>2057</v>
      </c>
      <c r="AN37">
        <f t="shared" si="24"/>
        <v>2058</v>
      </c>
      <c r="AO37">
        <f t="shared" si="24"/>
        <v>2059</v>
      </c>
      <c r="AP37">
        <f t="shared" si="24"/>
        <v>2060</v>
      </c>
      <c r="AQ37">
        <f t="shared" si="24"/>
        <v>2061</v>
      </c>
      <c r="AR37">
        <f t="shared" si="24"/>
        <v>2062</v>
      </c>
      <c r="AS37">
        <f t="shared" si="24"/>
        <v>2063</v>
      </c>
      <c r="AT37">
        <f t="shared" si="24"/>
        <v>2064</v>
      </c>
      <c r="AU37">
        <f t="shared" si="24"/>
        <v>2065</v>
      </c>
      <c r="AV37">
        <f t="shared" si="24"/>
        <v>2066</v>
      </c>
      <c r="AW37">
        <f t="shared" si="24"/>
        <v>2067</v>
      </c>
      <c r="AX37">
        <f t="shared" si="24"/>
        <v>2068</v>
      </c>
      <c r="AY37">
        <f t="shared" si="24"/>
        <v>2069</v>
      </c>
      <c r="AZ37">
        <f t="shared" si="24"/>
        <v>2070</v>
      </c>
      <c r="BA37">
        <f t="shared" si="24"/>
        <v>2071</v>
      </c>
      <c r="BB37">
        <f t="shared" si="24"/>
        <v>2072</v>
      </c>
      <c r="BC37">
        <f t="shared" si="24"/>
        <v>2073</v>
      </c>
      <c r="BD37">
        <f t="shared" si="24"/>
        <v>2074</v>
      </c>
      <c r="BE37">
        <f t="shared" si="24"/>
        <v>2075</v>
      </c>
      <c r="BF37">
        <f t="shared" si="24"/>
        <v>2076</v>
      </c>
      <c r="BG37">
        <f t="shared" si="24"/>
        <v>2077</v>
      </c>
      <c r="BH37">
        <f t="shared" si="24"/>
        <v>2078</v>
      </c>
      <c r="BI37">
        <f t="shared" si="24"/>
        <v>2079</v>
      </c>
      <c r="BJ37">
        <f t="shared" si="24"/>
        <v>2080</v>
      </c>
      <c r="BK37">
        <f t="shared" si="24"/>
        <v>2081</v>
      </c>
      <c r="BL37">
        <f t="shared" si="24"/>
        <v>2082</v>
      </c>
      <c r="BM37">
        <f t="shared" si="24"/>
        <v>2083</v>
      </c>
      <c r="BN37">
        <f t="shared" si="24"/>
        <v>2084</v>
      </c>
      <c r="BO37">
        <f t="shared" ref="BO37:CD37" si="25">BO34</f>
        <v>2085</v>
      </c>
      <c r="BP37">
        <f t="shared" si="25"/>
        <v>2086</v>
      </c>
      <c r="BQ37">
        <f t="shared" si="25"/>
        <v>2087</v>
      </c>
      <c r="BR37">
        <f t="shared" si="25"/>
        <v>2088</v>
      </c>
      <c r="BS37">
        <f t="shared" si="25"/>
        <v>2089</v>
      </c>
      <c r="BT37">
        <f t="shared" si="25"/>
        <v>2090</v>
      </c>
      <c r="BU37">
        <f t="shared" si="25"/>
        <v>2091</v>
      </c>
      <c r="BV37">
        <f t="shared" si="25"/>
        <v>2092</v>
      </c>
      <c r="BW37">
        <f t="shared" si="25"/>
        <v>2093</v>
      </c>
      <c r="BX37">
        <f t="shared" si="25"/>
        <v>2094</v>
      </c>
      <c r="BY37">
        <f t="shared" si="25"/>
        <v>2095</v>
      </c>
      <c r="BZ37">
        <f t="shared" si="25"/>
        <v>2096</v>
      </c>
      <c r="CA37">
        <f t="shared" si="25"/>
        <v>2097</v>
      </c>
      <c r="CB37">
        <f t="shared" si="25"/>
        <v>2098</v>
      </c>
      <c r="CC37">
        <f t="shared" si="25"/>
        <v>2099</v>
      </c>
      <c r="CD37">
        <f t="shared" si="25"/>
        <v>2100</v>
      </c>
    </row>
    <row r="38" spans="1:82" x14ac:dyDescent="0.25">
      <c r="A38" s="35">
        <f>B38</f>
        <v>7.4889628106726835E-3</v>
      </c>
      <c r="B38" s="1">
        <f>B35/A35-1</f>
        <v>7.4889628106726835E-3</v>
      </c>
      <c r="C38" s="1">
        <f t="shared" ref="C38:BN38" si="26">C35/B35-1</f>
        <v>1.0039262828920537E-2</v>
      </c>
      <c r="D38" s="1">
        <f t="shared" si="26"/>
        <v>8.4460507519037442E-3</v>
      </c>
      <c r="E38" s="1">
        <f t="shared" si="26"/>
        <v>8.6922062243917075E-3</v>
      </c>
      <c r="F38" s="1">
        <f t="shared" si="26"/>
        <v>1.0026170044125982E-2</v>
      </c>
      <c r="G38" s="1">
        <f t="shared" si="26"/>
        <v>1.0699076294725218E-2</v>
      </c>
      <c r="H38" s="1">
        <f t="shared" si="26"/>
        <v>1.0246901723622415E-2</v>
      </c>
      <c r="I38" s="1">
        <f t="shared" si="26"/>
        <v>9.8527664833016892E-3</v>
      </c>
      <c r="J38" s="1">
        <f t="shared" si="26"/>
        <v>9.4659291332992446E-3</v>
      </c>
      <c r="K38" s="1">
        <f t="shared" si="26"/>
        <v>9.1196495565690761E-3</v>
      </c>
      <c r="L38" s="1">
        <f t="shared" si="26"/>
        <v>8.8237333410385865E-3</v>
      </c>
      <c r="M38" s="1">
        <f t="shared" si="26"/>
        <v>8.5408933888806438E-3</v>
      </c>
      <c r="N38" s="1">
        <f t="shared" si="26"/>
        <v>8.3021826540297106E-3</v>
      </c>
      <c r="O38" s="1">
        <f t="shared" si="26"/>
        <v>8.0797167286430494E-3</v>
      </c>
      <c r="P38" s="1">
        <f t="shared" si="26"/>
        <v>7.8446762017410077E-3</v>
      </c>
      <c r="Q38" s="1">
        <f t="shared" si="26"/>
        <v>7.6337453620221041E-3</v>
      </c>
      <c r="R38" s="1">
        <f t="shared" si="26"/>
        <v>7.4546009528193569E-3</v>
      </c>
      <c r="S38" s="1">
        <f t="shared" si="26"/>
        <v>7.2595476936074821E-3</v>
      </c>
      <c r="T38" s="1">
        <f t="shared" si="26"/>
        <v>7.0306153081429734E-3</v>
      </c>
      <c r="U38" s="1">
        <f t="shared" si="26"/>
        <v>6.8082315218556122E-3</v>
      </c>
      <c r="V38" s="1">
        <f t="shared" si="26"/>
        <v>6.6002738820405416E-3</v>
      </c>
      <c r="W38" s="1">
        <f t="shared" si="26"/>
        <v>6.4078291834241963E-3</v>
      </c>
      <c r="X38" s="1">
        <f t="shared" si="26"/>
        <v>6.1926448460027927E-3</v>
      </c>
      <c r="Y38" s="1">
        <f t="shared" si="26"/>
        <v>5.9640939548071259E-3</v>
      </c>
      <c r="Z38" s="1">
        <f t="shared" si="26"/>
        <v>5.7381721863674073E-3</v>
      </c>
      <c r="AA38" s="1">
        <f t="shared" si="26"/>
        <v>5.4957970446520843E-3</v>
      </c>
      <c r="AB38" s="1">
        <f t="shared" si="26"/>
        <v>5.2349469167827234E-3</v>
      </c>
      <c r="AC38" s="1">
        <f t="shared" si="26"/>
        <v>4.976136257464514E-3</v>
      </c>
      <c r="AD38" s="1">
        <f t="shared" si="26"/>
        <v>4.7252848749574916E-3</v>
      </c>
      <c r="AE38" s="1">
        <f t="shared" si="26"/>
        <v>4.481027500960133E-3</v>
      </c>
      <c r="AF38" s="1">
        <f t="shared" si="26"/>
        <v>4.2186475274941238E-3</v>
      </c>
      <c r="AG38" s="1">
        <f t="shared" si="26"/>
        <v>3.9369777292737052E-3</v>
      </c>
      <c r="AH38" s="1">
        <f t="shared" si="26"/>
        <v>3.6638552134606872E-3</v>
      </c>
      <c r="AI38" s="1">
        <f t="shared" si="26"/>
        <v>3.4185588088686547E-3</v>
      </c>
      <c r="AJ38" s="1">
        <f t="shared" si="26"/>
        <v>3.1896622493521321E-3</v>
      </c>
      <c r="AK38" s="1">
        <f t="shared" si="26"/>
        <v>2.9356352518117301E-3</v>
      </c>
      <c r="AL38" s="1">
        <f t="shared" si="26"/>
        <v>2.701504898792173E-3</v>
      </c>
      <c r="AM38" s="1">
        <f t="shared" si="26"/>
        <v>2.5024692964585871E-3</v>
      </c>
      <c r="AN38" s="1">
        <f t="shared" si="26"/>
        <v>2.3050106074298249E-3</v>
      </c>
      <c r="AO38" s="1">
        <f t="shared" si="26"/>
        <v>2.0989988352104749E-3</v>
      </c>
      <c r="AP38" s="1">
        <f t="shared" si="26"/>
        <v>1.8921269172857968E-3</v>
      </c>
      <c r="AQ38" s="1">
        <f t="shared" si="26"/>
        <v>1.716065451000226E-3</v>
      </c>
      <c r="AR38" s="1">
        <f t="shared" si="26"/>
        <v>1.579722866641653E-3</v>
      </c>
      <c r="AS38" s="1">
        <f t="shared" si="26"/>
        <v>1.444816144445138E-3</v>
      </c>
      <c r="AT38" s="1">
        <f t="shared" si="26"/>
        <v>1.296274930776109E-3</v>
      </c>
      <c r="AU38" s="1">
        <f t="shared" si="26"/>
        <v>1.1435215136890164E-3</v>
      </c>
      <c r="AV38" s="1">
        <f t="shared" si="26"/>
        <v>9.9316286095518791E-4</v>
      </c>
      <c r="AW38" s="1">
        <f t="shared" si="26"/>
        <v>8.9405693995137092E-4</v>
      </c>
      <c r="AX38" s="1">
        <f t="shared" si="26"/>
        <v>7.9678400811711292E-4</v>
      </c>
      <c r="AY38" s="1">
        <f t="shared" si="26"/>
        <v>6.4575593843807511E-4</v>
      </c>
      <c r="AZ38" s="1">
        <f t="shared" si="26"/>
        <v>5.2367110854389942E-4</v>
      </c>
      <c r="BA38" s="1">
        <f t="shared" si="26"/>
        <v>4.4552993311097744E-4</v>
      </c>
      <c r="BB38" s="1">
        <f t="shared" si="26"/>
        <v>3.5044836734132723E-4</v>
      </c>
      <c r="BC38" s="1">
        <f t="shared" si="26"/>
        <v>2.0635277369596139E-4</v>
      </c>
      <c r="BD38" s="1">
        <f t="shared" si="26"/>
        <v>6.8569837680998447E-5</v>
      </c>
      <c r="BE38" s="1">
        <f t="shared" si="26"/>
        <v>-5.5220331538596845E-5</v>
      </c>
      <c r="BF38" s="1">
        <f t="shared" si="26"/>
        <v>-1.6322824837988748E-4</v>
      </c>
      <c r="BG38" s="1">
        <f t="shared" si="26"/>
        <v>-2.4825192534339013E-4</v>
      </c>
      <c r="BH38" s="1">
        <f t="shared" si="26"/>
        <v>-3.3455968640172529E-4</v>
      </c>
      <c r="BI38" s="1">
        <f t="shared" si="26"/>
        <v>-4.4901671351027517E-4</v>
      </c>
      <c r="BJ38" s="1">
        <f t="shared" si="26"/>
        <v>-5.6245127039122877E-4</v>
      </c>
      <c r="BK38" s="1">
        <f t="shared" si="26"/>
        <v>-6.3925377939444417E-4</v>
      </c>
      <c r="BL38" s="1">
        <f t="shared" si="26"/>
        <v>-7.2647292877170422E-4</v>
      </c>
      <c r="BM38" s="1">
        <f t="shared" si="26"/>
        <v>-7.8851453573147712E-4</v>
      </c>
      <c r="BN38" s="1">
        <f t="shared" si="26"/>
        <v>-8.404602997249544E-4</v>
      </c>
      <c r="BO38" s="1">
        <f t="shared" ref="BO38:CD38" si="27">BO35/BN35-1</f>
        <v>-9.2070363364415986E-4</v>
      </c>
      <c r="BP38" s="1">
        <f t="shared" si="27"/>
        <v>-9.7894145807164712E-4</v>
      </c>
      <c r="BQ38" s="1">
        <f t="shared" si="27"/>
        <v>-1.0151436549735715E-3</v>
      </c>
      <c r="BR38" s="1">
        <f t="shared" si="27"/>
        <v>-1.0677971936172703E-3</v>
      </c>
      <c r="BS38" s="1">
        <f t="shared" si="27"/>
        <v>-1.1360411855468877E-3</v>
      </c>
      <c r="BT38" s="1">
        <f t="shared" si="27"/>
        <v>-1.1977731526529034E-3</v>
      </c>
      <c r="BU38" s="1">
        <f t="shared" si="27"/>
        <v>-1.2618873242664641E-3</v>
      </c>
      <c r="BV38" s="1">
        <f t="shared" si="27"/>
        <v>-1.3506302172030527E-3</v>
      </c>
      <c r="BW38" s="1">
        <f t="shared" si="27"/>
        <v>-1.423096060460094E-3</v>
      </c>
      <c r="BX38" s="1">
        <f t="shared" si="27"/>
        <v>-1.4774366346458345E-3</v>
      </c>
      <c r="BY38" s="1">
        <f t="shared" si="27"/>
        <v>-1.5412929904108363E-3</v>
      </c>
      <c r="BZ38" s="1">
        <f t="shared" si="27"/>
        <v>-1.5904252057090673E-3</v>
      </c>
      <c r="CA38" s="1">
        <f t="shared" si="27"/>
        <v>-1.6548092646198054E-3</v>
      </c>
      <c r="CB38" s="1">
        <f t="shared" si="27"/>
        <v>-1.7272827835542737E-3</v>
      </c>
      <c r="CC38" s="1">
        <f t="shared" si="27"/>
        <v>-1.7755337716441888E-3</v>
      </c>
      <c r="CD38" s="1">
        <f t="shared" si="27"/>
        <v>-1.847462523925314E-3</v>
      </c>
    </row>
    <row r="39" spans="1:82" x14ac:dyDescent="0.25">
      <c r="A39" s="35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</row>
    <row r="40" spans="1:82" ht="18" thickBot="1" x14ac:dyDescent="0.35">
      <c r="A40" s="4" t="s">
        <v>237</v>
      </c>
      <c r="B40" s="4"/>
      <c r="C40" s="4"/>
    </row>
    <row r="41" spans="1:82" ht="15.75" thickTop="1" x14ac:dyDescent="0.25">
      <c r="A41" t="s">
        <v>247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</row>
    <row r="42" spans="1:82" x14ac:dyDescent="0.25">
      <c r="B42" s="1">
        <f>IFERROR(INDEX(Population!$E$9:$E$26,MATCH(B44,Population!$C$9:$C$26,0)),"")</f>
        <v>0.40070868670482801</v>
      </c>
      <c r="C42" s="1" t="str">
        <f>IFERROR(INDEX(Population!$E$9:$E$26,MATCH(C44,Population!$C$9:$C$26,0)),"")</f>
        <v/>
      </c>
      <c r="D42" s="1">
        <f>IFERROR(INDEX(Population!$E$9:$E$26,MATCH(D44,Population!$C$9:$C$26,0)),"")</f>
        <v>0.40070868670482801</v>
      </c>
      <c r="E42" s="1" t="str">
        <f>IFERROR(INDEX(Population!$E$9:$E$26,MATCH(E44,Population!$C$9:$C$26,0)),"")</f>
        <v/>
      </c>
      <c r="F42" s="1" t="str">
        <f>IFERROR(INDEX(Population!$E$9:$E$26,MATCH(F44,Population!$C$9:$C$26,0)),"")</f>
        <v/>
      </c>
      <c r="G42" s="1">
        <f>IFERROR(INDEX(Population!$E$9:$E$26,MATCH(G44,Population!$C$9:$C$26,0)),"")</f>
        <v>0.42516935113861948</v>
      </c>
      <c r="H42" s="1" t="str">
        <f>IFERROR(INDEX(Population!$E$9:$E$26,MATCH(H44,Population!$C$9:$C$26,0)),"")</f>
        <v/>
      </c>
      <c r="I42" s="1" t="str">
        <f>IFERROR(INDEX(Population!$E$9:$E$26,MATCH(I44,Population!$C$9:$C$26,0)),"")</f>
        <v/>
      </c>
      <c r="J42" s="1" t="str">
        <f>IFERROR(INDEX(Population!$E$9:$E$26,MATCH(J44,Population!$C$9:$C$26,0)),"")</f>
        <v/>
      </c>
      <c r="K42" s="1" t="str">
        <f>IFERROR(INDEX(Population!$E$9:$E$26,MATCH(K44,Population!$C$9:$C$26,0)),"")</f>
        <v/>
      </c>
      <c r="L42" s="1">
        <f>IFERROR(INDEX(Population!$E$9:$E$26,MATCH(L44,Population!$C$9:$C$26,0)),"")</f>
        <v>0.46593712519493863</v>
      </c>
      <c r="M42" s="1" t="str">
        <f>IFERROR(INDEX(Population!$E$9:$E$26,MATCH(M44,Population!$C$9:$C$26,0)),"")</f>
        <v/>
      </c>
      <c r="N42" s="1" t="str">
        <f>IFERROR(INDEX(Population!$E$9:$E$26,MATCH(N44,Population!$C$9:$C$26,0)),"")</f>
        <v/>
      </c>
      <c r="O42" s="1" t="str">
        <f>IFERROR(INDEX(Population!$E$9:$E$26,MATCH(O44,Population!$C$9:$C$26,0)),"")</f>
        <v/>
      </c>
      <c r="P42" s="1" t="str">
        <f>IFERROR(INDEX(Population!$E$9:$E$26,MATCH(P44,Population!$C$9:$C$26,0)),"")</f>
        <v/>
      </c>
      <c r="Q42" s="1">
        <f>IFERROR(INDEX(Population!$E$9:$E$26,MATCH(Q44,Population!$C$9:$C$26,0)),"")</f>
        <v>0.50670489925125772</v>
      </c>
      <c r="R42" s="1" t="str">
        <f>IFERROR(INDEX(Population!$E$9:$E$26,MATCH(R44,Population!$C$9:$C$26,0)),"")</f>
        <v/>
      </c>
      <c r="S42" s="1" t="str">
        <f>IFERROR(INDEX(Population!$E$9:$E$26,MATCH(S44,Population!$C$9:$C$26,0)),"")</f>
        <v/>
      </c>
      <c r="T42" s="1" t="str">
        <f>IFERROR(INDEX(Population!$E$9:$E$26,MATCH(T44,Population!$C$9:$C$26,0)),"")</f>
        <v/>
      </c>
      <c r="U42" s="1" t="str">
        <f>IFERROR(INDEX(Population!$E$9:$E$26,MATCH(U44,Population!$C$9:$C$26,0)),"")</f>
        <v/>
      </c>
      <c r="V42" s="1">
        <f>IFERROR(INDEX(Population!$E$9:$E$26,MATCH(V44,Population!$C$9:$C$26,0)),"")</f>
        <v>0.54747267330757687</v>
      </c>
      <c r="W42" s="1" t="str">
        <f>IFERROR(INDEX(Population!$E$9:$E$26,MATCH(W44,Population!$C$9:$C$26,0)),"")</f>
        <v/>
      </c>
      <c r="X42" s="1" t="str">
        <f>IFERROR(INDEX(Population!$E$9:$E$26,MATCH(X44,Population!$C$9:$C$26,0)),"")</f>
        <v/>
      </c>
      <c r="Y42" s="1" t="str">
        <f>IFERROR(INDEX(Population!$E$9:$E$26,MATCH(Y44,Population!$C$9:$C$26,0)),"")</f>
        <v/>
      </c>
      <c r="Z42" s="1" t="str">
        <f>IFERROR(INDEX(Population!$E$9:$E$26,MATCH(Z44,Population!$C$9:$C$26,0)),"")</f>
        <v/>
      </c>
      <c r="AA42" s="1">
        <f>IFERROR(INDEX(Population!$E$9:$E$26,MATCH(AA44,Population!$C$9:$C$26,0)),"")</f>
        <v>0.58824044736389602</v>
      </c>
      <c r="AB42" s="1" t="str">
        <f>IFERROR(INDEX(Population!$E$9:$E$26,MATCH(AB44,Population!$C$9:$C$26,0)),"")</f>
        <v/>
      </c>
      <c r="AC42" s="1" t="str">
        <f>IFERROR(INDEX(Population!$E$9:$E$26,MATCH(AC44,Population!$C$9:$C$26,0)),"")</f>
        <v/>
      </c>
      <c r="AD42" s="1" t="str">
        <f>IFERROR(INDEX(Population!$E$9:$E$26,MATCH(AD44,Population!$C$9:$C$26,0)),"")</f>
        <v/>
      </c>
      <c r="AE42" s="1" t="str">
        <f>IFERROR(INDEX(Population!$E$9:$E$26,MATCH(AE44,Population!$C$9:$C$26,0)),"")</f>
        <v/>
      </c>
      <c r="AF42" s="1">
        <f>IFERROR(INDEX(Population!$E$9:$E$26,MATCH(AF44,Population!$C$9:$C$26,0)),"")</f>
        <v>0.62900822142021517</v>
      </c>
      <c r="AG42" s="1" t="str">
        <f>IFERROR(INDEX(Population!$E$9:$E$26,MATCH(AG44,Population!$C$9:$C$26,0)),"")</f>
        <v/>
      </c>
      <c r="AH42" s="1" t="str">
        <f>IFERROR(INDEX(Population!$E$9:$E$26,MATCH(AH44,Population!$C$9:$C$26,0)),"")</f>
        <v/>
      </c>
      <c r="AI42" s="1" t="str">
        <f>IFERROR(INDEX(Population!$E$9:$E$26,MATCH(AI44,Population!$C$9:$C$26,0)),"")</f>
        <v/>
      </c>
      <c r="AJ42" s="1" t="str">
        <f>IFERROR(INDEX(Population!$E$9:$E$26,MATCH(AJ44,Population!$C$9:$C$26,0)),"")</f>
        <v/>
      </c>
      <c r="AK42" s="1">
        <f>IFERROR(INDEX(Population!$E$9:$E$26,MATCH(AK44,Population!$C$9:$C$26,0)),"")</f>
        <v>0.66977599547653432</v>
      </c>
      <c r="AL42" s="1" t="str">
        <f>IFERROR(INDEX(Population!$E$9:$E$26,MATCH(AL44,Population!$C$9:$C$26,0)),"")</f>
        <v/>
      </c>
      <c r="AM42" s="1" t="str">
        <f>IFERROR(INDEX(Population!$E$9:$E$26,MATCH(AM44,Population!$C$9:$C$26,0)),"")</f>
        <v/>
      </c>
      <c r="AN42" s="1" t="str">
        <f>IFERROR(INDEX(Population!$E$9:$E$26,MATCH(AN44,Population!$C$9:$C$26,0)),"")</f>
        <v/>
      </c>
      <c r="AO42" s="1" t="str">
        <f>IFERROR(INDEX(Population!$E$9:$E$26,MATCH(AO44,Population!$C$9:$C$26,0)),"")</f>
        <v/>
      </c>
      <c r="AP42" s="1">
        <f>IFERROR(INDEX(Population!$E$9:$E$26,MATCH(AP44,Population!$C$9:$C$26,0)),"")</f>
        <v>0.66679752332956665</v>
      </c>
      <c r="AQ42" s="1" t="str">
        <f>IFERROR(INDEX(Population!$E$9:$E$26,MATCH(AQ44,Population!$C$9:$C$26,0)),"")</f>
        <v/>
      </c>
      <c r="AR42" s="1" t="str">
        <f>IFERROR(INDEX(Population!$E$9:$E$26,MATCH(AR44,Population!$C$9:$C$26,0)),"")</f>
        <v/>
      </c>
      <c r="AS42" s="1" t="str">
        <f>IFERROR(INDEX(Population!$E$9:$E$26,MATCH(AS44,Population!$C$9:$C$26,0)),"")</f>
        <v/>
      </c>
      <c r="AT42" s="1" t="str">
        <f>IFERROR(INDEX(Population!$E$9:$E$26,MATCH(AT44,Population!$C$9:$C$26,0)),"")</f>
        <v/>
      </c>
      <c r="AU42" s="1">
        <f>IFERROR(INDEX(Population!$E$9:$E$26,MATCH(AU44,Population!$C$9:$C$26,0)),"")</f>
        <v>0.66760747425401545</v>
      </c>
      <c r="AV42" s="1" t="str">
        <f>IFERROR(INDEX(Population!$E$9:$E$26,MATCH(AV44,Population!$C$9:$C$26,0)),"")</f>
        <v/>
      </c>
      <c r="AW42" s="1" t="str">
        <f>IFERROR(INDEX(Population!$E$9:$E$26,MATCH(AW44,Population!$C$9:$C$26,0)),"")</f>
        <v/>
      </c>
      <c r="AX42" s="1" t="str">
        <f>IFERROR(INDEX(Population!$E$9:$E$26,MATCH(AX44,Population!$C$9:$C$26,0)),"")</f>
        <v/>
      </c>
      <c r="AY42" s="1" t="str">
        <f>IFERROR(INDEX(Population!$E$9:$E$26,MATCH(AY44,Population!$C$9:$C$26,0)),"")</f>
        <v/>
      </c>
      <c r="AZ42" s="1">
        <f>IFERROR(INDEX(Population!$E$9:$E$26,MATCH(AZ44,Population!$C$9:$C$26,0)),"")</f>
        <v>0.66865737498380307</v>
      </c>
      <c r="BA42" s="1" t="str">
        <f>IFERROR(INDEX(Population!$E$9:$E$26,MATCH(BA44,Population!$C$9:$C$26,0)),"")</f>
        <v/>
      </c>
      <c r="BB42" s="1" t="str">
        <f>IFERROR(INDEX(Population!$E$9:$E$26,MATCH(BB44,Population!$C$9:$C$26,0)),"")</f>
        <v/>
      </c>
      <c r="BC42" s="1" t="str">
        <f>IFERROR(INDEX(Population!$E$9:$E$26,MATCH(BC44,Population!$C$9:$C$26,0)),"")</f>
        <v/>
      </c>
      <c r="BD42" s="1" t="str">
        <f>IFERROR(INDEX(Population!$E$9:$E$26,MATCH(BD44,Population!$C$9:$C$26,0)),"")</f>
        <v/>
      </c>
      <c r="BE42" s="1">
        <f>IFERROR(INDEX(Population!$E$9:$E$26,MATCH(BE44,Population!$C$9:$C$26,0)),"")</f>
        <v>0.66443995787363663</v>
      </c>
      <c r="BF42" s="1" t="str">
        <f>IFERROR(INDEX(Population!$E$9:$E$26,MATCH(BF44,Population!$C$9:$C$26,0)),"")</f>
        <v/>
      </c>
      <c r="BG42" s="1" t="str">
        <f>IFERROR(INDEX(Population!$E$9:$E$26,MATCH(BG44,Population!$C$9:$C$26,0)),"")</f>
        <v/>
      </c>
      <c r="BH42" s="1" t="str">
        <f>IFERROR(INDEX(Population!$E$9:$E$26,MATCH(BH44,Population!$C$9:$C$26,0)),"")</f>
        <v/>
      </c>
      <c r="BI42" s="1" t="str">
        <f>IFERROR(INDEX(Population!$E$9:$E$26,MATCH(BI44,Population!$C$9:$C$26,0)),"")</f>
        <v/>
      </c>
      <c r="BJ42" s="1">
        <f>IFERROR(INDEX(Population!$E$9:$E$26,MATCH(BJ44,Population!$C$9:$C$26,0)),"")</f>
        <v>0.65749144238725898</v>
      </c>
      <c r="BK42" s="1" t="str">
        <f>IFERROR(INDEX(Population!$E$9:$E$26,MATCH(BK44,Population!$C$9:$C$26,0)),"")</f>
        <v/>
      </c>
      <c r="BL42" s="1" t="str">
        <f>IFERROR(INDEX(Population!$E$9:$E$26,MATCH(BL44,Population!$C$9:$C$26,0)),"")</f>
        <v/>
      </c>
      <c r="BM42" s="1" t="str">
        <f>IFERROR(INDEX(Population!$E$9:$E$26,MATCH(BM44,Population!$C$9:$C$26,0)),"")</f>
        <v/>
      </c>
      <c r="BN42" s="1" t="str">
        <f>IFERROR(INDEX(Population!$E$9:$E$26,MATCH(BN44,Population!$C$9:$C$26,0)),"")</f>
        <v/>
      </c>
      <c r="BO42" s="1">
        <f>IFERROR(INDEX(Population!$E$9:$E$26,MATCH(BO44,Population!$C$9:$C$26,0)),"")</f>
        <v>0.65129730571815114</v>
      </c>
      <c r="BP42" s="1" t="str">
        <f>IFERROR(INDEX(Population!$E$9:$E$26,MATCH(BP44,Population!$C$9:$C$26,0)),"")</f>
        <v/>
      </c>
      <c r="BQ42" s="1" t="str">
        <f>IFERROR(INDEX(Population!$E$9:$E$26,MATCH(BQ44,Population!$C$9:$C$26,0)),"")</f>
        <v/>
      </c>
      <c r="BR42" s="1" t="str">
        <f>IFERROR(INDEX(Population!$E$9:$E$26,MATCH(BR44,Population!$C$9:$C$26,0)),"")</f>
        <v/>
      </c>
      <c r="BS42" s="1" t="str">
        <f>IFERROR(INDEX(Population!$E$9:$E$26,MATCH(BS44,Population!$C$9:$C$26,0)),"")</f>
        <v/>
      </c>
      <c r="BT42" s="1">
        <f>IFERROR(INDEX(Population!$E$9:$E$26,MATCH(BT44,Population!$C$9:$C$26,0)),"")</f>
        <v>0.64619542947705577</v>
      </c>
      <c r="BU42" s="1" t="str">
        <f>IFERROR(INDEX(Population!$E$9:$E$26,MATCH(BU44,Population!$C$9:$C$26,0)),"")</f>
        <v/>
      </c>
      <c r="BV42" s="1" t="str">
        <f>IFERROR(INDEX(Population!$E$9:$E$26,MATCH(BV44,Population!$C$9:$C$26,0)),"")</f>
        <v/>
      </c>
      <c r="BW42" s="1" t="str">
        <f>IFERROR(INDEX(Population!$E$9:$E$26,MATCH(BW44,Population!$C$9:$C$26,0)),"")</f>
        <v/>
      </c>
      <c r="BX42" s="1" t="str">
        <f>IFERROR(INDEX(Population!$E$9:$E$26,MATCH(BX44,Population!$C$9:$C$26,0)),"")</f>
        <v/>
      </c>
      <c r="BY42" s="1">
        <f>IFERROR(INDEX(Population!$E$9:$E$26,MATCH(BY44,Population!$C$9:$C$26,0)),"")</f>
        <v>0.64174407812794831</v>
      </c>
      <c r="BZ42" s="1" t="str">
        <f>IFERROR(INDEX(Population!$E$9:$E$26,MATCH(BZ44,Population!$C$9:$C$26,0)),"")</f>
        <v/>
      </c>
      <c r="CA42" s="1" t="str">
        <f>IFERROR(INDEX(Population!$E$9:$E$26,MATCH(CA44,Population!$C$9:$C$26,0)),"")</f>
        <v/>
      </c>
      <c r="CB42" s="1" t="str">
        <f>IFERROR(INDEX(Population!$E$9:$E$26,MATCH(CB44,Population!$C$9:$C$26,0)),"")</f>
        <v/>
      </c>
      <c r="CC42" s="1" t="str">
        <f>IFERROR(INDEX(Population!$E$9:$E$26,MATCH(CC44,Population!$C$9:$C$26,0)),"")</f>
        <v/>
      </c>
      <c r="CD42" s="1">
        <f>IFERROR(INDEX(Population!$E$9:$E$26,MATCH(CD44,Population!$C$9:$C$26,0)),"")</f>
        <v>0.63710709593251891</v>
      </c>
    </row>
    <row r="43" spans="1:82" x14ac:dyDescent="0.25">
      <c r="A43" s="35">
        <f>B43</f>
        <v>0.40070868670482801</v>
      </c>
      <c r="B43" s="46">
        <f>B42</f>
        <v>0.40070868670482801</v>
      </c>
      <c r="C43" s="45">
        <f>D43</f>
        <v>0.40070868670482801</v>
      </c>
      <c r="D43" s="45">
        <f>D42</f>
        <v>0.40070868670482801</v>
      </c>
      <c r="E43" s="45">
        <f>(G43-D43)/3+D43</f>
        <v>0.40886224151609185</v>
      </c>
      <c r="F43" s="45">
        <f>(E43+G43)/2</f>
        <v>0.41701579632735564</v>
      </c>
      <c r="G43" s="46">
        <f>G42</f>
        <v>0.42516935113861948</v>
      </c>
      <c r="H43" s="45">
        <f>(L43-G43)/5+G43</f>
        <v>0.43332290594988332</v>
      </c>
      <c r="I43" s="45">
        <f>(L43-G43)/5+H43</f>
        <v>0.44147646076114716</v>
      </c>
      <c r="J43" s="45">
        <f>(L43-G43)/5+I43</f>
        <v>0.449630015572411</v>
      </c>
      <c r="K43" s="45">
        <f>(L43-G43)/5+J43</f>
        <v>0.45778357038367484</v>
      </c>
      <c r="L43" s="46">
        <f>L42</f>
        <v>0.46593712519493863</v>
      </c>
      <c r="M43" s="45">
        <f>(Q43-L43)/5+L43</f>
        <v>0.47409068000620247</v>
      </c>
      <c r="N43" s="45">
        <f>(Q43-L43)/5+M43</f>
        <v>0.48224423481746631</v>
      </c>
      <c r="O43" s="45">
        <f>(Q43-L43)/5+N43</f>
        <v>0.49039778962873015</v>
      </c>
      <c r="P43" s="45">
        <f>(Q43-L43)/5+O43</f>
        <v>0.49855134443999399</v>
      </c>
      <c r="Q43" s="46">
        <f>Q42</f>
        <v>0.50670489925125772</v>
      </c>
      <c r="R43" s="45">
        <f>(V43-Q43)/5+Q43</f>
        <v>0.51485845406252151</v>
      </c>
      <c r="S43" s="45">
        <f>(V43-Q43)/5+R43</f>
        <v>0.52301200887378529</v>
      </c>
      <c r="T43" s="45">
        <f>(V43-Q43)/5+S43</f>
        <v>0.53116556368504908</v>
      </c>
      <c r="U43" s="45">
        <f>(V43-Q43)/5+T43</f>
        <v>0.53931911849631287</v>
      </c>
      <c r="V43" s="46">
        <f>V42</f>
        <v>0.54747267330757687</v>
      </c>
      <c r="W43" s="45">
        <f>(AA43-V43)/5+V43</f>
        <v>0.55562622811884066</v>
      </c>
      <c r="X43" s="45">
        <f>(AA43-V43)/5+W43</f>
        <v>0.56377978293010444</v>
      </c>
      <c r="Y43" s="45">
        <f>(AA43-V43)/5+X43</f>
        <v>0.57193333774136823</v>
      </c>
      <c r="Z43" s="45">
        <f>(AA43-V43)/5+Y43</f>
        <v>0.58008689255263202</v>
      </c>
      <c r="AA43" s="46">
        <f>AA42</f>
        <v>0.58824044736389602</v>
      </c>
      <c r="AB43" s="45">
        <f>(AF43-AA43)/5+AA43</f>
        <v>0.59639400217515981</v>
      </c>
      <c r="AC43" s="45">
        <f>(AF43-AA43)/5+AB43</f>
        <v>0.6045475569864236</v>
      </c>
      <c r="AD43" s="45">
        <f>(AF43-AA43)/5+AC43</f>
        <v>0.61270111179768738</v>
      </c>
      <c r="AE43" s="45">
        <f>(AF43-AA43)/5+AD43</f>
        <v>0.62085466660895117</v>
      </c>
      <c r="AF43" s="46">
        <f>AF42</f>
        <v>0.62900822142021517</v>
      </c>
      <c r="AG43" s="45">
        <f>(AK43-AF43)/5+AF43</f>
        <v>0.63716177623147896</v>
      </c>
      <c r="AH43" s="45">
        <f>(AK43-AF43)/5+AG43</f>
        <v>0.64531533104274275</v>
      </c>
      <c r="AI43" s="45">
        <f>(AK43-AF43)/5+AH43</f>
        <v>0.65346888585400653</v>
      </c>
      <c r="AJ43" s="45">
        <f>(AK43-AF43)/5+AI43</f>
        <v>0.66162244066527032</v>
      </c>
      <c r="AK43" s="46">
        <f>AK42</f>
        <v>0.66977599547653432</v>
      </c>
      <c r="AL43" s="45">
        <f>(AP43-AK43)/5+AK43</f>
        <v>0.66918030104714077</v>
      </c>
      <c r="AM43" s="45">
        <f>(AP43-AK43)/5+AL43</f>
        <v>0.66858460661774721</v>
      </c>
      <c r="AN43" s="45">
        <f>(AP43-AK43)/5+AM43</f>
        <v>0.66798891218835366</v>
      </c>
      <c r="AO43" s="45">
        <f>(AP43-AK43)/5+AN43</f>
        <v>0.6673932177589601</v>
      </c>
      <c r="AP43" s="46">
        <f>AP42</f>
        <v>0.66679752332956665</v>
      </c>
      <c r="AQ43" s="45">
        <f>(AU43-AP43)/5+AP43</f>
        <v>0.66695951351445637</v>
      </c>
      <c r="AR43" s="45">
        <f>(AU43-AP43)/5+AQ43</f>
        <v>0.66712150369934609</v>
      </c>
      <c r="AS43" s="45">
        <f>(AU43-AP43)/5+AR43</f>
        <v>0.6672834938842358</v>
      </c>
      <c r="AT43" s="45">
        <f>(AU43-AP43)/5+AS43</f>
        <v>0.66744548406912552</v>
      </c>
      <c r="AU43" s="46">
        <f>AU42</f>
        <v>0.66760747425401545</v>
      </c>
      <c r="AV43" s="45">
        <f>(AZ43-AU43)/5+AU43</f>
        <v>0.66781745439997298</v>
      </c>
      <c r="AW43" s="45">
        <f>(AZ43-AU43)/5+AV43</f>
        <v>0.6680274345459305</v>
      </c>
      <c r="AX43" s="45">
        <f>(AZ43-AU43)/5+AW43</f>
        <v>0.66823741469188802</v>
      </c>
      <c r="AY43" s="45">
        <f>(AZ43-AU43)/5+AX43</f>
        <v>0.66844739483784554</v>
      </c>
      <c r="AZ43" s="46">
        <f>AZ42</f>
        <v>0.66865737498380307</v>
      </c>
      <c r="BA43" s="45">
        <f>(BE43-AZ43)/5+AZ43</f>
        <v>0.66781389156176973</v>
      </c>
      <c r="BB43" s="45">
        <f>(BE43-AZ43)/5+BA43</f>
        <v>0.6669704081397364</v>
      </c>
      <c r="BC43" s="45">
        <f>(BE43-AZ43)/5+BB43</f>
        <v>0.66612692471770307</v>
      </c>
      <c r="BD43" s="45">
        <f>(BE43-AZ43)/5+BC43</f>
        <v>0.66528344129566974</v>
      </c>
      <c r="BE43" s="46">
        <f>BE42</f>
        <v>0.66443995787363663</v>
      </c>
      <c r="BF43" s="45">
        <f>(BJ43-BE43)/5+BE43</f>
        <v>0.66305025477636115</v>
      </c>
      <c r="BG43" s="45">
        <f>(BJ43-BE43)/5+BF43</f>
        <v>0.66166055167908566</v>
      </c>
      <c r="BH43" s="45">
        <f>(BJ43-BE43)/5+BG43</f>
        <v>0.66027084858181018</v>
      </c>
      <c r="BI43" s="45">
        <f>(BJ43-BE43)/5+BH43</f>
        <v>0.65888114548453469</v>
      </c>
      <c r="BJ43" s="46">
        <f>BJ42</f>
        <v>0.65749144238725898</v>
      </c>
      <c r="BK43" s="45">
        <f>(BO43-BJ43)/5+BJ43</f>
        <v>0.65625261505343746</v>
      </c>
      <c r="BL43" s="45">
        <f>(BO43-BJ43)/5+BK43</f>
        <v>0.65501378771961594</v>
      </c>
      <c r="BM43" s="45">
        <f>(BO43-BJ43)/5+BL43</f>
        <v>0.65377496038579441</v>
      </c>
      <c r="BN43" s="45">
        <f>(BO43-BJ43)/5+BM43</f>
        <v>0.65253613305197289</v>
      </c>
      <c r="BO43" s="46">
        <f>BO42</f>
        <v>0.65129730571815114</v>
      </c>
      <c r="BP43" s="45">
        <f>(BT43-BO43)/5+BO43</f>
        <v>0.65027693046993207</v>
      </c>
      <c r="BQ43" s="45">
        <f>(BT43-BO43)/5+BP43</f>
        <v>0.64925655522171299</v>
      </c>
      <c r="BR43" s="45">
        <f>(BT43-BO43)/5+BQ43</f>
        <v>0.64823617997349392</v>
      </c>
      <c r="BS43" s="45">
        <f>(BT43-BO43)/5+BR43</f>
        <v>0.64721580472527485</v>
      </c>
      <c r="BT43" s="46">
        <f>BT42</f>
        <v>0.64619542947705577</v>
      </c>
      <c r="BU43" s="45">
        <f>(BY43-BT43)/5+BT43</f>
        <v>0.6453051592072343</v>
      </c>
      <c r="BV43" s="45">
        <f>(BY43-BT43)/5+BU43</f>
        <v>0.64441488893741283</v>
      </c>
      <c r="BW43" s="45">
        <f>(BY43-BT43)/5+BV43</f>
        <v>0.64352461866759136</v>
      </c>
      <c r="BX43" s="45">
        <f>(BY43-BT43)/5+BW43</f>
        <v>0.64263434839776989</v>
      </c>
      <c r="BY43" s="46">
        <f>BY42</f>
        <v>0.64174407812794831</v>
      </c>
      <c r="BZ43" s="45">
        <f>(CD43-BY43)/5+BY43</f>
        <v>0.64081668168886241</v>
      </c>
      <c r="CA43" s="45">
        <f>(CD43-BY43)/5+BZ43</f>
        <v>0.63988928524977651</v>
      </c>
      <c r="CB43" s="45">
        <f>(CD43-BY43)/5+CA43</f>
        <v>0.6389618888106906</v>
      </c>
      <c r="CC43" s="45">
        <f>(CD43-BY43)/5+CB43</f>
        <v>0.6380344923716047</v>
      </c>
      <c r="CD43" s="46">
        <f>CD42</f>
        <v>0.63710709593251891</v>
      </c>
    </row>
    <row r="44" spans="1:82" x14ac:dyDescent="0.25">
      <c r="A44" s="3">
        <v>2019</v>
      </c>
      <c r="B44" s="3">
        <v>2020</v>
      </c>
      <c r="C44" s="3">
        <v>2021</v>
      </c>
      <c r="D44" s="3">
        <v>2022</v>
      </c>
      <c r="E44" s="3">
        <v>2023</v>
      </c>
      <c r="F44" s="3">
        <v>2024</v>
      </c>
      <c r="G44" s="3">
        <v>2025</v>
      </c>
      <c r="H44" s="3">
        <v>2026</v>
      </c>
      <c r="I44" s="3">
        <v>2027</v>
      </c>
      <c r="J44" s="3">
        <v>2028</v>
      </c>
      <c r="K44" s="3">
        <v>2029</v>
      </c>
      <c r="L44" s="3">
        <v>2030</v>
      </c>
      <c r="M44" s="3">
        <v>2031</v>
      </c>
      <c r="N44" s="3">
        <v>2032</v>
      </c>
      <c r="O44" s="3">
        <v>2033</v>
      </c>
      <c r="P44" s="3">
        <v>2034</v>
      </c>
      <c r="Q44" s="3">
        <v>2035</v>
      </c>
      <c r="R44" s="3">
        <v>2036</v>
      </c>
      <c r="S44" s="3">
        <v>2037</v>
      </c>
      <c r="T44">
        <v>2038</v>
      </c>
      <c r="U44">
        <v>2039</v>
      </c>
      <c r="V44">
        <v>2040</v>
      </c>
      <c r="W44">
        <v>2041</v>
      </c>
      <c r="X44">
        <v>2042</v>
      </c>
      <c r="Y44">
        <v>2043</v>
      </c>
      <c r="Z44">
        <v>2044</v>
      </c>
      <c r="AA44">
        <v>2045</v>
      </c>
      <c r="AB44">
        <v>2046</v>
      </c>
      <c r="AC44">
        <v>2047</v>
      </c>
      <c r="AD44">
        <v>2048</v>
      </c>
      <c r="AE44">
        <v>2049</v>
      </c>
      <c r="AF44">
        <v>2050</v>
      </c>
      <c r="AG44">
        <v>2051</v>
      </c>
      <c r="AH44">
        <v>2052</v>
      </c>
      <c r="AI44">
        <v>2053</v>
      </c>
      <c r="AJ44">
        <v>2054</v>
      </c>
      <c r="AK44">
        <v>2055</v>
      </c>
      <c r="AL44">
        <v>2056</v>
      </c>
      <c r="AM44">
        <v>2057</v>
      </c>
      <c r="AN44">
        <v>2058</v>
      </c>
      <c r="AO44">
        <v>2059</v>
      </c>
      <c r="AP44">
        <v>2060</v>
      </c>
      <c r="AQ44">
        <v>2061</v>
      </c>
      <c r="AR44">
        <v>2062</v>
      </c>
      <c r="AS44">
        <v>2063</v>
      </c>
      <c r="AT44">
        <v>2064</v>
      </c>
      <c r="AU44">
        <v>2065</v>
      </c>
      <c r="AV44">
        <v>2066</v>
      </c>
      <c r="AW44">
        <v>2067</v>
      </c>
      <c r="AX44">
        <v>2068</v>
      </c>
      <c r="AY44">
        <v>2069</v>
      </c>
      <c r="AZ44">
        <v>2070</v>
      </c>
      <c r="BA44">
        <v>2071</v>
      </c>
      <c r="BB44">
        <v>2072</v>
      </c>
      <c r="BC44">
        <v>2073</v>
      </c>
      <c r="BD44">
        <v>2074</v>
      </c>
      <c r="BE44">
        <v>2075</v>
      </c>
      <c r="BF44">
        <v>2076</v>
      </c>
      <c r="BG44">
        <v>2077</v>
      </c>
      <c r="BH44">
        <v>2078</v>
      </c>
      <c r="BI44">
        <v>2079</v>
      </c>
      <c r="BJ44">
        <v>2080</v>
      </c>
      <c r="BK44">
        <v>2081</v>
      </c>
      <c r="BL44">
        <v>2082</v>
      </c>
      <c r="BM44">
        <v>2083</v>
      </c>
      <c r="BN44">
        <v>2084</v>
      </c>
      <c r="BO44">
        <v>2085</v>
      </c>
      <c r="BP44">
        <v>2086</v>
      </c>
      <c r="BQ44">
        <v>2087</v>
      </c>
      <c r="BR44">
        <v>2088</v>
      </c>
      <c r="BS44">
        <v>2089</v>
      </c>
      <c r="BT44">
        <v>2090</v>
      </c>
      <c r="BU44">
        <v>2091</v>
      </c>
      <c r="BV44">
        <v>2092</v>
      </c>
      <c r="BW44">
        <v>2093</v>
      </c>
      <c r="BX44">
        <v>2094</v>
      </c>
      <c r="BY44">
        <v>2095</v>
      </c>
      <c r="BZ44">
        <v>2096</v>
      </c>
      <c r="CA44">
        <v>2097</v>
      </c>
      <c r="CB44">
        <v>2098</v>
      </c>
      <c r="CC44">
        <v>2099</v>
      </c>
      <c r="CD44">
        <v>2100</v>
      </c>
    </row>
    <row r="45" spans="1:82" x14ac:dyDescent="0.25">
      <c r="A45" s="9">
        <f>A43*A35</f>
        <v>23387.296351266352</v>
      </c>
      <c r="B45" s="9">
        <f t="shared" ref="B45:BM45" si="28">B43*B35</f>
        <v>23562.442943883168</v>
      </c>
      <c r="C45" s="9">
        <f t="shared" si="28"/>
        <v>23798.992501488254</v>
      </c>
      <c r="D45" s="9">
        <f t="shared" si="28"/>
        <v>24000</v>
      </c>
      <c r="E45" s="9">
        <f t="shared" si="28"/>
        <v>24701.205845762724</v>
      </c>
      <c r="F45" s="9">
        <f t="shared" si="28"/>
        <v>25446.39605238623</v>
      </c>
      <c r="G45" s="9">
        <f t="shared" si="28"/>
        <v>26221.503831489521</v>
      </c>
      <c r="H45" s="9">
        <f t="shared" si="28"/>
        <v>26998.200554800809</v>
      </c>
      <c r="I45" s="9">
        <f t="shared" si="28"/>
        <v>27777.220350607913</v>
      </c>
      <c r="J45" s="9">
        <f t="shared" si="28"/>
        <v>28558.026523333931</v>
      </c>
      <c r="K45" s="9">
        <f t="shared" si="28"/>
        <v>29341.057474174395</v>
      </c>
      <c r="L45" s="9">
        <f t="shared" si="28"/>
        <v>30127.158108500342</v>
      </c>
      <c r="M45" s="9">
        <f t="shared" si="28"/>
        <v>30916.176705582151</v>
      </c>
      <c r="N45" s="9">
        <f t="shared" si="28"/>
        <v>31708.968521391016</v>
      </c>
      <c r="O45" s="9">
        <f t="shared" si="28"/>
        <v>32505.619772932987</v>
      </c>
      <c r="P45" s="9">
        <f t="shared" si="28"/>
        <v>33305.307272043879</v>
      </c>
      <c r="Q45" s="9">
        <f t="shared" si="28"/>
        <v>34108.400979950762</v>
      </c>
      <c r="R45" s="9">
        <f t="shared" si="28"/>
        <v>34915.606425187536</v>
      </c>
      <c r="S45" s="9">
        <f t="shared" si="28"/>
        <v>35726.032963104706</v>
      </c>
      <c r="T45" s="9">
        <f t="shared" si="28"/>
        <v>36538.07972172118</v>
      </c>
      <c r="U45" s="9">
        <f t="shared" si="28"/>
        <v>37351.52873021517</v>
      </c>
      <c r="V45" s="9">
        <f t="shared" si="28"/>
        <v>38166.475456185995</v>
      </c>
      <c r="W45" s="9">
        <f t="shared" si="28"/>
        <v>38983.098433118597</v>
      </c>
      <c r="X45" s="9">
        <f t="shared" si="28"/>
        <v>39800.108194882072</v>
      </c>
      <c r="Y45" s="9">
        <f t="shared" si="28"/>
        <v>40616.51399784175</v>
      </c>
      <c r="Z45" s="9">
        <f t="shared" si="28"/>
        <v>41431.935365091544</v>
      </c>
      <c r="AA45" s="9">
        <f t="shared" si="28"/>
        <v>42245.194204215477</v>
      </c>
      <c r="AB45" s="9">
        <f t="shared" si="28"/>
        <v>43054.968246099474</v>
      </c>
      <c r="AC45" s="9">
        <f t="shared" si="28"/>
        <v>43860.767394111914</v>
      </c>
      <c r="AD45" s="9">
        <f t="shared" si="28"/>
        <v>44662.369024924104</v>
      </c>
      <c r="AE45" s="9">
        <f t="shared" si="28"/>
        <v>45459.512624120689</v>
      </c>
      <c r="AF45" s="9">
        <f t="shared" si="28"/>
        <v>46250.819155997728</v>
      </c>
      <c r="AG45" s="9">
        <f t="shared" si="28"/>
        <v>47034.79680413429</v>
      </c>
      <c r="AH45" s="9">
        <f t="shared" si="28"/>
        <v>47811.219927672828</v>
      </c>
      <c r="AI45" s="9">
        <f t="shared" si="28"/>
        <v>48580.824965135573</v>
      </c>
      <c r="AJ45" s="9">
        <f t="shared" si="28"/>
        <v>49343.874403284331</v>
      </c>
      <c r="AK45" s="9">
        <f t="shared" si="28"/>
        <v>50098.608174449066</v>
      </c>
      <c r="AL45" s="9">
        <f t="shared" si="28"/>
        <v>50189.272060472729</v>
      </c>
      <c r="AM45" s="9">
        <f t="shared" si="28"/>
        <v>50270.079618737327</v>
      </c>
      <c r="AN45" s="9">
        <f t="shared" si="28"/>
        <v>50341.059891019264</v>
      </c>
      <c r="AO45" s="9">
        <f t="shared" si="28"/>
        <v>50401.738692694867</v>
      </c>
      <c r="AP45" s="9">
        <f t="shared" si="28"/>
        <v>50452.03303359462</v>
      </c>
      <c r="AQ45" s="9">
        <f t="shared" si="28"/>
        <v>50550.889753141244</v>
      </c>
      <c r="AR45" s="9">
        <f t="shared" si="28"/>
        <v>50643.04327374712</v>
      </c>
      <c r="AS45" s="9">
        <f t="shared" si="28"/>
        <v>50728.528051490102</v>
      </c>
      <c r="AT45" s="9">
        <f t="shared" si="28"/>
        <v>50806.617025380416</v>
      </c>
      <c r="AU45" s="9">
        <f t="shared" si="28"/>
        <v>50877.060440286346</v>
      </c>
      <c r="AV45" s="9">
        <f t="shared" si="28"/>
        <v>50943.607716369763</v>
      </c>
      <c r="AW45" s="9">
        <f t="shared" si="28"/>
        <v>51005.186592640202</v>
      </c>
      <c r="AX45" s="9">
        <f t="shared" si="28"/>
        <v>51061.871874245866</v>
      </c>
      <c r="AY45" s="9">
        <f t="shared" si="28"/>
        <v>51110.900907094358</v>
      </c>
      <c r="AZ45" s="9">
        <f t="shared" si="28"/>
        <v>51153.730142904024</v>
      </c>
      <c r="BA45" s="9">
        <f t="shared" si="28"/>
        <v>51111.963612091691</v>
      </c>
      <c r="BB45" s="9">
        <f t="shared" si="28"/>
        <v>51065.296043597533</v>
      </c>
      <c r="BC45" s="9">
        <f t="shared" si="28"/>
        <v>51011.240510187527</v>
      </c>
      <c r="BD45" s="9">
        <f t="shared" si="28"/>
        <v>50950.140914649557</v>
      </c>
      <c r="BE45" s="9">
        <f t="shared" si="28"/>
        <v>50882.733570048062</v>
      </c>
      <c r="BF45" s="9">
        <f t="shared" si="28"/>
        <v>50768.022142658971</v>
      </c>
      <c r="BG45" s="9">
        <f t="shared" si="28"/>
        <v>50649.039370976978</v>
      </c>
      <c r="BH45" s="9">
        <f t="shared" si="28"/>
        <v>50525.750322105589</v>
      </c>
      <c r="BI45" s="9">
        <f t="shared" si="28"/>
        <v>50396.767243803864</v>
      </c>
      <c r="BJ45" s="9">
        <f t="shared" si="28"/>
        <v>50262.185132516446</v>
      </c>
      <c r="BK45" s="9">
        <f t="shared" si="28"/>
        <v>50135.412749719158</v>
      </c>
      <c r="BL45" s="9">
        <f t="shared" si="28"/>
        <v>50004.417393510019</v>
      </c>
      <c r="BM45" s="9">
        <f t="shared" si="28"/>
        <v>49870.489419920959</v>
      </c>
      <c r="BN45" s="9">
        <f t="shared" ref="BN45:CD45" si="29">BN43*BN35</f>
        <v>49734.155912271366</v>
      </c>
      <c r="BO45" s="9">
        <f t="shared" si="29"/>
        <v>49594.033085272895</v>
      </c>
      <c r="BP45" s="9">
        <f t="shared" si="29"/>
        <v>49467.861452493227</v>
      </c>
      <c r="BQ45" s="9">
        <f t="shared" si="29"/>
        <v>49340.101286553268</v>
      </c>
      <c r="BR45" s="9">
        <f t="shared" si="29"/>
        <v>49209.955684995606</v>
      </c>
      <c r="BS45" s="9">
        <f t="shared" si="29"/>
        <v>49076.678766909215</v>
      </c>
      <c r="BT45" s="9">
        <f t="shared" si="29"/>
        <v>48940.616331533085</v>
      </c>
      <c r="BU45" s="9">
        <f t="shared" si="29"/>
        <v>48811.517868017021</v>
      </c>
      <c r="BV45" s="9">
        <f t="shared" si="29"/>
        <v>48678.341589592994</v>
      </c>
      <c r="BW45" s="9">
        <f t="shared" si="29"/>
        <v>48541.913369166919</v>
      </c>
      <c r="BX45" s="9">
        <f t="shared" si="29"/>
        <v>48403.140719929521</v>
      </c>
      <c r="BY45" s="9">
        <f t="shared" si="29"/>
        <v>48261.585601789666</v>
      </c>
      <c r="BZ45" s="9">
        <f t="shared" si="29"/>
        <v>48115.196356562614</v>
      </c>
      <c r="CA45" s="9">
        <f t="shared" si="29"/>
        <v>47966.057309851851</v>
      </c>
      <c r="CB45" s="9">
        <f t="shared" si="29"/>
        <v>47813.80886736339</v>
      </c>
      <c r="CC45" s="9">
        <f t="shared" si="29"/>
        <v>47659.639555066751</v>
      </c>
      <c r="CD45" s="9">
        <f t="shared" si="29"/>
        <v>47502.443858819272</v>
      </c>
    </row>
    <row r="47" spans="1:82" x14ac:dyDescent="0.25">
      <c r="K47" t="s">
        <v>186</v>
      </c>
      <c r="L47" t="s">
        <v>187</v>
      </c>
    </row>
    <row r="48" spans="1:82" x14ac:dyDescent="0.25">
      <c r="A48" t="s">
        <v>50</v>
      </c>
      <c r="G48" t="s">
        <v>185</v>
      </c>
      <c r="K48" t="s">
        <v>48</v>
      </c>
      <c r="L48" s="5" t="s">
        <v>49</v>
      </c>
      <c r="S48" t="s">
        <v>184</v>
      </c>
    </row>
    <row r="49" spans="1:89" x14ac:dyDescent="0.25">
      <c r="A49" s="8">
        <v>2012</v>
      </c>
      <c r="B49" s="8">
        <f>A49+1</f>
        <v>2013</v>
      </c>
      <c r="C49" s="8">
        <f t="shared" ref="C49:F49" si="30">B49+1</f>
        <v>2014</v>
      </c>
      <c r="D49" s="8">
        <f t="shared" si="30"/>
        <v>2015</v>
      </c>
      <c r="E49" s="8">
        <f t="shared" si="30"/>
        <v>2016</v>
      </c>
      <c r="F49" s="8">
        <f t="shared" si="30"/>
        <v>2017</v>
      </c>
      <c r="G49" s="7">
        <v>2018</v>
      </c>
      <c r="H49" s="7">
        <v>2019</v>
      </c>
      <c r="I49" s="7">
        <v>2020</v>
      </c>
      <c r="J49" s="7">
        <v>2021</v>
      </c>
      <c r="K49" s="7">
        <v>2022</v>
      </c>
      <c r="L49" s="7">
        <v>2023</v>
      </c>
      <c r="M49" s="7">
        <v>2024</v>
      </c>
      <c r="N49" s="7">
        <v>2025</v>
      </c>
      <c r="O49" s="7">
        <v>2026</v>
      </c>
      <c r="P49" s="7">
        <v>2027</v>
      </c>
      <c r="Q49" s="7">
        <v>2028</v>
      </c>
      <c r="R49" s="7">
        <v>2029</v>
      </c>
      <c r="S49" s="7">
        <v>2030</v>
      </c>
      <c r="T49" s="7">
        <v>2031</v>
      </c>
      <c r="U49" s="7">
        <v>2032</v>
      </c>
      <c r="V49" s="7">
        <v>2033</v>
      </c>
      <c r="W49" s="7">
        <v>2034</v>
      </c>
      <c r="X49" s="7">
        <v>2035</v>
      </c>
      <c r="Y49" s="7">
        <v>2036</v>
      </c>
      <c r="Z49" s="7">
        <v>2037</v>
      </c>
      <c r="AA49" s="7">
        <v>2038</v>
      </c>
      <c r="AB49" s="7">
        <v>2039</v>
      </c>
      <c r="AC49" s="7">
        <v>2040</v>
      </c>
      <c r="AD49" s="7">
        <v>2041</v>
      </c>
      <c r="AE49" s="7">
        <v>2042</v>
      </c>
      <c r="AF49" s="7">
        <v>2043</v>
      </c>
      <c r="AG49" s="7">
        <v>2044</v>
      </c>
      <c r="AH49" s="7">
        <v>2045</v>
      </c>
      <c r="AI49" s="7">
        <v>2046</v>
      </c>
      <c r="AJ49" s="7">
        <v>2047</v>
      </c>
      <c r="AK49" s="7">
        <v>2048</v>
      </c>
      <c r="AL49" s="7">
        <v>2049</v>
      </c>
      <c r="AM49" s="7">
        <v>2050</v>
      </c>
      <c r="AN49" s="7">
        <v>2051</v>
      </c>
      <c r="AO49" s="7">
        <v>2052</v>
      </c>
      <c r="AP49" s="7">
        <v>2053</v>
      </c>
      <c r="AQ49" s="7">
        <v>2054</v>
      </c>
      <c r="AR49" s="7">
        <v>2055</v>
      </c>
      <c r="AS49" s="7">
        <v>2056</v>
      </c>
      <c r="AT49" s="7">
        <v>2057</v>
      </c>
      <c r="AU49" s="7">
        <v>2058</v>
      </c>
      <c r="AV49" s="7">
        <v>2059</v>
      </c>
      <c r="AW49" s="7">
        <v>2060</v>
      </c>
      <c r="AX49" s="7">
        <v>2061</v>
      </c>
      <c r="AY49" s="7">
        <v>2062</v>
      </c>
      <c r="AZ49" s="7">
        <v>2063</v>
      </c>
      <c r="BA49" s="7">
        <v>2064</v>
      </c>
      <c r="BB49" s="7">
        <v>2065</v>
      </c>
      <c r="BC49" s="7">
        <v>2066</v>
      </c>
      <c r="BD49" s="7">
        <v>2067</v>
      </c>
      <c r="BE49" s="7">
        <v>2068</v>
      </c>
      <c r="BF49" s="7">
        <v>2069</v>
      </c>
      <c r="BG49" s="7">
        <v>2070</v>
      </c>
      <c r="BH49" s="7">
        <v>2071</v>
      </c>
      <c r="BI49" s="7">
        <v>2072</v>
      </c>
      <c r="BJ49" s="7">
        <v>2073</v>
      </c>
      <c r="BK49" s="7">
        <v>2074</v>
      </c>
      <c r="BL49" s="7">
        <v>2075</v>
      </c>
      <c r="BM49" s="7">
        <v>2076</v>
      </c>
      <c r="BN49" s="7">
        <v>2077</v>
      </c>
      <c r="BO49" s="7">
        <v>2078</v>
      </c>
      <c r="BP49" s="7">
        <v>2079</v>
      </c>
      <c r="BQ49" s="7">
        <v>2080</v>
      </c>
      <c r="BR49" s="7">
        <v>2081</v>
      </c>
      <c r="BS49" s="7">
        <v>2082</v>
      </c>
      <c r="BT49" s="7">
        <v>2083</v>
      </c>
      <c r="BU49" s="7">
        <v>2084</v>
      </c>
      <c r="BV49" s="7">
        <v>2085</v>
      </c>
      <c r="BW49" s="7">
        <v>2086</v>
      </c>
      <c r="BX49" s="7">
        <v>2087</v>
      </c>
      <c r="BY49" s="7">
        <v>2088</v>
      </c>
      <c r="BZ49" s="7">
        <v>2089</v>
      </c>
      <c r="CA49" s="7">
        <v>2090</v>
      </c>
      <c r="CB49" s="7">
        <v>2091</v>
      </c>
      <c r="CC49" s="7">
        <v>2092</v>
      </c>
      <c r="CD49" s="7">
        <v>2093</v>
      </c>
      <c r="CE49" s="7">
        <v>2094</v>
      </c>
      <c r="CF49" s="7">
        <v>2095</v>
      </c>
      <c r="CG49" s="7">
        <v>2096</v>
      </c>
      <c r="CH49" s="7">
        <v>2097</v>
      </c>
      <c r="CI49" s="7">
        <v>2098</v>
      </c>
      <c r="CJ49" s="7">
        <v>2099</v>
      </c>
      <c r="CK49" s="7">
        <v>2100</v>
      </c>
    </row>
    <row r="50" spans="1:89" x14ac:dyDescent="0.25">
      <c r="A50" s="11">
        <v>52325.432882070083</v>
      </c>
      <c r="B50" s="11">
        <v>53104.386458423345</v>
      </c>
      <c r="C50" s="11">
        <v>53912.365691429273</v>
      </c>
      <c r="D50" s="11">
        <v>54750.491457321114</v>
      </c>
      <c r="E50" s="11">
        <v>55619.940469824825</v>
      </c>
      <c r="F50" s="11">
        <v>56521.948041648095</v>
      </c>
      <c r="G50" s="7">
        <v>57339.635000000002</v>
      </c>
      <c r="H50" s="7">
        <v>58087.055</v>
      </c>
      <c r="I50" s="10">
        <v>58801.927000000003</v>
      </c>
      <c r="J50" s="10">
        <v>59392.254999999997</v>
      </c>
      <c r="K50" s="10">
        <v>59893.885000000002</v>
      </c>
      <c r="L50" s="10">
        <v>60414.495000000003</v>
      </c>
      <c r="M50" s="10">
        <v>61020.220999999998</v>
      </c>
      <c r="N50" s="10">
        <v>61673.080999999998</v>
      </c>
      <c r="O50" s="10">
        <v>62305.038999999997</v>
      </c>
      <c r="P50" s="10">
        <v>62918.915999999997</v>
      </c>
      <c r="Q50" s="10">
        <v>63514.502</v>
      </c>
      <c r="R50" s="10">
        <v>64093.732000000004</v>
      </c>
      <c r="S50" s="10">
        <v>64659.277999999998</v>
      </c>
      <c r="T50">
        <v>65211.525999999998</v>
      </c>
      <c r="U50">
        <v>65752.923999999999</v>
      </c>
      <c r="V50">
        <v>66284.188999999998</v>
      </c>
      <c r="W50">
        <v>66804.167000000001</v>
      </c>
      <c r="X50">
        <v>67314.133000000002</v>
      </c>
      <c r="Y50">
        <v>67815.933000000005</v>
      </c>
      <c r="Z50">
        <v>68308.245999999999</v>
      </c>
      <c r="AA50">
        <v>68788.494999999995</v>
      </c>
      <c r="AB50">
        <v>69256.823000000004</v>
      </c>
      <c r="AC50">
        <v>69713.937000000005</v>
      </c>
      <c r="AD50">
        <v>70160.652000000002</v>
      </c>
      <c r="AE50">
        <v>70595.131999999998</v>
      </c>
      <c r="AF50">
        <v>71016.168000000005</v>
      </c>
      <c r="AG50">
        <v>71423.671000000002</v>
      </c>
      <c r="AH50">
        <v>71816.201000000001</v>
      </c>
      <c r="AI50">
        <v>72192.154999999999</v>
      </c>
      <c r="AJ50">
        <v>72551.392999999996</v>
      </c>
      <c r="AK50">
        <v>72894.218999999997</v>
      </c>
      <c r="AL50">
        <v>73220.86</v>
      </c>
      <c r="AM50">
        <v>73529.752999999997</v>
      </c>
      <c r="AN50">
        <v>73819.237999999998</v>
      </c>
      <c r="AO50">
        <v>74089.701000000001</v>
      </c>
      <c r="AP50">
        <v>74342.981</v>
      </c>
      <c r="AQ50">
        <v>74580.11</v>
      </c>
      <c r="AR50">
        <v>74799.05</v>
      </c>
      <c r="AS50">
        <v>75001.119999999995</v>
      </c>
      <c r="AT50">
        <v>75188.808000000005</v>
      </c>
      <c r="AU50">
        <v>75362.119000000006</v>
      </c>
      <c r="AV50">
        <v>75520.304000000004</v>
      </c>
      <c r="AW50">
        <v>75663.198000000004</v>
      </c>
      <c r="AX50">
        <v>75793.040999999997</v>
      </c>
      <c r="AY50">
        <v>75912.773000000001</v>
      </c>
      <c r="AZ50">
        <v>76022.452999999994</v>
      </c>
      <c r="BA50">
        <v>76120.998999999996</v>
      </c>
      <c r="BB50">
        <v>76208.044999999998</v>
      </c>
      <c r="BC50">
        <v>76283.732000000004</v>
      </c>
      <c r="BD50">
        <v>76351.933999999994</v>
      </c>
      <c r="BE50">
        <v>76412.77</v>
      </c>
      <c r="BF50">
        <v>76462.114000000001</v>
      </c>
      <c r="BG50">
        <v>76502.154999999999</v>
      </c>
      <c r="BH50">
        <v>76536.239000000001</v>
      </c>
      <c r="BI50">
        <v>76563.061000000002</v>
      </c>
      <c r="BJ50">
        <v>76578.86</v>
      </c>
      <c r="BK50">
        <v>76584.111000000004</v>
      </c>
      <c r="BL50">
        <v>76579.881999999998</v>
      </c>
      <c r="BM50">
        <v>76567.381999999998</v>
      </c>
      <c r="BN50">
        <v>76548.373999999996</v>
      </c>
      <c r="BO50">
        <v>76522.763999999996</v>
      </c>
      <c r="BP50">
        <v>76488.403999999995</v>
      </c>
      <c r="BQ50">
        <v>76445.383000000002</v>
      </c>
      <c r="BR50">
        <v>76396.514999999999</v>
      </c>
      <c r="BS50">
        <v>76341.014999999999</v>
      </c>
      <c r="BT50">
        <v>76280.819000000003</v>
      </c>
      <c r="BU50">
        <v>76216.707999999999</v>
      </c>
      <c r="BV50">
        <v>76146.535000000003</v>
      </c>
      <c r="BW50">
        <v>76071.991999999998</v>
      </c>
      <c r="BX50">
        <v>75994.767999999996</v>
      </c>
      <c r="BY50">
        <v>75913.620999999999</v>
      </c>
      <c r="BZ50">
        <v>75827.38</v>
      </c>
      <c r="CA50">
        <v>75736.555999999997</v>
      </c>
      <c r="CB50">
        <v>75640.985000000001</v>
      </c>
      <c r="CC50">
        <v>75538.822</v>
      </c>
      <c r="CD50">
        <v>75431.323000000004</v>
      </c>
      <c r="CE50">
        <v>75319.877999999997</v>
      </c>
      <c r="CF50">
        <v>75203.788</v>
      </c>
      <c r="CG50">
        <v>75084.182000000001</v>
      </c>
      <c r="CH50">
        <v>74959.932000000001</v>
      </c>
      <c r="CI50">
        <v>74830.455000000002</v>
      </c>
      <c r="CJ50">
        <v>74697.591</v>
      </c>
      <c r="CK50">
        <v>74559.59</v>
      </c>
    </row>
    <row r="51" spans="1:89" x14ac:dyDescent="0.25">
      <c r="B51" s="6">
        <f>B50/A50-1</f>
        <v>1.4886710600347186E-2</v>
      </c>
      <c r="C51" s="6">
        <f t="shared" ref="C51:I51" si="31">C50/B50-1</f>
        <v>1.5214924545611908E-2</v>
      </c>
      <c r="D51" s="6">
        <f t="shared" si="31"/>
        <v>1.5546076584524338E-2</v>
      </c>
      <c r="E51" s="6">
        <f t="shared" si="31"/>
        <v>1.5880204713440094E-2</v>
      </c>
      <c r="F51" s="6">
        <f t="shared" si="31"/>
        <v>1.6217341554197295E-2</v>
      </c>
      <c r="G51" s="6">
        <f t="shared" si="31"/>
        <v>1.4466715792410323E-2</v>
      </c>
      <c r="H51" s="6">
        <f t="shared" si="31"/>
        <v>1.3034962639716818E-2</v>
      </c>
      <c r="I51" s="6">
        <f t="shared" si="31"/>
        <v>1.2306907279083124E-2</v>
      </c>
      <c r="J51" s="6">
        <f>J50/I50-1</f>
        <v>1.0039262828920537E-2</v>
      </c>
      <c r="K51" s="6">
        <f t="shared" ref="K51:BV51" si="32">K50/J50-1</f>
        <v>8.4460507519037442E-3</v>
      </c>
      <c r="L51" s="6">
        <f t="shared" si="32"/>
        <v>8.6922062243917075E-3</v>
      </c>
      <c r="M51" s="6">
        <f t="shared" si="32"/>
        <v>1.0026170044125982E-2</v>
      </c>
      <c r="N51" s="6">
        <f t="shared" si="32"/>
        <v>1.0699076294725218E-2</v>
      </c>
      <c r="O51" s="6">
        <f t="shared" si="32"/>
        <v>1.0246901723622415E-2</v>
      </c>
      <c r="P51" s="6">
        <f t="shared" si="32"/>
        <v>9.8527664833016892E-3</v>
      </c>
      <c r="Q51" s="6">
        <f t="shared" si="32"/>
        <v>9.4659291332992446E-3</v>
      </c>
      <c r="R51" s="6">
        <f t="shared" si="32"/>
        <v>9.1196495565690761E-3</v>
      </c>
      <c r="S51" s="6">
        <f t="shared" si="32"/>
        <v>8.8237333410385865E-3</v>
      </c>
      <c r="T51" s="6">
        <f t="shared" si="32"/>
        <v>8.5408933888806438E-3</v>
      </c>
      <c r="U51" s="6">
        <f t="shared" si="32"/>
        <v>8.3021826540297106E-3</v>
      </c>
      <c r="V51" s="6">
        <f t="shared" si="32"/>
        <v>8.0797167286430494E-3</v>
      </c>
      <c r="W51" s="6">
        <f t="shared" si="32"/>
        <v>7.8446762017410077E-3</v>
      </c>
      <c r="X51" s="6">
        <f t="shared" si="32"/>
        <v>7.6337453620221041E-3</v>
      </c>
      <c r="Y51" s="6">
        <f t="shared" si="32"/>
        <v>7.4546009528193569E-3</v>
      </c>
      <c r="Z51" s="6">
        <f t="shared" si="32"/>
        <v>7.2595476936074821E-3</v>
      </c>
      <c r="AA51" s="6">
        <f t="shared" si="32"/>
        <v>7.0306153081429734E-3</v>
      </c>
      <c r="AB51" s="6">
        <f t="shared" si="32"/>
        <v>6.8082315218556122E-3</v>
      </c>
      <c r="AC51" s="6">
        <f t="shared" si="32"/>
        <v>6.6002738820405416E-3</v>
      </c>
      <c r="AD51" s="6">
        <f t="shared" si="32"/>
        <v>6.4078291834241963E-3</v>
      </c>
      <c r="AE51" s="6">
        <f t="shared" si="32"/>
        <v>6.1926448460027927E-3</v>
      </c>
      <c r="AF51" s="6">
        <f t="shared" si="32"/>
        <v>5.9640939548071259E-3</v>
      </c>
      <c r="AG51" s="6">
        <f t="shared" si="32"/>
        <v>5.7381721863674073E-3</v>
      </c>
      <c r="AH51" s="6">
        <f t="shared" si="32"/>
        <v>5.4957970446520843E-3</v>
      </c>
      <c r="AI51" s="6">
        <f t="shared" si="32"/>
        <v>5.2349469167827234E-3</v>
      </c>
      <c r="AJ51" s="6">
        <f t="shared" si="32"/>
        <v>4.976136257464514E-3</v>
      </c>
      <c r="AK51" s="6">
        <f t="shared" si="32"/>
        <v>4.7252848749574916E-3</v>
      </c>
      <c r="AL51" s="6">
        <f t="shared" si="32"/>
        <v>4.481027500960133E-3</v>
      </c>
      <c r="AM51" s="6">
        <f t="shared" si="32"/>
        <v>4.2186475274941238E-3</v>
      </c>
      <c r="AN51" s="6">
        <f t="shared" si="32"/>
        <v>3.9369777292737052E-3</v>
      </c>
      <c r="AO51" s="6">
        <f t="shared" si="32"/>
        <v>3.6638552134606872E-3</v>
      </c>
      <c r="AP51" s="6">
        <f t="shared" si="32"/>
        <v>3.4185588088686547E-3</v>
      </c>
      <c r="AQ51" s="6">
        <f t="shared" si="32"/>
        <v>3.1896622493521321E-3</v>
      </c>
      <c r="AR51" s="6">
        <f t="shared" si="32"/>
        <v>2.9356352518117301E-3</v>
      </c>
      <c r="AS51" s="6">
        <f t="shared" si="32"/>
        <v>2.701504898792173E-3</v>
      </c>
      <c r="AT51" s="6">
        <f t="shared" si="32"/>
        <v>2.5024692964585871E-3</v>
      </c>
      <c r="AU51" s="6">
        <f t="shared" si="32"/>
        <v>2.3050106074298249E-3</v>
      </c>
      <c r="AV51" s="6">
        <f t="shared" si="32"/>
        <v>2.0989988352104749E-3</v>
      </c>
      <c r="AW51" s="6">
        <f t="shared" si="32"/>
        <v>1.8921269172857968E-3</v>
      </c>
      <c r="AX51" s="6">
        <f t="shared" si="32"/>
        <v>1.716065451000226E-3</v>
      </c>
      <c r="AY51" s="6">
        <f t="shared" si="32"/>
        <v>1.579722866641653E-3</v>
      </c>
      <c r="AZ51" s="6">
        <f t="shared" si="32"/>
        <v>1.444816144445138E-3</v>
      </c>
      <c r="BA51" s="6">
        <f t="shared" si="32"/>
        <v>1.296274930776109E-3</v>
      </c>
      <c r="BB51" s="6">
        <f t="shared" si="32"/>
        <v>1.1435215136890164E-3</v>
      </c>
      <c r="BC51" s="6">
        <f t="shared" si="32"/>
        <v>9.9316286095518791E-4</v>
      </c>
      <c r="BD51" s="6">
        <f t="shared" si="32"/>
        <v>8.9405693995137092E-4</v>
      </c>
      <c r="BE51" s="6">
        <f t="shared" si="32"/>
        <v>7.9678400811711292E-4</v>
      </c>
      <c r="BF51" s="6">
        <f t="shared" si="32"/>
        <v>6.4575593843807511E-4</v>
      </c>
      <c r="BG51" s="6">
        <f t="shared" si="32"/>
        <v>5.2367110854389942E-4</v>
      </c>
      <c r="BH51" s="6">
        <f t="shared" si="32"/>
        <v>4.4552993311097744E-4</v>
      </c>
      <c r="BI51" s="6">
        <f t="shared" si="32"/>
        <v>3.5044836734132723E-4</v>
      </c>
      <c r="BJ51" s="6">
        <f t="shared" si="32"/>
        <v>2.0635277369596139E-4</v>
      </c>
      <c r="BK51" s="6">
        <f t="shared" si="32"/>
        <v>6.8569837680998447E-5</v>
      </c>
      <c r="BL51" s="6">
        <f t="shared" si="32"/>
        <v>-5.5220331538596845E-5</v>
      </c>
      <c r="BM51" s="6">
        <f t="shared" si="32"/>
        <v>-1.6322824837988748E-4</v>
      </c>
      <c r="BN51" s="6">
        <f t="shared" si="32"/>
        <v>-2.4825192534339013E-4</v>
      </c>
      <c r="BO51" s="6">
        <f t="shared" si="32"/>
        <v>-3.3455968640172529E-4</v>
      </c>
      <c r="BP51" s="6">
        <f t="shared" si="32"/>
        <v>-4.4901671351027517E-4</v>
      </c>
      <c r="BQ51" s="6">
        <f t="shared" si="32"/>
        <v>-5.6245127039122877E-4</v>
      </c>
      <c r="BR51" s="6">
        <f t="shared" si="32"/>
        <v>-6.3925377939444417E-4</v>
      </c>
      <c r="BS51" s="6">
        <f t="shared" si="32"/>
        <v>-7.2647292877170422E-4</v>
      </c>
      <c r="BT51" s="6">
        <f t="shared" si="32"/>
        <v>-7.8851453573147712E-4</v>
      </c>
      <c r="BU51" s="6">
        <f t="shared" si="32"/>
        <v>-8.404602997249544E-4</v>
      </c>
      <c r="BV51" s="6">
        <f t="shared" si="32"/>
        <v>-9.2070363364415986E-4</v>
      </c>
      <c r="BW51" s="6">
        <f t="shared" ref="BW51:CJ51" si="33">BW50/BV50-1</f>
        <v>-9.7894145807164712E-4</v>
      </c>
      <c r="BX51" s="6">
        <f t="shared" si="33"/>
        <v>-1.0151436549735715E-3</v>
      </c>
      <c r="BY51" s="6">
        <f t="shared" si="33"/>
        <v>-1.0677971936172703E-3</v>
      </c>
      <c r="BZ51" s="6">
        <f t="shared" si="33"/>
        <v>-1.1360411855468877E-3</v>
      </c>
      <c r="CA51" s="6">
        <f t="shared" si="33"/>
        <v>-1.1977731526529034E-3</v>
      </c>
      <c r="CB51" s="6">
        <f t="shared" si="33"/>
        <v>-1.2618873242664641E-3</v>
      </c>
      <c r="CC51" s="6">
        <f t="shared" si="33"/>
        <v>-1.3506302172030527E-3</v>
      </c>
      <c r="CD51" s="6">
        <f t="shared" si="33"/>
        <v>-1.423096060460094E-3</v>
      </c>
      <c r="CE51" s="6">
        <f t="shared" si="33"/>
        <v>-1.4774366346458345E-3</v>
      </c>
      <c r="CF51" s="6">
        <f t="shared" si="33"/>
        <v>-1.5412929904108363E-3</v>
      </c>
      <c r="CG51" s="6">
        <f t="shared" si="33"/>
        <v>-1.5904252057090673E-3</v>
      </c>
      <c r="CH51" s="6">
        <f t="shared" si="33"/>
        <v>-1.6548092646198054E-3</v>
      </c>
      <c r="CI51" s="6">
        <f t="shared" si="33"/>
        <v>-1.7272827835542737E-3</v>
      </c>
      <c r="CJ51" s="6">
        <f t="shared" si="33"/>
        <v>-1.7755337716441888E-3</v>
      </c>
    </row>
    <row r="52" spans="1:89" x14ac:dyDescent="0.25">
      <c r="I52" t="s">
        <v>143</v>
      </c>
      <c r="J52" s="9">
        <f>INDEX($B$35:$AM$35,1,MATCH(J49,$B$34:$AM$34,0))</f>
        <v>59392.254999999997</v>
      </c>
      <c r="K52" s="9"/>
      <c r="L52" s="9"/>
      <c r="M52" s="9"/>
      <c r="N52" s="9"/>
      <c r="O52" s="9"/>
    </row>
    <row r="53" spans="1:89" x14ac:dyDescent="0.25">
      <c r="I53" t="s">
        <v>144</v>
      </c>
      <c r="J53" s="6">
        <f>J52/J50-1</f>
        <v>0</v>
      </c>
      <c r="K53" s="6"/>
      <c r="L53" s="6"/>
      <c r="M53" s="6"/>
      <c r="N53" s="6"/>
      <c r="O53" s="6"/>
      <c r="P53" s="13"/>
    </row>
    <row r="54" spans="1:89" ht="18" thickBot="1" x14ac:dyDescent="0.35">
      <c r="A54" s="4" t="s">
        <v>65</v>
      </c>
      <c r="B54" s="4"/>
      <c r="C54" s="4"/>
      <c r="D54" s="4"/>
      <c r="E54" s="4"/>
      <c r="F54" s="4"/>
      <c r="G54" s="4"/>
      <c r="H54" s="4"/>
      <c r="M54" s="9"/>
    </row>
    <row r="55" spans="1:89" ht="15.75" thickTop="1" x14ac:dyDescent="0.25">
      <c r="B55" s="3">
        <v>2019</v>
      </c>
      <c r="C55" s="3">
        <v>2020</v>
      </c>
      <c r="D55" s="3">
        <v>2021</v>
      </c>
      <c r="E55" s="3">
        <v>2022</v>
      </c>
      <c r="F55" s="3">
        <v>2023</v>
      </c>
      <c r="G55" s="3">
        <v>2024</v>
      </c>
      <c r="H55" s="3">
        <v>2025</v>
      </c>
      <c r="I55" s="3">
        <v>2026</v>
      </c>
      <c r="J55" s="3">
        <v>2027</v>
      </c>
      <c r="K55" s="3">
        <v>2028</v>
      </c>
      <c r="L55" s="3">
        <v>2029</v>
      </c>
      <c r="M55" s="3">
        <v>2030</v>
      </c>
      <c r="N55" s="3">
        <v>2031</v>
      </c>
      <c r="O55" s="3">
        <v>2032</v>
      </c>
      <c r="P55" s="3">
        <v>2033</v>
      </c>
      <c r="Q55" s="3">
        <v>2034</v>
      </c>
      <c r="R55" s="3">
        <v>2035</v>
      </c>
      <c r="S55" s="3">
        <v>2036</v>
      </c>
      <c r="T55" s="3">
        <v>2037</v>
      </c>
      <c r="U55" s="3">
        <v>2038</v>
      </c>
      <c r="V55">
        <v>2039</v>
      </c>
      <c r="W55">
        <v>2040</v>
      </c>
      <c r="X55">
        <v>2041</v>
      </c>
      <c r="Y55">
        <v>2042</v>
      </c>
      <c r="Z55">
        <v>2043</v>
      </c>
      <c r="AA55">
        <v>2044</v>
      </c>
      <c r="AB55">
        <v>2045</v>
      </c>
      <c r="AC55">
        <v>2046</v>
      </c>
      <c r="AD55">
        <v>2047</v>
      </c>
      <c r="AE55">
        <v>2048</v>
      </c>
      <c r="AF55">
        <v>2049</v>
      </c>
      <c r="AG55">
        <v>2050</v>
      </c>
      <c r="AH55">
        <v>2051</v>
      </c>
      <c r="AI55">
        <v>2052</v>
      </c>
      <c r="AJ55">
        <v>2053</v>
      </c>
      <c r="AK55">
        <v>2054</v>
      </c>
      <c r="AL55">
        <v>2055</v>
      </c>
    </row>
    <row r="56" spans="1:89" x14ac:dyDescent="0.25">
      <c r="A56" s="3" t="s">
        <v>51</v>
      </c>
      <c r="B56" s="12">
        <f>IF($C$3="CGE",GDP_CGE!B28,GDP_Simple!I42)</f>
        <v>0.44456066945606693</v>
      </c>
      <c r="C56" s="12">
        <f>IF($C$3="CGE",GDP_CGE!C28,GDP_Simple!J42)</f>
        <v>0.45521601685985247</v>
      </c>
      <c r="D56" s="12">
        <f>IF($C$3="CGE",GDP_CGE!D28,GDP_Simple!K42)</f>
        <v>0.46227119237511022</v>
      </c>
      <c r="E56" s="12">
        <f>IF($C$3="CGE",GDP_CGE!E28,GDP_Simple!L42)</f>
        <v>0.45384023967034137</v>
      </c>
      <c r="F56" s="12">
        <f>IF($C$3="CGE",GDP_CGE!F28,GDP_Simple!M42)</f>
        <v>0.4530506193635141</v>
      </c>
      <c r="G56" s="12">
        <f>IF($C$3="CGE",GDP_CGE!G28,GDP_Simple!N42)</f>
        <v>0.4492123756297739</v>
      </c>
      <c r="H56" s="12">
        <f>IF($C$3="CGE",GDP_CGE!H28,GDP_Simple!O42)</f>
        <v>0.44506077484649087</v>
      </c>
      <c r="I56" s="12">
        <f>IF($C$3="CGE",GDP_CGE!I28,GDP_Simple!P42)</f>
        <v>0.44048019500661473</v>
      </c>
      <c r="J56" s="12">
        <f>IF($C$3="CGE",GDP_CGE!J28,GDP_Simple!Q42)</f>
        <v>0.43534996792463587</v>
      </c>
      <c r="K56" s="12">
        <f>IF($C$3="CGE",GDP_CGE!K28,GDP_Simple!R42)</f>
        <v>0.42993618539113665</v>
      </c>
      <c r="L56" s="12">
        <f>IF($C$3="CGE",GDP_CGE!L28,GDP_Simple!S42)</f>
        <v>0.42371952259311868</v>
      </c>
      <c r="M56" s="12">
        <f>IF($C$3="CGE",GDP_CGE!M28,GDP_Simple!T42)</f>
        <v>0.41657241965867214</v>
      </c>
      <c r="N56" s="12">
        <f>IF($C$3="CGE",GDP_CGE!N28,GDP_Simple!U42)</f>
        <v>0.40909885956028302</v>
      </c>
      <c r="O56" s="12">
        <f>IF($C$3="CGE",GDP_CGE!O28,GDP_Simple!V42)</f>
        <v>0.40185565007277846</v>
      </c>
      <c r="P56" s="12">
        <f>IF($C$3="CGE",GDP_CGE!P28,GDP_Simple!W42)</f>
        <v>0.39482416004663062</v>
      </c>
      <c r="Q56" s="12">
        <f>IF($C$3="CGE",GDP_CGE!Q28,GDP_Simple!X42)</f>
        <v>0.38744915622957621</v>
      </c>
      <c r="R56" s="12">
        <f>IF($C$3="CGE",GDP_CGE!R28,GDP_Simple!Y42)</f>
        <v>0.3800592435396562</v>
      </c>
      <c r="S56" s="12">
        <f>IF($C$3="CGE",GDP_CGE!S28,GDP_Simple!Z42)</f>
        <v>0.37316446554873905</v>
      </c>
      <c r="T56" s="12">
        <f>IF($C$3="CGE",GDP_CGE!T28,GDP_Simple!AA42)</f>
        <v>0.36622575390923512</v>
      </c>
      <c r="U56" s="12">
        <f>IF($C$3="CGE",GDP_CGE!U28,GDP_Simple!AB42)</f>
        <v>0.35954615135165829</v>
      </c>
      <c r="V56" s="12">
        <f>IF($C$3="CGE",GDP_CGE!V28,GDP_Simple!AC42)</f>
        <v>0.35352413753940537</v>
      </c>
      <c r="W56" s="12">
        <f>IF($C$3="CGE",GDP_CGE!W28,GDP_Simple!AD42)</f>
        <v>0.34790997115201444</v>
      </c>
      <c r="X56" s="12">
        <f>IF($C$3="CGE",GDP_CGE!X28,GDP_Simple!AE42)</f>
        <v>0.33949990116716933</v>
      </c>
      <c r="Y56" s="12">
        <f>IF($C$3="CGE",GDP_CGE!Y28,GDP_Simple!AF42)</f>
        <v>0.3328157209201148</v>
      </c>
      <c r="Z56" s="12">
        <f>IF($C$3="CGE",GDP_CGE!Z28,GDP_Simple!AG42)</f>
        <v>0.32616627660377695</v>
      </c>
      <c r="AA56" s="12">
        <f>IF($C$3="CGE",GDP_CGE!AA28,GDP_Simple!AH42)</f>
        <v>0.31958465249744172</v>
      </c>
      <c r="AB56" s="12">
        <f>IF($C$3="CGE",GDP_CGE!AB28,GDP_Simple!AI42)</f>
        <v>0.31298090329354977</v>
      </c>
      <c r="AC56" s="12">
        <f>IF($C$3="CGE",GDP_CGE!AC28,GDP_Simple!AJ42)</f>
        <v>0.3062893112729288</v>
      </c>
      <c r="AD56" s="12">
        <f>IF($C$3="CGE",GDP_CGE!AD28,GDP_Simple!AK42)</f>
        <v>0.29955436432955906</v>
      </c>
      <c r="AE56" s="12">
        <f>IF($C$3="CGE",GDP_CGE!AE28,GDP_Simple!AL42)</f>
        <v>0.29273345912335991</v>
      </c>
      <c r="AF56" s="12">
        <f>IF($C$3="CGE",GDP_CGE!AF28,GDP_Simple!AM42)</f>
        <v>0.28584772379130463</v>
      </c>
      <c r="AG56" s="12">
        <f>IF($C$3="CGE",GDP_CGE!AG28,GDP_Simple!AN42)</f>
        <v>0.27905600345837911</v>
      </c>
      <c r="AH56" s="12">
        <f>IF($C$3="CGE",GDP_CGE!AH28,GDP_Simple!AO42)</f>
        <v>0.27256224487218716</v>
      </c>
      <c r="AI56" s="12">
        <f>IF($C$3="CGE",GDP_CGE!AI28,GDP_Simple!AP42)</f>
        <v>0.2658185620351361</v>
      </c>
      <c r="AJ56" s="12">
        <f>IF($C$3="CGE",GDP_CGE!AJ28,GDP_Simple!AQ42)</f>
        <v>0.25905746841704591</v>
      </c>
      <c r="AK56" s="12">
        <f>IF($C$3="CGE",GDP_CGE!AK28,GDP_Simple!AR42)</f>
        <v>0.252285229459698</v>
      </c>
      <c r="AL56" s="12">
        <f>IF($C$3="CGE",GDP_CGE!AL28,GDP_Simple!AS42)</f>
        <v>0.24552291570350171</v>
      </c>
    </row>
    <row r="57" spans="1:89" x14ac:dyDescent="0.25">
      <c r="A57" s="3" t="s">
        <v>52</v>
      </c>
      <c r="B57" s="12">
        <f>IF($C$3="CGE",GDP_CGE!B29,GDP_Simple!I43)</f>
        <v>0.31485355648535562</v>
      </c>
      <c r="C57" s="12">
        <f>IF($C$3="CGE",GDP_CGE!C29,GDP_Simple!J43)</f>
        <v>0.32560590094836672</v>
      </c>
      <c r="D57" s="12">
        <f>IF($C$3="CGE",GDP_CGE!D29,GDP_Simple!K43)</f>
        <v>0.30936026689417673</v>
      </c>
      <c r="E57" s="12">
        <f>IF($C$3="CGE",GDP_CGE!E29,GDP_Simple!L43)</f>
        <v>0.31355024567841444</v>
      </c>
      <c r="F57" s="12">
        <f>IF($C$3="CGE",GDP_CGE!F29,GDP_Simple!M43)</f>
        <v>0.31388781690524703</v>
      </c>
      <c r="G57" s="12">
        <f>IF($C$3="CGE",GDP_CGE!G29,GDP_Simple!N43)</f>
        <v>0.31543894410094331</v>
      </c>
      <c r="H57" s="12">
        <f>IF($C$3="CGE",GDP_CGE!H29,GDP_Simple!O43)</f>
        <v>0.31721983743486931</v>
      </c>
      <c r="I57" s="12">
        <f>IF($C$3="CGE",GDP_CGE!I29,GDP_Simple!P43)</f>
        <v>0.31883263902169873</v>
      </c>
      <c r="J57" s="12">
        <f>IF($C$3="CGE",GDP_CGE!J29,GDP_Simple!Q43)</f>
        <v>0.32078866718521404</v>
      </c>
      <c r="K57" s="12">
        <f>IF($C$3="CGE",GDP_CGE!K29,GDP_Simple!R43)</f>
        <v>0.32280939346620441</v>
      </c>
      <c r="L57" s="12">
        <f>IF($C$3="CGE",GDP_CGE!L29,GDP_Simple!S43)</f>
        <v>0.32497598023764895</v>
      </c>
      <c r="M57" s="12">
        <f>IF($C$3="CGE",GDP_CGE!M29,GDP_Simple!T43)</f>
        <v>0.32775482993460558</v>
      </c>
      <c r="N57" s="12">
        <f>IF($C$3="CGE",GDP_CGE!N29,GDP_Simple!U43)</f>
        <v>0.33022222974356419</v>
      </c>
      <c r="O57" s="12">
        <f>IF($C$3="CGE",GDP_CGE!O29,GDP_Simple!V43)</f>
        <v>0.332708026046104</v>
      </c>
      <c r="P57" s="12">
        <f>IF($C$3="CGE",GDP_CGE!P29,GDP_Simple!W43)</f>
        <v>0.33507942725265366</v>
      </c>
      <c r="Q57" s="12">
        <f>IF($C$3="CGE",GDP_CGE!Q29,GDP_Simple!X43)</f>
        <v>0.33755833542625679</v>
      </c>
      <c r="R57" s="12">
        <f>IF($C$3="CGE",GDP_CGE!R29,GDP_Simple!Y43)</f>
        <v>0.34023069208670387</v>
      </c>
      <c r="S57" s="12">
        <f>IF($C$3="CGE",GDP_CGE!S29,GDP_Simple!Z43)</f>
        <v>0.34209365651908852</v>
      </c>
      <c r="T57" s="12">
        <f>IF($C$3="CGE",GDP_CGE!T29,GDP_Simple!AA43)</f>
        <v>0.34372879918296723</v>
      </c>
      <c r="U57" s="12">
        <f>IF($C$3="CGE",GDP_CGE!U29,GDP_Simple!AB43)</f>
        <v>0.34562071119418153</v>
      </c>
      <c r="V57" s="12">
        <f>IF($C$3="CGE",GDP_CGE!V29,GDP_Simple!AC43)</f>
        <v>0.34714667279971562</v>
      </c>
      <c r="W57" s="12">
        <f>IF($C$3="CGE",GDP_CGE!W29,GDP_Simple!AD43)</f>
        <v>0.34858040550949743</v>
      </c>
      <c r="X57" s="12">
        <f>IF($C$3="CGE",GDP_CGE!X29,GDP_Simple!AE43)</f>
        <v>0.35270038692008504</v>
      </c>
      <c r="Y57" s="12">
        <f>IF($C$3="CGE",GDP_CGE!Y29,GDP_Simple!AF43)</f>
        <v>0.35545402987661523</v>
      </c>
      <c r="Z57" s="12">
        <f>IF($C$3="CGE",GDP_CGE!Z29,GDP_Simple!AG43)</f>
        <v>0.35829684379142396</v>
      </c>
      <c r="AA57" s="12">
        <f>IF($C$3="CGE",GDP_CGE!AA29,GDP_Simple!AH43)</f>
        <v>0.36115445831596726</v>
      </c>
      <c r="AB57" s="12">
        <f>IF($C$3="CGE",GDP_CGE!AB29,GDP_Simple!AI43)</f>
        <v>0.36410706909886797</v>
      </c>
      <c r="AC57" s="12">
        <f>IF($C$3="CGE",GDP_CGE!AC29,GDP_Simple!AJ43)</f>
        <v>0.36699187756046936</v>
      </c>
      <c r="AD57" s="12">
        <f>IF($C$3="CGE",GDP_CGE!AD29,GDP_Simple!AK43)</f>
        <v>0.37022436051526397</v>
      </c>
      <c r="AE57" s="12">
        <f>IF($C$3="CGE",GDP_CGE!AE29,GDP_Simple!AL43)</f>
        <v>0.37358485092968469</v>
      </c>
      <c r="AF57" s="12">
        <f>IF($C$3="CGE",GDP_CGE!AF29,GDP_Simple!AM43)</f>
        <v>0.37697190484087623</v>
      </c>
      <c r="AG57" s="12">
        <f>IF($C$3="CGE",GDP_CGE!AG29,GDP_Simple!AN43)</f>
        <v>0.38027781250126996</v>
      </c>
      <c r="AH57" s="12">
        <f>IF($C$3="CGE",GDP_CGE!AH29,GDP_Simple!AO43)</f>
        <v>0.38282157629276181</v>
      </c>
      <c r="AI57" s="12">
        <f>IF($C$3="CGE",GDP_CGE!AI29,GDP_Simple!AP43)</f>
        <v>0.38601940369852006</v>
      </c>
      <c r="AJ57" s="12">
        <f>IF($C$3="CGE",GDP_CGE!AJ29,GDP_Simple!AQ43)</f>
        <v>0.38922258756347983</v>
      </c>
      <c r="AK57" s="12">
        <f>IF($C$3="CGE",GDP_CGE!AK29,GDP_Simple!AR43)</f>
        <v>0.3924274370969103</v>
      </c>
      <c r="AL57" s="12">
        <f>IF($C$3="CGE",GDP_CGE!AL29,GDP_Simple!AS43)</f>
        <v>0.39561454073212232</v>
      </c>
    </row>
    <row r="58" spans="1:89" x14ac:dyDescent="0.25">
      <c r="A58" s="3" t="s">
        <v>53</v>
      </c>
      <c r="B58" s="12">
        <f>IF($C$3="CGE",GDP_CGE!B30,GDP_Simple!I44)</f>
        <v>0.24058577405857742</v>
      </c>
      <c r="C58" s="12">
        <f>IF($C$3="CGE",GDP_CGE!C30,GDP_Simple!J44)</f>
        <v>0.21917808219178081</v>
      </c>
      <c r="D58" s="12">
        <f>IF($C$3="CGE",GDP_CGE!D30,GDP_Simple!K44)</f>
        <v>0.22836854073071305</v>
      </c>
      <c r="E58" s="12">
        <f>IF($C$3="CGE",GDP_CGE!E30,GDP_Simple!L44)</f>
        <v>0.23260951465124413</v>
      </c>
      <c r="F58" s="12">
        <f>IF($C$3="CGE",GDP_CGE!F30,GDP_Simple!M44)</f>
        <v>0.23306156373123887</v>
      </c>
      <c r="G58" s="12">
        <f>IF($C$3="CGE",GDP_CGE!G30,GDP_Simple!N44)</f>
        <v>0.23534868026928282</v>
      </c>
      <c r="H58" s="12">
        <f>IF($C$3="CGE",GDP_CGE!H30,GDP_Simple!O44)</f>
        <v>0.23771938771863979</v>
      </c>
      <c r="I58" s="12">
        <f>IF($C$3="CGE",GDP_CGE!I30,GDP_Simple!P44)</f>
        <v>0.2406871659716866</v>
      </c>
      <c r="J58" s="12">
        <f>IF($C$3="CGE",GDP_CGE!J30,GDP_Simple!Q44)</f>
        <v>0.24386136489015012</v>
      </c>
      <c r="K58" s="12">
        <f>IF($C$3="CGE",GDP_CGE!K30,GDP_Simple!R44)</f>
        <v>0.24725442114265897</v>
      </c>
      <c r="L58" s="12">
        <f>IF($C$3="CGE",GDP_CGE!L30,GDP_Simple!S44)</f>
        <v>0.25130449716923237</v>
      </c>
      <c r="M58" s="12">
        <f>IF($C$3="CGE",GDP_CGE!M30,GDP_Simple!T44)</f>
        <v>0.25567275040672227</v>
      </c>
      <c r="N58" s="12">
        <f>IF($C$3="CGE",GDP_CGE!N30,GDP_Simple!U44)</f>
        <v>0.26067891069615279</v>
      </c>
      <c r="O58" s="12">
        <f>IF($C$3="CGE",GDP_CGE!O30,GDP_Simple!V44)</f>
        <v>0.2654363238811176</v>
      </c>
      <c r="P58" s="12">
        <f>IF($C$3="CGE",GDP_CGE!P30,GDP_Simple!W44)</f>
        <v>0.27009641270071577</v>
      </c>
      <c r="Q58" s="12">
        <f>IF($C$3="CGE",GDP_CGE!Q30,GDP_Simple!X44)</f>
        <v>0.274992508344167</v>
      </c>
      <c r="R58" s="12">
        <f>IF($C$3="CGE",GDP_CGE!R30,GDP_Simple!Y44)</f>
        <v>0.27971006437363993</v>
      </c>
      <c r="S58" s="12">
        <f>IF($C$3="CGE",GDP_CGE!S30,GDP_Simple!Z44)</f>
        <v>0.28474187793217243</v>
      </c>
      <c r="T58" s="12">
        <f>IF($C$3="CGE",GDP_CGE!T30,GDP_Simple!AA44)</f>
        <v>0.29004544690779771</v>
      </c>
      <c r="U58" s="12">
        <f>IF($C$3="CGE",GDP_CGE!U30,GDP_Simple!AB44)</f>
        <v>0.29483313745416012</v>
      </c>
      <c r="V58" s="12">
        <f>IF($C$3="CGE",GDP_CGE!V30,GDP_Simple!AC44)</f>
        <v>0.29932918966087896</v>
      </c>
      <c r="W58" s="12">
        <f>IF($C$3="CGE",GDP_CGE!W30,GDP_Simple!AD44)</f>
        <v>0.30350962333848813</v>
      </c>
      <c r="X58" s="12">
        <f>IF($C$3="CGE",GDP_CGE!X30,GDP_Simple!AE44)</f>
        <v>0.30779971191274563</v>
      </c>
      <c r="Y58" s="12">
        <f>IF($C$3="CGE",GDP_CGE!Y30,GDP_Simple!AF44)</f>
        <v>0.31173024920326997</v>
      </c>
      <c r="Z58" s="12">
        <f>IF($C$3="CGE",GDP_CGE!Z30,GDP_Simple!AG44)</f>
        <v>0.31553687960479909</v>
      </c>
      <c r="AA58" s="12">
        <f>IF($C$3="CGE",GDP_CGE!AA30,GDP_Simple!AH44)</f>
        <v>0.31926088918659101</v>
      </c>
      <c r="AB58" s="12">
        <f>IF($C$3="CGE",GDP_CGE!AB30,GDP_Simple!AI44)</f>
        <v>0.32291202760758225</v>
      </c>
      <c r="AC58" s="12">
        <f>IF($C$3="CGE",GDP_CGE!AC30,GDP_Simple!AJ44)</f>
        <v>0.32671881116660184</v>
      </c>
      <c r="AD58" s="12">
        <f>IF($C$3="CGE",GDP_CGE!AD30,GDP_Simple!AK44)</f>
        <v>0.33022127515517696</v>
      </c>
      <c r="AE58" s="12">
        <f>IF($C$3="CGE",GDP_CGE!AE30,GDP_Simple!AL44)</f>
        <v>0.33368168994695541</v>
      </c>
      <c r="AF58" s="12">
        <f>IF($C$3="CGE",GDP_CGE!AF30,GDP_Simple!AM44)</f>
        <v>0.33718037136781914</v>
      </c>
      <c r="AG58" s="12">
        <f>IF($C$3="CGE",GDP_CGE!AG30,GDP_Simple!AN44)</f>
        <v>0.34066618404035093</v>
      </c>
      <c r="AH58" s="12">
        <f>IF($C$3="CGE",GDP_CGE!AH30,GDP_Simple!AO44)</f>
        <v>0.34461617883505102</v>
      </c>
      <c r="AI58" s="12">
        <f>IF($C$3="CGE",GDP_CGE!AI30,GDP_Simple!AP44)</f>
        <v>0.34816203426634384</v>
      </c>
      <c r="AJ58" s="12">
        <f>IF($C$3="CGE",GDP_CGE!AJ30,GDP_Simple!AQ44)</f>
        <v>0.35171994401947426</v>
      </c>
      <c r="AK58" s="12">
        <f>IF($C$3="CGE",GDP_CGE!AK30,GDP_Simple!AR44)</f>
        <v>0.3552873334433917</v>
      </c>
      <c r="AL58" s="12">
        <f>IF($C$3="CGE",GDP_CGE!AL30,GDP_Simple!AS44)</f>
        <v>0.35886254356437597</v>
      </c>
    </row>
    <row r="59" spans="1:89" x14ac:dyDescent="0.25">
      <c r="A59" s="3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1" spans="1:89" ht="18" thickBot="1" x14ac:dyDescent="0.35">
      <c r="A61" s="4" t="s">
        <v>66</v>
      </c>
      <c r="B61" s="4"/>
      <c r="C61" s="4"/>
      <c r="D61" s="4"/>
      <c r="E61" s="4"/>
      <c r="F61" s="4"/>
      <c r="G61" s="4"/>
      <c r="H61" s="4"/>
    </row>
    <row r="62" spans="1:89" ht="15.75" thickTop="1" x14ac:dyDescent="0.25">
      <c r="A62" s="3">
        <v>2019</v>
      </c>
      <c r="B62" s="3">
        <v>2020</v>
      </c>
      <c r="C62" s="3">
        <v>2021</v>
      </c>
      <c r="D62" s="3">
        <v>2022</v>
      </c>
      <c r="E62" s="3">
        <v>2023</v>
      </c>
      <c r="F62" s="3">
        <v>2024</v>
      </c>
      <c r="G62" s="3">
        <v>2025</v>
      </c>
      <c r="H62" s="3">
        <v>2026</v>
      </c>
      <c r="I62" s="3">
        <v>2027</v>
      </c>
      <c r="J62" s="3">
        <v>2028</v>
      </c>
      <c r="K62" s="3">
        <v>2029</v>
      </c>
      <c r="L62" s="3">
        <v>2030</v>
      </c>
      <c r="M62" s="3">
        <v>2031</v>
      </c>
      <c r="N62" s="3">
        <v>2032</v>
      </c>
      <c r="O62" s="3">
        <v>2033</v>
      </c>
      <c r="P62" s="3">
        <v>2034</v>
      </c>
      <c r="Q62" s="3">
        <v>2035</v>
      </c>
      <c r="R62" s="3">
        <v>2036</v>
      </c>
      <c r="S62">
        <v>2037</v>
      </c>
      <c r="T62">
        <v>2038</v>
      </c>
      <c r="U62">
        <v>2039</v>
      </c>
      <c r="V62">
        <v>2040</v>
      </c>
      <c r="W62">
        <v>2041</v>
      </c>
      <c r="X62">
        <v>2042</v>
      </c>
      <c r="Y62">
        <v>2043</v>
      </c>
      <c r="Z62">
        <v>2044</v>
      </c>
      <c r="AA62">
        <v>2045</v>
      </c>
      <c r="AB62">
        <v>2046</v>
      </c>
      <c r="AC62">
        <v>2047</v>
      </c>
      <c r="AD62">
        <v>2048</v>
      </c>
      <c r="AE62">
        <v>2049</v>
      </c>
      <c r="AF62">
        <v>2050</v>
      </c>
      <c r="AG62">
        <v>2051</v>
      </c>
      <c r="AH62">
        <v>2052</v>
      </c>
      <c r="AI62">
        <v>2053</v>
      </c>
      <c r="AJ62">
        <v>2054</v>
      </c>
      <c r="AK62">
        <v>2055</v>
      </c>
    </row>
    <row r="63" spans="1:89" x14ac:dyDescent="0.25">
      <c r="A63" s="12">
        <f>IF($C$3="CGE",GDP_CGE!A35,GDP_Simple!H49)</f>
        <v>0.18167314246136571</v>
      </c>
      <c r="B63" s="12">
        <f>IF($C$3="CGE",GDP_CGE!B35,GDP_Simple!I49)</f>
        <v>0.16892809890264981</v>
      </c>
      <c r="C63" s="12">
        <f>IF($C$3="CGE",GDP_CGE!C35,GDP_Simple!J49)</f>
        <v>0.15613432750489573</v>
      </c>
      <c r="D63" s="12">
        <f>IF($C$3="CGE",GDP_CGE!D35,GDP_Simple!K49)</f>
        <v>0.14334055610714164</v>
      </c>
      <c r="E63" s="12">
        <f>IF($C$3="CGE",GDP_CGE!E35,GDP_Simple!L49)</f>
        <v>0.14415910574012319</v>
      </c>
      <c r="F63" s="12">
        <f>IF($C$3="CGE",GDP_CGE!F35,GDP_Simple!M49)</f>
        <v>0.14459770604213562</v>
      </c>
      <c r="G63" s="12">
        <f>IF($C$3="CGE",GDP_CGE!G35,GDP_Simple!N49)</f>
        <v>0.14398192961433681</v>
      </c>
      <c r="H63" s="12">
        <f>IF($C$3="CGE",GDP_CGE!H35,GDP_Simple!O49)</f>
        <v>0.14326249757575393</v>
      </c>
      <c r="I63" s="12">
        <f>IF($C$3="CGE",GDP_CGE!I35,GDP_Simple!P49)</f>
        <v>0.14612736512295083</v>
      </c>
      <c r="J63" s="12">
        <f>IF($C$3="CGE",GDP_CGE!J35,GDP_Simple!Q49)</f>
        <v>0.14904514723744558</v>
      </c>
      <c r="K63" s="12">
        <f>IF($C$3="CGE",GDP_CGE!K35,GDP_Simple!R49)</f>
        <v>0.15223161511799549</v>
      </c>
      <c r="L63" s="12">
        <f>IF($C$3="CGE",GDP_CGE!L35,GDP_Simple!S49)</f>
        <v>0.15644310855132851</v>
      </c>
      <c r="M63" s="12">
        <f>IF($C$3="CGE",GDP_CGE!M35,GDP_Simple!T49)</f>
        <v>0.16090437107863884</v>
      </c>
      <c r="N63" s="12">
        <f>IF($C$3="CGE",GDP_CGE!N35,GDP_Simple!U49)</f>
        <v>0.16529199994324537</v>
      </c>
      <c r="O63" s="12">
        <f>IF($C$3="CGE",GDP_CGE!O35,GDP_Simple!V49)</f>
        <v>0.16995252905247152</v>
      </c>
      <c r="P63" s="12">
        <f>IF($C$3="CGE",GDP_CGE!P35,GDP_Simple!W49)</f>
        <v>0.17489535524374972</v>
      </c>
      <c r="Q63" s="12">
        <f>IF($C$3="CGE",GDP_CGE!Q35,GDP_Simple!X49)</f>
        <v>0.17944806868465973</v>
      </c>
      <c r="R63" s="12">
        <f>IF($C$3="CGE",GDP_CGE!R35,GDP_Simple!Y49)</f>
        <v>0.1524517633054647</v>
      </c>
      <c r="S63" s="12">
        <f>IF($C$3="CGE",GDP_CGE!S35,GDP_Simple!Z49)</f>
        <v>0.15715090257076475</v>
      </c>
      <c r="T63" s="12">
        <f>IF($C$3="CGE",GDP_CGE!T35,GDP_Simple!AA49)</f>
        <v>0.16213933664819744</v>
      </c>
      <c r="U63" s="12">
        <f>IF($C$3="CGE",GDP_CGE!U35,GDP_Simple!AB49)</f>
        <v>0.16635650215298706</v>
      </c>
      <c r="V63" s="12">
        <f>IF($C$3="CGE",GDP_CGE!V35,GDP_Simple!AC49)</f>
        <v>0.1714527737382649</v>
      </c>
      <c r="W63" s="12">
        <f>IF($C$3="CGE",GDP_CGE!W35,GDP_Simple!AD49)</f>
        <v>0.1764114477309939</v>
      </c>
      <c r="X63" s="12">
        <f>IF($C$3="CGE",GDP_CGE!X35,GDP_Simple!AE49)</f>
        <v>0.18137012172372291</v>
      </c>
      <c r="Y63" s="12">
        <f>IF($C$3="CGE",GDP_CGE!Y35,GDP_Simple!AF49)</f>
        <v>0.18632879571645192</v>
      </c>
      <c r="Z63" s="12">
        <f>IF($C$3="CGE",GDP_CGE!Z35,GDP_Simple!AG49)</f>
        <v>0.19128746970918092</v>
      </c>
      <c r="AA63" s="12">
        <f>IF($C$3="CGE",GDP_CGE!AA35,GDP_Simple!AH49)</f>
        <v>0.19624614370190996</v>
      </c>
      <c r="AB63" s="12">
        <f>IF($C$3="CGE",GDP_CGE!AB35,GDP_Simple!AI49)</f>
        <v>0.19659583439587744</v>
      </c>
      <c r="AC63" s="12">
        <f>IF($C$3="CGE",GDP_CGE!AC35,GDP_Simple!AJ49)</f>
        <v>0.19694552508984492</v>
      </c>
      <c r="AD63" s="12">
        <f>IF($C$3="CGE",GDP_CGE!AD35,GDP_Simple!AK49)</f>
        <v>0.1972952157838124</v>
      </c>
      <c r="AE63" s="12">
        <f>IF($C$3="CGE",GDP_CGE!AE35,GDP_Simple!AL49)</f>
        <v>0.19764490647777988</v>
      </c>
      <c r="AF63" s="12">
        <f>IF($C$3="CGE",GDP_CGE!AF35,GDP_Simple!AM49)</f>
        <v>0.19799459717174742</v>
      </c>
      <c r="AG63" s="12">
        <f>IF($C$3="CGE",GDP_CGE!AG35,GDP_Simple!AN49)</f>
        <v>0.20495400967650226</v>
      </c>
      <c r="AH63" s="12">
        <f>IF($C$3="CGE",GDP_CGE!AH35,GDP_Simple!AO49)</f>
        <v>0.21191342218125711</v>
      </c>
      <c r="AI63" s="12">
        <f>IF($C$3="CGE",GDP_CGE!AI35,GDP_Simple!AP49)</f>
        <v>0.21887283468601196</v>
      </c>
      <c r="AJ63" s="12">
        <f>IF($C$3="CGE",GDP_CGE!AJ35,GDP_Simple!AQ49)</f>
        <v>0.2258322471907668</v>
      </c>
      <c r="AK63" s="12">
        <f>IF($C$3="CGE",GDP_CGE!AK35,GDP_Simple!AR49)</f>
        <v>0.23279165969552171</v>
      </c>
      <c r="AN63" s="12"/>
    </row>
    <row r="66" spans="1:42" ht="18" thickBot="1" x14ac:dyDescent="0.35">
      <c r="A66" s="4" t="s">
        <v>67</v>
      </c>
      <c r="B66" s="4"/>
      <c r="C66" s="4"/>
      <c r="D66" s="4"/>
      <c r="E66" s="4"/>
      <c r="F66" s="4"/>
      <c r="G66" s="4"/>
      <c r="H66" s="4"/>
    </row>
    <row r="67" spans="1:42" ht="15.75" thickTop="1" x14ac:dyDescent="0.25">
      <c r="C67" s="3">
        <v>2019</v>
      </c>
      <c r="D67" s="3">
        <v>2020</v>
      </c>
      <c r="E67" s="3">
        <v>2021</v>
      </c>
      <c r="F67" s="3">
        <v>2022</v>
      </c>
      <c r="G67" s="3">
        <v>2023</v>
      </c>
      <c r="H67" s="3">
        <v>2024</v>
      </c>
      <c r="I67" s="3">
        <v>2025</v>
      </c>
      <c r="J67" s="3">
        <v>2026</v>
      </c>
      <c r="K67" s="3">
        <v>2027</v>
      </c>
      <c r="L67" s="3">
        <v>2028</v>
      </c>
      <c r="M67" s="3">
        <v>2029</v>
      </c>
      <c r="N67" s="3">
        <v>2030</v>
      </c>
      <c r="O67" s="3">
        <v>2031</v>
      </c>
      <c r="P67" s="3">
        <v>2032</v>
      </c>
      <c r="Q67" s="3">
        <v>2033</v>
      </c>
      <c r="R67" s="3">
        <v>2034</v>
      </c>
      <c r="S67" s="3">
        <v>2035</v>
      </c>
      <c r="T67" s="3">
        <v>2036</v>
      </c>
      <c r="U67" s="3">
        <v>2037</v>
      </c>
      <c r="V67" s="3">
        <v>2038</v>
      </c>
      <c r="W67" s="3">
        <v>2039</v>
      </c>
      <c r="X67" s="3">
        <v>2040</v>
      </c>
      <c r="Y67" s="3">
        <v>2041</v>
      </c>
      <c r="Z67" s="3">
        <v>2042</v>
      </c>
      <c r="AA67" s="3">
        <v>2043</v>
      </c>
      <c r="AB67" s="3">
        <v>2044</v>
      </c>
      <c r="AC67" s="3">
        <v>2045</v>
      </c>
      <c r="AD67" s="3">
        <v>2046</v>
      </c>
      <c r="AE67" s="3">
        <v>2047</v>
      </c>
      <c r="AF67" s="3">
        <v>2048</v>
      </c>
      <c r="AG67" s="3">
        <v>2049</v>
      </c>
      <c r="AH67" s="3">
        <v>2050</v>
      </c>
      <c r="AI67" s="3">
        <v>2051</v>
      </c>
      <c r="AJ67" s="3">
        <v>2052</v>
      </c>
      <c r="AK67" s="3">
        <v>2053</v>
      </c>
      <c r="AL67" s="3">
        <v>2054</v>
      </c>
      <c r="AM67" s="3">
        <v>2055</v>
      </c>
      <c r="AN67" s="3"/>
      <c r="AO67" s="3"/>
      <c r="AP67" s="3"/>
    </row>
    <row r="68" spans="1:42" x14ac:dyDescent="0.25">
      <c r="A68" s="3" t="s">
        <v>51</v>
      </c>
      <c r="B68" s="3" t="s">
        <v>54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  <c r="AD68" t="s">
        <v>55</v>
      </c>
      <c r="AE68" t="s">
        <v>55</v>
      </c>
      <c r="AF68" t="s">
        <v>55</v>
      </c>
      <c r="AG68" t="s">
        <v>55</v>
      </c>
      <c r="AH68" t="s">
        <v>55</v>
      </c>
      <c r="AI68" t="s">
        <v>55</v>
      </c>
      <c r="AJ68" t="s">
        <v>55</v>
      </c>
      <c r="AK68" t="s">
        <v>55</v>
      </c>
      <c r="AL68" t="s">
        <v>55</v>
      </c>
      <c r="AM68" t="s">
        <v>55</v>
      </c>
    </row>
    <row r="69" spans="1:42" x14ac:dyDescent="0.25">
      <c r="A69" s="3" t="s">
        <v>51</v>
      </c>
      <c r="B69" s="3" t="s">
        <v>56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  <c r="S69" t="s">
        <v>55</v>
      </c>
      <c r="T69" t="s">
        <v>55</v>
      </c>
      <c r="U69" t="s">
        <v>55</v>
      </c>
      <c r="V69" t="s">
        <v>55</v>
      </c>
      <c r="W69" t="s">
        <v>55</v>
      </c>
      <c r="X69" t="s">
        <v>55</v>
      </c>
      <c r="Y69" t="s">
        <v>55</v>
      </c>
      <c r="Z69" t="s">
        <v>55</v>
      </c>
      <c r="AA69" t="s">
        <v>55</v>
      </c>
      <c r="AB69" t="s">
        <v>55</v>
      </c>
      <c r="AC69" t="s">
        <v>55</v>
      </c>
    </row>
    <row r="70" spans="1:42" x14ac:dyDescent="0.25">
      <c r="A70" s="3" t="s">
        <v>51</v>
      </c>
      <c r="B70" s="3" t="s">
        <v>57</v>
      </c>
      <c r="C70" t="s">
        <v>55</v>
      </c>
      <c r="D70" t="s">
        <v>55</v>
      </c>
      <c r="E70" t="s">
        <v>55</v>
      </c>
      <c r="F70" t="s">
        <v>55</v>
      </c>
      <c r="G70" t="s">
        <v>55</v>
      </c>
      <c r="H70" t="s">
        <v>55</v>
      </c>
      <c r="I70" t="s">
        <v>55</v>
      </c>
      <c r="J70" t="s">
        <v>55</v>
      </c>
      <c r="K70" t="s">
        <v>55</v>
      </c>
      <c r="L70" t="s">
        <v>55</v>
      </c>
      <c r="M70" t="s">
        <v>55</v>
      </c>
      <c r="N70" t="s">
        <v>55</v>
      </c>
      <c r="O70" t="s">
        <v>55</v>
      </c>
      <c r="P70" t="s">
        <v>55</v>
      </c>
      <c r="Q70" t="s">
        <v>55</v>
      </c>
      <c r="R70" t="s">
        <v>55</v>
      </c>
      <c r="S70" t="s">
        <v>55</v>
      </c>
    </row>
    <row r="71" spans="1:42" x14ac:dyDescent="0.25">
      <c r="A71" s="3" t="s">
        <v>51</v>
      </c>
      <c r="B71" s="3" t="s">
        <v>58</v>
      </c>
      <c r="C71" t="s">
        <v>55</v>
      </c>
      <c r="D71" t="s">
        <v>55</v>
      </c>
      <c r="E71" t="s">
        <v>55</v>
      </c>
      <c r="F71" t="s">
        <v>55</v>
      </c>
      <c r="G71" t="s">
        <v>55</v>
      </c>
      <c r="H71" t="s">
        <v>55</v>
      </c>
      <c r="I71" t="s">
        <v>55</v>
      </c>
      <c r="J71" t="s">
        <v>55</v>
      </c>
      <c r="K71" t="s">
        <v>55</v>
      </c>
      <c r="L71" t="s">
        <v>55</v>
      </c>
    </row>
    <row r="72" spans="1:42" x14ac:dyDescent="0.25">
      <c r="A72" s="3" t="s">
        <v>51</v>
      </c>
      <c r="B72" s="3" t="s">
        <v>59</v>
      </c>
      <c r="C72" t="s">
        <v>55</v>
      </c>
      <c r="D72" t="s">
        <v>55</v>
      </c>
    </row>
    <row r="73" spans="1:42" x14ac:dyDescent="0.25">
      <c r="A73" s="3" t="s">
        <v>52</v>
      </c>
      <c r="B73" s="3" t="s">
        <v>56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  <c r="AI73" t="s">
        <v>55</v>
      </c>
      <c r="AJ73" t="s">
        <v>55</v>
      </c>
      <c r="AK73" t="s">
        <v>55</v>
      </c>
      <c r="AL73" t="s">
        <v>55</v>
      </c>
      <c r="AM73" t="s">
        <v>55</v>
      </c>
    </row>
    <row r="74" spans="1:42" x14ac:dyDescent="0.25">
      <c r="A74" s="3" t="s">
        <v>52</v>
      </c>
      <c r="B74" s="3" t="s">
        <v>57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  <c r="AI74" t="s">
        <v>55</v>
      </c>
      <c r="AJ74" t="s">
        <v>55</v>
      </c>
      <c r="AK74" t="s">
        <v>55</v>
      </c>
      <c r="AL74" t="s">
        <v>55</v>
      </c>
      <c r="AM74" t="s">
        <v>55</v>
      </c>
    </row>
    <row r="75" spans="1:42" x14ac:dyDescent="0.25">
      <c r="A75" s="3" t="s">
        <v>52</v>
      </c>
      <c r="B75" s="3" t="s">
        <v>58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  <c r="Y75" t="s">
        <v>55</v>
      </c>
      <c r="Z75" t="s">
        <v>55</v>
      </c>
      <c r="AA75" t="s">
        <v>55</v>
      </c>
      <c r="AB75" t="s">
        <v>55</v>
      </c>
      <c r="AC75" t="s">
        <v>55</v>
      </c>
      <c r="AD75" t="s">
        <v>55</v>
      </c>
      <c r="AE75" t="s">
        <v>55</v>
      </c>
      <c r="AF75" t="s">
        <v>55</v>
      </c>
      <c r="AG75" t="s">
        <v>55</v>
      </c>
      <c r="AH75" t="s">
        <v>55</v>
      </c>
      <c r="AI75" t="s">
        <v>55</v>
      </c>
      <c r="AJ75" t="s">
        <v>55</v>
      </c>
      <c r="AK75" t="s">
        <v>55</v>
      </c>
      <c r="AL75" t="s">
        <v>55</v>
      </c>
      <c r="AM75" t="s">
        <v>55</v>
      </c>
    </row>
    <row r="76" spans="1:42" x14ac:dyDescent="0.25">
      <c r="A76" s="3" t="s">
        <v>52</v>
      </c>
      <c r="B76" s="3" t="s">
        <v>59</v>
      </c>
      <c r="E76" t="s">
        <v>55</v>
      </c>
      <c r="F76" t="s">
        <v>55</v>
      </c>
      <c r="G76" t="s">
        <v>55</v>
      </c>
      <c r="H76" t="s">
        <v>55</v>
      </c>
      <c r="I76" t="s">
        <v>55</v>
      </c>
      <c r="J76" t="s">
        <v>55</v>
      </c>
      <c r="K76" t="s">
        <v>55</v>
      </c>
      <c r="L76" t="s">
        <v>55</v>
      </c>
      <c r="M76" t="s">
        <v>55</v>
      </c>
      <c r="N76" t="s">
        <v>55</v>
      </c>
      <c r="O76" t="s">
        <v>55</v>
      </c>
      <c r="P76" t="s">
        <v>55</v>
      </c>
      <c r="Q76" t="s">
        <v>55</v>
      </c>
      <c r="R76" t="s">
        <v>55</v>
      </c>
      <c r="S76" t="s">
        <v>55</v>
      </c>
      <c r="T76" t="s">
        <v>55</v>
      </c>
      <c r="U76" t="s">
        <v>55</v>
      </c>
      <c r="V76" t="s">
        <v>55</v>
      </c>
      <c r="W76" t="s">
        <v>55</v>
      </c>
      <c r="X76" t="s">
        <v>55</v>
      </c>
      <c r="Y76" t="s">
        <v>55</v>
      </c>
      <c r="Z76" t="s">
        <v>55</v>
      </c>
      <c r="AA76" t="s">
        <v>55</v>
      </c>
      <c r="AB76" t="s">
        <v>55</v>
      </c>
      <c r="AC76" t="s">
        <v>55</v>
      </c>
      <c r="AD76" t="s">
        <v>55</v>
      </c>
      <c r="AE76" t="s">
        <v>55</v>
      </c>
      <c r="AF76" t="s">
        <v>55</v>
      </c>
      <c r="AG76" t="s">
        <v>55</v>
      </c>
      <c r="AH76" t="s">
        <v>55</v>
      </c>
      <c r="AI76" t="s">
        <v>55</v>
      </c>
      <c r="AJ76" t="s">
        <v>55</v>
      </c>
      <c r="AK76" t="s">
        <v>55</v>
      </c>
      <c r="AL76" t="s">
        <v>55</v>
      </c>
      <c r="AM76" t="s">
        <v>55</v>
      </c>
    </row>
    <row r="77" spans="1:42" x14ac:dyDescent="0.25">
      <c r="A77" s="3" t="s">
        <v>52</v>
      </c>
      <c r="B77" s="3" t="s">
        <v>60</v>
      </c>
      <c r="C77" t="s">
        <v>55</v>
      </c>
      <c r="D77" t="s">
        <v>55</v>
      </c>
      <c r="E77" t="s">
        <v>55</v>
      </c>
      <c r="F77" t="s">
        <v>55</v>
      </c>
      <c r="G77" t="s">
        <v>55</v>
      </c>
      <c r="H77" t="s">
        <v>55</v>
      </c>
      <c r="I77" t="s">
        <v>55</v>
      </c>
      <c r="J77" t="s">
        <v>55</v>
      </c>
      <c r="K77" t="s">
        <v>55</v>
      </c>
      <c r="L77" t="s">
        <v>55</v>
      </c>
      <c r="M77" t="s">
        <v>55</v>
      </c>
      <c r="N77" t="s">
        <v>55</v>
      </c>
      <c r="O77" t="s">
        <v>55</v>
      </c>
      <c r="P77" t="s">
        <v>55</v>
      </c>
      <c r="Q77" t="s">
        <v>55</v>
      </c>
      <c r="R77" t="s">
        <v>55</v>
      </c>
      <c r="S77" t="s">
        <v>55</v>
      </c>
      <c r="T77" t="s">
        <v>55</v>
      </c>
      <c r="U77" t="s">
        <v>55</v>
      </c>
      <c r="V77" t="s">
        <v>55</v>
      </c>
      <c r="W77" t="s">
        <v>55</v>
      </c>
      <c r="X77" t="s">
        <v>55</v>
      </c>
      <c r="Y77" t="s">
        <v>55</v>
      </c>
    </row>
    <row r="78" spans="1:42" x14ac:dyDescent="0.25">
      <c r="A78" s="3" t="s">
        <v>52</v>
      </c>
      <c r="B78" s="3" t="s">
        <v>61</v>
      </c>
      <c r="C78" t="s">
        <v>55</v>
      </c>
      <c r="D78" t="s">
        <v>55</v>
      </c>
      <c r="E78" t="s">
        <v>55</v>
      </c>
      <c r="F78" t="s">
        <v>55</v>
      </c>
      <c r="G78" t="s">
        <v>55</v>
      </c>
      <c r="H78" t="s">
        <v>55</v>
      </c>
      <c r="I78" t="s">
        <v>55</v>
      </c>
      <c r="J78" t="s">
        <v>55</v>
      </c>
      <c r="K78" t="s">
        <v>55</v>
      </c>
      <c r="L78" t="s">
        <v>55</v>
      </c>
      <c r="M78" t="s">
        <v>55</v>
      </c>
      <c r="N78" t="s">
        <v>55</v>
      </c>
    </row>
    <row r="79" spans="1:42" x14ac:dyDescent="0.25">
      <c r="A79" s="3" t="s">
        <v>52</v>
      </c>
      <c r="B79" s="3" t="s">
        <v>62</v>
      </c>
      <c r="C79" t="s">
        <v>55</v>
      </c>
      <c r="D79" t="s">
        <v>55</v>
      </c>
    </row>
    <row r="80" spans="1:42" x14ac:dyDescent="0.25">
      <c r="A80" s="3" t="s">
        <v>53</v>
      </c>
      <c r="B80" s="3" t="s">
        <v>60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  <c r="AI80" t="s">
        <v>55</v>
      </c>
      <c r="AJ80" t="s">
        <v>55</v>
      </c>
      <c r="AK80" t="s">
        <v>55</v>
      </c>
      <c r="AL80" t="s">
        <v>55</v>
      </c>
      <c r="AM80" t="s">
        <v>55</v>
      </c>
    </row>
    <row r="81" spans="1:40" x14ac:dyDescent="0.25">
      <c r="A81" s="3" t="s">
        <v>53</v>
      </c>
      <c r="B81" s="3" t="s">
        <v>61</v>
      </c>
      <c r="O81" t="s">
        <v>55</v>
      </c>
      <c r="P81" t="s">
        <v>55</v>
      </c>
      <c r="Q81" t="s">
        <v>55</v>
      </c>
      <c r="R81" t="s">
        <v>55</v>
      </c>
      <c r="S81" t="s">
        <v>55</v>
      </c>
      <c r="T81" t="s">
        <v>55</v>
      </c>
      <c r="U81" t="s">
        <v>55</v>
      </c>
      <c r="V81" t="s">
        <v>55</v>
      </c>
      <c r="W81" t="s">
        <v>55</v>
      </c>
      <c r="X81" t="s">
        <v>55</v>
      </c>
      <c r="Y81" t="s">
        <v>55</v>
      </c>
      <c r="Z81" t="s">
        <v>55</v>
      </c>
      <c r="AA81" t="s">
        <v>55</v>
      </c>
      <c r="AB81" t="s">
        <v>55</v>
      </c>
      <c r="AC81" t="s">
        <v>55</v>
      </c>
      <c r="AD81" t="s">
        <v>55</v>
      </c>
      <c r="AE81" t="s">
        <v>55</v>
      </c>
      <c r="AF81" t="s">
        <v>55</v>
      </c>
      <c r="AG81" t="s">
        <v>55</v>
      </c>
      <c r="AH81" t="s">
        <v>55</v>
      </c>
      <c r="AI81" t="s">
        <v>55</v>
      </c>
      <c r="AJ81" t="s">
        <v>55</v>
      </c>
      <c r="AK81" t="s">
        <v>55</v>
      </c>
      <c r="AL81" t="s">
        <v>55</v>
      </c>
      <c r="AM81" t="s">
        <v>55</v>
      </c>
    </row>
    <row r="82" spans="1:40" x14ac:dyDescent="0.25">
      <c r="A82" s="3" t="s">
        <v>53</v>
      </c>
      <c r="B82" s="3" t="s">
        <v>62</v>
      </c>
      <c r="E82" t="s">
        <v>55</v>
      </c>
      <c r="F82" t="s">
        <v>55</v>
      </c>
      <c r="G82" t="s">
        <v>55</v>
      </c>
      <c r="H82" t="s">
        <v>55</v>
      </c>
      <c r="I82" t="s">
        <v>55</v>
      </c>
      <c r="J82" t="s">
        <v>55</v>
      </c>
      <c r="K82" t="s">
        <v>55</v>
      </c>
      <c r="L82" t="s">
        <v>55</v>
      </c>
      <c r="M82" t="s">
        <v>55</v>
      </c>
      <c r="N82" t="s">
        <v>55</v>
      </c>
      <c r="O82" t="s">
        <v>55</v>
      </c>
      <c r="P82" t="s">
        <v>55</v>
      </c>
      <c r="Q82" t="s">
        <v>55</v>
      </c>
      <c r="R82" t="s">
        <v>55</v>
      </c>
      <c r="S82" t="s">
        <v>55</v>
      </c>
      <c r="T82" t="s">
        <v>55</v>
      </c>
      <c r="U82" t="s">
        <v>55</v>
      </c>
      <c r="V82" t="s">
        <v>55</v>
      </c>
      <c r="W82" t="s">
        <v>55</v>
      </c>
      <c r="X82" t="s">
        <v>55</v>
      </c>
      <c r="Y82" t="s">
        <v>55</v>
      </c>
      <c r="Z82" t="s">
        <v>55</v>
      </c>
      <c r="AA82" t="s">
        <v>55</v>
      </c>
      <c r="AB82" t="s">
        <v>55</v>
      </c>
      <c r="AC82" t="s">
        <v>55</v>
      </c>
      <c r="AD82" t="s">
        <v>55</v>
      </c>
      <c r="AE82" t="s">
        <v>55</v>
      </c>
      <c r="AF82" t="s">
        <v>55</v>
      </c>
      <c r="AG82" t="s">
        <v>55</v>
      </c>
      <c r="AH82" t="s">
        <v>55</v>
      </c>
      <c r="AI82" t="s">
        <v>55</v>
      </c>
      <c r="AJ82" t="s">
        <v>55</v>
      </c>
      <c r="AK82" t="s">
        <v>55</v>
      </c>
      <c r="AL82" t="s">
        <v>55</v>
      </c>
      <c r="AM82" t="s">
        <v>55</v>
      </c>
    </row>
    <row r="83" spans="1:40" x14ac:dyDescent="0.25">
      <c r="A83" t="s">
        <v>53</v>
      </c>
      <c r="B83" t="s">
        <v>63</v>
      </c>
      <c r="C83" t="s">
        <v>55</v>
      </c>
      <c r="D83" t="s">
        <v>55</v>
      </c>
      <c r="E83" t="s">
        <v>55</v>
      </c>
      <c r="F83" t="s">
        <v>55</v>
      </c>
      <c r="G83" t="s">
        <v>55</v>
      </c>
      <c r="H83" t="s">
        <v>55</v>
      </c>
      <c r="I83" t="s">
        <v>55</v>
      </c>
      <c r="J83" t="s">
        <v>55</v>
      </c>
      <c r="K83" t="s">
        <v>55</v>
      </c>
      <c r="L83" t="s">
        <v>55</v>
      </c>
      <c r="M83" t="s">
        <v>55</v>
      </c>
      <c r="N83" t="s">
        <v>55</v>
      </c>
      <c r="O83" t="s">
        <v>55</v>
      </c>
      <c r="P83" t="s">
        <v>55</v>
      </c>
      <c r="Q83" t="s">
        <v>55</v>
      </c>
      <c r="R83" t="s">
        <v>55</v>
      </c>
      <c r="S83" t="s">
        <v>55</v>
      </c>
      <c r="T83" t="s">
        <v>55</v>
      </c>
      <c r="U83" t="s">
        <v>55</v>
      </c>
      <c r="V83" t="s">
        <v>55</v>
      </c>
      <c r="W83" t="s">
        <v>55</v>
      </c>
      <c r="X83" t="s">
        <v>55</v>
      </c>
      <c r="Y83" t="s">
        <v>55</v>
      </c>
      <c r="Z83" t="s">
        <v>55</v>
      </c>
      <c r="AA83" t="s">
        <v>55</v>
      </c>
      <c r="AB83" t="s">
        <v>55</v>
      </c>
      <c r="AC83" t="s">
        <v>55</v>
      </c>
      <c r="AD83" t="s">
        <v>55</v>
      </c>
      <c r="AE83" t="s">
        <v>55</v>
      </c>
      <c r="AF83" t="s">
        <v>55</v>
      </c>
      <c r="AG83" t="s">
        <v>55</v>
      </c>
      <c r="AH83" t="s">
        <v>55</v>
      </c>
      <c r="AI83" t="s">
        <v>55</v>
      </c>
      <c r="AJ83" t="s">
        <v>55</v>
      </c>
      <c r="AK83" t="s">
        <v>55</v>
      </c>
      <c r="AL83" t="s">
        <v>55</v>
      </c>
      <c r="AM83" t="s">
        <v>55</v>
      </c>
    </row>
    <row r="84" spans="1:40" x14ac:dyDescent="0.25">
      <c r="A84" t="s">
        <v>53</v>
      </c>
      <c r="B84" t="s">
        <v>64</v>
      </c>
      <c r="C84" t="s">
        <v>55</v>
      </c>
      <c r="D84" t="s">
        <v>55</v>
      </c>
      <c r="E84" t="s">
        <v>55</v>
      </c>
      <c r="F84" t="s">
        <v>55</v>
      </c>
      <c r="G84" t="s">
        <v>55</v>
      </c>
      <c r="H84" t="s">
        <v>55</v>
      </c>
      <c r="I84" t="s">
        <v>55</v>
      </c>
      <c r="J84" t="s">
        <v>55</v>
      </c>
      <c r="K84" t="s">
        <v>55</v>
      </c>
      <c r="L84" t="s">
        <v>55</v>
      </c>
      <c r="M84" t="s">
        <v>55</v>
      </c>
      <c r="N84" t="s">
        <v>55</v>
      </c>
      <c r="O84" t="s">
        <v>55</v>
      </c>
      <c r="P84" t="s">
        <v>55</v>
      </c>
      <c r="Q84" t="s">
        <v>55</v>
      </c>
      <c r="R84" t="s">
        <v>55</v>
      </c>
      <c r="S84" t="s">
        <v>55</v>
      </c>
      <c r="T84" t="s">
        <v>55</v>
      </c>
      <c r="U84" t="s">
        <v>55</v>
      </c>
      <c r="V84" t="s">
        <v>55</v>
      </c>
      <c r="W84" t="s">
        <v>55</v>
      </c>
      <c r="X84" t="s">
        <v>55</v>
      </c>
      <c r="Y84" t="s">
        <v>55</v>
      </c>
      <c r="Z84" t="s">
        <v>55</v>
      </c>
      <c r="AA84" t="s">
        <v>55</v>
      </c>
      <c r="AB84" t="s">
        <v>55</v>
      </c>
      <c r="AC84" t="s">
        <v>55</v>
      </c>
      <c r="AD84" t="s">
        <v>55</v>
      </c>
      <c r="AE84" t="s">
        <v>55</v>
      </c>
      <c r="AF84" t="s">
        <v>55</v>
      </c>
      <c r="AG84" t="s">
        <v>55</v>
      </c>
      <c r="AH84" t="s">
        <v>55</v>
      </c>
      <c r="AI84" t="s">
        <v>55</v>
      </c>
      <c r="AJ84" t="s">
        <v>55</v>
      </c>
      <c r="AK84" t="s">
        <v>55</v>
      </c>
      <c r="AL84" t="s">
        <v>55</v>
      </c>
      <c r="AM84" t="s">
        <v>55</v>
      </c>
    </row>
    <row r="85" spans="1:40" ht="18" thickBot="1" x14ac:dyDescent="0.35">
      <c r="A85" s="4" t="s">
        <v>179</v>
      </c>
      <c r="B85" s="4"/>
      <c r="C85" s="4"/>
      <c r="D85" s="4"/>
      <c r="E85" s="4"/>
      <c r="F85" s="4"/>
      <c r="G85" s="4"/>
      <c r="H85" s="4"/>
    </row>
    <row r="86" spans="1:40" ht="15.75" thickTop="1" x14ac:dyDescent="0.25">
      <c r="B86">
        <v>2019</v>
      </c>
      <c r="C86">
        <v>2020</v>
      </c>
      <c r="D86">
        <v>2021</v>
      </c>
      <c r="E86">
        <v>2022</v>
      </c>
      <c r="F86">
        <v>2023</v>
      </c>
      <c r="G86">
        <v>2024</v>
      </c>
      <c r="H86">
        <v>2025</v>
      </c>
      <c r="I86">
        <v>2026</v>
      </c>
      <c r="J86">
        <v>2027</v>
      </c>
      <c r="K86">
        <v>2028</v>
      </c>
      <c r="L86">
        <v>2029</v>
      </c>
      <c r="M86">
        <v>2030</v>
      </c>
      <c r="N86">
        <v>2031</v>
      </c>
      <c r="O86">
        <v>2032</v>
      </c>
      <c r="P86">
        <v>2033</v>
      </c>
      <c r="Q86">
        <v>2034</v>
      </c>
      <c r="R86">
        <v>2035</v>
      </c>
      <c r="S86">
        <v>2036</v>
      </c>
      <c r="T86">
        <v>2037</v>
      </c>
      <c r="U86">
        <v>2038</v>
      </c>
      <c r="V86">
        <v>2039</v>
      </c>
      <c r="W86">
        <v>2040</v>
      </c>
      <c r="X86">
        <v>2041</v>
      </c>
      <c r="Y86">
        <v>2042</v>
      </c>
      <c r="Z86">
        <v>2043</v>
      </c>
      <c r="AA86">
        <v>2044</v>
      </c>
      <c r="AB86">
        <v>2045</v>
      </c>
      <c r="AC86">
        <v>2046</v>
      </c>
      <c r="AD86">
        <v>2047</v>
      </c>
      <c r="AE86">
        <v>2048</v>
      </c>
      <c r="AF86">
        <v>2049</v>
      </c>
      <c r="AG86">
        <v>2050</v>
      </c>
      <c r="AH86">
        <v>2051</v>
      </c>
      <c r="AI86">
        <v>2052</v>
      </c>
      <c r="AJ86">
        <v>2053</v>
      </c>
      <c r="AK86">
        <v>2054</v>
      </c>
      <c r="AL86">
        <v>2055</v>
      </c>
    </row>
    <row r="87" spans="1:40" x14ac:dyDescent="0.25">
      <c r="A87" t="s">
        <v>29</v>
      </c>
      <c r="B87">
        <v>118.318</v>
      </c>
      <c r="C87">
        <v>107.464</v>
      </c>
      <c r="D87">
        <v>109.577</v>
      </c>
      <c r="E87">
        <v>110.503</v>
      </c>
      <c r="F87">
        <v>112.52</v>
      </c>
      <c r="G87">
        <v>115.176</v>
      </c>
      <c r="H87">
        <v>118.041</v>
      </c>
      <c r="I87">
        <v>121.706</v>
      </c>
      <c r="J87">
        <v>124.937</v>
      </c>
      <c r="K87">
        <v>131.876</v>
      </c>
      <c r="L87">
        <v>137.161</v>
      </c>
      <c r="M87">
        <v>140.69499999999999</v>
      </c>
      <c r="N87">
        <v>143.66999999999999</v>
      </c>
      <c r="O87">
        <v>146.92400000000001</v>
      </c>
      <c r="P87">
        <v>151</v>
      </c>
      <c r="Q87">
        <v>155.93299999999999</v>
      </c>
      <c r="R87">
        <v>166.673</v>
      </c>
      <c r="S87">
        <v>175.935</v>
      </c>
      <c r="T87">
        <v>179.65</v>
      </c>
      <c r="U87">
        <v>183.81800000000001</v>
      </c>
      <c r="V87">
        <v>186.33199999999999</v>
      </c>
      <c r="W87">
        <v>193.435</v>
      </c>
      <c r="X87">
        <v>191.88</v>
      </c>
      <c r="Y87">
        <v>194.42500000000001</v>
      </c>
      <c r="Z87">
        <v>199.82900000000001</v>
      </c>
      <c r="AA87">
        <v>206.40799999999999</v>
      </c>
      <c r="AB87">
        <v>213.45</v>
      </c>
      <c r="AC87">
        <v>220.245</v>
      </c>
      <c r="AD87">
        <v>220.95099999999999</v>
      </c>
      <c r="AE87">
        <v>223.39599999999999</v>
      </c>
      <c r="AF87">
        <v>226.07</v>
      </c>
      <c r="AG87">
        <v>228.876</v>
      </c>
      <c r="AH87">
        <f>AG87/AF87*AG87</f>
        <v>231.71682830981558</v>
      </c>
      <c r="AI87">
        <f t="shared" ref="AI87:AL87" si="34">AH87/AG87*AH87</f>
        <v>234.59291722137993</v>
      </c>
      <c r="AJ87">
        <f t="shared" si="34"/>
        <v>237.50470439227036</v>
      </c>
      <c r="AK87">
        <f t="shared" si="34"/>
        <v>240.45263291230714</v>
      </c>
      <c r="AL87">
        <f t="shared" si="34"/>
        <v>243.43715137097897</v>
      </c>
    </row>
    <row r="88" spans="1:40" x14ac:dyDescent="0.25">
      <c r="A88" t="s">
        <v>178</v>
      </c>
      <c r="B88" s="25">
        <v>9.1050000000000004</v>
      </c>
      <c r="C88" s="25">
        <v>8.6709999999999994</v>
      </c>
      <c r="D88" s="25">
        <v>8.7420000000000009</v>
      </c>
      <c r="E88" s="3">
        <v>8.8580000000000005</v>
      </c>
      <c r="F88" s="25">
        <v>8.9559999999999995</v>
      </c>
      <c r="G88" s="26">
        <v>9.0570000000000004</v>
      </c>
      <c r="H88" s="26">
        <v>9.157</v>
      </c>
      <c r="I88">
        <v>9.2420000000000009</v>
      </c>
      <c r="J88">
        <v>9.3409999999999993</v>
      </c>
      <c r="K88">
        <v>9.3659999999999997</v>
      </c>
      <c r="L88">
        <v>9.4169999999999998</v>
      </c>
      <c r="M88">
        <v>9.51</v>
      </c>
      <c r="N88">
        <v>8.3460000000000001</v>
      </c>
      <c r="O88">
        <v>7.7060000000000004</v>
      </c>
      <c r="P88">
        <v>7.6909999999999998</v>
      </c>
      <c r="Q88">
        <v>7.83</v>
      </c>
      <c r="R88">
        <v>8.0020000000000007</v>
      </c>
      <c r="S88">
        <v>8.1920000000000002</v>
      </c>
      <c r="T88">
        <v>8.4</v>
      </c>
      <c r="U88">
        <v>8.6069999999999993</v>
      </c>
      <c r="V88">
        <v>8.8249999999999993</v>
      </c>
      <c r="W88">
        <v>9.0540000000000003</v>
      </c>
      <c r="X88">
        <v>9.3659999999999997</v>
      </c>
      <c r="Y88">
        <v>9.6769999999999996</v>
      </c>
      <c r="Z88">
        <v>10.000999999999999</v>
      </c>
      <c r="AA88">
        <v>10.340999999999999</v>
      </c>
      <c r="AB88">
        <v>10.702999999999999</v>
      </c>
      <c r="AC88">
        <v>11.881</v>
      </c>
      <c r="AD88">
        <v>13.01</v>
      </c>
      <c r="AE88">
        <v>14.12</v>
      </c>
      <c r="AF88">
        <v>15.288</v>
      </c>
      <c r="AG88">
        <v>16.475000000000001</v>
      </c>
      <c r="AH88">
        <f>AG88/AF88*AG88</f>
        <v>17.754161760858192</v>
      </c>
      <c r="AI88">
        <f t="shared" ref="AI88" si="35">AH88/AG88*AH88</f>
        <v>19.132640960893429</v>
      </c>
      <c r="AJ88">
        <f t="shared" ref="AJ88" si="36">AI88/AH88*AI88</f>
        <v>20.618148863861805</v>
      </c>
      <c r="AK88">
        <f t="shared" ref="AK88" si="37">AJ88/AI88*AJ88</f>
        <v>22.218995456052017</v>
      </c>
      <c r="AL88">
        <f t="shared" ref="AL88" si="38">AK88/AJ88*AK88</f>
        <v>23.944135932656788</v>
      </c>
    </row>
    <row r="94" spans="1:40" ht="18" thickBot="1" x14ac:dyDescent="0.35">
      <c r="A94" s="4" t="s">
        <v>235</v>
      </c>
      <c r="B94" s="4"/>
      <c r="C94" s="4"/>
      <c r="D94" s="4"/>
      <c r="E94" s="4"/>
      <c r="F94" s="4"/>
      <c r="G94" s="4"/>
      <c r="H94" s="4"/>
    </row>
    <row r="95" spans="1:40" ht="15.75" thickTop="1" x14ac:dyDescent="0.25">
      <c r="B95">
        <v>2019</v>
      </c>
      <c r="C95">
        <v>2020</v>
      </c>
      <c r="D95">
        <v>2021</v>
      </c>
      <c r="E95">
        <v>2022</v>
      </c>
      <c r="F95">
        <v>2023</v>
      </c>
      <c r="G95">
        <v>2024</v>
      </c>
      <c r="H95">
        <v>2025</v>
      </c>
      <c r="I95">
        <v>2026</v>
      </c>
      <c r="J95">
        <v>2027</v>
      </c>
      <c r="K95">
        <v>2028</v>
      </c>
      <c r="L95">
        <v>2029</v>
      </c>
      <c r="M95">
        <v>2030</v>
      </c>
      <c r="N95">
        <v>2031</v>
      </c>
      <c r="O95">
        <v>2032</v>
      </c>
      <c r="P95">
        <v>2033</v>
      </c>
      <c r="Q95">
        <v>2034</v>
      </c>
      <c r="R95">
        <v>2035</v>
      </c>
      <c r="S95">
        <v>2036</v>
      </c>
      <c r="T95">
        <v>2037</v>
      </c>
      <c r="U95">
        <v>2038</v>
      </c>
      <c r="V95">
        <v>2039</v>
      </c>
      <c r="W95">
        <v>2040</v>
      </c>
      <c r="X95">
        <v>2041</v>
      </c>
      <c r="Y95">
        <v>2042</v>
      </c>
      <c r="Z95">
        <v>2043</v>
      </c>
      <c r="AA95">
        <v>2044</v>
      </c>
      <c r="AB95">
        <v>2045</v>
      </c>
      <c r="AC95">
        <v>2046</v>
      </c>
      <c r="AD95">
        <v>2047</v>
      </c>
      <c r="AE95">
        <v>2048</v>
      </c>
      <c r="AF95">
        <v>2049</v>
      </c>
      <c r="AG95">
        <v>2050</v>
      </c>
      <c r="AH95">
        <v>2051</v>
      </c>
      <c r="AI95">
        <v>2052</v>
      </c>
      <c r="AJ95">
        <v>2053</v>
      </c>
      <c r="AK95">
        <v>2054</v>
      </c>
      <c r="AL95">
        <v>2055</v>
      </c>
    </row>
    <row r="96" spans="1:40" x14ac:dyDescent="0.25">
      <c r="A96" t="s">
        <v>21</v>
      </c>
      <c r="B96">
        <v>5892.55</v>
      </c>
      <c r="C96">
        <f t="shared" ref="C96:AL96" si="39">B96*C10/B10</f>
        <v>5515.2383372656968</v>
      </c>
      <c r="D96">
        <f t="shared" si="39"/>
        <v>5796.4808062604216</v>
      </c>
      <c r="E96">
        <f t="shared" si="39"/>
        <v>5907.2171331901955</v>
      </c>
      <c r="F96">
        <f t="shared" si="39"/>
        <v>5919.0315674565754</v>
      </c>
      <c r="G96">
        <f t="shared" si="39"/>
        <v>5978.2218831311411</v>
      </c>
      <c r="H96">
        <f t="shared" si="39"/>
        <v>6043.9823238455829</v>
      </c>
      <c r="I96">
        <f t="shared" si="39"/>
        <v>6128.5980763794205</v>
      </c>
      <c r="J96">
        <f t="shared" si="39"/>
        <v>6226.6556456014914</v>
      </c>
      <c r="K96">
        <f t="shared" si="39"/>
        <v>6338.7354472223187</v>
      </c>
      <c r="L96">
        <f t="shared" si="39"/>
        <v>6478.3887056806143</v>
      </c>
      <c r="M96">
        <f t="shared" si="39"/>
        <v>6648.2413975415229</v>
      </c>
      <c r="N96">
        <f t="shared" si="39"/>
        <v>6843.556201106725</v>
      </c>
      <c r="O96">
        <f t="shared" si="39"/>
        <v>7049.3935312345357</v>
      </c>
      <c r="P96">
        <f t="shared" si="39"/>
        <v>7267.7675662733127</v>
      </c>
      <c r="Q96">
        <f t="shared" si="39"/>
        <v>7517.531127934998</v>
      </c>
      <c r="R96">
        <f t="shared" si="39"/>
        <v>7782.1835103019575</v>
      </c>
      <c r="S96">
        <f t="shared" si="39"/>
        <v>8062.6803453894772</v>
      </c>
      <c r="T96">
        <f t="shared" si="39"/>
        <v>8361.0561042615755</v>
      </c>
      <c r="U96">
        <f t="shared" si="39"/>
        <v>8673.3912411237143</v>
      </c>
      <c r="V96">
        <f t="shared" si="39"/>
        <v>8990.5381929558444</v>
      </c>
      <c r="W96">
        <f t="shared" si="39"/>
        <v>9308.8806022415702</v>
      </c>
      <c r="X96">
        <f t="shared" si="39"/>
        <v>9641.8208628517477</v>
      </c>
      <c r="Y96">
        <f t="shared" si="39"/>
        <v>9969.9265478217458</v>
      </c>
      <c r="Z96">
        <f t="shared" si="39"/>
        <v>10310.453529693723</v>
      </c>
      <c r="AA96">
        <f t="shared" si="39"/>
        <v>10667.797781884174</v>
      </c>
      <c r="AB96">
        <f t="shared" si="39"/>
        <v>11043.196490447101</v>
      </c>
      <c r="AC96">
        <f t="shared" si="39"/>
        <v>11437.848777519352</v>
      </c>
      <c r="AD96">
        <f t="shared" si="39"/>
        <v>11825.727391506509</v>
      </c>
      <c r="AE96">
        <f t="shared" si="39"/>
        <v>12233.039189847328</v>
      </c>
      <c r="AF96">
        <f t="shared" si="39"/>
        <v>12670.045107524131</v>
      </c>
      <c r="AG96">
        <f t="shared" si="39"/>
        <v>13133.223045935978</v>
      </c>
      <c r="AH96">
        <f t="shared" si="39"/>
        <v>13589.671706724137</v>
      </c>
      <c r="AI96">
        <f t="shared" si="39"/>
        <v>14037.500354937632</v>
      </c>
      <c r="AJ96">
        <f t="shared" si="39"/>
        <v>14474.795727232606</v>
      </c>
      <c r="AK96">
        <f t="shared" si="39"/>
        <v>14899.634996525705</v>
      </c>
      <c r="AL96">
        <f t="shared" si="39"/>
        <v>15310.099296748589</v>
      </c>
      <c r="AM96" s="28"/>
      <c r="AN96" s="28"/>
    </row>
    <row r="97" spans="1:40" x14ac:dyDescent="0.25">
      <c r="A97" t="s">
        <v>70</v>
      </c>
      <c r="B97">
        <v>245.04</v>
      </c>
      <c r="C97">
        <f t="shared" ref="C97:AL97" si="40">B97*C11/B11</f>
        <v>242.1666750654133</v>
      </c>
      <c r="D97">
        <f t="shared" si="40"/>
        <v>253.55592409181051</v>
      </c>
      <c r="E97">
        <f t="shared" si="40"/>
        <v>258.39987210849097</v>
      </c>
      <c r="F97">
        <f t="shared" si="40"/>
        <v>258.91667185270791</v>
      </c>
      <c r="G97">
        <f t="shared" si="40"/>
        <v>261.50583857123496</v>
      </c>
      <c r="H97">
        <f t="shared" si="40"/>
        <v>264.38240279551854</v>
      </c>
      <c r="I97">
        <f t="shared" si="40"/>
        <v>268.08375643465575</v>
      </c>
      <c r="J97">
        <f t="shared" si="40"/>
        <v>272.37309653761025</v>
      </c>
      <c r="K97">
        <f t="shared" si="40"/>
        <v>277.27581227528725</v>
      </c>
      <c r="L97">
        <f t="shared" si="40"/>
        <v>283.38467594349464</v>
      </c>
      <c r="M97">
        <f t="shared" si="40"/>
        <v>290.81455584541027</v>
      </c>
      <c r="N97">
        <f t="shared" si="40"/>
        <v>299.35822693861883</v>
      </c>
      <c r="O97">
        <f t="shared" si="40"/>
        <v>308.362185753902</v>
      </c>
      <c r="P97">
        <f t="shared" si="40"/>
        <v>317.9145386560478</v>
      </c>
      <c r="Q97">
        <f t="shared" si="40"/>
        <v>328.83996613494031</v>
      </c>
      <c r="R97">
        <f t="shared" si="40"/>
        <v>340.4166764902439</v>
      </c>
      <c r="S97">
        <f t="shared" si="40"/>
        <v>352.68647200973049</v>
      </c>
      <c r="T97">
        <f t="shared" si="40"/>
        <v>365.7383467240744</v>
      </c>
      <c r="U97">
        <f t="shared" si="40"/>
        <v>379.40084762770698</v>
      </c>
      <c r="V97">
        <f t="shared" si="40"/>
        <v>393.27383213890306</v>
      </c>
      <c r="W97">
        <f t="shared" si="40"/>
        <v>407.19910964122437</v>
      </c>
      <c r="X97">
        <f t="shared" si="40"/>
        <v>421.76294212303048</v>
      </c>
      <c r="Y97">
        <f t="shared" si="40"/>
        <v>436.11529537545425</v>
      </c>
      <c r="Z97">
        <f t="shared" si="40"/>
        <v>451.01099441296174</v>
      </c>
      <c r="AA97">
        <f t="shared" si="40"/>
        <v>466.64233265274129</v>
      </c>
      <c r="AB97">
        <f t="shared" si="40"/>
        <v>483.06342842342718</v>
      </c>
      <c r="AC97">
        <f t="shared" si="40"/>
        <v>500.32673502067752</v>
      </c>
      <c r="AD97">
        <f t="shared" si="40"/>
        <v>517.29374029372946</v>
      </c>
      <c r="AE97">
        <f t="shared" si="40"/>
        <v>535.11081290617756</v>
      </c>
      <c r="AF97">
        <f t="shared" si="40"/>
        <v>554.22679775865174</v>
      </c>
      <c r="AG97">
        <f t="shared" si="40"/>
        <v>574.48762741000041</v>
      </c>
      <c r="AH97">
        <f t="shared" si="40"/>
        <v>594.45409773137408</v>
      </c>
      <c r="AI97">
        <f t="shared" si="40"/>
        <v>614.04350215240174</v>
      </c>
      <c r="AJ97">
        <f t="shared" si="40"/>
        <v>633.17214864141818</v>
      </c>
      <c r="AK97">
        <f t="shared" si="40"/>
        <v>651.75592681933597</v>
      </c>
      <c r="AL97">
        <f t="shared" si="40"/>
        <v>669.71089957406434</v>
      </c>
      <c r="AM97" s="28"/>
      <c r="AN97" s="28"/>
    </row>
    <row r="98" spans="1:40" x14ac:dyDescent="0.25">
      <c r="A98" t="s">
        <v>23</v>
      </c>
      <c r="B98">
        <v>408.63</v>
      </c>
      <c r="C98">
        <f t="shared" ref="C98:AL98" si="41">B98*C12/B12</f>
        <v>392.26829386518551</v>
      </c>
      <c r="D98">
        <f t="shared" si="41"/>
        <v>410.71691518264703</v>
      </c>
      <c r="E98">
        <f t="shared" si="41"/>
        <v>418.56327646898683</v>
      </c>
      <c r="F98">
        <f t="shared" si="41"/>
        <v>419.40040302192483</v>
      </c>
      <c r="G98">
        <f t="shared" si="41"/>
        <v>423.59440705214411</v>
      </c>
      <c r="H98">
        <f t="shared" si="41"/>
        <v>428.25394552971767</v>
      </c>
      <c r="I98">
        <f t="shared" si="41"/>
        <v>434.24950076713372</v>
      </c>
      <c r="J98">
        <f t="shared" si="41"/>
        <v>441.19749277940787</v>
      </c>
      <c r="K98">
        <f t="shared" si="41"/>
        <v>449.1390476494372</v>
      </c>
      <c r="L98">
        <f t="shared" si="41"/>
        <v>459.03435437541611</v>
      </c>
      <c r="M98">
        <f t="shared" si="41"/>
        <v>471.06947981932956</v>
      </c>
      <c r="N98">
        <f t="shared" si="41"/>
        <v>484.90875511256695</v>
      </c>
      <c r="O98">
        <f t="shared" si="41"/>
        <v>499.49361721859157</v>
      </c>
      <c r="P98">
        <f t="shared" si="41"/>
        <v>514.96678326966253</v>
      </c>
      <c r="Q98">
        <f t="shared" si="41"/>
        <v>532.66409358593694</v>
      </c>
      <c r="R98">
        <f t="shared" si="41"/>
        <v>551.41636996095724</v>
      </c>
      <c r="S98">
        <f t="shared" si="41"/>
        <v>571.2913248993425</v>
      </c>
      <c r="T98">
        <f t="shared" si="41"/>
        <v>592.4331133991634</v>
      </c>
      <c r="U98">
        <f t="shared" si="41"/>
        <v>614.5640111288028</v>
      </c>
      <c r="V98">
        <f t="shared" si="41"/>
        <v>637.03585604121724</v>
      </c>
      <c r="W98">
        <f t="shared" si="41"/>
        <v>659.59240659037664</v>
      </c>
      <c r="X98">
        <f t="shared" si="41"/>
        <v>683.18330619798485</v>
      </c>
      <c r="Y98">
        <f t="shared" si="41"/>
        <v>706.43164588699437</v>
      </c>
      <c r="Z98">
        <f t="shared" si="41"/>
        <v>730.56011214187458</v>
      </c>
      <c r="AA98">
        <f t="shared" si="41"/>
        <v>755.88018717074351</v>
      </c>
      <c r="AB98">
        <f t="shared" si="41"/>
        <v>782.47953334264685</v>
      </c>
      <c r="AC98">
        <f t="shared" si="41"/>
        <v>810.44311596005628</v>
      </c>
      <c r="AD98">
        <f t="shared" si="41"/>
        <v>837.92674147815819</v>
      </c>
      <c r="AE98">
        <f t="shared" si="41"/>
        <v>866.78732963905736</v>
      </c>
      <c r="AF98">
        <f t="shared" si="41"/>
        <v>897.75193185613489</v>
      </c>
      <c r="AG98">
        <f t="shared" si="41"/>
        <v>930.57098541699736</v>
      </c>
      <c r="AH98">
        <f t="shared" si="41"/>
        <v>962.9132275746332</v>
      </c>
      <c r="AI98">
        <f t="shared" si="41"/>
        <v>994.64468793347885</v>
      </c>
      <c r="AJ98">
        <f t="shared" si="41"/>
        <v>1025.6297998204464</v>
      </c>
      <c r="AK98">
        <f t="shared" si="41"/>
        <v>1055.7323189116953</v>
      </c>
      <c r="AL98">
        <f t="shared" si="41"/>
        <v>1084.8162815460698</v>
      </c>
      <c r="AM98" s="28"/>
      <c r="AN98" s="28"/>
    </row>
    <row r="99" spans="1:40" x14ac:dyDescent="0.25">
      <c r="A99" t="s">
        <v>24</v>
      </c>
      <c r="B99">
        <v>533.85</v>
      </c>
      <c r="C99">
        <f t="shared" ref="C99:AL99" si="42">B99*C13/B13</f>
        <v>525.76865820664773</v>
      </c>
      <c r="D99">
        <f t="shared" si="42"/>
        <v>515.46962037754633</v>
      </c>
      <c r="E99">
        <f t="shared" si="42"/>
        <v>526.34993420178466</v>
      </c>
      <c r="F99">
        <f t="shared" si="42"/>
        <v>527.26991796551249</v>
      </c>
      <c r="G99">
        <f t="shared" si="42"/>
        <v>532.65196752490158</v>
      </c>
      <c r="H99">
        <f t="shared" si="42"/>
        <v>538.39398240862931</v>
      </c>
      <c r="I99">
        <f t="shared" si="42"/>
        <v>546.88076323233474</v>
      </c>
      <c r="J99">
        <f t="shared" si="42"/>
        <v>556.47525708711123</v>
      </c>
      <c r="K99">
        <f t="shared" si="42"/>
        <v>566.98171362257096</v>
      </c>
      <c r="L99">
        <f t="shared" si="42"/>
        <v>580.22045481782857</v>
      </c>
      <c r="M99">
        <f t="shared" si="42"/>
        <v>596.33068798395993</v>
      </c>
      <c r="N99">
        <f t="shared" si="42"/>
        <v>615.4042086731514</v>
      </c>
      <c r="O99">
        <f t="shared" si="42"/>
        <v>635.33396129744892</v>
      </c>
      <c r="P99">
        <f t="shared" si="42"/>
        <v>657.01655639699004</v>
      </c>
      <c r="Q99">
        <f t="shared" si="42"/>
        <v>681.31932514290099</v>
      </c>
      <c r="R99">
        <f t="shared" si="42"/>
        <v>707.71661474127575</v>
      </c>
      <c r="S99">
        <f t="shared" si="42"/>
        <v>735.63685386036582</v>
      </c>
      <c r="T99">
        <f t="shared" si="42"/>
        <v>764.91029140893988</v>
      </c>
      <c r="U99">
        <f t="shared" si="42"/>
        <v>795.92901566841999</v>
      </c>
      <c r="V99">
        <f t="shared" si="42"/>
        <v>827.41256315471048</v>
      </c>
      <c r="W99">
        <f t="shared" si="42"/>
        <v>859.02685404487454</v>
      </c>
      <c r="X99">
        <f t="shared" si="42"/>
        <v>891.63923611470852</v>
      </c>
      <c r="Y99">
        <f t="shared" si="42"/>
        <v>923.77696539715112</v>
      </c>
      <c r="Z99">
        <f t="shared" si="42"/>
        <v>957.11459686687863</v>
      </c>
      <c r="AA99">
        <f t="shared" si="42"/>
        <v>992.06915242156117</v>
      </c>
      <c r="AB99">
        <f t="shared" si="42"/>
        <v>1028.7754064643691</v>
      </c>
      <c r="AC99">
        <f t="shared" si="42"/>
        <v>1067.3339329257396</v>
      </c>
      <c r="AD99">
        <f t="shared" si="42"/>
        <v>1105.2381198913988</v>
      </c>
      <c r="AE99">
        <f t="shared" si="42"/>
        <v>1145.0271910127797</v>
      </c>
      <c r="AF99">
        <f t="shared" si="42"/>
        <v>1187.677094920718</v>
      </c>
      <c r="AG99">
        <f t="shared" si="42"/>
        <v>1232.8552263699166</v>
      </c>
      <c r="AH99">
        <f t="shared" si="42"/>
        <v>1277.3781789965635</v>
      </c>
      <c r="AI99">
        <f t="shared" si="42"/>
        <v>1321.063277023188</v>
      </c>
      <c r="AJ99">
        <f t="shared" si="42"/>
        <v>1363.7257603507742</v>
      </c>
      <c r="AK99">
        <f t="shared" si="42"/>
        <v>1405.1799442765459</v>
      </c>
      <c r="AL99">
        <f t="shared" si="42"/>
        <v>1445.240525999503</v>
      </c>
      <c r="AM99" s="28"/>
      <c r="AN99" s="28"/>
    </row>
    <row r="100" spans="1:40" x14ac:dyDescent="0.25">
      <c r="A100" t="s">
        <v>25</v>
      </c>
      <c r="B100">
        <v>1511.78</v>
      </c>
      <c r="C100">
        <f t="shared" ref="C100:AL100" si="43">B100*C14/B14</f>
        <v>1402.3328476026929</v>
      </c>
      <c r="D100">
        <f t="shared" si="43"/>
        <v>1459.729629473386</v>
      </c>
      <c r="E100">
        <f t="shared" si="43"/>
        <v>1490.5409825373681</v>
      </c>
      <c r="F100">
        <f t="shared" si="43"/>
        <v>1493.1462331776761</v>
      </c>
      <c r="G100">
        <f t="shared" si="43"/>
        <v>1508.3873587427095</v>
      </c>
      <c r="H100">
        <f t="shared" si="43"/>
        <v>1524.6478500060266</v>
      </c>
      <c r="I100">
        <f t="shared" si="43"/>
        <v>1548.6810906422759</v>
      </c>
      <c r="J100">
        <f t="shared" si="43"/>
        <v>1575.8512019465261</v>
      </c>
      <c r="K100">
        <f t="shared" si="43"/>
        <v>1605.6038494339803</v>
      </c>
      <c r="L100">
        <f t="shared" si="43"/>
        <v>1643.0939012540916</v>
      </c>
      <c r="M100">
        <f t="shared" si="43"/>
        <v>1688.7155708165046</v>
      </c>
      <c r="N100">
        <f t="shared" si="43"/>
        <v>1742.7288088187634</v>
      </c>
      <c r="O100">
        <f t="shared" si="43"/>
        <v>1799.1667622183334</v>
      </c>
      <c r="P100">
        <f t="shared" si="43"/>
        <v>1860.5684923290094</v>
      </c>
      <c r="Q100">
        <f t="shared" si="43"/>
        <v>1929.3901458547061</v>
      </c>
      <c r="R100">
        <f t="shared" si="43"/>
        <v>2004.1431560055557</v>
      </c>
      <c r="S100">
        <f t="shared" si="43"/>
        <v>2083.2089218488786</v>
      </c>
      <c r="T100">
        <f t="shared" si="43"/>
        <v>2166.1067347498501</v>
      </c>
      <c r="U100">
        <f t="shared" si="43"/>
        <v>2253.9469276148811</v>
      </c>
      <c r="V100">
        <f t="shared" si="43"/>
        <v>2343.1034274159947</v>
      </c>
      <c r="W100">
        <f t="shared" si="43"/>
        <v>2432.630172160646</v>
      </c>
      <c r="X100">
        <f t="shared" si="43"/>
        <v>2524.983355574589</v>
      </c>
      <c r="Y100">
        <f t="shared" si="43"/>
        <v>2615.9923962688117</v>
      </c>
      <c r="Z100">
        <f t="shared" si="43"/>
        <v>2710.3993729538442</v>
      </c>
      <c r="AA100">
        <f t="shared" si="43"/>
        <v>2809.3852266514341</v>
      </c>
      <c r="AB100">
        <f t="shared" si="43"/>
        <v>2913.3316174668989</v>
      </c>
      <c r="AC100">
        <f t="shared" si="43"/>
        <v>3022.5233550968906</v>
      </c>
      <c r="AD100">
        <f t="shared" si="43"/>
        <v>3129.8621052531971</v>
      </c>
      <c r="AE100">
        <f t="shared" si="43"/>
        <v>3242.5385535811565</v>
      </c>
      <c r="AF100">
        <f t="shared" si="43"/>
        <v>3363.3164345026566</v>
      </c>
      <c r="AG100">
        <f t="shared" si="43"/>
        <v>3491.2538617992186</v>
      </c>
      <c r="AH100">
        <f t="shared" si="43"/>
        <v>3617.3359247792919</v>
      </c>
      <c r="AI100">
        <f t="shared" si="43"/>
        <v>3741.0453141109219</v>
      </c>
      <c r="AJ100">
        <f t="shared" si="43"/>
        <v>3861.8588179883745</v>
      </c>
      <c r="AK100">
        <f t="shared" si="43"/>
        <v>3979.2506062721677</v>
      </c>
      <c r="AL100">
        <f t="shared" si="43"/>
        <v>4092.6959303091298</v>
      </c>
      <c r="AM100" s="28"/>
      <c r="AN100" s="28"/>
    </row>
    <row r="101" spans="1:40" x14ac:dyDescent="0.25">
      <c r="A101" t="s">
        <v>26</v>
      </c>
      <c r="B101">
        <v>102.71</v>
      </c>
      <c r="C101">
        <f t="shared" ref="C101:AL101" si="44">B101*C15/B15</f>
        <v>98.093820224719082</v>
      </c>
      <c r="D101">
        <f t="shared" si="44"/>
        <v>99.173709298450461</v>
      </c>
      <c r="E101">
        <f t="shared" si="44"/>
        <v>101.26702583472003</v>
      </c>
      <c r="F101">
        <f t="shared" si="44"/>
        <v>101.44402598901897</v>
      </c>
      <c r="G101">
        <f t="shared" si="44"/>
        <v>102.4795047007261</v>
      </c>
      <c r="H101">
        <f t="shared" si="44"/>
        <v>103.58423889330393</v>
      </c>
      <c r="I101">
        <f t="shared" si="44"/>
        <v>105.21705196514581</v>
      </c>
      <c r="J101">
        <f t="shared" si="44"/>
        <v>107.06298333879775</v>
      </c>
      <c r="K101">
        <f t="shared" si="44"/>
        <v>109.0843716515393</v>
      </c>
      <c r="L101">
        <f t="shared" si="44"/>
        <v>111.63143750929879</v>
      </c>
      <c r="M101">
        <f t="shared" si="44"/>
        <v>114.73096368424186</v>
      </c>
      <c r="N101">
        <f t="shared" si="44"/>
        <v>118.40061116946589</v>
      </c>
      <c r="O101">
        <f t="shared" si="44"/>
        <v>122.23499328437006</v>
      </c>
      <c r="P101">
        <f t="shared" si="44"/>
        <v>126.40661329499828</v>
      </c>
      <c r="Q101">
        <f t="shared" si="44"/>
        <v>131.08234126707382</v>
      </c>
      <c r="R101">
        <f t="shared" si="44"/>
        <v>136.16104430097676</v>
      </c>
      <c r="S101">
        <f t="shared" si="44"/>
        <v>141.53275500608441</v>
      </c>
      <c r="T101">
        <f t="shared" si="44"/>
        <v>147.16481414369619</v>
      </c>
      <c r="U101">
        <f t="shared" si="44"/>
        <v>153.1326574867536</v>
      </c>
      <c r="V101">
        <f t="shared" si="44"/>
        <v>159.18993043293116</v>
      </c>
      <c r="W101">
        <f t="shared" si="44"/>
        <v>165.27235773896982</v>
      </c>
      <c r="X101">
        <f t="shared" si="44"/>
        <v>171.54681266524619</v>
      </c>
      <c r="Y101">
        <f t="shared" si="44"/>
        <v>177.72994683139711</v>
      </c>
      <c r="Z101">
        <f t="shared" si="44"/>
        <v>184.14393601985026</v>
      </c>
      <c r="AA101">
        <f t="shared" si="44"/>
        <v>190.86901310334085</v>
      </c>
      <c r="AB101">
        <f t="shared" si="44"/>
        <v>197.93110798530543</v>
      </c>
      <c r="AC101">
        <f t="shared" si="44"/>
        <v>205.34957057376167</v>
      </c>
      <c r="AD101">
        <f t="shared" si="44"/>
        <v>212.64214160165875</v>
      </c>
      <c r="AE101">
        <f t="shared" si="44"/>
        <v>220.29735466689621</v>
      </c>
      <c r="AF101">
        <f t="shared" si="44"/>
        <v>228.50297727696332</v>
      </c>
      <c r="AG101">
        <f t="shared" si="44"/>
        <v>237.19501788977064</v>
      </c>
      <c r="AH101">
        <f t="shared" si="44"/>
        <v>245.76100545984258</v>
      </c>
      <c r="AI101">
        <f t="shared" si="44"/>
        <v>254.16579410518233</v>
      </c>
      <c r="AJ101">
        <f t="shared" si="44"/>
        <v>262.37383693102544</v>
      </c>
      <c r="AK101">
        <f t="shared" si="44"/>
        <v>270.34940915358982</v>
      </c>
      <c r="AL101">
        <f t="shared" si="44"/>
        <v>278.0568594650349</v>
      </c>
      <c r="AM101" s="28"/>
      <c r="AN101" s="28"/>
    </row>
    <row r="102" spans="1:40" x14ac:dyDescent="0.25">
      <c r="A102" t="s">
        <v>27</v>
      </c>
      <c r="B102">
        <v>399.88</v>
      </c>
      <c r="C102">
        <f t="shared" ref="C102:AL102" si="45">B102*C16/B16</f>
        <v>394.04788839568806</v>
      </c>
      <c r="D102">
        <f t="shared" si="45"/>
        <v>386.11218843602751</v>
      </c>
      <c r="E102">
        <f t="shared" si="45"/>
        <v>394.26208052563391</v>
      </c>
      <c r="F102">
        <f t="shared" si="45"/>
        <v>394.95119377362391</v>
      </c>
      <c r="G102">
        <f t="shared" si="45"/>
        <v>398.98261454314434</v>
      </c>
      <c r="H102">
        <f t="shared" si="45"/>
        <v>403.28366710791914</v>
      </c>
      <c r="I102">
        <f t="shared" si="45"/>
        <v>409.64068483908591</v>
      </c>
      <c r="J102">
        <f t="shared" si="45"/>
        <v>416.82743430550534</v>
      </c>
      <c r="K102">
        <f t="shared" si="45"/>
        <v>424.69728883280635</v>
      </c>
      <c r="L102">
        <f t="shared" si="45"/>
        <v>434.61375943158805</v>
      </c>
      <c r="M102">
        <f t="shared" si="45"/>
        <v>446.68111924890121</v>
      </c>
      <c r="N102">
        <f t="shared" si="45"/>
        <v>460.96812768421808</v>
      </c>
      <c r="O102">
        <f t="shared" si="45"/>
        <v>475.8964961011967</v>
      </c>
      <c r="P102">
        <f t="shared" si="45"/>
        <v>492.13783004969264</v>
      </c>
      <c r="Q102">
        <f t="shared" si="45"/>
        <v>510.34180338698752</v>
      </c>
      <c r="R102">
        <f t="shared" si="45"/>
        <v>530.11467622504711</v>
      </c>
      <c r="S102">
        <f t="shared" si="45"/>
        <v>551.02831342452589</v>
      </c>
      <c r="T102">
        <f t="shared" si="45"/>
        <v>572.95556303944352</v>
      </c>
      <c r="U102">
        <f t="shared" si="45"/>
        <v>596.19011854544874</v>
      </c>
      <c r="V102">
        <f t="shared" si="45"/>
        <v>619.77284959128156</v>
      </c>
      <c r="W102">
        <f t="shared" si="45"/>
        <v>643.45351389990526</v>
      </c>
      <c r="X102">
        <f t="shared" si="45"/>
        <v>667.88179776631944</v>
      </c>
      <c r="Y102">
        <f t="shared" si="45"/>
        <v>691.9545432668591</v>
      </c>
      <c r="Z102">
        <f t="shared" si="45"/>
        <v>716.92607473096814</v>
      </c>
      <c r="AA102">
        <f t="shared" si="45"/>
        <v>743.10876214354948</v>
      </c>
      <c r="AB102">
        <f t="shared" si="45"/>
        <v>770.60355818483072</v>
      </c>
      <c r="AC102">
        <f t="shared" si="45"/>
        <v>799.48579769288142</v>
      </c>
      <c r="AD102">
        <f t="shared" si="45"/>
        <v>827.87790462147143</v>
      </c>
      <c r="AE102">
        <f t="shared" si="45"/>
        <v>857.68188281762718</v>
      </c>
      <c r="AF102">
        <f t="shared" si="45"/>
        <v>889.62876597714069</v>
      </c>
      <c r="AG102">
        <f t="shared" si="45"/>
        <v>923.46941635441067</v>
      </c>
      <c r="AH102">
        <f t="shared" si="45"/>
        <v>956.81930545498858</v>
      </c>
      <c r="AI102">
        <f t="shared" si="45"/>
        <v>989.54160010495889</v>
      </c>
      <c r="AJ102">
        <f t="shared" si="45"/>
        <v>1021.4979058706891</v>
      </c>
      <c r="AK102">
        <f t="shared" si="45"/>
        <v>1052.549135744694</v>
      </c>
      <c r="AL102">
        <f t="shared" si="45"/>
        <v>1082.5564887827688</v>
      </c>
      <c r="AM102" s="28"/>
      <c r="AN102" s="28"/>
    </row>
    <row r="103" spans="1:40" x14ac:dyDescent="0.25">
      <c r="A103" t="s">
        <v>28</v>
      </c>
      <c r="B103">
        <v>41.58</v>
      </c>
      <c r="C103">
        <f t="shared" ref="C103:AL103" si="46">B103*C17/B17</f>
        <v>38.820578559273969</v>
      </c>
      <c r="D103">
        <f t="shared" si="46"/>
        <v>40.148406509878022</v>
      </c>
      <c r="E103">
        <f t="shared" si="46"/>
        <v>40.995842023246624</v>
      </c>
      <c r="F103">
        <f t="shared" si="46"/>
        <v>41.067496841820763</v>
      </c>
      <c r="G103">
        <f t="shared" si="46"/>
        <v>41.486688788396378</v>
      </c>
      <c r="H103">
        <f t="shared" si="46"/>
        <v>41.933917371079531</v>
      </c>
      <c r="I103">
        <f t="shared" si="46"/>
        <v>42.594927667323184</v>
      </c>
      <c r="J103">
        <f t="shared" si="46"/>
        <v>43.342214460395404</v>
      </c>
      <c r="K103">
        <f t="shared" si="46"/>
        <v>44.160531333570297</v>
      </c>
      <c r="L103">
        <f t="shared" si="46"/>
        <v>45.191657790250666</v>
      </c>
      <c r="M103">
        <f t="shared" si="46"/>
        <v>46.446436276806338</v>
      </c>
      <c r="N103">
        <f t="shared" si="46"/>
        <v>47.932016477717795</v>
      </c>
      <c r="O103">
        <f t="shared" si="46"/>
        <v>49.484286055536074</v>
      </c>
      <c r="P103">
        <f t="shared" si="46"/>
        <v>51.173079357472808</v>
      </c>
      <c r="Q103">
        <f t="shared" si="46"/>
        <v>53.06595024715152</v>
      </c>
      <c r="R103">
        <f t="shared" si="46"/>
        <v>55.121957180747884</v>
      </c>
      <c r="S103">
        <f t="shared" si="46"/>
        <v>57.296582155126011</v>
      </c>
      <c r="T103">
        <f t="shared" si="46"/>
        <v>59.576603759077898</v>
      </c>
      <c r="U103">
        <f t="shared" si="46"/>
        <v>61.992560590976716</v>
      </c>
      <c r="V103">
        <f t="shared" si="46"/>
        <v>64.444721131353148</v>
      </c>
      <c r="W103">
        <f t="shared" si="46"/>
        <v>66.90706488936199</v>
      </c>
      <c r="X103">
        <f t="shared" si="46"/>
        <v>69.447147021915498</v>
      </c>
      <c r="Y103">
        <f t="shared" si="46"/>
        <v>71.950259850545194</v>
      </c>
      <c r="Z103">
        <f t="shared" si="46"/>
        <v>74.546829517139301</v>
      </c>
      <c r="AA103">
        <f t="shared" si="46"/>
        <v>77.269336625809729</v>
      </c>
      <c r="AB103">
        <f t="shared" si="46"/>
        <v>80.128278356820232</v>
      </c>
      <c r="AC103">
        <f t="shared" si="46"/>
        <v>83.131488116610043</v>
      </c>
      <c r="AD103">
        <f t="shared" si="46"/>
        <v>86.083733305393608</v>
      </c>
      <c r="AE103">
        <f t="shared" si="46"/>
        <v>89.182786554858836</v>
      </c>
      <c r="AF103">
        <f t="shared" si="46"/>
        <v>92.504661621810357</v>
      </c>
      <c r="AG103">
        <f t="shared" si="46"/>
        <v>96.023452865900794</v>
      </c>
      <c r="AH103">
        <f t="shared" si="46"/>
        <v>99.491214166296004</v>
      </c>
      <c r="AI103">
        <f t="shared" si="46"/>
        <v>102.89371744614438</v>
      </c>
      <c r="AJ103">
        <f t="shared" si="46"/>
        <v>106.21657228694427</v>
      </c>
      <c r="AK103">
        <f t="shared" si="46"/>
        <v>109.44531625553765</v>
      </c>
      <c r="AL103">
        <f t="shared" si="46"/>
        <v>112.56551666396803</v>
      </c>
      <c r="AM103" s="28"/>
      <c r="AN103" s="28"/>
    </row>
    <row r="104" spans="1:40" x14ac:dyDescent="0.25">
      <c r="A104" t="s">
        <v>29</v>
      </c>
      <c r="B104">
        <v>202.93</v>
      </c>
      <c r="C104">
        <f t="shared" ref="C104:AL104" si="47">B104*C18/B18</f>
        <v>192.90516067146282</v>
      </c>
      <c r="D104">
        <f t="shared" si="47"/>
        <v>195.94314894299052</v>
      </c>
      <c r="E104">
        <f t="shared" si="47"/>
        <v>200.07903371278104</v>
      </c>
      <c r="F104">
        <f t="shared" si="47"/>
        <v>200.428743004105</v>
      </c>
      <c r="G104">
        <f t="shared" si="47"/>
        <v>202.47459730229139</v>
      </c>
      <c r="H104">
        <f t="shared" si="47"/>
        <v>204.65728360060524</v>
      </c>
      <c r="I104">
        <f t="shared" si="47"/>
        <v>207.88332543361926</v>
      </c>
      <c r="J104">
        <f t="shared" si="47"/>
        <v>211.53043724021248</v>
      </c>
      <c r="K104">
        <f t="shared" si="47"/>
        <v>215.52420931989937</v>
      </c>
      <c r="L104">
        <f t="shared" si="47"/>
        <v>220.55659248137476</v>
      </c>
      <c r="M104">
        <f t="shared" si="47"/>
        <v>226.6805029738409</v>
      </c>
      <c r="N104">
        <f t="shared" si="47"/>
        <v>233.93083462778418</v>
      </c>
      <c r="O104">
        <f t="shared" si="47"/>
        <v>241.50664187710268</v>
      </c>
      <c r="P104">
        <f t="shared" si="47"/>
        <v>249.74874925473668</v>
      </c>
      <c r="Q104">
        <f t="shared" si="47"/>
        <v>258.98685145874094</v>
      </c>
      <c r="R104">
        <f t="shared" si="47"/>
        <v>269.02113445620876</v>
      </c>
      <c r="S104">
        <f t="shared" si="47"/>
        <v>279.63432940691951</v>
      </c>
      <c r="T104">
        <f t="shared" si="47"/>
        <v>290.76190959186312</v>
      </c>
      <c r="U104">
        <f t="shared" si="47"/>
        <v>302.55291776639962</v>
      </c>
      <c r="V104">
        <f t="shared" si="47"/>
        <v>314.52061710402802</v>
      </c>
      <c r="W104">
        <f t="shared" si="47"/>
        <v>326.53801534387253</v>
      </c>
      <c r="X104">
        <f t="shared" si="47"/>
        <v>338.93481349584664</v>
      </c>
      <c r="Y104">
        <f t="shared" si="47"/>
        <v>351.15118401806461</v>
      </c>
      <c r="Z104">
        <f t="shared" si="47"/>
        <v>363.82366796327739</v>
      </c>
      <c r="AA104">
        <f t="shared" si="47"/>
        <v>377.11078599027331</v>
      </c>
      <c r="AB104">
        <f t="shared" si="47"/>
        <v>391.06376928690526</v>
      </c>
      <c r="AC104">
        <f t="shared" si="47"/>
        <v>405.72084856911175</v>
      </c>
      <c r="AD104">
        <f t="shared" si="47"/>
        <v>420.12919672110434</v>
      </c>
      <c r="AE104">
        <f t="shared" si="47"/>
        <v>435.25403741167634</v>
      </c>
      <c r="AF104">
        <f t="shared" si="47"/>
        <v>451.46635360543462</v>
      </c>
      <c r="AG104">
        <f t="shared" si="47"/>
        <v>468.63971356607129</v>
      </c>
      <c r="AH104">
        <f t="shared" si="47"/>
        <v>485.56402334695628</v>
      </c>
      <c r="AI104">
        <f t="shared" si="47"/>
        <v>502.16984322621624</v>
      </c>
      <c r="AJ104">
        <f t="shared" si="47"/>
        <v>518.38694117820091</v>
      </c>
      <c r="AK104">
        <f t="shared" si="47"/>
        <v>534.14473371179054</v>
      </c>
      <c r="AL104">
        <f t="shared" si="47"/>
        <v>549.37278250647023</v>
      </c>
      <c r="AM104" s="28"/>
      <c r="AN104" s="28"/>
    </row>
    <row r="105" spans="1:40" x14ac:dyDescent="0.25">
      <c r="A105" t="s">
        <v>30</v>
      </c>
      <c r="B105">
        <v>75.78</v>
      </c>
      <c r="C105">
        <f t="shared" ref="C105:AL105" si="48">B105*C19/B19</f>
        <v>71.434816513761461</v>
      </c>
      <c r="D105">
        <f t="shared" si="48"/>
        <v>73.170905370816641</v>
      </c>
      <c r="E105">
        <f t="shared" si="48"/>
        <v>74.715365765310935</v>
      </c>
      <c r="F105">
        <f t="shared" si="48"/>
        <v>74.845957447647351</v>
      </c>
      <c r="G105">
        <f t="shared" si="48"/>
        <v>75.609939306990796</v>
      </c>
      <c r="H105">
        <f t="shared" si="48"/>
        <v>76.425018239067001</v>
      </c>
      <c r="I105">
        <f t="shared" si="48"/>
        <v>77.629716657762145</v>
      </c>
      <c r="J105">
        <f t="shared" si="48"/>
        <v>78.991654925655666</v>
      </c>
      <c r="K105">
        <f t="shared" si="48"/>
        <v>80.483046283260123</v>
      </c>
      <c r="L105">
        <f t="shared" si="48"/>
        <v>82.362285409937328</v>
      </c>
      <c r="M105">
        <f t="shared" si="48"/>
        <v>84.649132781538796</v>
      </c>
      <c r="N105">
        <f t="shared" si="48"/>
        <v>87.356618775407739</v>
      </c>
      <c r="O105">
        <f t="shared" si="48"/>
        <v>90.185646880435868</v>
      </c>
      <c r="P105">
        <f t="shared" si="48"/>
        <v>93.263490950199341</v>
      </c>
      <c r="Q105">
        <f t="shared" si="48"/>
        <v>96.713268632254483</v>
      </c>
      <c r="R105">
        <f t="shared" si="48"/>
        <v>100.46036351989116</v>
      </c>
      <c r="S105">
        <f t="shared" si="48"/>
        <v>104.42364107059761</v>
      </c>
      <c r="T105">
        <f t="shared" si="48"/>
        <v>108.5790051193584</v>
      </c>
      <c r="U105">
        <f t="shared" si="48"/>
        <v>112.98211259221296</v>
      </c>
      <c r="V105">
        <f t="shared" si="48"/>
        <v>117.451201715583</v>
      </c>
      <c r="W105">
        <f t="shared" si="48"/>
        <v>121.93884986329608</v>
      </c>
      <c r="X105">
        <f t="shared" si="48"/>
        <v>126.56817703994125</v>
      </c>
      <c r="Y105">
        <f t="shared" si="48"/>
        <v>131.13012726008452</v>
      </c>
      <c r="Z105">
        <f t="shared" si="48"/>
        <v>135.86240357885563</v>
      </c>
      <c r="AA105">
        <f t="shared" si="48"/>
        <v>140.82420224877015</v>
      </c>
      <c r="AB105">
        <f t="shared" si="48"/>
        <v>146.03465449446458</v>
      </c>
      <c r="AC105">
        <f t="shared" si="48"/>
        <v>151.50803678395161</v>
      </c>
      <c r="AD105">
        <f t="shared" si="48"/>
        <v>156.8885355912152</v>
      </c>
      <c r="AE105">
        <f t="shared" si="48"/>
        <v>162.53659367790294</v>
      </c>
      <c r="AF105">
        <f t="shared" si="48"/>
        <v>168.59074693845093</v>
      </c>
      <c r="AG105">
        <f t="shared" si="48"/>
        <v>175.0037820629621</v>
      </c>
      <c r="AH105">
        <f t="shared" si="48"/>
        <v>181.32381456281655</v>
      </c>
      <c r="AI105">
        <f t="shared" si="48"/>
        <v>187.52491361396878</v>
      </c>
      <c r="AJ105">
        <f t="shared" si="48"/>
        <v>193.58085252295902</v>
      </c>
      <c r="AK105">
        <f t="shared" si="48"/>
        <v>199.465273348837</v>
      </c>
      <c r="AL105">
        <f t="shared" si="48"/>
        <v>205.15187236160412</v>
      </c>
      <c r="AM105" s="28"/>
      <c r="AN105" s="28"/>
    </row>
    <row r="106" spans="1:40" x14ac:dyDescent="0.25">
      <c r="A106" t="s">
        <v>31</v>
      </c>
      <c r="B106">
        <v>1.1000000000000001</v>
      </c>
      <c r="C106">
        <f t="shared" ref="C106:AL106" si="49">B106*C20/B20</f>
        <v>1.1000000000000001</v>
      </c>
      <c r="D106">
        <f t="shared" si="49"/>
        <v>1.0621271563459795</v>
      </c>
      <c r="E106">
        <f t="shared" si="49"/>
        <v>1.0845460852710747</v>
      </c>
      <c r="F106">
        <f t="shared" si="49"/>
        <v>1.0864417153920838</v>
      </c>
      <c r="G106">
        <f t="shared" si="49"/>
        <v>1.0975314494284758</v>
      </c>
      <c r="H106">
        <f t="shared" si="49"/>
        <v>1.1093628934148023</v>
      </c>
      <c r="I106">
        <f t="shared" si="49"/>
        <v>1.126849938288973</v>
      </c>
      <c r="J106">
        <f t="shared" si="49"/>
        <v>1.1466194301691905</v>
      </c>
      <c r="K106">
        <f t="shared" si="49"/>
        <v>1.1682680246976269</v>
      </c>
      <c r="L106">
        <f t="shared" si="49"/>
        <v>1.1955465023875838</v>
      </c>
      <c r="M106">
        <f t="shared" si="49"/>
        <v>1.2287417004446122</v>
      </c>
      <c r="N106">
        <f t="shared" si="49"/>
        <v>1.2680427639607881</v>
      </c>
      <c r="O106">
        <f t="shared" si="49"/>
        <v>1.3091080967073034</v>
      </c>
      <c r="P106">
        <f t="shared" si="49"/>
        <v>1.3537851681871111</v>
      </c>
      <c r="Q106">
        <f t="shared" si="49"/>
        <v>1.4038611176495108</v>
      </c>
      <c r="R106">
        <f t="shared" si="49"/>
        <v>1.4582528354695206</v>
      </c>
      <c r="S106">
        <f t="shared" si="49"/>
        <v>1.5157825966964551</v>
      </c>
      <c r="T106">
        <f t="shared" si="49"/>
        <v>1.576100628547034</v>
      </c>
      <c r="U106">
        <f t="shared" si="49"/>
        <v>1.6400148304491193</v>
      </c>
      <c r="V106">
        <f t="shared" si="49"/>
        <v>1.7048868024167498</v>
      </c>
      <c r="W106">
        <f t="shared" si="49"/>
        <v>1.7700281716762429</v>
      </c>
      <c r="X106">
        <f t="shared" si="49"/>
        <v>1.8372261116908863</v>
      </c>
      <c r="Y106">
        <f t="shared" si="49"/>
        <v>1.9034460277922007</v>
      </c>
      <c r="Z106">
        <f t="shared" si="49"/>
        <v>1.9721383470142675</v>
      </c>
      <c r="AA106">
        <f t="shared" si="49"/>
        <v>2.0441623445981416</v>
      </c>
      <c r="AB106">
        <f t="shared" si="49"/>
        <v>2.119795723725403</v>
      </c>
      <c r="AC106">
        <f t="shared" si="49"/>
        <v>2.1992457173706361</v>
      </c>
      <c r="AD106">
        <f t="shared" si="49"/>
        <v>2.2773474419416297</v>
      </c>
      <c r="AE106">
        <f t="shared" si="49"/>
        <v>2.3593329776417682</v>
      </c>
      <c r="AF106">
        <f t="shared" si="49"/>
        <v>2.4472132704182634</v>
      </c>
      <c r="AG106">
        <f t="shared" si="49"/>
        <v>2.5403029858703916</v>
      </c>
      <c r="AH106">
        <f t="shared" si="49"/>
        <v>2.6320427028120634</v>
      </c>
      <c r="AI106">
        <f t="shared" si="49"/>
        <v>2.7220560170937662</v>
      </c>
      <c r="AJ106">
        <f t="shared" si="49"/>
        <v>2.8099622298133404</v>
      </c>
      <c r="AK106">
        <f t="shared" si="49"/>
        <v>2.895378736918985</v>
      </c>
      <c r="AL106">
        <f t="shared" si="49"/>
        <v>2.9779237212689957</v>
      </c>
      <c r="AM106" s="28"/>
      <c r="AN106" s="28"/>
    </row>
    <row r="107" spans="1:40" x14ac:dyDescent="0.25">
      <c r="A107" t="s">
        <v>32</v>
      </c>
      <c r="B107">
        <v>706.01</v>
      </c>
      <c r="C107">
        <f t="shared" ref="C107:AL107" si="50">B107*C21/B21</f>
        <v>672.39284076522722</v>
      </c>
      <c r="D107">
        <f t="shared" si="50"/>
        <v>681.70217604711354</v>
      </c>
      <c r="E107">
        <f t="shared" si="50"/>
        <v>696.09125605657391</v>
      </c>
      <c r="F107">
        <f t="shared" si="50"/>
        <v>697.3079231672408</v>
      </c>
      <c r="G107">
        <f t="shared" si="50"/>
        <v>704.42561691908918</v>
      </c>
      <c r="H107">
        <f t="shared" si="50"/>
        <v>712.01936034525863</v>
      </c>
      <c r="I107">
        <f t="shared" si="50"/>
        <v>723.24302266490702</v>
      </c>
      <c r="J107">
        <f t="shared" si="50"/>
        <v>735.93162172159089</v>
      </c>
      <c r="K107">
        <f t="shared" si="50"/>
        <v>749.82628010615576</v>
      </c>
      <c r="L107">
        <f t="shared" si="50"/>
        <v>767.33435104605246</v>
      </c>
      <c r="M107">
        <f t="shared" si="50"/>
        <v>788.63993448263659</v>
      </c>
      <c r="N107">
        <f t="shared" si="50"/>
        <v>813.86442889450529</v>
      </c>
      <c r="O107">
        <f t="shared" si="50"/>
        <v>840.22127941483916</v>
      </c>
      <c r="P107">
        <f t="shared" si="50"/>
        <v>868.89624235616554</v>
      </c>
      <c r="Q107">
        <f t="shared" si="50"/>
        <v>901.03635242884627</v>
      </c>
      <c r="R107">
        <f t="shared" si="50"/>
        <v>935.94644033621466</v>
      </c>
      <c r="S107">
        <f t="shared" si="50"/>
        <v>972.87061008514934</v>
      </c>
      <c r="T107">
        <f t="shared" si="50"/>
        <v>1011.584367964083</v>
      </c>
      <c r="U107">
        <f t="shared" si="50"/>
        <v>1052.6062458594386</v>
      </c>
      <c r="V107">
        <f t="shared" si="50"/>
        <v>1094.2428467038628</v>
      </c>
      <c r="W107">
        <f t="shared" si="50"/>
        <v>1136.0523540774036</v>
      </c>
      <c r="X107">
        <f t="shared" si="50"/>
        <v>1179.1818246498929</v>
      </c>
      <c r="Y107">
        <f t="shared" si="50"/>
        <v>1221.6835728014282</v>
      </c>
      <c r="Z107">
        <f t="shared" si="50"/>
        <v>1265.7721767050384</v>
      </c>
      <c r="AA107">
        <f t="shared" si="50"/>
        <v>1311.9991426452118</v>
      </c>
      <c r="AB107">
        <f t="shared" si="50"/>
        <v>1360.5427080976099</v>
      </c>
      <c r="AC107">
        <f t="shared" si="50"/>
        <v>1411.5358808371288</v>
      </c>
      <c r="AD107">
        <f t="shared" si="50"/>
        <v>1461.6636977138264</v>
      </c>
      <c r="AE107">
        <f t="shared" si="50"/>
        <v>1514.284250495331</v>
      </c>
      <c r="AF107">
        <f t="shared" si="50"/>
        <v>1570.688219134543</v>
      </c>
      <c r="AG107">
        <f t="shared" si="50"/>
        <v>1630.4357373221403</v>
      </c>
      <c r="AH107">
        <f t="shared" si="50"/>
        <v>1689.3167896475859</v>
      </c>
      <c r="AI107">
        <f t="shared" si="50"/>
        <v>1747.0897896621541</v>
      </c>
      <c r="AJ107">
        <f t="shared" si="50"/>
        <v>1803.5103944277419</v>
      </c>
      <c r="AK107">
        <f t="shared" si="50"/>
        <v>1858.3330382292481</v>
      </c>
      <c r="AL107">
        <f t="shared" si="50"/>
        <v>1911.3126604119304</v>
      </c>
      <c r="AM107" s="28"/>
      <c r="AN107" s="28"/>
    </row>
    <row r="108" spans="1:40" x14ac:dyDescent="0.25">
      <c r="A108" t="s">
        <v>33</v>
      </c>
      <c r="B108">
        <v>124.42</v>
      </c>
      <c r="C108">
        <f t="shared" ref="C108:AL108" si="51">B108*C22/B22</f>
        <v>120.25282296650717</v>
      </c>
      <c r="D108">
        <f t="shared" si="51"/>
        <v>120.13623708415159</v>
      </c>
      <c r="E108">
        <f t="shared" si="51"/>
        <v>122.67202175402464</v>
      </c>
      <c r="F108">
        <f t="shared" si="51"/>
        <v>122.88643475371185</v>
      </c>
      <c r="G108">
        <f t="shared" si="51"/>
        <v>124.14078448899174</v>
      </c>
      <c r="H108">
        <f t="shared" si="51"/>
        <v>125.47902836242697</v>
      </c>
      <c r="I108">
        <f t="shared" si="51"/>
        <v>127.45697211083089</v>
      </c>
      <c r="J108">
        <f t="shared" si="51"/>
        <v>129.69308136513695</v>
      </c>
      <c r="K108">
        <f t="shared" si="51"/>
        <v>132.1417342117079</v>
      </c>
      <c r="L108">
        <f t="shared" si="51"/>
        <v>135.22717802460281</v>
      </c>
      <c r="M108">
        <f t="shared" si="51"/>
        <v>138.98185669938053</v>
      </c>
      <c r="N108">
        <f t="shared" si="51"/>
        <v>143.42716426545564</v>
      </c>
      <c r="O108">
        <f t="shared" si="51"/>
        <v>148.07202672029331</v>
      </c>
      <c r="P108">
        <f t="shared" si="51"/>
        <v>153.12540965985482</v>
      </c>
      <c r="Q108">
        <f t="shared" si="51"/>
        <v>158.78945477995643</v>
      </c>
      <c r="R108">
        <f t="shared" si="51"/>
        <v>164.94165253556156</v>
      </c>
      <c r="S108">
        <f t="shared" si="51"/>
        <v>171.44879152815719</v>
      </c>
      <c r="T108">
        <f t="shared" si="51"/>
        <v>178.27130927620175</v>
      </c>
      <c r="U108">
        <f t="shared" si="51"/>
        <v>185.50058654952667</v>
      </c>
      <c r="V108">
        <f t="shared" si="51"/>
        <v>192.8381963242654</v>
      </c>
      <c r="W108">
        <f t="shared" si="51"/>
        <v>200.20627738178007</v>
      </c>
      <c r="X108">
        <f t="shared" si="51"/>
        <v>207.80697528779999</v>
      </c>
      <c r="Y108">
        <f t="shared" si="51"/>
        <v>215.29704979809591</v>
      </c>
      <c r="Z108">
        <f t="shared" si="51"/>
        <v>223.06677557774094</v>
      </c>
      <c r="AA108">
        <f t="shared" si="51"/>
        <v>231.21334446809146</v>
      </c>
      <c r="AB108">
        <f t="shared" si="51"/>
        <v>239.76816722355863</v>
      </c>
      <c r="AC108">
        <f t="shared" si="51"/>
        <v>248.75468377750397</v>
      </c>
      <c r="AD108">
        <f t="shared" si="51"/>
        <v>257.58869884216131</v>
      </c>
      <c r="AE108">
        <f t="shared" si="51"/>
        <v>266.86200825289882</v>
      </c>
      <c r="AF108">
        <f t="shared" si="51"/>
        <v>276.8020682776729</v>
      </c>
      <c r="AG108">
        <f t="shared" si="51"/>
        <v>287.33136136544908</v>
      </c>
      <c r="AH108">
        <f t="shared" si="51"/>
        <v>297.70795734897894</v>
      </c>
      <c r="AI108">
        <f t="shared" si="51"/>
        <v>307.88928149709665</v>
      </c>
      <c r="AJ108">
        <f t="shared" si="51"/>
        <v>317.83227330306886</v>
      </c>
      <c r="AK108">
        <f t="shared" si="51"/>
        <v>327.49365677041828</v>
      </c>
      <c r="AL108">
        <f t="shared" si="51"/>
        <v>336.8302449093531</v>
      </c>
      <c r="AM108" s="28"/>
      <c r="AN108" s="28"/>
    </row>
    <row r="109" spans="1:40" x14ac:dyDescent="0.25">
      <c r="A109" t="s">
        <v>34</v>
      </c>
      <c r="B109">
        <v>646.41</v>
      </c>
      <c r="C109">
        <f t="shared" ref="C109:AL109" si="52">B109*C23/B23</f>
        <v>616.38080922190193</v>
      </c>
      <c r="D109">
        <f t="shared" si="52"/>
        <v>624.15419557600399</v>
      </c>
      <c r="E109">
        <f t="shared" si="52"/>
        <v>637.32857725461383</v>
      </c>
      <c r="F109">
        <f t="shared" si="52"/>
        <v>638.4425356787242</v>
      </c>
      <c r="G109">
        <f t="shared" si="52"/>
        <v>644.95936747732799</v>
      </c>
      <c r="H109">
        <f t="shared" si="52"/>
        <v>651.91206175660193</v>
      </c>
      <c r="I109">
        <f t="shared" si="52"/>
        <v>662.1882441903407</v>
      </c>
      <c r="J109">
        <f t="shared" si="52"/>
        <v>673.80569623242388</v>
      </c>
      <c r="K109">
        <f t="shared" si="52"/>
        <v>686.5273944043571</v>
      </c>
      <c r="L109">
        <f t="shared" si="52"/>
        <v>702.55746782577967</v>
      </c>
      <c r="M109">
        <f t="shared" si="52"/>
        <v>722.0644750767284</v>
      </c>
      <c r="N109">
        <f t="shared" si="52"/>
        <v>745.15956641081152</v>
      </c>
      <c r="O109">
        <f t="shared" si="52"/>
        <v>769.29142253869782</v>
      </c>
      <c r="P109">
        <f t="shared" si="52"/>
        <v>795.54570051620908</v>
      </c>
      <c r="Q109">
        <f t="shared" si="52"/>
        <v>824.97260459983613</v>
      </c>
      <c r="R109">
        <f t="shared" si="52"/>
        <v>856.93565034168398</v>
      </c>
      <c r="S109">
        <f t="shared" si="52"/>
        <v>890.74275302777733</v>
      </c>
      <c r="T109">
        <f t="shared" si="52"/>
        <v>926.18837027189795</v>
      </c>
      <c r="U109">
        <f t="shared" si="52"/>
        <v>963.7472605005587</v>
      </c>
      <c r="V109">
        <f t="shared" si="52"/>
        <v>1001.8689799547367</v>
      </c>
      <c r="W109">
        <f t="shared" si="52"/>
        <v>1040.1490095029449</v>
      </c>
      <c r="X109">
        <f t="shared" si="52"/>
        <v>1079.637573507368</v>
      </c>
      <c r="Y109">
        <f t="shared" si="52"/>
        <v>1118.5514062046868</v>
      </c>
      <c r="Z109">
        <f t="shared" si="52"/>
        <v>1158.9181353577196</v>
      </c>
      <c r="AA109">
        <f t="shared" si="52"/>
        <v>1201.2427101560761</v>
      </c>
      <c r="AB109">
        <f t="shared" si="52"/>
        <v>1245.6883216121244</v>
      </c>
      <c r="AC109">
        <f t="shared" si="52"/>
        <v>1292.3767492414108</v>
      </c>
      <c r="AD109">
        <f t="shared" si="52"/>
        <v>1338.2728726777161</v>
      </c>
      <c r="AE109">
        <f t="shared" si="52"/>
        <v>1386.4513000703766</v>
      </c>
      <c r="AF109">
        <f t="shared" si="52"/>
        <v>1438.0937546646078</v>
      </c>
      <c r="AG109">
        <f t="shared" si="52"/>
        <v>1492.7975028149808</v>
      </c>
      <c r="AH109">
        <f t="shared" si="52"/>
        <v>1546.7079304770407</v>
      </c>
      <c r="AI109">
        <f t="shared" si="52"/>
        <v>1599.6038454632551</v>
      </c>
      <c r="AJ109">
        <f t="shared" si="52"/>
        <v>1651.2615317942184</v>
      </c>
      <c r="AK109">
        <f t="shared" si="52"/>
        <v>1701.4561539379999</v>
      </c>
      <c r="AL109">
        <f t="shared" si="52"/>
        <v>1749.9633387868093</v>
      </c>
      <c r="AM109" s="28"/>
      <c r="AN109" s="28"/>
    </row>
    <row r="110" spans="1:40" x14ac:dyDescent="0.25">
      <c r="A110" t="s">
        <v>35</v>
      </c>
      <c r="B110">
        <v>27.78</v>
      </c>
      <c r="C110">
        <f t="shared" ref="C110:AL110" si="53">B110*C24/B24</f>
        <v>26.29382716049383</v>
      </c>
      <c r="D110">
        <f t="shared" si="53"/>
        <v>26.823538548446646</v>
      </c>
      <c r="E110">
        <f t="shared" si="53"/>
        <v>27.389718408027687</v>
      </c>
      <c r="F110">
        <f t="shared" si="53"/>
        <v>27.437591685083714</v>
      </c>
      <c r="G110">
        <f t="shared" si="53"/>
        <v>27.717657877384596</v>
      </c>
      <c r="H110">
        <f t="shared" si="53"/>
        <v>28.016455617330191</v>
      </c>
      <c r="I110">
        <f t="shared" si="53"/>
        <v>28.458082986970609</v>
      </c>
      <c r="J110">
        <f t="shared" si="53"/>
        <v>28.957352518272831</v>
      </c>
      <c r="K110">
        <f t="shared" si="53"/>
        <v>29.504077932818252</v>
      </c>
      <c r="L110">
        <f t="shared" si="53"/>
        <v>30.192983487570068</v>
      </c>
      <c r="M110">
        <f t="shared" si="53"/>
        <v>31.031313125773927</v>
      </c>
      <c r="N110">
        <f t="shared" si="53"/>
        <v>32.023843620755173</v>
      </c>
      <c r="O110">
        <f t="shared" si="53"/>
        <v>33.060929933208079</v>
      </c>
      <c r="P110">
        <f t="shared" si="53"/>
        <v>34.189229065670858</v>
      </c>
      <c r="Q110">
        <f t="shared" si="53"/>
        <v>35.453874407548554</v>
      </c>
      <c r="R110">
        <f t="shared" si="53"/>
        <v>36.8275125175848</v>
      </c>
      <c r="S110">
        <f t="shared" si="53"/>
        <v>38.280400487479575</v>
      </c>
      <c r="T110">
        <f t="shared" si="53"/>
        <v>39.803704964578735</v>
      </c>
      <c r="U110">
        <f t="shared" si="53"/>
        <v>41.417829081705939</v>
      </c>
      <c r="V110">
        <f t="shared" si="53"/>
        <v>43.056141246488465</v>
      </c>
      <c r="W110">
        <f t="shared" si="53"/>
        <v>44.701256917423663</v>
      </c>
      <c r="X110">
        <f t="shared" si="53"/>
        <v>46.398310347975297</v>
      </c>
      <c r="Y110">
        <f t="shared" si="53"/>
        <v>48.070664229152129</v>
      </c>
      <c r="Z110">
        <f t="shared" si="53"/>
        <v>49.805457527323959</v>
      </c>
      <c r="AA110">
        <f t="shared" si="53"/>
        <v>51.624390848123966</v>
      </c>
      <c r="AB110">
        <f t="shared" si="53"/>
        <v>53.534477459174262</v>
      </c>
      <c r="AC110">
        <f t="shared" si="53"/>
        <v>55.540950935051143</v>
      </c>
      <c r="AD110">
        <f t="shared" si="53"/>
        <v>57.513374488307704</v>
      </c>
      <c r="AE110">
        <f t="shared" si="53"/>
        <v>59.583881926262109</v>
      </c>
      <c r="AF110">
        <f t="shared" si="53"/>
        <v>61.803258774744869</v>
      </c>
      <c r="AG110">
        <f t="shared" si="53"/>
        <v>64.154197224981331</v>
      </c>
      <c r="AH110">
        <f t="shared" si="53"/>
        <v>66.471042076471917</v>
      </c>
      <c r="AI110">
        <f t="shared" si="53"/>
        <v>68.74428741351349</v>
      </c>
      <c r="AJ110">
        <f t="shared" si="53"/>
        <v>70.964318858376899</v>
      </c>
      <c r="AK110">
        <f t="shared" si="53"/>
        <v>73.121473919644927</v>
      </c>
      <c r="AL110">
        <f t="shared" si="53"/>
        <v>75.206109978957016</v>
      </c>
      <c r="AM110" s="28"/>
      <c r="AN110" s="28"/>
    </row>
    <row r="111" spans="1:40" x14ac:dyDescent="0.25">
      <c r="A111" t="s">
        <v>37</v>
      </c>
      <c r="B111">
        <v>951.8</v>
      </c>
      <c r="C111">
        <f t="shared" ref="C111:AL111" si="54">B111*C25/B25</f>
        <v>597.95725388601034</v>
      </c>
      <c r="D111">
        <f t="shared" si="54"/>
        <v>919.02966128191179</v>
      </c>
      <c r="E111">
        <f t="shared" si="54"/>
        <v>938.42814905546243</v>
      </c>
      <c r="F111">
        <f t="shared" si="54"/>
        <v>940.06838610016825</v>
      </c>
      <c r="G111">
        <f t="shared" si="54"/>
        <v>949.66403051456655</v>
      </c>
      <c r="H111">
        <f t="shared" si="54"/>
        <v>959.90145632018982</v>
      </c>
      <c r="I111">
        <f t="shared" si="54"/>
        <v>975.03251933040417</v>
      </c>
      <c r="J111">
        <f t="shared" si="54"/>
        <v>992.13852148639592</v>
      </c>
      <c r="K111">
        <f t="shared" si="54"/>
        <v>1010.8704599156376</v>
      </c>
      <c r="L111">
        <f t="shared" si="54"/>
        <v>1034.4737827022745</v>
      </c>
      <c r="M111">
        <f t="shared" si="54"/>
        <v>1063.1966822574377</v>
      </c>
      <c r="N111">
        <f t="shared" si="54"/>
        <v>1097.2028206707982</v>
      </c>
      <c r="O111">
        <f t="shared" si="54"/>
        <v>1132.7355331327376</v>
      </c>
      <c r="P111">
        <f t="shared" si="54"/>
        <v>1171.3933846186294</v>
      </c>
      <c r="Q111">
        <f t="shared" si="54"/>
        <v>1214.7227379807314</v>
      </c>
      <c r="R111">
        <f t="shared" si="54"/>
        <v>1261.7864079998999</v>
      </c>
      <c r="S111">
        <f t="shared" si="54"/>
        <v>1311.5653413960783</v>
      </c>
      <c r="T111">
        <f t="shared" si="54"/>
        <v>1363.7568893191519</v>
      </c>
      <c r="U111">
        <f t="shared" si="54"/>
        <v>1419.0601051104288</v>
      </c>
      <c r="V111">
        <f t="shared" si="54"/>
        <v>1475.1920532184204</v>
      </c>
      <c r="W111">
        <f t="shared" si="54"/>
        <v>1531.5571034558616</v>
      </c>
      <c r="X111">
        <f t="shared" si="54"/>
        <v>1589.7016482794411</v>
      </c>
      <c r="Y111">
        <f t="shared" si="54"/>
        <v>1646.9999356841965</v>
      </c>
      <c r="Z111">
        <f t="shared" si="54"/>
        <v>1706.4375260801628</v>
      </c>
      <c r="AA111">
        <f t="shared" si="54"/>
        <v>1768.7579268986458</v>
      </c>
      <c r="AB111">
        <f t="shared" si="54"/>
        <v>1834.2014271289436</v>
      </c>
      <c r="AC111">
        <f t="shared" si="54"/>
        <v>1902.9473398121552</v>
      </c>
      <c r="AD111">
        <f t="shared" si="54"/>
        <v>1970.5266320364026</v>
      </c>
      <c r="AE111">
        <f t="shared" si="54"/>
        <v>2041.4664801085769</v>
      </c>
      <c r="AF111">
        <f t="shared" si="54"/>
        <v>2117.5069007128209</v>
      </c>
      <c r="AG111">
        <f t="shared" si="54"/>
        <v>2198.0548926831257</v>
      </c>
      <c r="AH111">
        <f t="shared" si="54"/>
        <v>2277.4347677604742</v>
      </c>
      <c r="AI111">
        <f t="shared" si="54"/>
        <v>2355.3208336998605</v>
      </c>
      <c r="AJ111">
        <f t="shared" si="54"/>
        <v>2431.3836821239429</v>
      </c>
      <c r="AK111">
        <f t="shared" si="54"/>
        <v>2505.2922561813543</v>
      </c>
      <c r="AL111">
        <f t="shared" si="54"/>
        <v>2576.7161799125724</v>
      </c>
      <c r="AM111" s="28"/>
      <c r="AN111" s="28"/>
    </row>
    <row r="112" spans="1:40" x14ac:dyDescent="0.25">
      <c r="A112" t="s">
        <v>38</v>
      </c>
      <c r="B112">
        <v>5306.56</v>
      </c>
      <c r="C112">
        <f t="shared" ref="C112:AL112" si="55">B112*C26/B26</f>
        <v>5081.4673170731712</v>
      </c>
      <c r="D112">
        <f t="shared" si="55"/>
        <v>5054.5812465261952</v>
      </c>
      <c r="E112">
        <f t="shared" si="55"/>
        <v>5033.7662241480202</v>
      </c>
      <c r="F112">
        <f t="shared" si="55"/>
        <v>5058.9177093296885</v>
      </c>
      <c r="G112">
        <f t="shared" si="55"/>
        <v>5097.0785834426324</v>
      </c>
      <c r="H112">
        <f t="shared" si="55"/>
        <v>5166.4619909904914</v>
      </c>
      <c r="I112">
        <f t="shared" si="55"/>
        <v>5130.9029944916319</v>
      </c>
      <c r="J112">
        <f t="shared" si="55"/>
        <v>5117.0263128784536</v>
      </c>
      <c r="K112">
        <f t="shared" si="55"/>
        <v>5153.4526017980397</v>
      </c>
      <c r="L112">
        <f t="shared" si="55"/>
        <v>5182.0732573586465</v>
      </c>
      <c r="M112">
        <f t="shared" si="55"/>
        <v>5215.8976684909312</v>
      </c>
      <c r="N112">
        <f t="shared" si="55"/>
        <v>5192.4807683298895</v>
      </c>
      <c r="O112">
        <f t="shared" si="55"/>
        <v>5187.2770126711794</v>
      </c>
      <c r="P112">
        <f t="shared" si="55"/>
        <v>5120.4954827451256</v>
      </c>
      <c r="Q112">
        <f t="shared" si="55"/>
        <v>5100.5477529664695</v>
      </c>
      <c r="R112">
        <f t="shared" si="55"/>
        <v>5006.0128599935151</v>
      </c>
      <c r="S112">
        <f t="shared" si="55"/>
        <v>4912.3452596174693</v>
      </c>
      <c r="T112">
        <f t="shared" si="55"/>
        <v>4861.1749964106284</v>
      </c>
      <c r="U112">
        <f t="shared" si="55"/>
        <v>4764.9055182521861</v>
      </c>
      <c r="V112">
        <f t="shared" si="55"/>
        <v>4668.6360400954954</v>
      </c>
      <c r="W112">
        <f t="shared" si="55"/>
        <v>4570.6319767501764</v>
      </c>
      <c r="X112">
        <f t="shared" si="55"/>
        <v>4519.4617135471017</v>
      </c>
      <c r="Y112">
        <f t="shared" si="55"/>
        <v>4469.1587429401852</v>
      </c>
      <c r="Z112">
        <f t="shared" si="55"/>
        <v>4418.8557723342437</v>
      </c>
      <c r="AA112">
        <f t="shared" si="55"/>
        <v>4369.4200943244314</v>
      </c>
      <c r="AB112">
        <f t="shared" si="55"/>
        <v>4319.1171237204753</v>
      </c>
      <c r="AC112">
        <f t="shared" si="55"/>
        <v>4269.6814457126366</v>
      </c>
      <c r="AD112">
        <f t="shared" si="55"/>
        <v>4220.2457677058028</v>
      </c>
      <c r="AE112">
        <f t="shared" si="55"/>
        <v>4169.9427971049136</v>
      </c>
      <c r="AF112">
        <f t="shared" si="55"/>
        <v>4120.5071191001234</v>
      </c>
      <c r="AG112">
        <f t="shared" si="55"/>
        <v>4071.0714410963742</v>
      </c>
      <c r="AH112">
        <f t="shared" si="55"/>
        <v>4022.2185838032183</v>
      </c>
      <c r="AI112">
        <f t="shared" si="55"/>
        <v>3973.9519607975794</v>
      </c>
      <c r="AJ112">
        <f t="shared" si="55"/>
        <v>3926.2645372680086</v>
      </c>
      <c r="AK112">
        <f t="shared" si="55"/>
        <v>3879.1493628207932</v>
      </c>
      <c r="AL112">
        <f t="shared" si="55"/>
        <v>3832.599570466944</v>
      </c>
      <c r="AM112" s="28"/>
      <c r="AN112" s="28"/>
    </row>
    <row r="113" spans="1:40" x14ac:dyDescent="0.25">
      <c r="A113" t="s">
        <v>177</v>
      </c>
      <c r="B113">
        <v>192.87</v>
      </c>
      <c r="C113">
        <f t="shared" ref="C113:AL113" si="56">B113*C27/B27</f>
        <v>146.21713788514691</v>
      </c>
      <c r="D113">
        <f t="shared" si="56"/>
        <v>186.22951331313547</v>
      </c>
      <c r="E113">
        <f t="shared" si="56"/>
        <v>190.16036678748375</v>
      </c>
      <c r="F113">
        <f t="shared" si="56"/>
        <v>190.49273967970103</v>
      </c>
      <c r="G113">
        <f t="shared" si="56"/>
        <v>192.43717331933644</v>
      </c>
      <c r="H113">
        <f t="shared" si="56"/>
        <v>194.51165568446629</v>
      </c>
      <c r="I113">
        <f t="shared" si="56"/>
        <v>197.57777054344928</v>
      </c>
      <c r="J113">
        <f t="shared" si="56"/>
        <v>201.04408136066522</v>
      </c>
      <c r="K113">
        <f t="shared" si="56"/>
        <v>204.83986720311933</v>
      </c>
      <c r="L113">
        <f t="shared" si="56"/>
        <v>209.62277628681204</v>
      </c>
      <c r="M113">
        <f t="shared" si="56"/>
        <v>215.44310160432028</v>
      </c>
      <c r="N113">
        <f t="shared" si="56"/>
        <v>222.33400716828834</v>
      </c>
      <c r="O113">
        <f t="shared" si="56"/>
        <v>229.53425328357963</v>
      </c>
      <c r="P113">
        <f t="shared" si="56"/>
        <v>237.36776853477099</v>
      </c>
      <c r="Q113">
        <f t="shared" si="56"/>
        <v>246.1479034191465</v>
      </c>
      <c r="R113">
        <f t="shared" si="56"/>
        <v>255.68474943364222</v>
      </c>
      <c r="S113">
        <f t="shared" si="56"/>
        <v>265.77180856804119</v>
      </c>
      <c r="T113">
        <f t="shared" si="56"/>
        <v>276.34775293442408</v>
      </c>
      <c r="U113">
        <f t="shared" si="56"/>
        <v>287.554236680656</v>
      </c>
      <c r="V113">
        <f t="shared" si="56"/>
        <v>298.92865234738048</v>
      </c>
      <c r="W113">
        <f t="shared" si="56"/>
        <v>310.35030315563364</v>
      </c>
      <c r="X113">
        <f t="shared" si="56"/>
        <v>322.13254560165569</v>
      </c>
      <c r="Y113">
        <f t="shared" si="56"/>
        <v>333.74330489116528</v>
      </c>
      <c r="Z113">
        <f t="shared" si="56"/>
        <v>345.78756635331069</v>
      </c>
      <c r="AA113">
        <f t="shared" si="56"/>
        <v>358.41599218422141</v>
      </c>
      <c r="AB113">
        <f t="shared" si="56"/>
        <v>371.67727384992588</v>
      </c>
      <c r="AC113">
        <f t="shared" si="56"/>
        <v>385.60774682661327</v>
      </c>
      <c r="AD113">
        <f t="shared" si="56"/>
        <v>399.30181920662022</v>
      </c>
      <c r="AE113">
        <f t="shared" si="56"/>
        <v>413.67686490706183</v>
      </c>
      <c r="AF113">
        <f t="shared" si="56"/>
        <v>429.08547587779145</v>
      </c>
      <c r="AG113">
        <f t="shared" si="56"/>
        <v>445.4074880771114</v>
      </c>
      <c r="AH113">
        <f t="shared" si="56"/>
        <v>461.49279644669349</v>
      </c>
      <c r="AI113">
        <f t="shared" si="56"/>
        <v>477.27540365170444</v>
      </c>
      <c r="AJ113">
        <f t="shared" si="56"/>
        <v>492.68855933099917</v>
      </c>
      <c r="AK113">
        <f t="shared" si="56"/>
        <v>507.66517908142265</v>
      </c>
      <c r="AL113">
        <f t="shared" si="56"/>
        <v>522.1383164737739</v>
      </c>
      <c r="AM113" s="28"/>
      <c r="AN113" s="28"/>
    </row>
    <row r="114" spans="1:40" x14ac:dyDescent="0.25">
      <c r="A114" t="s">
        <v>178</v>
      </c>
      <c r="B114">
        <v>15.43</v>
      </c>
      <c r="C114">
        <f t="shared" ref="C114:AL114" si="57">B114*C28/B28</f>
        <v>14.62441767068273</v>
      </c>
      <c r="D114">
        <f t="shared" si="57"/>
        <v>14.898747293107691</v>
      </c>
      <c r="E114">
        <f t="shared" si="57"/>
        <v>15.213223723393348</v>
      </c>
      <c r="F114">
        <f t="shared" si="57"/>
        <v>15.239814244090772</v>
      </c>
      <c r="G114">
        <f t="shared" si="57"/>
        <v>15.395372967892163</v>
      </c>
      <c r="H114">
        <f t="shared" si="57"/>
        <v>15.561335859445817</v>
      </c>
      <c r="I114">
        <f t="shared" si="57"/>
        <v>15.806631407089865</v>
      </c>
      <c r="J114">
        <f t="shared" si="57"/>
        <v>16.083943461373281</v>
      </c>
      <c r="K114">
        <f t="shared" si="57"/>
        <v>16.387614200985798</v>
      </c>
      <c r="L114">
        <f t="shared" si="57"/>
        <v>16.770256847127644</v>
      </c>
      <c r="M114">
        <f t="shared" si="57"/>
        <v>17.235894943509415</v>
      </c>
      <c r="N114">
        <f t="shared" si="57"/>
        <v>17.787181679922686</v>
      </c>
      <c r="O114">
        <f t="shared" si="57"/>
        <v>18.363216301994257</v>
      </c>
      <c r="P114">
        <f t="shared" si="57"/>
        <v>18.989913768297377</v>
      </c>
      <c r="Q114">
        <f t="shared" si="57"/>
        <v>19.692342768483584</v>
      </c>
      <c r="R114">
        <f t="shared" si="57"/>
        <v>20.455310228449722</v>
      </c>
      <c r="S114">
        <f t="shared" si="57"/>
        <v>21.262295879114813</v>
      </c>
      <c r="T114">
        <f t="shared" si="57"/>
        <v>22.108393362255207</v>
      </c>
      <c r="U114">
        <f t="shared" si="57"/>
        <v>23.004935303481727</v>
      </c>
      <c r="V114">
        <f t="shared" si="57"/>
        <v>23.914912146627671</v>
      </c>
      <c r="W114">
        <f t="shared" si="57"/>
        <v>24.828667899058562</v>
      </c>
      <c r="X114">
        <f t="shared" si="57"/>
        <v>25.771271730354872</v>
      </c>
      <c r="Y114">
        <f t="shared" si="57"/>
        <v>26.70015655348513</v>
      </c>
      <c r="Z114">
        <f t="shared" si="57"/>
        <v>27.663722449481938</v>
      </c>
      <c r="AA114">
        <f t="shared" si="57"/>
        <v>28.674022706499372</v>
      </c>
      <c r="AB114">
        <f t="shared" si="57"/>
        <v>29.734952742802683</v>
      </c>
      <c r="AC114">
        <f t="shared" si="57"/>
        <v>30.849419471844445</v>
      </c>
      <c r="AD114">
        <f t="shared" si="57"/>
        <v>31.944973662872119</v>
      </c>
      <c r="AE114">
        <f t="shared" si="57"/>
        <v>33.095007131829512</v>
      </c>
      <c r="AF114">
        <f t="shared" si="57"/>
        <v>34.327727965957983</v>
      </c>
      <c r="AG114">
        <f t="shared" si="57"/>
        <v>35.633522792709201</v>
      </c>
      <c r="AH114">
        <f t="shared" si="57"/>
        <v>36.920380822172831</v>
      </c>
      <c r="AI114">
        <f t="shared" si="57"/>
        <v>38.183022130687988</v>
      </c>
      <c r="AJ114">
        <f t="shared" si="57"/>
        <v>39.416106550927104</v>
      </c>
      <c r="AK114">
        <f t="shared" si="57"/>
        <v>40.614267191509015</v>
      </c>
      <c r="AL114">
        <f t="shared" si="57"/>
        <v>41.772148199255078</v>
      </c>
      <c r="AM114" s="28"/>
      <c r="AN114" s="28"/>
    </row>
    <row r="115" spans="1:40" x14ac:dyDescent="0.25">
      <c r="A115" t="s">
        <v>182</v>
      </c>
      <c r="B115">
        <v>1</v>
      </c>
      <c r="C115">
        <f t="shared" ref="C115:AL115" si="58">B115*C29/B29</f>
        <v>1</v>
      </c>
      <c r="D115">
        <f t="shared" si="58"/>
        <v>0.96557014213270842</v>
      </c>
      <c r="E115">
        <f t="shared" si="58"/>
        <v>0.98595098661006764</v>
      </c>
      <c r="F115">
        <f t="shared" si="58"/>
        <v>0.98767428672007584</v>
      </c>
      <c r="G115">
        <f t="shared" si="58"/>
        <v>0.99775586311679587</v>
      </c>
      <c r="H115">
        <f t="shared" si="58"/>
        <v>1.0085117212861836</v>
      </c>
      <c r="I115">
        <f t="shared" si="58"/>
        <v>1.0244090348081571</v>
      </c>
      <c r="J115">
        <f t="shared" si="58"/>
        <v>1.0423813001538094</v>
      </c>
      <c r="K115">
        <f t="shared" si="58"/>
        <v>1.0620618406342059</v>
      </c>
      <c r="L115">
        <f t="shared" si="58"/>
        <v>1.0868604567159847</v>
      </c>
      <c r="M115">
        <f t="shared" si="58"/>
        <v>1.1170379094951013</v>
      </c>
      <c r="N115">
        <f t="shared" si="58"/>
        <v>1.1527661490552614</v>
      </c>
      <c r="O115">
        <f t="shared" si="58"/>
        <v>1.1900982697339115</v>
      </c>
      <c r="P115">
        <f t="shared" si="58"/>
        <v>1.2307137892610094</v>
      </c>
      <c r="Q115">
        <f t="shared" si="58"/>
        <v>1.2762373796813726</v>
      </c>
      <c r="R115">
        <f t="shared" si="58"/>
        <v>1.3256843958813815</v>
      </c>
      <c r="S115">
        <f t="shared" si="58"/>
        <v>1.3779841788149583</v>
      </c>
      <c r="T115">
        <f t="shared" si="58"/>
        <v>1.4328187532245755</v>
      </c>
      <c r="U115">
        <f t="shared" si="58"/>
        <v>1.4909225731355618</v>
      </c>
      <c r="V115">
        <f t="shared" si="58"/>
        <v>1.5498970931061351</v>
      </c>
      <c r="W115">
        <f t="shared" si="58"/>
        <v>1.6091165197056743</v>
      </c>
      <c r="X115">
        <f t="shared" si="58"/>
        <v>1.6702055560826228</v>
      </c>
      <c r="Y115">
        <f t="shared" si="58"/>
        <v>1.7304054798110904</v>
      </c>
      <c r="Z115">
        <f t="shared" si="58"/>
        <v>1.7928530427402414</v>
      </c>
      <c r="AA115">
        <f t="shared" si="58"/>
        <v>1.858329404180127</v>
      </c>
      <c r="AB115">
        <f t="shared" si="58"/>
        <v>1.9270870215685465</v>
      </c>
      <c r="AC115">
        <f t="shared" si="58"/>
        <v>1.999314288518758</v>
      </c>
      <c r="AD115">
        <f t="shared" si="58"/>
        <v>2.0703158563105708</v>
      </c>
      <c r="AE115">
        <f t="shared" si="58"/>
        <v>2.1448481614925154</v>
      </c>
      <c r="AF115">
        <f t="shared" si="58"/>
        <v>2.2247393367438741</v>
      </c>
      <c r="AG115">
        <f t="shared" si="58"/>
        <v>2.3093663507912634</v>
      </c>
      <c r="AH115">
        <f t="shared" si="58"/>
        <v>2.3927660934655108</v>
      </c>
      <c r="AI115">
        <f t="shared" si="58"/>
        <v>2.4745963791761496</v>
      </c>
      <c r="AJ115">
        <f t="shared" si="58"/>
        <v>2.5545111180121256</v>
      </c>
      <c r="AK115">
        <f t="shared" si="58"/>
        <v>2.6321624881081669</v>
      </c>
      <c r="AL115">
        <f t="shared" si="58"/>
        <v>2.7072033829718123</v>
      </c>
      <c r="AM115" s="28"/>
      <c r="AN115" s="28"/>
    </row>
    <row r="116" spans="1:40" x14ac:dyDescent="0.25">
      <c r="A116" t="s">
        <v>183</v>
      </c>
      <c r="B116">
        <v>0.25</v>
      </c>
      <c r="C116">
        <f t="shared" ref="C116:AL116" si="59">B116*C30/B30</f>
        <v>0.25</v>
      </c>
      <c r="D116">
        <f t="shared" si="59"/>
        <v>0.24139253553317708</v>
      </c>
      <c r="E116">
        <f t="shared" si="59"/>
        <v>0.24648774665251694</v>
      </c>
      <c r="F116">
        <f t="shared" si="59"/>
        <v>0.24691857168001896</v>
      </c>
      <c r="G116">
        <f t="shared" si="59"/>
        <v>0.24943896577919897</v>
      </c>
      <c r="H116">
        <f t="shared" si="59"/>
        <v>0.2521279303215459</v>
      </c>
      <c r="I116">
        <f t="shared" si="59"/>
        <v>0.25610225870203929</v>
      </c>
      <c r="J116">
        <f t="shared" si="59"/>
        <v>0.26059532503845234</v>
      </c>
      <c r="K116">
        <f t="shared" si="59"/>
        <v>0.26551546015855154</v>
      </c>
      <c r="L116">
        <f t="shared" si="59"/>
        <v>0.27171511417899624</v>
      </c>
      <c r="M116">
        <f t="shared" si="59"/>
        <v>0.27925947737377543</v>
      </c>
      <c r="N116">
        <f t="shared" si="59"/>
        <v>0.28819153726381547</v>
      </c>
      <c r="O116">
        <f t="shared" si="59"/>
        <v>0.29752456743347799</v>
      </c>
      <c r="P116">
        <f t="shared" si="59"/>
        <v>0.30767844731525251</v>
      </c>
      <c r="Q116">
        <f t="shared" si="59"/>
        <v>0.31905934492034332</v>
      </c>
      <c r="R116">
        <f t="shared" si="59"/>
        <v>0.33142109897034555</v>
      </c>
      <c r="S116">
        <f t="shared" si="59"/>
        <v>0.34449604470373973</v>
      </c>
      <c r="T116">
        <f t="shared" si="59"/>
        <v>0.35820468830614405</v>
      </c>
      <c r="U116">
        <f t="shared" si="59"/>
        <v>0.37273064328389066</v>
      </c>
      <c r="V116">
        <f t="shared" si="59"/>
        <v>0.38747427327653394</v>
      </c>
      <c r="W116">
        <f t="shared" si="59"/>
        <v>0.40227912992641868</v>
      </c>
      <c r="X116">
        <f t="shared" si="59"/>
        <v>0.41755138902065581</v>
      </c>
      <c r="Y116">
        <f t="shared" si="59"/>
        <v>0.43260136995277276</v>
      </c>
      <c r="Z116">
        <f t="shared" si="59"/>
        <v>0.44821326068506062</v>
      </c>
      <c r="AA116">
        <f t="shared" si="59"/>
        <v>0.46458235104503193</v>
      </c>
      <c r="AB116">
        <f t="shared" si="59"/>
        <v>0.48177175539213679</v>
      </c>
      <c r="AC116">
        <f t="shared" si="59"/>
        <v>0.49982857212968973</v>
      </c>
      <c r="AD116">
        <f t="shared" si="59"/>
        <v>0.51757896407764292</v>
      </c>
      <c r="AE116">
        <f t="shared" si="59"/>
        <v>0.53621204037312897</v>
      </c>
      <c r="AF116">
        <f t="shared" si="59"/>
        <v>0.55618483418596876</v>
      </c>
      <c r="AG116">
        <f t="shared" si="59"/>
        <v>0.57734158769781607</v>
      </c>
      <c r="AH116">
        <f t="shared" si="59"/>
        <v>0.59819152336637793</v>
      </c>
      <c r="AI116">
        <f t="shared" si="59"/>
        <v>0.61864909479403762</v>
      </c>
      <c r="AJ116">
        <f t="shared" si="59"/>
        <v>0.63862777950303173</v>
      </c>
      <c r="AK116">
        <f t="shared" si="59"/>
        <v>0.65804062202704205</v>
      </c>
      <c r="AL116">
        <f t="shared" si="59"/>
        <v>0.67680084574295352</v>
      </c>
      <c r="AM116" s="28"/>
      <c r="AN116" s="28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8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5"/>
  <sheetViews>
    <sheetView workbookViewId="0">
      <selection activeCell="C9" sqref="C9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248</v>
      </c>
      <c r="C9" t="str">
        <f>"Drivers!"&amp;ADDRESS(ROW(Drivers!A37),COLUMN(Drivers!A37),4)</f>
        <v>Drivers!A37</v>
      </c>
      <c r="E9">
        <v>1</v>
      </c>
    </row>
    <row r="10" spans="1:6" x14ac:dyDescent="0.25">
      <c r="A10" t="s">
        <v>4</v>
      </c>
      <c r="B10" t="s">
        <v>238</v>
      </c>
      <c r="C10" t="str">
        <f>"Drivers!"&amp;ADDRESS(ROW(Drivers!A44),COLUMN(Drivers!A44),4)</f>
        <v>Drivers!A44</v>
      </c>
      <c r="E10">
        <v>1</v>
      </c>
    </row>
    <row r="11" spans="1:6" x14ac:dyDescent="0.25">
      <c r="A11" t="s">
        <v>4</v>
      </c>
      <c r="B11" t="s">
        <v>68</v>
      </c>
      <c r="C11" t="str">
        <f>"Drivers!"&amp;ADDRESS(ROW(Drivers!A55),COLUMN(Drivers!A55),4)</f>
        <v>Drivers!A55</v>
      </c>
      <c r="D11">
        <v>1</v>
      </c>
      <c r="E11">
        <v>1</v>
      </c>
    </row>
    <row r="12" spans="1:6" x14ac:dyDescent="0.25">
      <c r="A12" t="s">
        <v>4</v>
      </c>
      <c r="B12" t="s">
        <v>13</v>
      </c>
      <c r="C12" t="str">
        <f>"Drivers!"&amp;ADDRESS(ROW(Drivers!A62),COLUMN(Drivers!A62),4)</f>
        <v>Drivers!A62</v>
      </c>
      <c r="E12">
        <v>1</v>
      </c>
    </row>
    <row r="13" spans="1:6" x14ac:dyDescent="0.25">
      <c r="A13" t="s">
        <v>3</v>
      </c>
      <c r="B13" t="s">
        <v>17</v>
      </c>
      <c r="C13" t="str">
        <f>"Drivers!"&amp;ADDRESS(ROW(Drivers!A67),COLUMN(Drivers!A67),4)</f>
        <v>Drivers!A67</v>
      </c>
      <c r="D13">
        <v>2</v>
      </c>
      <c r="E13">
        <v>1</v>
      </c>
    </row>
    <row r="14" spans="1:6" x14ac:dyDescent="0.25">
      <c r="A14" t="s">
        <v>4</v>
      </c>
      <c r="B14" t="s">
        <v>180</v>
      </c>
      <c r="C14" t="str">
        <f>"Drivers!"&amp;ADDRESS(ROW(Drivers!A86),COLUMN(Drivers!A86),4)</f>
        <v>Drivers!A86</v>
      </c>
      <c r="D14">
        <v>1</v>
      </c>
      <c r="E14">
        <v>1</v>
      </c>
    </row>
    <row r="15" spans="1:6" x14ac:dyDescent="0.25">
      <c r="A15" t="s">
        <v>4</v>
      </c>
      <c r="B15" t="s">
        <v>236</v>
      </c>
      <c r="C15" t="str">
        <f>"Drivers!"&amp;ADDRESS(ROW(Drivers!A95),COLUMN(Drivers!A95),4)</f>
        <v>Drivers!A95</v>
      </c>
      <c r="D15">
        <v>1</v>
      </c>
      <c r="E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M7" sqref="M7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180</v>
      </c>
      <c r="C15" t="s">
        <v>181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zoomScale="70" zoomScaleNormal="70" workbookViewId="0">
      <selection activeCell="AG34" sqref="AG34:AK35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134</v>
      </c>
      <c r="B1" s="2" t="s">
        <v>136</v>
      </c>
    </row>
    <row r="2" spans="1:43" ht="18" thickBot="1" x14ac:dyDescent="0.35">
      <c r="A2" s="23" t="s">
        <v>142</v>
      </c>
      <c r="B2" s="4"/>
      <c r="C2" s="4"/>
      <c r="D2" s="4"/>
      <c r="AQ2" s="20" t="s">
        <v>140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136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135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177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178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182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183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v>0.18167</v>
      </c>
      <c r="B35" s="17">
        <v>0.16807</v>
      </c>
      <c r="C35" s="17">
        <v>0.14157</v>
      </c>
      <c r="D35" s="17">
        <v>0.14371</v>
      </c>
      <c r="E35" s="17">
        <v>0.14446000000000001</v>
      </c>
      <c r="F35" s="17">
        <v>0.14479</v>
      </c>
      <c r="G35" s="17">
        <v>0.14419000000000001</v>
      </c>
      <c r="H35" s="17">
        <v>0.14348</v>
      </c>
      <c r="I35" s="17">
        <v>0.14643999999999999</v>
      </c>
      <c r="J35" s="17">
        <v>0.14946999999999999</v>
      </c>
      <c r="K35" s="17">
        <v>0.15278</v>
      </c>
      <c r="L35" s="17">
        <v>0.15711</v>
      </c>
      <c r="M35" s="17">
        <v>0.16162000000000001</v>
      </c>
      <c r="N35" s="17">
        <v>0.16606000000000001</v>
      </c>
      <c r="O35" s="17">
        <v>0.17077999999999999</v>
      </c>
      <c r="P35" s="17">
        <v>0.17574999999999999</v>
      </c>
      <c r="Q35" s="17">
        <v>0.18034</v>
      </c>
      <c r="R35" s="17">
        <v>0.15312999999999999</v>
      </c>
      <c r="S35" s="17">
        <v>0.15779000000000001</v>
      </c>
      <c r="T35" s="17">
        <v>0.16272</v>
      </c>
      <c r="U35" s="17">
        <v>0.16686999999999999</v>
      </c>
      <c r="V35" s="17">
        <v>0.17193</v>
      </c>
      <c r="W35" s="17">
        <v>0.17607999999999999</v>
      </c>
      <c r="X35" s="17">
        <v>0.18059</v>
      </c>
      <c r="Y35" s="17">
        <v>0.18582000000000001</v>
      </c>
      <c r="Z35" s="17">
        <v>0.19078000000000001</v>
      </c>
      <c r="AA35" s="17">
        <v>0.19633999999999999</v>
      </c>
      <c r="AB35" s="17">
        <v>0.20261999999999999</v>
      </c>
      <c r="AC35" s="17">
        <v>0.20909</v>
      </c>
      <c r="AD35" s="17">
        <v>0.21587000000000001</v>
      </c>
      <c r="AE35" s="17">
        <v>0.22289999999999999</v>
      </c>
      <c r="AF35" s="17">
        <v>0.19781000000000001</v>
      </c>
    </row>
    <row r="37" spans="1:40" x14ac:dyDescent="0.25">
      <c r="F37" t="s">
        <v>169</v>
      </c>
    </row>
    <row r="38" spans="1:40" ht="18" thickBot="1" x14ac:dyDescent="0.35">
      <c r="A38" s="23" t="s">
        <v>137</v>
      </c>
      <c r="B38" s="23"/>
      <c r="C38" s="23"/>
      <c r="D38" s="2" t="s">
        <v>169</v>
      </c>
      <c r="F38" t="s">
        <v>170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177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178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182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183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138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139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141</v>
      </c>
      <c r="B76" s="23"/>
      <c r="C76" s="23"/>
      <c r="D76" s="23"/>
      <c r="E76" s="23"/>
      <c r="I76">
        <f t="shared" ref="I76:S76" si="25">I78/SUM(I78:I96)</f>
        <v>0.65012527750746507</v>
      </c>
      <c r="J76">
        <f t="shared" si="25"/>
        <v>0.64955006467432808</v>
      </c>
      <c r="K76">
        <f t="shared" si="25"/>
        <v>0.64977613747611263</v>
      </c>
      <c r="L76">
        <f t="shared" si="25"/>
        <v>0.65070417967282479</v>
      </c>
      <c r="M76">
        <f t="shared" si="25"/>
        <v>0.6515285988198799</v>
      </c>
      <c r="N76">
        <f t="shared" si="25"/>
        <v>0.65234082130967597</v>
      </c>
      <c r="O76">
        <f t="shared" si="25"/>
        <v>0.65319744479213748</v>
      </c>
      <c r="P76">
        <f t="shared" si="25"/>
        <v>0.65432083530081231</v>
      </c>
      <c r="Q76">
        <f t="shared" si="25"/>
        <v>0.65553308079637407</v>
      </c>
      <c r="R76">
        <f t="shared" si="25"/>
        <v>0.65667569723918151</v>
      </c>
      <c r="S76">
        <f t="shared" si="25"/>
        <v>0.6576616358531735</v>
      </c>
      <c r="T76">
        <f>T78/SUM(T78:T96)</f>
        <v>0.658628124207702</v>
      </c>
      <c r="U76">
        <f t="shared" ref="U76:AN76" si="26">U78/SUM(U78:U96)</f>
        <v>0.65983883949762412</v>
      </c>
      <c r="V76">
        <f t="shared" si="26"/>
        <v>0.66101229575323539</v>
      </c>
      <c r="W76">
        <f t="shared" si="26"/>
        <v>0.66217941084938514</v>
      </c>
      <c r="X76">
        <f t="shared" si="26"/>
        <v>0.66340503466274958</v>
      </c>
      <c r="Y76">
        <f t="shared" si="26"/>
        <v>0.66479731887954696</v>
      </c>
      <c r="Z76">
        <f t="shared" si="26"/>
        <v>0.66585076603101345</v>
      </c>
      <c r="AA76">
        <f t="shared" si="26"/>
        <v>0.66705910676101376</v>
      </c>
      <c r="AB76">
        <f t="shared" si="26"/>
        <v>0.66817665437815443</v>
      </c>
      <c r="AC76">
        <f t="shared" si="26"/>
        <v>0.66931537433900257</v>
      </c>
      <c r="AD76">
        <f t="shared" si="26"/>
        <v>0.67045186313307725</v>
      </c>
      <c r="AE76">
        <f t="shared" si="26"/>
        <v>0.67167611044670106</v>
      </c>
      <c r="AF76">
        <f t="shared" si="26"/>
        <v>0.67295485103125718</v>
      </c>
      <c r="AG76">
        <f t="shared" si="26"/>
        <v>0.67428166025722314</v>
      </c>
      <c r="AH76">
        <f t="shared" si="26"/>
        <v>0.67566645711647755</v>
      </c>
      <c r="AI76">
        <f t="shared" si="26"/>
        <v>0.67711542772232824</v>
      </c>
      <c r="AJ76">
        <f t="shared" si="26"/>
        <v>0.67837070115488141</v>
      </c>
      <c r="AK76">
        <f t="shared" si="26"/>
        <v>0.67963835107799764</v>
      </c>
      <c r="AL76">
        <f t="shared" si="26"/>
        <v>0.68085936282195469</v>
      </c>
      <c r="AM76">
        <f t="shared" si="26"/>
        <v>0.68205414420508592</v>
      </c>
      <c r="AN76">
        <f t="shared" si="26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145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138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139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165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145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138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139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167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7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7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7"/>
        <v>18</v>
      </c>
      <c r="B151" t="s">
        <v>145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7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7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7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7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7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7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7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7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7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7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7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7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7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7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7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138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8">C208</f>
        <v>0.49530000000000002</v>
      </c>
      <c r="D170" s="12">
        <f t="shared" si="28"/>
        <v>0.48570000000000002</v>
      </c>
      <c r="E170" s="12">
        <f t="shared" si="28"/>
        <v>0.48010000000000003</v>
      </c>
      <c r="F170" s="12">
        <f t="shared" si="28"/>
        <v>0.4783</v>
      </c>
      <c r="G170" s="12">
        <f t="shared" si="28"/>
        <v>0.47289999999999999</v>
      </c>
      <c r="H170" s="12">
        <f t="shared" si="28"/>
        <v>0.46870000000000001</v>
      </c>
      <c r="I170" s="12">
        <f t="shared" si="28"/>
        <v>0.47139999999999999</v>
      </c>
      <c r="J170" s="12">
        <f t="shared" si="28"/>
        <v>0.48859999999999998</v>
      </c>
      <c r="K170" s="12">
        <f t="shared" si="28"/>
        <v>0.50270000000000004</v>
      </c>
      <c r="L170" s="12">
        <f t="shared" si="28"/>
        <v>0.498</v>
      </c>
      <c r="M170" s="12">
        <f t="shared" si="28"/>
        <v>0.49359999999999998</v>
      </c>
      <c r="N170" s="12">
        <f t="shared" si="28"/>
        <v>0.48820000000000002</v>
      </c>
      <c r="O170" s="12">
        <f t="shared" si="28"/>
        <v>0.48220000000000002</v>
      </c>
      <c r="P170" s="12">
        <f t="shared" si="28"/>
        <v>0.47520000000000001</v>
      </c>
      <c r="Q170" s="12">
        <f t="shared" si="28"/>
        <v>0.46839999999999998</v>
      </c>
      <c r="R170" s="12">
        <f t="shared" si="28"/>
        <v>0.4647</v>
      </c>
      <c r="S170" s="12">
        <f t="shared" si="28"/>
        <v>0.45779999999999998</v>
      </c>
      <c r="T170" s="12">
        <f t="shared" si="28"/>
        <v>0.44979999999999998</v>
      </c>
      <c r="U170" s="12">
        <f t="shared" si="28"/>
        <v>0.44130000000000003</v>
      </c>
      <c r="V170" s="12">
        <f t="shared" si="28"/>
        <v>0.43219999999999997</v>
      </c>
      <c r="W170" s="12">
        <f t="shared" si="28"/>
        <v>0.42320000000000002</v>
      </c>
      <c r="X170" s="12">
        <f t="shared" si="28"/>
        <v>0.4138</v>
      </c>
      <c r="Y170" s="12">
        <f t="shared" si="28"/>
        <v>0.40460000000000002</v>
      </c>
      <c r="Z170" s="12">
        <f t="shared" si="28"/>
        <v>0.39539999999999997</v>
      </c>
      <c r="AA170" s="12">
        <f t="shared" si="28"/>
        <v>0.38550000000000001</v>
      </c>
      <c r="AB170" s="12">
        <f t="shared" si="28"/>
        <v>0.37590000000000001</v>
      </c>
      <c r="AC170" s="12">
        <f t="shared" si="28"/>
        <v>0.36670000000000003</v>
      </c>
      <c r="AD170" s="12">
        <f t="shared" si="28"/>
        <v>0.35759999999999997</v>
      </c>
      <c r="AE170" s="12">
        <f t="shared" si="28"/>
        <v>0.34839999999999999</v>
      </c>
      <c r="AF170" s="12">
        <f t="shared" si="28"/>
        <v>0.33989999999999998</v>
      </c>
      <c r="AG170" s="12">
        <f t="shared" si="28"/>
        <v>0.33169999999999999</v>
      </c>
      <c r="AH170" s="12">
        <f t="shared" si="28"/>
        <v>0.32350000000000001</v>
      </c>
      <c r="AI170" s="12">
        <f t="shared" si="28"/>
        <v>0.31519999999999998</v>
      </c>
      <c r="AJ170" s="12">
        <f t="shared" si="28"/>
        <v>0.30669999999999997</v>
      </c>
      <c r="AK170" s="12">
        <f t="shared" si="28"/>
        <v>0.2989</v>
      </c>
      <c r="AL170" s="12">
        <f t="shared" si="28"/>
        <v>0.29149999999999998</v>
      </c>
      <c r="AM170" s="12">
        <f t="shared" si="28"/>
        <v>0.28389999999999999</v>
      </c>
      <c r="AN170" s="12">
        <f t="shared" si="28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29">C207</f>
        <v>0.29570000000000002</v>
      </c>
      <c r="D171" s="12">
        <f t="shared" si="29"/>
        <v>0.29930000000000001</v>
      </c>
      <c r="E171" s="12">
        <f t="shared" si="29"/>
        <v>0.3029</v>
      </c>
      <c r="F171" s="12">
        <f t="shared" si="29"/>
        <v>0.3044</v>
      </c>
      <c r="G171" s="12">
        <f t="shared" si="29"/>
        <v>0.30480000000000002</v>
      </c>
      <c r="H171" s="12">
        <f t="shared" si="29"/>
        <v>0.30819999999999997</v>
      </c>
      <c r="I171" s="12">
        <f t="shared" si="29"/>
        <v>0.31109999999999999</v>
      </c>
      <c r="J171" s="12">
        <f t="shared" si="29"/>
        <v>0.31140000000000001</v>
      </c>
      <c r="K171" s="12">
        <f t="shared" si="29"/>
        <v>0.29730000000000001</v>
      </c>
      <c r="L171" s="12">
        <f t="shared" si="29"/>
        <v>0.30199999999999999</v>
      </c>
      <c r="M171" s="12">
        <f t="shared" si="29"/>
        <v>0.30640000000000001</v>
      </c>
      <c r="N171" s="12">
        <f t="shared" si="29"/>
        <v>0.30940000000000001</v>
      </c>
      <c r="O171" s="12">
        <f t="shared" si="29"/>
        <v>0.3115</v>
      </c>
      <c r="P171" s="12">
        <f t="shared" si="29"/>
        <v>0.313</v>
      </c>
      <c r="Q171" s="12">
        <f t="shared" si="29"/>
        <v>0.31540000000000001</v>
      </c>
      <c r="R171" s="12">
        <f t="shared" si="29"/>
        <v>0.3175</v>
      </c>
      <c r="S171" s="12">
        <f t="shared" si="29"/>
        <v>0.31859999999999999</v>
      </c>
      <c r="T171" s="12">
        <f t="shared" si="29"/>
        <v>0.32069999999999999</v>
      </c>
      <c r="U171" s="12">
        <f t="shared" si="29"/>
        <v>0.32240000000000002</v>
      </c>
      <c r="V171" s="12">
        <f t="shared" si="29"/>
        <v>0.32469999999999999</v>
      </c>
      <c r="W171" s="12">
        <f t="shared" si="29"/>
        <v>0.32690000000000002</v>
      </c>
      <c r="X171" s="12">
        <f t="shared" si="29"/>
        <v>0.32890000000000003</v>
      </c>
      <c r="Y171" s="12">
        <f t="shared" si="29"/>
        <v>0.33139999999999997</v>
      </c>
      <c r="Z171" s="12">
        <f t="shared" si="29"/>
        <v>0.33339999999999997</v>
      </c>
      <c r="AA171" s="12">
        <f t="shared" si="29"/>
        <v>0.33560000000000001</v>
      </c>
      <c r="AB171" s="12">
        <f t="shared" si="29"/>
        <v>0.33800000000000002</v>
      </c>
      <c r="AC171" s="12">
        <f t="shared" si="29"/>
        <v>0.34010000000000001</v>
      </c>
      <c r="AD171" s="12">
        <f t="shared" si="29"/>
        <v>0.3422</v>
      </c>
      <c r="AE171" s="12">
        <f t="shared" si="29"/>
        <v>0.34439999999999998</v>
      </c>
      <c r="AF171" s="12">
        <f t="shared" si="29"/>
        <v>0.34649999999999997</v>
      </c>
      <c r="AG171" s="12">
        <f t="shared" si="29"/>
        <v>0.34839999999999999</v>
      </c>
      <c r="AH171" s="12">
        <f t="shared" si="29"/>
        <v>0.35020000000000001</v>
      </c>
      <c r="AI171" s="12">
        <f t="shared" si="29"/>
        <v>0.35189999999999999</v>
      </c>
      <c r="AJ171" s="12">
        <f t="shared" si="29"/>
        <v>0.35370000000000001</v>
      </c>
      <c r="AK171" s="12">
        <f t="shared" si="29"/>
        <v>0.35560000000000003</v>
      </c>
      <c r="AL171" s="12">
        <f t="shared" si="29"/>
        <v>0.35720000000000002</v>
      </c>
      <c r="AM171" s="12">
        <f t="shared" si="29"/>
        <v>0.35859999999999997</v>
      </c>
      <c r="AN171" s="12">
        <f t="shared" si="29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0">C206</f>
        <v>0.20899999999999999</v>
      </c>
      <c r="D172" s="12">
        <f t="shared" si="30"/>
        <v>0.215</v>
      </c>
      <c r="E172" s="12">
        <f t="shared" si="30"/>
        <v>0.217</v>
      </c>
      <c r="F172" s="12">
        <f t="shared" si="30"/>
        <v>0.2172</v>
      </c>
      <c r="G172" s="12">
        <f t="shared" si="30"/>
        <v>0.2223</v>
      </c>
      <c r="H172" s="12">
        <f t="shared" si="30"/>
        <v>0.22309999999999999</v>
      </c>
      <c r="I172" s="12">
        <f t="shared" si="30"/>
        <v>0.21759999999999999</v>
      </c>
      <c r="J172" s="12">
        <f t="shared" si="30"/>
        <v>0.2</v>
      </c>
      <c r="K172" s="12">
        <f t="shared" si="30"/>
        <v>0.2</v>
      </c>
      <c r="L172" s="12">
        <f t="shared" si="30"/>
        <v>0.2</v>
      </c>
      <c r="M172" s="12">
        <f t="shared" si="30"/>
        <v>0.2</v>
      </c>
      <c r="N172" s="12">
        <f t="shared" si="30"/>
        <v>0.20230000000000001</v>
      </c>
      <c r="O172" s="12">
        <f t="shared" si="30"/>
        <v>0.20630000000000001</v>
      </c>
      <c r="P172" s="12">
        <f t="shared" si="30"/>
        <v>0.21179999999999999</v>
      </c>
      <c r="Q172" s="12">
        <f t="shared" si="30"/>
        <v>0.2162</v>
      </c>
      <c r="R172" s="12">
        <f t="shared" si="30"/>
        <v>0.21790000000000001</v>
      </c>
      <c r="S172" s="12">
        <f t="shared" si="30"/>
        <v>0.22359999999999999</v>
      </c>
      <c r="T172" s="12">
        <f t="shared" si="30"/>
        <v>0.22939999999999999</v>
      </c>
      <c r="U172" s="12">
        <f t="shared" si="30"/>
        <v>0.23619999999999999</v>
      </c>
      <c r="V172" s="12">
        <f t="shared" si="30"/>
        <v>0.2432</v>
      </c>
      <c r="W172" s="12">
        <f t="shared" si="30"/>
        <v>0.24990000000000001</v>
      </c>
      <c r="X172" s="12">
        <f t="shared" si="30"/>
        <v>0.25719999999999998</v>
      </c>
      <c r="Y172" s="12">
        <f t="shared" si="30"/>
        <v>0.26390000000000002</v>
      </c>
      <c r="Z172" s="12">
        <f t="shared" si="30"/>
        <v>0.2712</v>
      </c>
      <c r="AA172" s="12">
        <f t="shared" si="30"/>
        <v>0.27889999999999998</v>
      </c>
      <c r="AB172" s="12">
        <f t="shared" si="30"/>
        <v>0.28599999999999998</v>
      </c>
      <c r="AC172" s="12">
        <f t="shared" si="30"/>
        <v>0.29310000000000003</v>
      </c>
      <c r="AD172" s="12">
        <f t="shared" si="30"/>
        <v>0.30020000000000002</v>
      </c>
      <c r="AE172" s="12">
        <f t="shared" si="30"/>
        <v>0.30719999999999997</v>
      </c>
      <c r="AF172" s="12">
        <f t="shared" si="30"/>
        <v>0.3135</v>
      </c>
      <c r="AG172" s="12">
        <f t="shared" si="30"/>
        <v>0.31990000000000002</v>
      </c>
      <c r="AH172" s="12">
        <f t="shared" si="30"/>
        <v>0.32629999999999998</v>
      </c>
      <c r="AI172" s="12">
        <f t="shared" si="30"/>
        <v>0.33289999999999997</v>
      </c>
      <c r="AJ172" s="12">
        <f t="shared" si="30"/>
        <v>0.33960000000000001</v>
      </c>
      <c r="AK172" s="12">
        <f t="shared" si="30"/>
        <v>0.34549999999999997</v>
      </c>
      <c r="AL172" s="12">
        <f t="shared" si="30"/>
        <v>0.35139999999999999</v>
      </c>
      <c r="AM172" s="12">
        <f t="shared" si="30"/>
        <v>0.35749999999999998</v>
      </c>
      <c r="AN172" s="12">
        <f t="shared" si="30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139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168</v>
      </c>
      <c r="C179" s="23"/>
      <c r="D179" s="23"/>
      <c r="E179" s="23"/>
    </row>
    <row r="180" spans="1:41" ht="15.75" thickTop="1" x14ac:dyDescent="0.25">
      <c r="C180" s="13" t="s">
        <v>146</v>
      </c>
      <c r="D180" s="22" t="s">
        <v>146</v>
      </c>
      <c r="E180" t="s">
        <v>146</v>
      </c>
      <c r="F180" t="s">
        <v>146</v>
      </c>
      <c r="G180" t="s">
        <v>146</v>
      </c>
      <c r="H180" t="s">
        <v>146</v>
      </c>
      <c r="I180" t="s">
        <v>146</v>
      </c>
      <c r="J180" t="s">
        <v>146</v>
      </c>
      <c r="K180" t="s">
        <v>146</v>
      </c>
      <c r="L180" t="s">
        <v>146</v>
      </c>
      <c r="M180" t="s">
        <v>146</v>
      </c>
      <c r="N180" t="s">
        <v>146</v>
      </c>
      <c r="O180" t="s">
        <v>146</v>
      </c>
      <c r="P180" t="s">
        <v>146</v>
      </c>
      <c r="Q180" t="s">
        <v>146</v>
      </c>
      <c r="R180" t="s">
        <v>146</v>
      </c>
      <c r="S180" t="s">
        <v>146</v>
      </c>
      <c r="T180" t="s">
        <v>146</v>
      </c>
      <c r="U180" t="s">
        <v>146</v>
      </c>
      <c r="V180" t="s">
        <v>146</v>
      </c>
      <c r="W180" t="s">
        <v>146</v>
      </c>
      <c r="X180" t="s">
        <v>146</v>
      </c>
      <c r="Y180" t="s">
        <v>146</v>
      </c>
      <c r="Z180" t="s">
        <v>146</v>
      </c>
      <c r="AA180" t="s">
        <v>146</v>
      </c>
      <c r="AB180" t="s">
        <v>146</v>
      </c>
      <c r="AC180" t="s">
        <v>146</v>
      </c>
      <c r="AD180" t="s">
        <v>146</v>
      </c>
      <c r="AE180" t="s">
        <v>146</v>
      </c>
      <c r="AF180" t="s">
        <v>146</v>
      </c>
      <c r="AG180" t="s">
        <v>146</v>
      </c>
      <c r="AH180" t="s">
        <v>146</v>
      </c>
      <c r="AI180" t="s">
        <v>146</v>
      </c>
      <c r="AJ180" t="s">
        <v>146</v>
      </c>
      <c r="AK180" t="s">
        <v>146</v>
      </c>
      <c r="AL180" t="s">
        <v>146</v>
      </c>
      <c r="AM180" t="s">
        <v>146</v>
      </c>
      <c r="AN180" t="s">
        <v>146</v>
      </c>
      <c r="AO180" t="s">
        <v>146</v>
      </c>
    </row>
    <row r="181" spans="1:41" x14ac:dyDescent="0.25">
      <c r="B181" t="s">
        <v>147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148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149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150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151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152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153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154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155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156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157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158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159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160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161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162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163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164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145</v>
      </c>
      <c r="B199" t="s">
        <v>171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172</v>
      </c>
      <c r="C203" s="13" t="s">
        <v>172</v>
      </c>
      <c r="D203" t="s">
        <v>172</v>
      </c>
      <c r="E203" t="s">
        <v>172</v>
      </c>
      <c r="F203" t="s">
        <v>172</v>
      </c>
      <c r="G203" t="s">
        <v>172</v>
      </c>
      <c r="H203" t="s">
        <v>172</v>
      </c>
      <c r="I203" t="s">
        <v>172</v>
      </c>
      <c r="J203" t="s">
        <v>172</v>
      </c>
      <c r="K203" t="s">
        <v>172</v>
      </c>
      <c r="L203" t="s">
        <v>172</v>
      </c>
      <c r="M203" t="s">
        <v>172</v>
      </c>
      <c r="N203" t="s">
        <v>172</v>
      </c>
      <c r="O203" t="s">
        <v>172</v>
      </c>
      <c r="P203" t="s">
        <v>172</v>
      </c>
      <c r="Q203" t="s">
        <v>172</v>
      </c>
      <c r="R203" t="s">
        <v>172</v>
      </c>
      <c r="S203" t="s">
        <v>172</v>
      </c>
      <c r="T203" t="s">
        <v>172</v>
      </c>
      <c r="U203" t="s">
        <v>172</v>
      </c>
      <c r="V203" t="s">
        <v>172</v>
      </c>
      <c r="W203" t="s">
        <v>172</v>
      </c>
      <c r="X203" t="s">
        <v>172</v>
      </c>
      <c r="Y203" t="s">
        <v>172</v>
      </c>
      <c r="Z203" t="s">
        <v>172</v>
      </c>
      <c r="AA203" t="s">
        <v>172</v>
      </c>
      <c r="AB203" t="s">
        <v>172</v>
      </c>
      <c r="AC203" t="s">
        <v>172</v>
      </c>
      <c r="AD203" t="s">
        <v>172</v>
      </c>
      <c r="AE203" t="s">
        <v>172</v>
      </c>
      <c r="AF203" t="s">
        <v>172</v>
      </c>
      <c r="AG203" t="s">
        <v>172</v>
      </c>
      <c r="AH203" t="s">
        <v>172</v>
      </c>
      <c r="AI203" t="s">
        <v>172</v>
      </c>
      <c r="AJ203" t="s">
        <v>172</v>
      </c>
      <c r="AK203" t="s">
        <v>172</v>
      </c>
      <c r="AL203" t="s">
        <v>172</v>
      </c>
      <c r="AM203" t="s">
        <v>172</v>
      </c>
      <c r="AN203" t="s">
        <v>172</v>
      </c>
    </row>
    <row r="204" spans="1:41" x14ac:dyDescent="0.25">
      <c r="B204" t="s">
        <v>166</v>
      </c>
      <c r="C204" s="13" t="s">
        <v>166</v>
      </c>
      <c r="D204" t="s">
        <v>166</v>
      </c>
      <c r="E204" t="s">
        <v>166</v>
      </c>
      <c r="F204" t="s">
        <v>166</v>
      </c>
      <c r="G204" t="s">
        <v>166</v>
      </c>
      <c r="H204" t="s">
        <v>166</v>
      </c>
      <c r="I204" t="s">
        <v>166</v>
      </c>
      <c r="J204" t="s">
        <v>166</v>
      </c>
      <c r="K204" t="s">
        <v>166</v>
      </c>
      <c r="L204" t="s">
        <v>166</v>
      </c>
      <c r="M204" t="s">
        <v>166</v>
      </c>
      <c r="N204" t="s">
        <v>166</v>
      </c>
      <c r="O204" t="s">
        <v>166</v>
      </c>
      <c r="P204" t="s">
        <v>166</v>
      </c>
      <c r="Q204" t="s">
        <v>166</v>
      </c>
      <c r="R204" t="s">
        <v>166</v>
      </c>
      <c r="S204" t="s">
        <v>166</v>
      </c>
      <c r="T204" t="s">
        <v>166</v>
      </c>
      <c r="U204" t="s">
        <v>166</v>
      </c>
      <c r="V204" t="s">
        <v>166</v>
      </c>
      <c r="W204" t="s">
        <v>166</v>
      </c>
      <c r="X204" t="s">
        <v>166</v>
      </c>
      <c r="Y204" t="s">
        <v>166</v>
      </c>
      <c r="Z204" t="s">
        <v>166</v>
      </c>
      <c r="AA204" t="s">
        <v>166</v>
      </c>
      <c r="AB204" t="s">
        <v>166</v>
      </c>
      <c r="AC204" t="s">
        <v>166</v>
      </c>
      <c r="AD204" t="s">
        <v>166</v>
      </c>
      <c r="AE204" t="s">
        <v>166</v>
      </c>
      <c r="AF204" t="s">
        <v>166</v>
      </c>
      <c r="AG204" t="s">
        <v>166</v>
      </c>
      <c r="AH204" t="s">
        <v>166</v>
      </c>
      <c r="AI204" t="s">
        <v>166</v>
      </c>
      <c r="AJ204" t="s">
        <v>166</v>
      </c>
      <c r="AK204" t="s">
        <v>166</v>
      </c>
      <c r="AL204" t="s">
        <v>166</v>
      </c>
      <c r="AM204" t="s">
        <v>166</v>
      </c>
      <c r="AN204" t="s">
        <v>166</v>
      </c>
    </row>
    <row r="205" spans="1:41" x14ac:dyDescent="0.25">
      <c r="A205" t="s">
        <v>173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174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175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176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tabSelected="1" zoomScaleNormal="100" workbookViewId="0">
      <pane xSplit="11" ySplit="1" topLeftCell="AU22" activePane="bottomRight" state="frozen"/>
      <selection pane="topRight" activeCell="L1" sqref="L1"/>
      <selection pane="bottomLeft" activeCell="A2" sqref="A2"/>
      <selection pane="bottomRight" activeCell="BG49" sqref="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134</v>
      </c>
      <c r="C2" s="14" t="s">
        <v>193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79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80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81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203</v>
      </c>
      <c r="B7" s="3" t="s">
        <v>206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204</v>
      </c>
      <c r="B9" s="3" t="s">
        <v>207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205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177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178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182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183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72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73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84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86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85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234</v>
      </c>
      <c r="BH40" t="s">
        <v>233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D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D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0.165744813662728</v>
      </c>
      <c r="B49">
        <v>0.17055842239387956</v>
      </c>
      <c r="C49">
        <v>0.17325087171646336</v>
      </c>
      <c r="D49">
        <v>0.17511910185866433</v>
      </c>
      <c r="E49">
        <v>0.17572352925761173</v>
      </c>
      <c r="F49">
        <v>0.17836103063483666</v>
      </c>
      <c r="G49">
        <v>0.18000946899560227</v>
      </c>
      <c r="H49">
        <v>0.18167314246136571</v>
      </c>
      <c r="I49">
        <v>0.16892809890264981</v>
      </c>
      <c r="J49" s="21">
        <v>0.15613432750489573</v>
      </c>
      <c r="K49" s="21">
        <v>0.14334055610714164</v>
      </c>
      <c r="L49" s="21">
        <v>0.14415910574012319</v>
      </c>
      <c r="M49" s="21">
        <v>0.14459770604213562</v>
      </c>
      <c r="N49" s="21">
        <v>0.14398192961433681</v>
      </c>
      <c r="O49" s="21">
        <v>0.14326249757575393</v>
      </c>
      <c r="P49" s="21">
        <v>0.14612736512295083</v>
      </c>
      <c r="Q49" s="21">
        <v>0.14904514723744558</v>
      </c>
      <c r="R49" s="21">
        <v>0.15223161511799549</v>
      </c>
      <c r="S49" s="21">
        <v>0.15644310855132851</v>
      </c>
      <c r="T49" s="21">
        <v>0.16090437107863884</v>
      </c>
      <c r="U49" s="21">
        <v>0.16529199994324537</v>
      </c>
      <c r="V49" s="21">
        <v>0.16995252905247152</v>
      </c>
      <c r="W49" s="21">
        <v>0.17489535524374972</v>
      </c>
      <c r="X49" s="21">
        <v>0.17944806868465973</v>
      </c>
      <c r="Y49" s="21">
        <v>0.1524517633054647</v>
      </c>
      <c r="Z49" s="21">
        <v>0.15715090257076475</v>
      </c>
      <c r="AA49" s="21">
        <v>0.16213933664819744</v>
      </c>
      <c r="AB49" s="21">
        <v>0.16635650215298706</v>
      </c>
      <c r="AC49" s="21">
        <v>0.1714527737382649</v>
      </c>
      <c r="AD49" s="21">
        <f>(AH49-AC49)/5+AC49</f>
        <v>0.1764114477309939</v>
      </c>
      <c r="AE49" s="21">
        <f>(AH49-AC49)/5+AD49</f>
        <v>0.18137012172372291</v>
      </c>
      <c r="AF49" s="21">
        <f>(AH49-AC49)/5+AE49</f>
        <v>0.18632879571645192</v>
      </c>
      <c r="AG49" s="21">
        <f>(AH49-AC49)/5+AF49</f>
        <v>0.19128746970918092</v>
      </c>
      <c r="AH49">
        <v>0.19624614370190996</v>
      </c>
      <c r="AI49" s="21">
        <f>(AM49-AH49)/5+AH49</f>
        <v>0.19659583439587744</v>
      </c>
      <c r="AJ49" s="21">
        <f>(AM49-AH49)/5+AI49</f>
        <v>0.19694552508984492</v>
      </c>
      <c r="AK49" s="21">
        <f>(AM49-AH49)/5+AJ49</f>
        <v>0.1972952157838124</v>
      </c>
      <c r="AL49" s="21">
        <f>(AM49-AH49)/5+AK49</f>
        <v>0.19764490647777988</v>
      </c>
      <c r="AM49">
        <v>0.19799459717174742</v>
      </c>
      <c r="AN49" s="21">
        <f>(AR49-AM49)/5+AM49</f>
        <v>0.20495400967650226</v>
      </c>
      <c r="AO49" s="21">
        <f>(AR49-AM49)/5+AN49</f>
        <v>0.21191342218125711</v>
      </c>
      <c r="AP49" s="21">
        <f>(AR49-AM49)/5+AO49</f>
        <v>0.21887283468601196</v>
      </c>
      <c r="AQ49" s="21">
        <f>(AR49-AM49)/5+AP49</f>
        <v>0.2258322471907668</v>
      </c>
      <c r="AR49">
        <v>0.23279165969552171</v>
      </c>
      <c r="AS49" s="21">
        <f>(AW49-AR49)/5+AR49</f>
        <v>0.23703464865422946</v>
      </c>
      <c r="AT49" s="21">
        <f>(AW49-AR49)/5+AS49</f>
        <v>0.24127763761293722</v>
      </c>
      <c r="AU49" s="21">
        <f>(AW49-AR49)/5+AT49</f>
        <v>0.24552062657164497</v>
      </c>
      <c r="AV49" s="21">
        <f>(AW49-AR49)/5+AU49</f>
        <v>0.24976361553035273</v>
      </c>
      <c r="AW49">
        <v>0.25400660448906054</v>
      </c>
      <c r="AX49" s="21">
        <f>(BB49-AW49)/5+AW49</f>
        <v>0.25671360674042359</v>
      </c>
      <c r="AY49" s="21">
        <f>(BB49-AW49)/5+AX49</f>
        <v>0.25942060899178665</v>
      </c>
      <c r="AZ49" s="21">
        <f>(BB49-AW49)/5+AY49</f>
        <v>0.26212761124314971</v>
      </c>
      <c r="BA49" s="21">
        <f>(BB49-AW49)/5+AZ49</f>
        <v>0.26483461349451276</v>
      </c>
      <c r="BB49">
        <v>0.26754161574587582</v>
      </c>
      <c r="BC49" s="21">
        <f>(BG49-BB49)/5+BB49</f>
        <v>0.26842433825796702</v>
      </c>
      <c r="BD49" s="21">
        <f>(BG49-BB49)/5+BC49</f>
        <v>0.26930706077005823</v>
      </c>
      <c r="BE49" s="21">
        <f>(BG49-BB49)/5+BD49</f>
        <v>0.27018978328214943</v>
      </c>
      <c r="BF49" s="21">
        <f>(BG49-BB49)/5+BE49</f>
        <v>0.27107250579424064</v>
      </c>
      <c r="BG49">
        <v>0.27195522830633173</v>
      </c>
    </row>
    <row r="51" spans="1:62" x14ac:dyDescent="0.25">
      <c r="A51" t="s">
        <v>201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188</v>
      </c>
    </row>
    <row r="53" spans="1:62" x14ac:dyDescent="0.25">
      <c r="A53" t="s">
        <v>189</v>
      </c>
      <c r="H53" t="s">
        <v>189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190</v>
      </c>
      <c r="H54" t="s">
        <v>190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191</v>
      </c>
      <c r="H55" t="s">
        <v>191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192</v>
      </c>
      <c r="H56" t="s">
        <v>192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193</v>
      </c>
      <c r="H57" t="s">
        <v>193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194</v>
      </c>
      <c r="H58" t="s">
        <v>194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195</v>
      </c>
      <c r="H59" t="s">
        <v>195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210</v>
      </c>
      <c r="H60" t="str">
        <f>A60</f>
        <v>IRP High?</v>
      </c>
      <c r="I60" s="28">
        <f>I57</f>
        <v>0.25993557707082449</v>
      </c>
      <c r="J60" s="28">
        <f t="shared" ref="J60:M60" si="102">J57</f>
        <v>-5.9633581828397624</v>
      </c>
      <c r="K60" s="28">
        <f t="shared" si="102"/>
        <v>4.7030620638949472</v>
      </c>
      <c r="L60" s="28">
        <f t="shared" si="102"/>
        <v>1.9104061693808072</v>
      </c>
      <c r="M60" s="28">
        <f t="shared" si="102"/>
        <v>0.2</v>
      </c>
      <c r="N60" s="28">
        <f>N58</f>
        <v>1.5</v>
      </c>
      <c r="O60" s="28">
        <f t="shared" ref="O60:AN60" si="103">O58</f>
        <v>1.8</v>
      </c>
      <c r="P60" s="28">
        <f t="shared" si="103"/>
        <v>2.0404394542826303</v>
      </c>
      <c r="Q60" s="28">
        <f t="shared" si="103"/>
        <v>2.1106061706687615</v>
      </c>
      <c r="R60" s="28">
        <f t="shared" si="103"/>
        <v>2.2415233455501835</v>
      </c>
      <c r="S60" s="28">
        <f t="shared" si="103"/>
        <v>2.7917771100771578</v>
      </c>
      <c r="T60" s="28">
        <f t="shared" si="103"/>
        <v>3.2133430145161763</v>
      </c>
      <c r="U60" s="28">
        <f t="shared" si="103"/>
        <v>3.3618923772298874</v>
      </c>
      <c r="V60" s="28">
        <f t="shared" si="103"/>
        <v>3.4979249789841216</v>
      </c>
      <c r="W60" s="28">
        <f t="shared" si="103"/>
        <v>3.616882876741641</v>
      </c>
      <c r="X60" s="28">
        <f t="shared" si="103"/>
        <v>3.7175290675305712</v>
      </c>
      <c r="Y60" s="28">
        <f t="shared" si="103"/>
        <v>3.8</v>
      </c>
      <c r="Z60" s="28">
        <f t="shared" si="103"/>
        <v>3.8</v>
      </c>
      <c r="AA60" s="28">
        <f t="shared" si="103"/>
        <v>3.8</v>
      </c>
      <c r="AB60" s="28">
        <f t="shared" si="103"/>
        <v>3.8</v>
      </c>
      <c r="AC60" s="28">
        <f t="shared" si="103"/>
        <v>3.8</v>
      </c>
      <c r="AD60" s="28">
        <f t="shared" si="103"/>
        <v>3.8</v>
      </c>
      <c r="AE60" s="28">
        <f t="shared" si="103"/>
        <v>3.8</v>
      </c>
      <c r="AF60" s="28">
        <f t="shared" si="103"/>
        <v>3.8</v>
      </c>
      <c r="AG60" s="28">
        <f t="shared" si="103"/>
        <v>3.8</v>
      </c>
      <c r="AH60" s="28">
        <f t="shared" si="103"/>
        <v>3.8</v>
      </c>
      <c r="AI60" s="28">
        <f t="shared" si="103"/>
        <v>3.8</v>
      </c>
      <c r="AJ60" s="28">
        <f t="shared" si="103"/>
        <v>3.8</v>
      </c>
      <c r="AK60" s="28">
        <f t="shared" si="103"/>
        <v>3.8</v>
      </c>
      <c r="AL60" s="28">
        <f t="shared" si="103"/>
        <v>3.8</v>
      </c>
      <c r="AM60" s="28">
        <f t="shared" si="103"/>
        <v>3.8</v>
      </c>
      <c r="AN60" s="28">
        <f t="shared" si="103"/>
        <v>3.8</v>
      </c>
      <c r="BJ60" s="28"/>
    </row>
    <row r="61" spans="1:62" x14ac:dyDescent="0.25">
      <c r="A61" t="s">
        <v>209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208</v>
      </c>
      <c r="H62" t="s">
        <v>208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196</v>
      </c>
      <c r="B63" s="29"/>
      <c r="C63" s="29"/>
      <c r="D63" s="29"/>
      <c r="E63" s="29"/>
      <c r="F63" s="29"/>
      <c r="G63" s="29"/>
      <c r="H63" s="29" t="s">
        <v>196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197</v>
      </c>
      <c r="B64" s="32"/>
      <c r="C64" s="32"/>
      <c r="D64" s="32"/>
      <c r="E64" s="32"/>
      <c r="F64" s="32"/>
      <c r="G64" s="32"/>
      <c r="H64" s="32" t="s">
        <v>197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198</v>
      </c>
      <c r="B65" s="31"/>
      <c r="C65" s="31"/>
      <c r="D65" s="31"/>
      <c r="E65" s="31"/>
      <c r="F65" s="31"/>
      <c r="G65" s="31"/>
      <c r="H65" s="31" t="s">
        <v>198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199</v>
      </c>
      <c r="H66" t="s">
        <v>199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200</v>
      </c>
      <c r="H67" t="s">
        <v>200</v>
      </c>
    </row>
    <row r="69" spans="1:60" x14ac:dyDescent="0.25">
      <c r="I69">
        <f>Drivers!H49</f>
        <v>2019</v>
      </c>
      <c r="J69">
        <f>Drivers!I49</f>
        <v>2020</v>
      </c>
      <c r="K69">
        <f>Drivers!J49</f>
        <v>2021</v>
      </c>
      <c r="L69">
        <f>Drivers!K49</f>
        <v>2022</v>
      </c>
      <c r="M69">
        <f>Drivers!L49</f>
        <v>2023</v>
      </c>
      <c r="N69">
        <f>Drivers!M49</f>
        <v>2024</v>
      </c>
      <c r="O69">
        <f>Drivers!N49</f>
        <v>2025</v>
      </c>
      <c r="P69">
        <f>Drivers!O49</f>
        <v>2026</v>
      </c>
      <c r="Q69">
        <f>Drivers!P49</f>
        <v>2027</v>
      </c>
      <c r="R69">
        <f>Drivers!Q49</f>
        <v>2028</v>
      </c>
      <c r="S69">
        <f>Drivers!R49</f>
        <v>2029</v>
      </c>
      <c r="T69">
        <f>Drivers!S49</f>
        <v>2030</v>
      </c>
      <c r="U69">
        <f>Drivers!T49</f>
        <v>2031</v>
      </c>
      <c r="V69">
        <f>Drivers!U49</f>
        <v>2032</v>
      </c>
      <c r="W69">
        <f>Drivers!V49</f>
        <v>2033</v>
      </c>
      <c r="X69">
        <f>Drivers!W49</f>
        <v>2034</v>
      </c>
      <c r="Y69">
        <f>Drivers!X49</f>
        <v>2035</v>
      </c>
      <c r="Z69">
        <f>Drivers!Y49</f>
        <v>2036</v>
      </c>
      <c r="AA69">
        <f>Drivers!Z49</f>
        <v>2037</v>
      </c>
      <c r="AB69">
        <f>Drivers!AA49</f>
        <v>2038</v>
      </c>
      <c r="AC69">
        <f>Drivers!AB49</f>
        <v>2039</v>
      </c>
      <c r="AD69">
        <f>Drivers!AC49</f>
        <v>2040</v>
      </c>
      <c r="AE69">
        <f>Drivers!AD49</f>
        <v>2041</v>
      </c>
      <c r="AF69">
        <f>Drivers!AE49</f>
        <v>2042</v>
      </c>
      <c r="AG69">
        <f>Drivers!AF49</f>
        <v>2043</v>
      </c>
      <c r="AH69">
        <f>Drivers!AG49</f>
        <v>2044</v>
      </c>
      <c r="AI69">
        <f>Drivers!AH49</f>
        <v>2045</v>
      </c>
      <c r="AJ69">
        <f>Drivers!AI49</f>
        <v>2046</v>
      </c>
      <c r="AK69">
        <f>Drivers!AJ49</f>
        <v>2047</v>
      </c>
      <c r="AL69">
        <f>Drivers!AK49</f>
        <v>2048</v>
      </c>
      <c r="AM69">
        <f>Drivers!AL49</f>
        <v>2049</v>
      </c>
      <c r="AN69">
        <f>Drivers!AM49</f>
        <v>2050</v>
      </c>
      <c r="AO69">
        <f>Drivers!AN49</f>
        <v>2051</v>
      </c>
      <c r="AP69">
        <f>Drivers!AO49</f>
        <v>2052</v>
      </c>
      <c r="AQ69">
        <f>Drivers!AP49</f>
        <v>2053</v>
      </c>
      <c r="AR69">
        <f>Drivers!AQ49</f>
        <v>2054</v>
      </c>
      <c r="AS69">
        <f>Drivers!AR49</f>
        <v>2055</v>
      </c>
      <c r="AT69">
        <f>Drivers!AS49</f>
        <v>2056</v>
      </c>
      <c r="AU69">
        <f>Drivers!AT49</f>
        <v>2057</v>
      </c>
      <c r="AV69">
        <f>Drivers!AU49</f>
        <v>2058</v>
      </c>
      <c r="AW69">
        <f>Drivers!AV49</f>
        <v>2059</v>
      </c>
      <c r="AX69">
        <f>Drivers!AW49</f>
        <v>2060</v>
      </c>
      <c r="AY69">
        <f>Drivers!AX49</f>
        <v>2061</v>
      </c>
      <c r="AZ69">
        <f>Drivers!AY49</f>
        <v>2062</v>
      </c>
      <c r="BA69">
        <f>Drivers!AZ49</f>
        <v>2063</v>
      </c>
      <c r="BB69">
        <f>Drivers!BA49</f>
        <v>2064</v>
      </c>
      <c r="BC69">
        <f>Drivers!BB49</f>
        <v>2065</v>
      </c>
      <c r="BD69">
        <f>Drivers!BC49</f>
        <v>2066</v>
      </c>
      <c r="BE69">
        <f>Drivers!BD49</f>
        <v>2067</v>
      </c>
      <c r="BF69">
        <f>Drivers!BE49</f>
        <v>2068</v>
      </c>
      <c r="BG69">
        <f>Drivers!BF49</f>
        <v>2069</v>
      </c>
      <c r="BH69">
        <f>Drivers!BG49</f>
        <v>2070</v>
      </c>
    </row>
    <row r="70" spans="1:60" x14ac:dyDescent="0.25">
      <c r="A70" t="s">
        <v>202</v>
      </c>
      <c r="I70">
        <f>Drivers!H50</f>
        <v>58087.055</v>
      </c>
      <c r="J70">
        <f>Drivers!I50</f>
        <v>58801.927000000003</v>
      </c>
      <c r="K70">
        <f>Drivers!J50</f>
        <v>59392.254999999997</v>
      </c>
      <c r="L70">
        <f>Drivers!K50</f>
        <v>59893.885000000002</v>
      </c>
      <c r="M70">
        <f>Drivers!L50</f>
        <v>60414.495000000003</v>
      </c>
      <c r="N70">
        <f>Drivers!M50</f>
        <v>61020.220999999998</v>
      </c>
      <c r="O70">
        <f>Drivers!N50</f>
        <v>61673.080999999998</v>
      </c>
      <c r="P70">
        <f>Drivers!O50</f>
        <v>62305.038999999997</v>
      </c>
      <c r="Q70">
        <f>Drivers!P50</f>
        <v>62918.915999999997</v>
      </c>
      <c r="R70">
        <f>Drivers!Q50</f>
        <v>63514.502</v>
      </c>
      <c r="S70">
        <f>Drivers!R50</f>
        <v>64093.732000000004</v>
      </c>
      <c r="T70">
        <f>Drivers!S50</f>
        <v>64659.277999999998</v>
      </c>
      <c r="U70">
        <f>Drivers!T50</f>
        <v>65211.525999999998</v>
      </c>
      <c r="V70">
        <f>Drivers!U50</f>
        <v>65752.923999999999</v>
      </c>
      <c r="W70">
        <f>Drivers!V50</f>
        <v>66284.188999999998</v>
      </c>
      <c r="X70">
        <f>Drivers!W50</f>
        <v>66804.167000000001</v>
      </c>
      <c r="Y70">
        <f>Drivers!X50</f>
        <v>67314.133000000002</v>
      </c>
      <c r="Z70">
        <f>Drivers!Y50</f>
        <v>67815.933000000005</v>
      </c>
      <c r="AA70">
        <f>Drivers!Z50</f>
        <v>68308.245999999999</v>
      </c>
      <c r="AB70">
        <f>Drivers!AA50</f>
        <v>68788.494999999995</v>
      </c>
      <c r="AC70">
        <f>Drivers!AB50</f>
        <v>69256.823000000004</v>
      </c>
      <c r="AD70">
        <f>Drivers!AC50</f>
        <v>69713.937000000005</v>
      </c>
      <c r="AE70">
        <f>Drivers!AD50</f>
        <v>70160.652000000002</v>
      </c>
      <c r="AF70">
        <f>Drivers!AE50</f>
        <v>70595.131999999998</v>
      </c>
      <c r="AG70">
        <f>Drivers!AF50</f>
        <v>71016.168000000005</v>
      </c>
      <c r="AH70">
        <f>Drivers!AG50</f>
        <v>71423.671000000002</v>
      </c>
      <c r="AI70">
        <f>Drivers!AH50</f>
        <v>71816.201000000001</v>
      </c>
      <c r="AJ70">
        <f>Drivers!AI50</f>
        <v>72192.154999999999</v>
      </c>
      <c r="AK70">
        <f>Drivers!AJ50</f>
        <v>72551.392999999996</v>
      </c>
      <c r="AL70">
        <f>Drivers!AK50</f>
        <v>72894.218999999997</v>
      </c>
      <c r="AM70">
        <f>Drivers!AL50</f>
        <v>73220.86</v>
      </c>
      <c r="AN70">
        <f>Drivers!AM50</f>
        <v>73529.752999999997</v>
      </c>
      <c r="AO70">
        <f>Drivers!AN50</f>
        <v>73819.237999999998</v>
      </c>
      <c r="AP70">
        <f>Drivers!AO50</f>
        <v>74089.701000000001</v>
      </c>
      <c r="AQ70">
        <f>Drivers!AP50</f>
        <v>74342.981</v>
      </c>
      <c r="AR70">
        <f>Drivers!AQ50</f>
        <v>74580.11</v>
      </c>
      <c r="AS70">
        <f>Drivers!AR50</f>
        <v>74799.05</v>
      </c>
      <c r="AT70">
        <f>Drivers!AS50</f>
        <v>75001.119999999995</v>
      </c>
      <c r="AU70">
        <f>Drivers!AT50</f>
        <v>75188.808000000005</v>
      </c>
      <c r="AV70">
        <f>Drivers!AU50</f>
        <v>75362.119000000006</v>
      </c>
      <c r="AW70">
        <f>Drivers!AV50</f>
        <v>75520.304000000004</v>
      </c>
      <c r="AX70">
        <f>Drivers!AW50</f>
        <v>75663.198000000004</v>
      </c>
      <c r="AY70">
        <f>Drivers!AX50</f>
        <v>75793.040999999997</v>
      </c>
      <c r="AZ70">
        <f>Drivers!AY50</f>
        <v>75912.773000000001</v>
      </c>
      <c r="BA70">
        <f>Drivers!AZ50</f>
        <v>76022.452999999994</v>
      </c>
      <c r="BB70">
        <f>Drivers!BA50</f>
        <v>76120.998999999996</v>
      </c>
      <c r="BC70">
        <f>Drivers!BB50</f>
        <v>76208.044999999998</v>
      </c>
      <c r="BD70">
        <f>Drivers!BC50</f>
        <v>76283.732000000004</v>
      </c>
      <c r="BE70">
        <f>Drivers!BD50</f>
        <v>76351.933999999994</v>
      </c>
      <c r="BF70">
        <f>Drivers!BE50</f>
        <v>76412.77</v>
      </c>
      <c r="BG70">
        <f>Drivers!BF50</f>
        <v>76462.114000000001</v>
      </c>
      <c r="BH70">
        <f>Drivers!BG50</f>
        <v>76502.154999999999</v>
      </c>
    </row>
    <row r="73" spans="1:60" x14ac:dyDescent="0.25">
      <c r="A73" t="str">
        <f t="shared" ref="A73" si="104">A68&amp;" "&amp;B68</f>
        <v xml:space="preserve"> </v>
      </c>
    </row>
    <row r="79" spans="1:60" x14ac:dyDescent="0.25">
      <c r="A79" s="20" t="s">
        <v>74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72</v>
      </c>
      <c r="B99">
        <f>SUM(B81:B98)</f>
        <v>2893.58</v>
      </c>
      <c r="C99">
        <f t="shared" ref="C99" si="105">SUM(C81:C98)</f>
        <v>2965.2699999999995</v>
      </c>
      <c r="D99">
        <f t="shared" ref="D99" si="106">SUM(D81:D98)</f>
        <v>3020.96</v>
      </c>
      <c r="E99">
        <f t="shared" ref="E99" si="107">SUM(E81:E98)</f>
        <v>3059.4500000000003</v>
      </c>
      <c r="F99">
        <f t="shared" ref="F99" si="108">SUM(F81:F98)</f>
        <v>3083.92</v>
      </c>
      <c r="G99">
        <f t="shared" ref="G99" si="109">SUM(G81:G98)</f>
        <v>3120.5399999999995</v>
      </c>
      <c r="H99">
        <f t="shared" ref="H99" si="110">SUM(H81:H98)</f>
        <v>3152.24</v>
      </c>
      <c r="I99">
        <f t="shared" ref="I99" si="111">SUM(I81:I98)</f>
        <v>3179.29</v>
      </c>
      <c r="J99">
        <f t="shared" ref="J99" si="112">SUM(J81:J98)</f>
        <v>2948.9199999999996</v>
      </c>
      <c r="K99">
        <f t="shared" ref="K99" si="113">SUM(K81:K98)</f>
        <v>3014.3800000000006</v>
      </c>
      <c r="L99">
        <f t="shared" ref="L99" si="114">SUM(L81:L98)</f>
        <v>3077.2000000000003</v>
      </c>
      <c r="M99">
        <f t="shared" ref="M99" si="115">SUM(M81:M98)</f>
        <v>3140.61</v>
      </c>
      <c r="N99">
        <f t="shared" ref="N99" si="116">SUM(N81:N98)</f>
        <v>3201.7699999999991</v>
      </c>
      <c r="O99">
        <f t="shared" ref="O99" si="117">SUM(O81:O98)</f>
        <v>3265.5400000000009</v>
      </c>
      <c r="P99">
        <f t="shared" ref="P99" si="118">SUM(P81:P98)</f>
        <v>3341.2800000000007</v>
      </c>
      <c r="Q99">
        <f t="shared" ref="Q99" si="119">SUM(Q81:Q98)</f>
        <v>3416.2799999999997</v>
      </c>
      <c r="R99">
        <f t="shared" ref="R99" si="120">SUM(R81:R98)</f>
        <v>3494.88</v>
      </c>
      <c r="S99">
        <f t="shared" ref="S99" si="121">SUM(S81:S98)</f>
        <v>3576.08</v>
      </c>
      <c r="T99">
        <f t="shared" ref="T99" si="122">SUM(T81:T98)</f>
        <v>3660.1199999999994</v>
      </c>
      <c r="U99">
        <f t="shared" ref="U99" si="123">SUM(U81:U98)</f>
        <v>3761.0299999999997</v>
      </c>
      <c r="V99">
        <f t="shared" ref="V99" si="124">SUM(V81:V98)</f>
        <v>3857.2000000000003</v>
      </c>
      <c r="W99">
        <f t="shared" ref="W99" si="125">SUM(W81:W98)</f>
        <v>3964.01</v>
      </c>
      <c r="X99">
        <f t="shared" ref="X99" si="126">SUM(X81:X98)</f>
        <v>4078.2199999999993</v>
      </c>
      <c r="Y99">
        <f t="shared" ref="Y99" si="127">SUM(Y81:Y98)</f>
        <v>4200.2899999999991</v>
      </c>
      <c r="Z99">
        <f t="shared" ref="Z99" si="128">SUM(Z81:Z98)</f>
        <v>4325.97</v>
      </c>
      <c r="AA99">
        <f t="shared" ref="AA99" si="129">SUM(AA81:AA98)</f>
        <v>4457.0000000000018</v>
      </c>
      <c r="AB99">
        <f t="shared" ref="AB99" si="130">SUM(AB81:AB98)</f>
        <v>4590.03</v>
      </c>
      <c r="AC99">
        <f t="shared" ref="AC99" si="131">SUM(AC81:AC98)</f>
        <v>4728.5300000000007</v>
      </c>
      <c r="AD99">
        <f t="shared" ref="AD99" si="132">SUM(AD81:AD98)</f>
        <v>4875.51</v>
      </c>
      <c r="AE99">
        <f t="shared" ref="AE99" si="133">SUM(AE81:AE98)</f>
        <v>5028.54</v>
      </c>
      <c r="AF99">
        <f t="shared" ref="AF99" si="134">SUM(AF81:AF98)</f>
        <v>5188.0999999999995</v>
      </c>
      <c r="AG99">
        <f t="shared" ref="AG99" si="135">SUM(AG81:AG98)</f>
        <v>5353.79</v>
      </c>
      <c r="AH99">
        <f t="shared" ref="AH99" si="136">SUM(AH81:AH98)</f>
        <v>5526.5</v>
      </c>
      <c r="AI99">
        <f t="shared" ref="AI99" si="137">SUM(AI81:AI98)</f>
        <v>5709.9300000000012</v>
      </c>
      <c r="AJ99">
        <f t="shared" ref="AJ99" si="138">SUM(AJ81:AJ98)</f>
        <v>5902.43</v>
      </c>
      <c r="AK99">
        <f t="shared" ref="AK99" si="139">SUM(AK81:AK98)</f>
        <v>6104.12</v>
      </c>
      <c r="AL99">
        <f t="shared" ref="AL99" si="140">SUM(AL81:AL98)</f>
        <v>6308.13</v>
      </c>
      <c r="AM99">
        <f t="shared" ref="AM99" si="141">SUM(AM81:AM98)</f>
        <v>6522.2000000000007</v>
      </c>
      <c r="AN99">
        <f t="shared" ref="AN99" si="142">SUM(AN81:AN98)</f>
        <v>6747.130000000001</v>
      </c>
    </row>
    <row r="100" spans="1:40" x14ac:dyDescent="0.25">
      <c r="A100" t="s">
        <v>73</v>
      </c>
      <c r="C100" s="1">
        <f>C99/B99-1</f>
        <v>2.477553756937767E-2</v>
      </c>
      <c r="D100" s="1">
        <f t="shared" ref="D100:AN100" si="143">D99/C99-1</f>
        <v>1.878075183710104E-2</v>
      </c>
      <c r="E100" s="1">
        <f t="shared" si="143"/>
        <v>1.2740982998781902E-2</v>
      </c>
      <c r="F100" s="1">
        <f t="shared" si="143"/>
        <v>7.9981696056479201E-3</v>
      </c>
      <c r="G100" s="1">
        <f t="shared" si="143"/>
        <v>1.187449739292834E-2</v>
      </c>
      <c r="H100" s="1">
        <f t="shared" si="143"/>
        <v>1.0158498208643563E-2</v>
      </c>
      <c r="I100" s="1">
        <f t="shared" si="143"/>
        <v>8.581199401060946E-3</v>
      </c>
      <c r="J100" s="1">
        <f t="shared" si="143"/>
        <v>-7.2459574307471297E-2</v>
      </c>
      <c r="K100" s="1">
        <f t="shared" si="143"/>
        <v>2.2197957218236253E-2</v>
      </c>
      <c r="L100" s="1">
        <f t="shared" si="143"/>
        <v>2.0840106423211324E-2</v>
      </c>
      <c r="M100" s="1">
        <f t="shared" si="143"/>
        <v>2.0606395424411783E-2</v>
      </c>
      <c r="N100" s="1">
        <f t="shared" si="143"/>
        <v>1.9473923855556352E-2</v>
      </c>
      <c r="O100" s="1">
        <f t="shared" si="143"/>
        <v>1.9917108349444712E-2</v>
      </c>
      <c r="P100" s="1">
        <f t="shared" si="143"/>
        <v>2.3193713750252476E-2</v>
      </c>
      <c r="Q100" s="1">
        <f t="shared" si="143"/>
        <v>2.2446487573624108E-2</v>
      </c>
      <c r="R100" s="1">
        <f t="shared" si="143"/>
        <v>2.3007481822333142E-2</v>
      </c>
      <c r="S100" s="1">
        <f t="shared" si="143"/>
        <v>2.3233988005310513E-2</v>
      </c>
      <c r="T100" s="1">
        <f t="shared" si="143"/>
        <v>2.3500592827900846E-2</v>
      </c>
      <c r="U100" s="1">
        <f t="shared" si="143"/>
        <v>2.7570134312536299E-2</v>
      </c>
      <c r="V100" s="1">
        <f t="shared" si="143"/>
        <v>2.5570123077986784E-2</v>
      </c>
      <c r="W100" s="1">
        <f t="shared" si="143"/>
        <v>2.7691071243388876E-2</v>
      </c>
      <c r="X100" s="1">
        <f t="shared" si="143"/>
        <v>2.8811733572821296E-2</v>
      </c>
      <c r="Y100" s="1">
        <f t="shared" si="143"/>
        <v>2.9932176292598145E-2</v>
      </c>
      <c r="Z100" s="1">
        <f t="shared" si="143"/>
        <v>2.9921743498663389E-2</v>
      </c>
      <c r="AA100" s="1">
        <f t="shared" si="143"/>
        <v>3.0289160581326691E-2</v>
      </c>
      <c r="AB100" s="1">
        <f t="shared" si="143"/>
        <v>2.9847431007403502E-2</v>
      </c>
      <c r="AC100" s="1">
        <f t="shared" si="143"/>
        <v>3.0174094722692724E-2</v>
      </c>
      <c r="AD100" s="1">
        <f t="shared" si="143"/>
        <v>3.1083656019947004E-2</v>
      </c>
      <c r="AE100" s="1">
        <f t="shared" si="143"/>
        <v>3.1387485616889199E-2</v>
      </c>
      <c r="AF100" s="1">
        <f t="shared" si="143"/>
        <v>3.1730880136182638E-2</v>
      </c>
      <c r="AG100" s="1">
        <f t="shared" si="143"/>
        <v>3.1936547098166956E-2</v>
      </c>
      <c r="AH100" s="1">
        <f t="shared" si="143"/>
        <v>3.2259390076936123E-2</v>
      </c>
      <c r="AI100" s="1">
        <f t="shared" si="143"/>
        <v>3.3190988871799831E-2</v>
      </c>
      <c r="AJ100" s="1">
        <f t="shared" si="143"/>
        <v>3.3713197885087753E-2</v>
      </c>
      <c r="AK100" s="1">
        <f t="shared" si="143"/>
        <v>3.4170672079126607E-2</v>
      </c>
      <c r="AL100" s="1">
        <f t="shared" si="143"/>
        <v>3.3421688957622209E-2</v>
      </c>
      <c r="AM100" s="1">
        <f t="shared" si="143"/>
        <v>3.3935572031648098E-2</v>
      </c>
      <c r="AN100" s="1">
        <f t="shared" si="143"/>
        <v>3.4486829597375257E-2</v>
      </c>
    </row>
    <row r="101" spans="1:40" x14ac:dyDescent="0.25">
      <c r="A101" t="s">
        <v>78</v>
      </c>
      <c r="C101" s="1">
        <f>C83/C99</f>
        <v>0.63554077706245982</v>
      </c>
      <c r="D101" s="1">
        <f t="shared" ref="D101:AN101" si="144">D83/D99</f>
        <v>0.63816799957629367</v>
      </c>
      <c r="E101" s="1">
        <f t="shared" si="144"/>
        <v>0.63979146578633417</v>
      </c>
      <c r="F101" s="1">
        <f t="shared" si="144"/>
        <v>0.64292199538250017</v>
      </c>
      <c r="G101" s="1">
        <f t="shared" si="144"/>
        <v>0.64328609791895008</v>
      </c>
      <c r="H101" s="1">
        <f t="shared" si="144"/>
        <v>0.64608024769687589</v>
      </c>
      <c r="I101" s="1">
        <f t="shared" si="144"/>
        <v>0.65144733572590108</v>
      </c>
      <c r="J101" s="1">
        <f t="shared" si="144"/>
        <v>0.64959374957611604</v>
      </c>
      <c r="K101" s="1">
        <f t="shared" si="144"/>
        <v>0.65027965949880229</v>
      </c>
      <c r="L101" s="1">
        <f t="shared" si="144"/>
        <v>0.65131613154816059</v>
      </c>
      <c r="M101" s="1">
        <f t="shared" si="144"/>
        <v>0.65213764205042968</v>
      </c>
      <c r="N101" s="1">
        <f t="shared" si="144"/>
        <v>0.65312623954874971</v>
      </c>
      <c r="O101" s="1">
        <f t="shared" si="144"/>
        <v>0.65407558933591359</v>
      </c>
      <c r="P101" s="1">
        <f t="shared" si="144"/>
        <v>0.65498252166834259</v>
      </c>
      <c r="Q101" s="1">
        <f t="shared" si="144"/>
        <v>0.65585373564227756</v>
      </c>
      <c r="R101" s="1">
        <f t="shared" si="144"/>
        <v>0.65671782722153549</v>
      </c>
      <c r="S101" s="1">
        <f t="shared" si="144"/>
        <v>0.65758875640365988</v>
      </c>
      <c r="T101" s="1">
        <f t="shared" si="144"/>
        <v>0.6583909817164465</v>
      </c>
      <c r="U101" s="1">
        <f t="shared" si="144"/>
        <v>0.65874507781113156</v>
      </c>
      <c r="V101" s="1">
        <f t="shared" si="144"/>
        <v>0.65962615368661204</v>
      </c>
      <c r="W101" s="1">
        <f t="shared" si="144"/>
        <v>0.66027583179658977</v>
      </c>
      <c r="X101" s="1">
        <f t="shared" si="144"/>
        <v>0.66099425729852734</v>
      </c>
      <c r="Y101" s="1">
        <f t="shared" si="144"/>
        <v>0.66164002961700275</v>
      </c>
      <c r="Z101" s="1">
        <f t="shared" si="144"/>
        <v>0.66260746144795268</v>
      </c>
      <c r="AA101" s="1">
        <f t="shared" si="144"/>
        <v>0.66353601076957569</v>
      </c>
      <c r="AB101" s="1">
        <f t="shared" si="144"/>
        <v>0.66448585303364038</v>
      </c>
      <c r="AC101" s="1">
        <f t="shared" si="144"/>
        <v>0.66543513523230258</v>
      </c>
      <c r="AD101" s="1">
        <f t="shared" si="144"/>
        <v>0.66640002789451769</v>
      </c>
      <c r="AE101" s="1">
        <f t="shared" si="144"/>
        <v>0.6672672386020595</v>
      </c>
      <c r="AF101" s="1">
        <f t="shared" si="144"/>
        <v>0.66818295715194398</v>
      </c>
      <c r="AG101" s="1">
        <f t="shared" si="144"/>
        <v>0.66915586901989055</v>
      </c>
      <c r="AH101" s="1">
        <f t="shared" si="144"/>
        <v>0.6700714738080159</v>
      </c>
      <c r="AI101" s="1">
        <f t="shared" si="144"/>
        <v>0.67100997735523893</v>
      </c>
      <c r="AJ101" s="1">
        <f t="shared" si="144"/>
        <v>0.67192834137804258</v>
      </c>
      <c r="AK101" s="1">
        <f t="shared" si="144"/>
        <v>0.67288978591508686</v>
      </c>
      <c r="AL101" s="1">
        <f t="shared" si="144"/>
        <v>0.67389226284176129</v>
      </c>
      <c r="AM101" s="1">
        <f t="shared" si="144"/>
        <v>0.67487044248873074</v>
      </c>
      <c r="AN101" s="1">
        <f t="shared" si="144"/>
        <v>0.67584884239669296</v>
      </c>
    </row>
    <row r="102" spans="1:40" x14ac:dyDescent="0.25">
      <c r="A102" t="s">
        <v>75</v>
      </c>
      <c r="C102" s="1">
        <f>C82/B82-1</f>
        <v>-6.6245106895512773E-3</v>
      </c>
      <c r="D102" s="1">
        <f t="shared" ref="D102:AN102" si="145">D82/C82-1</f>
        <v>-3.9405880569870488E-3</v>
      </c>
      <c r="E102" s="1">
        <f t="shared" si="145"/>
        <v>-3.9561777236762907E-3</v>
      </c>
      <c r="F102" s="1">
        <f t="shared" si="145"/>
        <v>-1.8026275588145291E-2</v>
      </c>
      <c r="G102" s="1">
        <f t="shared" si="145"/>
        <v>-6.6894835096452665E-3</v>
      </c>
      <c r="H102" s="1">
        <f t="shared" si="145"/>
        <v>-1.1276429130775201E-2</v>
      </c>
      <c r="I102" s="1">
        <f t="shared" si="145"/>
        <v>-1.4097893236179271E-2</v>
      </c>
      <c r="J102" s="1">
        <f t="shared" si="145"/>
        <v>-1.0604113110539881E-2</v>
      </c>
      <c r="K102" s="1">
        <f t="shared" si="145"/>
        <v>-1.9649236765183486E-2</v>
      </c>
      <c r="L102" s="1">
        <f t="shared" si="145"/>
        <v>-4.4724200761967481E-3</v>
      </c>
      <c r="M102" s="1">
        <f t="shared" si="145"/>
        <v>-4.3261231281197521E-3</v>
      </c>
      <c r="N102" s="1">
        <f t="shared" si="145"/>
        <v>-8.3556149732619822E-3</v>
      </c>
      <c r="O102" s="1">
        <f t="shared" si="145"/>
        <v>-9.9427030670711236E-3</v>
      </c>
      <c r="P102" s="1">
        <f t="shared" si="145"/>
        <v>-4.0000000000000036E-2</v>
      </c>
      <c r="Q102" s="1">
        <f t="shared" si="145"/>
        <v>-5.3900709219858123E-2</v>
      </c>
      <c r="R102" s="1">
        <f t="shared" si="145"/>
        <v>-5.6221889055472318E-2</v>
      </c>
      <c r="S102" s="1">
        <f t="shared" si="145"/>
        <v>-6.7513899920571885E-2</v>
      </c>
      <c r="T102" s="1">
        <f t="shared" si="145"/>
        <v>-7.3466780238500951E-2</v>
      </c>
      <c r="U102" s="1">
        <f t="shared" si="145"/>
        <v>5.7458055619397097E-3</v>
      </c>
      <c r="V102" s="1">
        <f t="shared" si="145"/>
        <v>-2.468007312614251E-2</v>
      </c>
      <c r="W102" s="1">
        <f t="shared" si="145"/>
        <v>-8.6691658856606901E-3</v>
      </c>
      <c r="X102" s="1">
        <f t="shared" si="145"/>
        <v>-8.7449775466793556E-3</v>
      </c>
      <c r="Y102" s="1">
        <f t="shared" si="145"/>
        <v>-1.8836432999523089E-2</v>
      </c>
      <c r="Z102" s="1">
        <f t="shared" si="145"/>
        <v>-3.1348724179829923E-2</v>
      </c>
      <c r="AA102" s="1">
        <f t="shared" si="145"/>
        <v>-3.2363271450075226E-2</v>
      </c>
      <c r="AB102" s="1">
        <f t="shared" si="145"/>
        <v>-3.3445683173450869E-2</v>
      </c>
      <c r="AC102" s="1">
        <f t="shared" si="145"/>
        <v>-3.4334763948497882E-2</v>
      </c>
      <c r="AD102" s="1">
        <f t="shared" si="145"/>
        <v>-3.5833333333333273E-2</v>
      </c>
      <c r="AE102" s="1">
        <f t="shared" si="145"/>
        <v>4.321521175453702E-3</v>
      </c>
      <c r="AF102" s="1">
        <f t="shared" si="145"/>
        <v>4.3029259896729677E-3</v>
      </c>
      <c r="AG102" s="1">
        <f t="shared" si="145"/>
        <v>3.9988574692944034E-3</v>
      </c>
      <c r="AH102" s="1">
        <f t="shared" si="145"/>
        <v>4.2674253200567502E-3</v>
      </c>
      <c r="AI102" s="1">
        <f t="shared" si="145"/>
        <v>4.2492917847027911E-3</v>
      </c>
      <c r="AJ102" s="1">
        <f t="shared" si="145"/>
        <v>8.4626234132580969E-3</v>
      </c>
      <c r="AK102" s="1">
        <f t="shared" si="145"/>
        <v>8.1118881118880104E-3</v>
      </c>
      <c r="AL102" s="1">
        <f t="shared" si="145"/>
        <v>8.3240843507215168E-3</v>
      </c>
      <c r="AM102" s="1">
        <f t="shared" si="145"/>
        <v>8.255365987892116E-3</v>
      </c>
      <c r="AN102" s="1">
        <f t="shared" si="145"/>
        <v>7.9148471615719806E-3</v>
      </c>
    </row>
    <row r="103" spans="1:40" x14ac:dyDescent="0.25">
      <c r="A103" t="s">
        <v>76</v>
      </c>
      <c r="C103" s="1">
        <f>C81/B81-1</f>
        <v>4.2251503867086759E-2</v>
      </c>
      <c r="D103" s="1">
        <f t="shared" ref="D103:AN103" si="146">D81/C81-1</f>
        <v>3.7652878933626566E-2</v>
      </c>
      <c r="E103" s="1">
        <f t="shared" si="146"/>
        <v>-1.5229770891272754E-2</v>
      </c>
      <c r="F103" s="1">
        <f t="shared" si="146"/>
        <v>-1.0892953200645539E-2</v>
      </c>
      <c r="G103" s="1">
        <f t="shared" si="146"/>
        <v>3.3310673011556879E-2</v>
      </c>
      <c r="H103" s="1">
        <f t="shared" si="146"/>
        <v>-1.6052631578947318E-2</v>
      </c>
      <c r="I103" s="1">
        <f t="shared" si="146"/>
        <v>-1.6715699384862281E-2</v>
      </c>
      <c r="J103" s="1">
        <f t="shared" si="146"/>
        <v>-3.4951720386237062E-2</v>
      </c>
      <c r="K103" s="1">
        <f t="shared" si="146"/>
        <v>2.8184892897406888E-2</v>
      </c>
      <c r="L103" s="1">
        <f t="shared" si="146"/>
        <v>2.7960526315789602E-2</v>
      </c>
      <c r="M103" s="1">
        <f t="shared" si="146"/>
        <v>2.0266666666666655E-2</v>
      </c>
      <c r="N103" s="1">
        <f t="shared" si="146"/>
        <v>1.8034500784108953E-2</v>
      </c>
      <c r="O103" s="1">
        <f t="shared" si="146"/>
        <v>1.5789473684210353E-2</v>
      </c>
      <c r="P103" s="1">
        <f t="shared" si="146"/>
        <v>2.5527612789081333E-2</v>
      </c>
      <c r="Q103" s="1">
        <f t="shared" si="146"/>
        <v>2.3536660505237172E-2</v>
      </c>
      <c r="R103" s="1">
        <f t="shared" si="146"/>
        <v>2.3356609679749507E-2</v>
      </c>
      <c r="S103" s="1">
        <f t="shared" si="146"/>
        <v>2.1058823529411796E-2</v>
      </c>
      <c r="T103" s="1">
        <f t="shared" si="146"/>
        <v>2.0970157852286953E-2</v>
      </c>
      <c r="U103" s="1">
        <f t="shared" si="146"/>
        <v>2.1555129217921243E-2</v>
      </c>
      <c r="V103" s="1">
        <f t="shared" si="146"/>
        <v>1.878038002651361E-2</v>
      </c>
      <c r="W103" s="1">
        <f t="shared" si="146"/>
        <v>1.9301669919757014E-2</v>
      </c>
      <c r="X103" s="1">
        <f t="shared" si="146"/>
        <v>1.9468085106382871E-2</v>
      </c>
      <c r="Y103" s="1">
        <f t="shared" si="146"/>
        <v>1.9409370760722133E-2</v>
      </c>
      <c r="Z103" s="1">
        <f t="shared" si="146"/>
        <v>2.0780018425632152E-2</v>
      </c>
      <c r="AA103" s="1">
        <f t="shared" si="146"/>
        <v>2.1359807460890501E-2</v>
      </c>
      <c r="AB103" s="1">
        <f t="shared" si="146"/>
        <v>2.130584192439855E-2</v>
      </c>
      <c r="AC103" s="1">
        <f t="shared" si="146"/>
        <v>2.1534320323014944E-2</v>
      </c>
      <c r="AD103" s="1">
        <f t="shared" si="146"/>
        <v>2.2021456804065309E-2</v>
      </c>
      <c r="AE103" s="1">
        <f t="shared" si="146"/>
        <v>2.0718232044198981E-2</v>
      </c>
      <c r="AF103" s="1">
        <f t="shared" si="146"/>
        <v>2.0658547586829057E-2</v>
      </c>
      <c r="AG103" s="1">
        <f t="shared" si="146"/>
        <v>2.0505568322432222E-2</v>
      </c>
      <c r="AH103" s="1">
        <f t="shared" si="146"/>
        <v>2.1739130434782705E-2</v>
      </c>
      <c r="AI103" s="1">
        <f t="shared" si="146"/>
        <v>2.3141476646605152E-2</v>
      </c>
      <c r="AJ103" s="1">
        <f t="shared" si="146"/>
        <v>2.3695111847555905E-2</v>
      </c>
      <c r="AK103" s="1">
        <f t="shared" si="146"/>
        <v>2.4765296212366561E-2</v>
      </c>
      <c r="AL103" s="1">
        <f t="shared" si="146"/>
        <v>2.3692939504027732E-2</v>
      </c>
      <c r="AM103" s="1">
        <f t="shared" si="146"/>
        <v>2.4918993982409932E-2</v>
      </c>
      <c r="AN103" s="1">
        <f t="shared" si="146"/>
        <v>2.5592773805043434E-2</v>
      </c>
    </row>
    <row r="104" spans="1:40" x14ac:dyDescent="0.25">
      <c r="A104" t="s">
        <v>82</v>
      </c>
      <c r="C104" s="16">
        <f t="shared" ref="C104:J104" si="147">C103/C100</f>
        <v>1.7053718309349306</v>
      </c>
      <c r="D104" s="16">
        <f t="shared" si="147"/>
        <v>2.0048653674899199</v>
      </c>
      <c r="E104" s="16">
        <f t="shared" si="147"/>
        <v>-1.1953371959391823</v>
      </c>
      <c r="F104" s="16">
        <f t="shared" si="147"/>
        <v>-1.3619307588768139</v>
      </c>
      <c r="G104" s="16">
        <f t="shared" si="147"/>
        <v>2.805228036968916</v>
      </c>
      <c r="H104" s="16">
        <f t="shared" si="147"/>
        <v>-1.580217001494238</v>
      </c>
      <c r="I104" s="16">
        <f t="shared" si="147"/>
        <v>-1.947944407724125</v>
      </c>
      <c r="J104" s="16">
        <f t="shared" si="147"/>
        <v>0.48236165779728013</v>
      </c>
      <c r="K104" s="16">
        <f>K103/K100</f>
        <v>1.2697066049957155</v>
      </c>
      <c r="L104" s="16">
        <f t="shared" ref="L104:AN104" si="148">L103/L100</f>
        <v>1.3416690753866634</v>
      </c>
      <c r="M104" s="16">
        <f t="shared" si="148"/>
        <v>0.98351343110970968</v>
      </c>
      <c r="N104" s="16">
        <f t="shared" si="148"/>
        <v>0.92608458972500818</v>
      </c>
      <c r="O104" s="16">
        <f t="shared" si="148"/>
        <v>0.79275934072279941</v>
      </c>
      <c r="P104" s="16">
        <f t="shared" si="148"/>
        <v>1.1006263621238084</v>
      </c>
      <c r="Q104" s="16">
        <f t="shared" si="148"/>
        <v>1.0485676401725355</v>
      </c>
      <c r="R104" s="16">
        <f t="shared" si="148"/>
        <v>1.0151745358363151</v>
      </c>
      <c r="S104" s="16">
        <f t="shared" si="148"/>
        <v>0.90638006374964353</v>
      </c>
      <c r="T104" s="16">
        <f t="shared" si="148"/>
        <v>0.89232463222758962</v>
      </c>
      <c r="U104" s="16">
        <f t="shared" si="148"/>
        <v>0.78182895206716496</v>
      </c>
      <c r="V104" s="16">
        <f t="shared" si="148"/>
        <v>0.73446576573898326</v>
      </c>
      <c r="W104" s="16">
        <f t="shared" si="148"/>
        <v>0.69703586943626117</v>
      </c>
      <c r="X104" s="16">
        <f t="shared" si="148"/>
        <v>0.67569988654717805</v>
      </c>
      <c r="Y104" s="16">
        <f t="shared" si="148"/>
        <v>0.64844502354216826</v>
      </c>
      <c r="Z104" s="16">
        <f t="shared" si="148"/>
        <v>0.69447886372531731</v>
      </c>
      <c r="AA104" s="16">
        <f t="shared" si="148"/>
        <v>0.70519641518421117</v>
      </c>
      <c r="AB104" s="16">
        <f t="shared" si="148"/>
        <v>0.71382498276363371</v>
      </c>
      <c r="AC104" s="16">
        <f t="shared" si="148"/>
        <v>0.71366914304871742</v>
      </c>
      <c r="AD104" s="16">
        <f t="shared" si="148"/>
        <v>0.70845774351426682</v>
      </c>
      <c r="AE104" s="16">
        <f t="shared" si="148"/>
        <v>0.66007937995042099</v>
      </c>
      <c r="AF104" s="16">
        <f t="shared" si="148"/>
        <v>0.65105498171392262</v>
      </c>
      <c r="AG104" s="16">
        <f t="shared" si="148"/>
        <v>0.6420721770391129</v>
      </c>
      <c r="AH104" s="16">
        <f t="shared" si="148"/>
        <v>0.67388535192192345</v>
      </c>
      <c r="AI104" s="16">
        <f t="shared" si="148"/>
        <v>0.69722166868812163</v>
      </c>
      <c r="AJ104" s="16">
        <f t="shared" si="148"/>
        <v>0.7028437921647559</v>
      </c>
      <c r="AK104" s="16">
        <f t="shared" si="148"/>
        <v>0.72475297398363481</v>
      </c>
      <c r="AL104" s="16">
        <f t="shared" si="148"/>
        <v>0.7089091019328716</v>
      </c>
      <c r="AM104" s="16">
        <f t="shared" si="148"/>
        <v>0.73430304811631397</v>
      </c>
      <c r="AN104" s="16">
        <f t="shared" si="148"/>
        <v>0.74210282893012769</v>
      </c>
    </row>
    <row r="105" spans="1:40" x14ac:dyDescent="0.25">
      <c r="A105" t="s">
        <v>77</v>
      </c>
      <c r="C105" s="1">
        <f>C89/B89-1</f>
        <v>2.3558043319542588E-2</v>
      </c>
      <c r="D105" s="1">
        <f t="shared" ref="D105:AN105" si="149">D89/C89-1</f>
        <v>-9.5106757335106096E-4</v>
      </c>
      <c r="E105" s="1">
        <f t="shared" si="149"/>
        <v>2.2609357894235904E-2</v>
      </c>
      <c r="F105" s="1">
        <f t="shared" si="149"/>
        <v>-1.7920312790914106E-2</v>
      </c>
      <c r="G105" s="1">
        <f t="shared" si="149"/>
        <v>2.3034267026873279E-2</v>
      </c>
      <c r="H105" s="1">
        <f t="shared" si="149"/>
        <v>-1.0192263145702984E-2</v>
      </c>
      <c r="I105" s="1">
        <f t="shared" si="149"/>
        <v>-1.6756377252515886E-2</v>
      </c>
      <c r="J105" s="1">
        <f t="shared" si="149"/>
        <v>-8.0925405817108609E-2</v>
      </c>
      <c r="K105" s="1">
        <f t="shared" si="149"/>
        <v>1.7144041021391221E-2</v>
      </c>
      <c r="L105" s="1">
        <f t="shared" si="149"/>
        <v>1.3596089214787721E-2</v>
      </c>
      <c r="M105" s="1">
        <f t="shared" si="149"/>
        <v>1.2509419743782946E-2</v>
      </c>
      <c r="N105" s="1">
        <f t="shared" si="149"/>
        <v>1.1759452217922073E-2</v>
      </c>
      <c r="O105" s="1">
        <f t="shared" si="149"/>
        <v>1.5840321710558491E-2</v>
      </c>
      <c r="P105" s="1">
        <f t="shared" si="149"/>
        <v>2.4379646615815487E-2</v>
      </c>
      <c r="Q105" s="1">
        <f t="shared" si="149"/>
        <v>2.5731655591686664E-2</v>
      </c>
      <c r="R105" s="1">
        <f t="shared" si="149"/>
        <v>2.6969905812083583E-2</v>
      </c>
      <c r="S105" s="1">
        <f t="shared" si="149"/>
        <v>2.3129921259842368E-2</v>
      </c>
      <c r="T105" s="1">
        <f t="shared" si="149"/>
        <v>2.6105207923389662E-2</v>
      </c>
      <c r="U105" s="1">
        <f t="shared" si="149"/>
        <v>2.4034773715162494E-2</v>
      </c>
      <c r="V105" s="1">
        <f t="shared" si="149"/>
        <v>2.1764461090303833E-2</v>
      </c>
      <c r="W105" s="1">
        <f t="shared" si="149"/>
        <v>2.268561886531173E-2</v>
      </c>
      <c r="X105" s="1">
        <f t="shared" si="149"/>
        <v>2.3138191955396348E-2</v>
      </c>
      <c r="Y105" s="1">
        <f t="shared" si="149"/>
        <v>2.3043089019500806E-2</v>
      </c>
      <c r="Z105" s="1">
        <f t="shared" si="149"/>
        <v>2.4883004223262173E-2</v>
      </c>
      <c r="AA105" s="1">
        <f t="shared" si="149"/>
        <v>2.5244088057319036E-2</v>
      </c>
      <c r="AB105" s="1">
        <f t="shared" si="149"/>
        <v>2.4658724698555234E-2</v>
      </c>
      <c r="AC105" s="1">
        <f t="shared" si="149"/>
        <v>2.4984097816100004E-2</v>
      </c>
      <c r="AD105" s="1">
        <f t="shared" si="149"/>
        <v>2.6098948457162541E-2</v>
      </c>
      <c r="AE105" s="1">
        <f t="shared" si="149"/>
        <v>2.3083126133996323E-2</v>
      </c>
      <c r="AF105" s="1">
        <f t="shared" si="149"/>
        <v>2.3022102532102906E-2</v>
      </c>
      <c r="AG105" s="1">
        <f t="shared" si="149"/>
        <v>2.3113964686998445E-2</v>
      </c>
      <c r="AH105" s="1">
        <f t="shared" si="149"/>
        <v>2.3658613115782989E-2</v>
      </c>
      <c r="AI105" s="1">
        <f t="shared" si="149"/>
        <v>2.4736390387444906E-2</v>
      </c>
      <c r="AJ105" s="1">
        <f t="shared" si="149"/>
        <v>2.5006730280278777E-2</v>
      </c>
      <c r="AK105" s="1">
        <f t="shared" si="149"/>
        <v>2.5739049231038535E-2</v>
      </c>
      <c r="AL105" s="1">
        <f t="shared" si="149"/>
        <v>2.5377677885572991E-2</v>
      </c>
      <c r="AM105" s="1">
        <f t="shared" si="149"/>
        <v>2.6303376709858162E-2</v>
      </c>
      <c r="AN105" s="1">
        <f t="shared" si="149"/>
        <v>2.7332450187893764E-2</v>
      </c>
    </row>
    <row r="106" spans="1:40" x14ac:dyDescent="0.25">
      <c r="A106" t="s">
        <v>83</v>
      </c>
      <c r="C106" s="16">
        <f t="shared" ref="C106:J106" si="150">C105/C100</f>
        <v>0.95085901783459603</v>
      </c>
      <c r="D106" s="16">
        <f t="shared" si="150"/>
        <v>-5.064054845090088E-2</v>
      </c>
      <c r="E106" s="16">
        <f t="shared" si="150"/>
        <v>1.7745379533429615</v>
      </c>
      <c r="F106" s="16">
        <f t="shared" si="150"/>
        <v>-2.240551735519543</v>
      </c>
      <c r="G106" s="16">
        <f t="shared" si="150"/>
        <v>1.9398098517071514</v>
      </c>
      <c r="H106" s="16">
        <f t="shared" si="150"/>
        <v>-1.0033238118830097</v>
      </c>
      <c r="I106" s="16">
        <f t="shared" si="150"/>
        <v>-1.9526847552853968</v>
      </c>
      <c r="J106" s="16">
        <f t="shared" si="150"/>
        <v>1.1168352366205441</v>
      </c>
      <c r="K106" s="16">
        <f>K105/K100</f>
        <v>0.7723251672593956</v>
      </c>
      <c r="L106" s="16">
        <f t="shared" ref="L106:AN106" si="151">L105/L100</f>
        <v>0.65240018158662805</v>
      </c>
      <c r="M106" s="16">
        <f t="shared" si="151"/>
        <v>0.60706491776642357</v>
      </c>
      <c r="N106" s="16">
        <f t="shared" si="151"/>
        <v>0.60385633142787676</v>
      </c>
      <c r="O106" s="16">
        <f t="shared" si="151"/>
        <v>0.79531232308630373</v>
      </c>
      <c r="P106" s="16">
        <f t="shared" si="151"/>
        <v>1.0511316505124195</v>
      </c>
      <c r="Q106" s="16">
        <f t="shared" si="151"/>
        <v>1.1463555492718966</v>
      </c>
      <c r="R106" s="16">
        <f t="shared" si="151"/>
        <v>1.1722232802506944</v>
      </c>
      <c r="S106" s="16">
        <f t="shared" si="151"/>
        <v>0.99552092626352573</v>
      </c>
      <c r="T106" s="16">
        <f t="shared" si="151"/>
        <v>1.1108318889894775</v>
      </c>
      <c r="U106" s="16">
        <f t="shared" si="151"/>
        <v>0.87176846665682528</v>
      </c>
      <c r="V106" s="16">
        <f t="shared" si="151"/>
        <v>0.85116763122038974</v>
      </c>
      <c r="W106" s="16">
        <f t="shared" si="151"/>
        <v>0.81923948213913256</v>
      </c>
      <c r="X106" s="16">
        <f t="shared" si="151"/>
        <v>0.8030822545583679</v>
      </c>
      <c r="Y106" s="16">
        <f t="shared" si="151"/>
        <v>0.76984342181624377</v>
      </c>
      <c r="Z106" s="16">
        <f t="shared" si="151"/>
        <v>0.83160275150322382</v>
      </c>
      <c r="AA106" s="16">
        <f t="shared" si="151"/>
        <v>0.83343637039852636</v>
      </c>
      <c r="AB106" s="16">
        <f t="shared" si="151"/>
        <v>0.82615903165799309</v>
      </c>
      <c r="AC106" s="16">
        <f t="shared" si="151"/>
        <v>0.82799825630925949</v>
      </c>
      <c r="AD106" s="16">
        <f t="shared" si="151"/>
        <v>0.83963573784288192</v>
      </c>
      <c r="AE106" s="16">
        <f t="shared" si="151"/>
        <v>0.73542450694348049</v>
      </c>
      <c r="AF106" s="16">
        <f t="shared" si="151"/>
        <v>0.72554251357972466</v>
      </c>
      <c r="AG106" s="16">
        <f t="shared" si="151"/>
        <v>0.72374651573792403</v>
      </c>
      <c r="AH106" s="16">
        <f t="shared" si="151"/>
        <v>0.73338686997364322</v>
      </c>
      <c r="AI106" s="16">
        <f t="shared" si="151"/>
        <v>0.74527428161267495</v>
      </c>
      <c r="AJ106" s="16">
        <f t="shared" si="151"/>
        <v>0.74174898404817069</v>
      </c>
      <c r="AK106" s="16">
        <f t="shared" si="151"/>
        <v>0.75324972161614034</v>
      </c>
      <c r="AL106" s="16">
        <f t="shared" si="151"/>
        <v>0.75931763705153243</v>
      </c>
      <c r="AM106" s="16">
        <f t="shared" si="151"/>
        <v>0.7750974901889911</v>
      </c>
      <c r="AN106" s="16">
        <f t="shared" si="151"/>
        <v>0.79254748862081537</v>
      </c>
    </row>
    <row r="109" spans="1:40" x14ac:dyDescent="0.25">
      <c r="A109" s="20" t="s">
        <v>126</v>
      </c>
    </row>
    <row r="110" spans="1:40" x14ac:dyDescent="0.25">
      <c r="B110" s="3" t="s">
        <v>87</v>
      </c>
      <c r="C110" s="3" t="s">
        <v>88</v>
      </c>
      <c r="D110" s="3" t="s">
        <v>89</v>
      </c>
      <c r="E110" s="3" t="s">
        <v>90</v>
      </c>
      <c r="F110" s="3" t="s">
        <v>91</v>
      </c>
      <c r="G110" s="3" t="s">
        <v>92</v>
      </c>
      <c r="H110" s="3" t="s">
        <v>93</v>
      </c>
      <c r="I110" s="3" t="s">
        <v>94</v>
      </c>
      <c r="J110" s="3" t="s">
        <v>95</v>
      </c>
      <c r="K110" s="3" t="s">
        <v>96</v>
      </c>
      <c r="L110" s="3" t="s">
        <v>97</v>
      </c>
      <c r="M110" s="3" t="s">
        <v>98</v>
      </c>
      <c r="N110" s="3" t="s">
        <v>99</v>
      </c>
      <c r="O110" s="3" t="s">
        <v>100</v>
      </c>
      <c r="P110" s="3" t="s">
        <v>101</v>
      </c>
      <c r="Q110" s="3" t="s">
        <v>102</v>
      </c>
      <c r="R110" s="3" t="s">
        <v>103</v>
      </c>
      <c r="S110" s="3" t="s">
        <v>104</v>
      </c>
      <c r="T110" s="3" t="s">
        <v>105</v>
      </c>
      <c r="U110" s="3" t="s">
        <v>106</v>
      </c>
      <c r="V110" s="3" t="s">
        <v>107</v>
      </c>
      <c r="W110" s="3" t="s">
        <v>108</v>
      </c>
      <c r="X110" s="3" t="s">
        <v>109</v>
      </c>
      <c r="Y110" s="3" t="s">
        <v>110</v>
      </c>
      <c r="Z110" s="3" t="s">
        <v>111</v>
      </c>
      <c r="AA110" s="3" t="s">
        <v>112</v>
      </c>
      <c r="AB110" s="3" t="s">
        <v>113</v>
      </c>
      <c r="AC110" s="3" t="s">
        <v>114</v>
      </c>
      <c r="AD110" s="3" t="s">
        <v>115</v>
      </c>
      <c r="AE110" s="3" t="s">
        <v>116</v>
      </c>
      <c r="AF110" s="3" t="s">
        <v>117</v>
      </c>
      <c r="AG110" s="3" t="s">
        <v>118</v>
      </c>
      <c r="AH110" s="3" t="s">
        <v>119</v>
      </c>
      <c r="AI110" s="3" t="s">
        <v>120</v>
      </c>
      <c r="AJ110" s="3" t="s">
        <v>121</v>
      </c>
      <c r="AK110" s="3" t="s">
        <v>122</v>
      </c>
      <c r="AL110" s="3" t="s">
        <v>123</v>
      </c>
      <c r="AM110" s="3" t="s">
        <v>124</v>
      </c>
      <c r="AN110" s="3" t="s">
        <v>125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72</v>
      </c>
      <c r="B129">
        <f>SUM(B111:B128)</f>
        <v>2893.5800000000004</v>
      </c>
      <c r="C129">
        <f t="shared" ref="C129" si="152">SUM(C111:C128)</f>
        <v>2965.2699999999995</v>
      </c>
      <c r="D129">
        <f t="shared" ref="D129" si="153">SUM(D111:D128)</f>
        <v>3020.9599999999996</v>
      </c>
      <c r="E129">
        <f t="shared" ref="E129" si="154">SUM(E111:E128)</f>
        <v>3059.4500000000003</v>
      </c>
      <c r="F129">
        <f t="shared" ref="F129" si="155">SUM(F111:F128)</f>
        <v>3083.9200000000005</v>
      </c>
      <c r="G129">
        <f t="shared" ref="G129" si="156">SUM(G111:G128)</f>
        <v>3120.5399999999995</v>
      </c>
      <c r="H129">
        <f t="shared" ref="H129" si="157">SUM(H111:H128)</f>
        <v>3152.2400000000002</v>
      </c>
      <c r="I129">
        <f t="shared" ref="I129" si="158">SUM(I111:I128)</f>
        <v>3179.29</v>
      </c>
      <c r="J129">
        <f t="shared" ref="J129" si="159">SUM(J111:J128)</f>
        <v>2948.9199999999992</v>
      </c>
      <c r="K129">
        <f t="shared" ref="K129" si="160">SUM(K111:K128)</f>
        <v>3066.3201349646861</v>
      </c>
      <c r="L129">
        <f t="shared" ref="L129" si="161">SUM(L111:L128)</f>
        <v>3168.8584092559568</v>
      </c>
      <c r="M129">
        <f t="shared" ref="M129" si="162">SUM(M111:M128)</f>
        <v>3279.6439559197274</v>
      </c>
      <c r="N129">
        <f t="shared" ref="N129" si="163">SUM(N111:N128)</f>
        <v>3406.7754771453078</v>
      </c>
      <c r="O129">
        <f t="shared" ref="O129" si="164">SUM(O111:O128)</f>
        <v>3542.5134634741785</v>
      </c>
      <c r="P129">
        <f t="shared" ref="P129" si="165">SUM(P111:P128)</f>
        <v>3698.5922523926524</v>
      </c>
      <c r="Q129">
        <f t="shared" ref="Q129" si="166">SUM(Q111:Q128)</f>
        <v>3866.061040181226</v>
      </c>
      <c r="R129">
        <f t="shared" ref="R129" si="167">SUM(R111:R128)</f>
        <v>4047.2575792168536</v>
      </c>
      <c r="S129">
        <f t="shared" ref="S129" si="168">SUM(S111:S128)</f>
        <v>4252.9867357313888</v>
      </c>
      <c r="T129">
        <f t="shared" ref="T129" si="169">SUM(T111:T128)</f>
        <v>4470.1671743814259</v>
      </c>
      <c r="U129">
        <f t="shared" ref="U129" si="170">SUM(U111:U128)</f>
        <v>4692.6065618792227</v>
      </c>
      <c r="V129">
        <f t="shared" ref="V129" si="171">SUM(V111:V128)</f>
        <v>4928.5832236449414</v>
      </c>
      <c r="W129">
        <f t="shared" ref="W129" si="172">SUM(W111:W128)</f>
        <v>5177.666220973535</v>
      </c>
      <c r="X129">
        <f t="shared" ref="X129" si="173">SUM(X111:X128)</f>
        <v>5441.1847293518413</v>
      </c>
      <c r="Y129">
        <f t="shared" ref="Y129" si="174">SUM(Y111:Y128)</f>
        <v>5702.4488176996365</v>
      </c>
      <c r="Z129">
        <f t="shared" ref="Z129" si="175">SUM(Z111:Z128)</f>
        <v>5976.1244991132244</v>
      </c>
      <c r="AA129">
        <f t="shared" ref="AA129" si="176">SUM(AA111:AA128)</f>
        <v>6282.0830906195679</v>
      </c>
      <c r="AB129">
        <f t="shared" ref="AB129" si="177">SUM(AB111:AB128)</f>
        <v>6607.059104863325</v>
      </c>
      <c r="AC129">
        <f t="shared" ref="AC129" si="178">SUM(AC111:AC128)</f>
        <v>6954.0963235486188</v>
      </c>
      <c r="AD129">
        <f t="shared" ref="AD129" si="179">SUM(AD111:AD128)</f>
        <v>7318.5663285636874</v>
      </c>
      <c r="AE129">
        <f t="shared" ref="AE129" si="180">SUM(AE111:AE128)</f>
        <v>7702.4011553720284</v>
      </c>
      <c r="AF129">
        <f t="shared" ref="AF129" si="181">SUM(AF111:AF128)</f>
        <v>8109.6742160179629</v>
      </c>
      <c r="AG129">
        <f t="shared" ref="AG129" si="182">SUM(AG111:AG128)</f>
        <v>8542.3014584026914</v>
      </c>
      <c r="AH129">
        <f t="shared" ref="AH129" si="183">SUM(AH111:AH128)</f>
        <v>9001.7693057198649</v>
      </c>
      <c r="AI129">
        <f t="shared" ref="AI129" si="184">SUM(AI111:AI128)</f>
        <v>9482.7115836289122</v>
      </c>
      <c r="AJ129">
        <f t="shared" ref="AJ129" si="185">SUM(AJ111:AJ128)</f>
        <v>9973.9690598553916</v>
      </c>
      <c r="AK129">
        <f t="shared" ref="AK129" si="186">SUM(AK111:AK128)</f>
        <v>10492.141578554751</v>
      </c>
      <c r="AL129">
        <f t="shared" ref="AL129" si="187">SUM(AL111:AL128)</f>
        <v>11038.753930473713</v>
      </c>
      <c r="AM129">
        <f t="shared" ref="AM129" si="188">SUM(AM111:AM128)</f>
        <v>11615.828149862718</v>
      </c>
      <c r="AN129">
        <f t="shared" ref="AN129" si="189">SUM(AN111:AN128)</f>
        <v>12227.805598253761</v>
      </c>
    </row>
    <row r="130" spans="1:62" x14ac:dyDescent="0.25">
      <c r="A130" t="s">
        <v>73</v>
      </c>
      <c r="C130" s="1">
        <f>C129/B129-1</f>
        <v>2.4775537569377448E-2</v>
      </c>
      <c r="D130" s="1">
        <f t="shared" ref="D130:AN130" si="190">D129/C129-1</f>
        <v>1.8780751837100818E-2</v>
      </c>
      <c r="E130" s="1">
        <f t="shared" si="190"/>
        <v>1.2740982998782124E-2</v>
      </c>
      <c r="F130" s="1">
        <f t="shared" si="190"/>
        <v>7.9981696056481422E-3</v>
      </c>
      <c r="G130" s="1">
        <f t="shared" si="190"/>
        <v>1.1874497392928118E-2</v>
      </c>
      <c r="H130" s="1">
        <f t="shared" si="190"/>
        <v>1.0158498208643563E-2</v>
      </c>
      <c r="I130" s="1">
        <f t="shared" si="190"/>
        <v>8.581199401060724E-3</v>
      </c>
      <c r="J130" s="1">
        <f t="shared" si="190"/>
        <v>-7.2459574307471408E-2</v>
      </c>
      <c r="K130" s="1">
        <f t="shared" si="190"/>
        <v>3.9811230879334358E-2</v>
      </c>
      <c r="L130" s="1">
        <f t="shared" si="190"/>
        <v>3.3440172512336774E-2</v>
      </c>
      <c r="M130" s="1">
        <f t="shared" si="190"/>
        <v>3.4960712141689942E-2</v>
      </c>
      <c r="N130" s="1">
        <f t="shared" si="190"/>
        <v>3.8763817943136436E-2</v>
      </c>
      <c r="O130" s="1">
        <f t="shared" si="190"/>
        <v>3.9843537456307976E-2</v>
      </c>
      <c r="P130" s="1">
        <f t="shared" si="190"/>
        <v>4.4058770849499052E-2</v>
      </c>
      <c r="Q130" s="1">
        <f t="shared" si="190"/>
        <v>4.5279061967492318E-2</v>
      </c>
      <c r="R130" s="1">
        <f t="shared" si="190"/>
        <v>4.686851478866827E-2</v>
      </c>
      <c r="S130" s="1">
        <f t="shared" si="190"/>
        <v>5.0831742850017347E-2</v>
      </c>
      <c r="T130" s="1">
        <f t="shared" si="190"/>
        <v>5.1065392897983841E-2</v>
      </c>
      <c r="U130" s="1">
        <f t="shared" si="190"/>
        <v>4.976086549348735E-2</v>
      </c>
      <c r="V130" s="1">
        <f t="shared" si="190"/>
        <v>5.0286905295384265E-2</v>
      </c>
      <c r="W130" s="1">
        <f t="shared" si="190"/>
        <v>5.0538458219314464E-2</v>
      </c>
      <c r="X130" s="1">
        <f t="shared" si="190"/>
        <v>5.0895229072676296E-2</v>
      </c>
      <c r="Y130" s="1">
        <f t="shared" si="190"/>
        <v>4.8016029843360508E-2</v>
      </c>
      <c r="Z130" s="1">
        <f t="shared" si="190"/>
        <v>4.7992658972078051E-2</v>
      </c>
      <c r="AA130" s="1">
        <f t="shared" si="190"/>
        <v>5.1196823552076776E-2</v>
      </c>
      <c r="AB130" s="1">
        <f t="shared" si="190"/>
        <v>5.17306138037259E-2</v>
      </c>
      <c r="AC130" s="1">
        <f t="shared" si="190"/>
        <v>5.2525217827981363E-2</v>
      </c>
      <c r="AD130" s="1">
        <f t="shared" si="190"/>
        <v>5.2410836441949549E-2</v>
      </c>
      <c r="AE130" s="1">
        <f t="shared" si="190"/>
        <v>5.2446723794832506E-2</v>
      </c>
      <c r="AF130" s="1">
        <f t="shared" si="190"/>
        <v>5.2876116477247104E-2</v>
      </c>
      <c r="AG130" s="1">
        <f t="shared" si="190"/>
        <v>5.3347055733782511E-2</v>
      </c>
      <c r="AH130" s="1">
        <f t="shared" si="190"/>
        <v>5.3787360415057162E-2</v>
      </c>
      <c r="AI130" s="1">
        <f t="shared" si="190"/>
        <v>5.3427527586543455E-2</v>
      </c>
      <c r="AJ130" s="1">
        <f t="shared" si="190"/>
        <v>5.1805590826424996E-2</v>
      </c>
      <c r="AK130" s="1">
        <f t="shared" si="190"/>
        <v>5.1952489083304965E-2</v>
      </c>
      <c r="AL130" s="1">
        <f t="shared" si="190"/>
        <v>5.209730995588191E-2</v>
      </c>
      <c r="AM130" s="1">
        <f t="shared" si="190"/>
        <v>5.2277115970121191E-2</v>
      </c>
      <c r="AN130" s="1">
        <f t="shared" si="190"/>
        <v>5.2684788419349537E-2</v>
      </c>
    </row>
    <row r="131" spans="1:62" x14ac:dyDescent="0.25">
      <c r="A131" t="s">
        <v>78</v>
      </c>
      <c r="C131" s="1">
        <f>C111/C129</f>
        <v>0.63554077706245982</v>
      </c>
      <c r="D131" s="1">
        <f t="shared" ref="D131:AN131" si="191">D111/D129</f>
        <v>0.63816799957629378</v>
      </c>
      <c r="E131" s="1">
        <f t="shared" si="191"/>
        <v>0.63979146578633417</v>
      </c>
      <c r="F131" s="1">
        <f t="shared" si="191"/>
        <v>0.64292199538250006</v>
      </c>
      <c r="G131" s="1">
        <f t="shared" si="191"/>
        <v>0.64328609791895008</v>
      </c>
      <c r="H131" s="1">
        <f t="shared" si="191"/>
        <v>0.64608024769687578</v>
      </c>
      <c r="I131" s="1">
        <f t="shared" si="191"/>
        <v>0.65144733572590108</v>
      </c>
      <c r="J131" s="1">
        <f t="shared" si="191"/>
        <v>0.64959374957611615</v>
      </c>
      <c r="K131" s="1">
        <f t="shared" si="191"/>
        <v>0.65057145094506752</v>
      </c>
      <c r="L131" s="1">
        <f t="shared" si="191"/>
        <v>0.65224113970649311</v>
      </c>
      <c r="M131" s="1">
        <f t="shared" si="191"/>
        <v>0.65398093286773529</v>
      </c>
      <c r="N131" s="1">
        <f t="shared" si="191"/>
        <v>0.6559775916398406</v>
      </c>
      <c r="O131" s="1">
        <f t="shared" si="191"/>
        <v>0.65859589893506321</v>
      </c>
      <c r="P131" s="1">
        <f t="shared" si="191"/>
        <v>0.66063485161235391</v>
      </c>
      <c r="Q131" s="1">
        <f t="shared" si="191"/>
        <v>0.66291509233269297</v>
      </c>
      <c r="R131" s="1">
        <f t="shared" si="191"/>
        <v>0.66527060197240806</v>
      </c>
      <c r="S131" s="1">
        <f t="shared" si="191"/>
        <v>0.66758439084725851</v>
      </c>
      <c r="T131" s="1">
        <f t="shared" si="191"/>
        <v>0.67013412183116006</v>
      </c>
      <c r="U131" s="1">
        <f t="shared" si="191"/>
        <v>0.67258196993849639</v>
      </c>
      <c r="V131" s="1">
        <f t="shared" si="191"/>
        <v>0.67522638116394529</v>
      </c>
      <c r="W131" s="1">
        <f t="shared" si="191"/>
        <v>0.67787077086500469</v>
      </c>
      <c r="X131" s="1">
        <f t="shared" si="191"/>
        <v>0.68052880548055039</v>
      </c>
      <c r="Y131" s="1">
        <f t="shared" si="191"/>
        <v>0.6831451467082994</v>
      </c>
      <c r="Z131" s="1">
        <f t="shared" si="191"/>
        <v>0.6855984987956345</v>
      </c>
      <c r="AA131" s="1">
        <f t="shared" si="191"/>
        <v>0.68802208467320247</v>
      </c>
      <c r="AB131" s="1">
        <f t="shared" si="191"/>
        <v>0.6907610214667862</v>
      </c>
      <c r="AC131" s="1">
        <f t="shared" si="191"/>
        <v>0.69323918387832129</v>
      </c>
      <c r="AD131" s="1">
        <f t="shared" si="191"/>
        <v>0.69559930991285646</v>
      </c>
      <c r="AE131" s="1">
        <f t="shared" si="191"/>
        <v>0.69764449325251598</v>
      </c>
      <c r="AF131" s="1">
        <f t="shared" si="191"/>
        <v>0.69963768486305167</v>
      </c>
      <c r="AG131" s="1">
        <f t="shared" si="191"/>
        <v>0.70146122559924229</v>
      </c>
      <c r="AH131" s="1">
        <f t="shared" si="191"/>
        <v>0.70316487478598821</v>
      </c>
      <c r="AI131" s="1">
        <f t="shared" si="191"/>
        <v>0.70476806643324652</v>
      </c>
      <c r="AJ131" s="1">
        <f t="shared" si="191"/>
        <v>0.70631781058147081</v>
      </c>
      <c r="AK131" s="1">
        <f t="shared" si="191"/>
        <v>0.70770436876770226</v>
      </c>
      <c r="AL131" s="1">
        <f t="shared" si="191"/>
        <v>0.70894688022551711</v>
      </c>
      <c r="AM131" s="1">
        <f t="shared" si="191"/>
        <v>0.71009359287573681</v>
      </c>
      <c r="AN131" s="1">
        <f t="shared" si="191"/>
        <v>0.7111442161666317</v>
      </c>
    </row>
    <row r="132" spans="1:62" x14ac:dyDescent="0.25">
      <c r="A132" t="s">
        <v>75</v>
      </c>
      <c r="C132" s="1">
        <f>C128/B128-1</f>
        <v>-6.6245106895512773E-3</v>
      </c>
      <c r="D132" s="1">
        <f t="shared" ref="D132:AN132" si="192">D128/C128-1</f>
        <v>-3.9405880569870488E-3</v>
      </c>
      <c r="E132" s="1">
        <f t="shared" si="192"/>
        <v>-3.9561777236762907E-3</v>
      </c>
      <c r="F132" s="1">
        <f t="shared" si="192"/>
        <v>-1.8026275588145291E-2</v>
      </c>
      <c r="G132" s="1">
        <f t="shared" si="192"/>
        <v>-6.6894835096452665E-3</v>
      </c>
      <c r="H132" s="1">
        <f t="shared" si="192"/>
        <v>-1.1276429130775201E-2</v>
      </c>
      <c r="I132" s="1">
        <f t="shared" si="192"/>
        <v>-1.4097893236179271E-2</v>
      </c>
      <c r="J132" s="1">
        <f t="shared" si="192"/>
        <v>-1.0604113110539881E-2</v>
      </c>
      <c r="K132" s="1">
        <f t="shared" si="192"/>
        <v>-5.2910053079827657E-3</v>
      </c>
      <c r="L132" s="1">
        <f t="shared" si="192"/>
        <v>-4.1180508063809462E-3</v>
      </c>
      <c r="M132" s="1">
        <f t="shared" si="192"/>
        <v>4.9965540833047939E-3</v>
      </c>
      <c r="N132" s="1">
        <f t="shared" si="192"/>
        <v>7.5432881706234411E-3</v>
      </c>
      <c r="O132" s="1">
        <f t="shared" si="192"/>
        <v>1.3612387255170777E-2</v>
      </c>
      <c r="P132" s="1">
        <f t="shared" si="192"/>
        <v>-6.8826590732435911E-3</v>
      </c>
      <c r="Q132" s="1">
        <f t="shared" si="192"/>
        <v>-2.7045301047546877E-3</v>
      </c>
      <c r="R132" s="1">
        <f t="shared" si="192"/>
        <v>7.11864405072693E-3</v>
      </c>
      <c r="S132" s="1">
        <f t="shared" si="192"/>
        <v>5.5536856108120425E-3</v>
      </c>
      <c r="T132" s="1">
        <f t="shared" si="192"/>
        <v>6.5271966358741995E-3</v>
      </c>
      <c r="U132" s="1">
        <f t="shared" si="192"/>
        <v>-4.4895244595196671E-3</v>
      </c>
      <c r="V132" s="1">
        <f t="shared" si="192"/>
        <v>-1.0021713879905247E-3</v>
      </c>
      <c r="W132" s="1">
        <f t="shared" si="192"/>
        <v>-1.2874101337353672E-2</v>
      </c>
      <c r="X132" s="1">
        <f t="shared" si="192"/>
        <v>-3.8956639735111542E-3</v>
      </c>
      <c r="Y132" s="1">
        <f t="shared" si="192"/>
        <v>-1.853426289715121E-2</v>
      </c>
      <c r="Z132" s="1">
        <f t="shared" si="192"/>
        <v>-1.8711018728019502E-2</v>
      </c>
      <c r="AA132" s="1">
        <f t="shared" si="192"/>
        <v>-1.0416666684138098E-2</v>
      </c>
      <c r="AB132" s="1">
        <f t="shared" si="192"/>
        <v>-1.9803746672260369E-2</v>
      </c>
      <c r="AC132" s="1">
        <f t="shared" si="192"/>
        <v>-2.0203858772839367E-2</v>
      </c>
      <c r="AD132" s="1">
        <f t="shared" si="192"/>
        <v>-2.0992011907467911E-2</v>
      </c>
      <c r="AE132" s="1">
        <f t="shared" si="192"/>
        <v>-1.1195445939066517E-2</v>
      </c>
      <c r="AF132" s="1">
        <f t="shared" si="192"/>
        <v>-1.1130301304718149E-2</v>
      </c>
      <c r="AG132" s="1">
        <f t="shared" si="192"/>
        <v>-1.1255579293396822E-2</v>
      </c>
      <c r="AH132" s="1">
        <f t="shared" si="192"/>
        <v>-1.1187438684765683E-2</v>
      </c>
      <c r="AI132" s="1">
        <f t="shared" si="192"/>
        <v>-1.1512504981907257E-2</v>
      </c>
      <c r="AJ132" s="1">
        <f t="shared" si="192"/>
        <v>-1.144578315238054E-2</v>
      </c>
      <c r="AK132" s="1">
        <f t="shared" si="192"/>
        <v>-1.1578305931107424E-2</v>
      </c>
      <c r="AL132" s="1">
        <f t="shared" si="192"/>
        <v>-1.191944103962328E-2</v>
      </c>
      <c r="AM132" s="1">
        <f t="shared" si="192"/>
        <v>-1.1855241285111062E-2</v>
      </c>
      <c r="AN132" s="1">
        <f t="shared" si="192"/>
        <v>-1.1997474236750127E-2</v>
      </c>
    </row>
    <row r="133" spans="1:62" x14ac:dyDescent="0.25">
      <c r="A133" t="s">
        <v>76</v>
      </c>
      <c r="C133" s="1">
        <f>C112/B112-1</f>
        <v>4.2251503867086759E-2</v>
      </c>
      <c r="D133" s="1">
        <f t="shared" ref="D133:AN133" si="193">D112/C112-1</f>
        <v>3.7652878933626566E-2</v>
      </c>
      <c r="E133" s="1">
        <f t="shared" si="193"/>
        <v>-1.5229770891272754E-2</v>
      </c>
      <c r="F133" s="1">
        <f t="shared" si="193"/>
        <v>-1.0892953200645539E-2</v>
      </c>
      <c r="G133" s="1">
        <f t="shared" si="193"/>
        <v>3.3310673011556879E-2</v>
      </c>
      <c r="H133" s="1">
        <f t="shared" si="193"/>
        <v>-1.6052631578947318E-2</v>
      </c>
      <c r="I133" s="1">
        <f t="shared" si="193"/>
        <v>-1.6715699384862281E-2</v>
      </c>
      <c r="J133" s="1">
        <f t="shared" si="193"/>
        <v>-3.4951720386237062E-2</v>
      </c>
      <c r="K133" s="1">
        <f t="shared" si="193"/>
        <v>4.2409172523243166E-2</v>
      </c>
      <c r="L133" s="1">
        <f t="shared" si="193"/>
        <v>3.4852902186127022E-2</v>
      </c>
      <c r="M133" s="1">
        <f t="shared" si="193"/>
        <v>3.1374055563690995E-2</v>
      </c>
      <c r="N133" s="1">
        <f t="shared" si="193"/>
        <v>3.4144524447055513E-2</v>
      </c>
      <c r="O133" s="1">
        <f t="shared" si="193"/>
        <v>3.6258854591952661E-2</v>
      </c>
      <c r="P133" s="1">
        <f t="shared" si="193"/>
        <v>3.719151893132655E-2</v>
      </c>
      <c r="Q133" s="1">
        <f t="shared" si="193"/>
        <v>3.6974977647040053E-2</v>
      </c>
      <c r="R133" s="1">
        <f t="shared" si="193"/>
        <v>3.5548852730415303E-2</v>
      </c>
      <c r="S133" s="1">
        <f t="shared" si="193"/>
        <v>3.8801622791648782E-2</v>
      </c>
      <c r="T133" s="1">
        <f t="shared" si="193"/>
        <v>3.745243339638038E-2</v>
      </c>
      <c r="U133" s="1">
        <f t="shared" si="193"/>
        <v>3.5810810800812609E-2</v>
      </c>
      <c r="V133" s="1">
        <f t="shared" si="193"/>
        <v>3.531823687414648E-2</v>
      </c>
      <c r="W133" s="1">
        <f t="shared" si="193"/>
        <v>3.4113411331826216E-2</v>
      </c>
      <c r="X133" s="1">
        <f t="shared" si="193"/>
        <v>3.5164069970970768E-2</v>
      </c>
      <c r="Y133" s="1">
        <f t="shared" si="193"/>
        <v>3.1447069696195706E-2</v>
      </c>
      <c r="Z133" s="1">
        <f t="shared" si="193"/>
        <v>3.179261432272118E-2</v>
      </c>
      <c r="AA133" s="1">
        <f t="shared" si="193"/>
        <v>3.6580548304996574E-2</v>
      </c>
      <c r="AB133" s="1">
        <f t="shared" si="193"/>
        <v>3.833841462623222E-2</v>
      </c>
      <c r="AC133" s="1">
        <f t="shared" si="193"/>
        <v>3.9125009168031299E-2</v>
      </c>
      <c r="AD133" s="1">
        <f t="shared" si="193"/>
        <v>4.0053687474992605E-2</v>
      </c>
      <c r="AE133" s="1">
        <f t="shared" si="193"/>
        <v>4.0345038368265085E-2</v>
      </c>
      <c r="AF133" s="1">
        <f t="shared" si="193"/>
        <v>4.1391917470513961E-2</v>
      </c>
      <c r="AG133" s="1">
        <f t="shared" si="193"/>
        <v>4.2818632054148376E-2</v>
      </c>
      <c r="AH133" s="1">
        <f t="shared" si="193"/>
        <v>4.388601658624558E-2</v>
      </c>
      <c r="AI133" s="1">
        <f t="shared" si="193"/>
        <v>4.3826307296453537E-2</v>
      </c>
      <c r="AJ133" s="1">
        <f t="shared" si="193"/>
        <v>4.1986206890803013E-2</v>
      </c>
      <c r="AK133" s="1">
        <f t="shared" si="193"/>
        <v>4.3418405162324314E-2</v>
      </c>
      <c r="AL133" s="1">
        <f t="shared" si="193"/>
        <v>4.4402719978461347E-2</v>
      </c>
      <c r="AM133" s="1">
        <f t="shared" si="193"/>
        <v>4.4750012142049878E-2</v>
      </c>
      <c r="AN133" s="1">
        <f t="shared" si="193"/>
        <v>4.5065575290461179E-2</v>
      </c>
    </row>
    <row r="134" spans="1:62" x14ac:dyDescent="0.25">
      <c r="A134" t="s">
        <v>82</v>
      </c>
      <c r="C134" s="16">
        <f t="shared" ref="C134" si="194">C133/C130</f>
        <v>1.7053718309349459</v>
      </c>
      <c r="D134" s="16">
        <f t="shared" ref="D134" si="195">D133/D130</f>
        <v>2.0048653674899435</v>
      </c>
      <c r="E134" s="16">
        <f t="shared" ref="E134" si="196">E133/E130</f>
        <v>-1.1953371959391614</v>
      </c>
      <c r="F134" s="16">
        <f t="shared" ref="F134" si="197">F133/F130</f>
        <v>-1.3619307588767759</v>
      </c>
      <c r="G134" s="16">
        <f t="shared" ref="G134" si="198">G133/G130</f>
        <v>2.8052280369689684</v>
      </c>
      <c r="H134" s="16">
        <f t="shared" ref="H134" si="199">H133/H130</f>
        <v>-1.580217001494238</v>
      </c>
      <c r="I134" s="16">
        <f t="shared" ref="I134" si="200">I133/I130</f>
        <v>-1.9479444077241754</v>
      </c>
      <c r="J134" s="16">
        <f t="shared" ref="J134" si="201">J133/J130</f>
        <v>0.48236165779727941</v>
      </c>
      <c r="K134" s="16">
        <f t="shared" ref="K134" si="202">K133/K130</f>
        <v>1.06525650140743</v>
      </c>
      <c r="L134" s="16">
        <f t="shared" ref="L134" si="203">L133/L130</f>
        <v>1.0422464828274753</v>
      </c>
      <c r="M134" s="16">
        <f t="shared" ref="M134" si="204">M133/M130</f>
        <v>0.89740893825438028</v>
      </c>
      <c r="N134" s="16">
        <f t="shared" ref="N134" si="205">N133/N130</f>
        <v>0.88083491923171564</v>
      </c>
      <c r="O134" s="16">
        <f t="shared" ref="O134" si="206">O133/O130</f>
        <v>0.91003100896133426</v>
      </c>
      <c r="P134" s="16">
        <f t="shared" ref="P134" si="207">P133/P130</f>
        <v>0.84413428278263958</v>
      </c>
      <c r="Q134" s="16">
        <f t="shared" ref="Q134" si="208">Q133/Q130</f>
        <v>0.81660211233143243</v>
      </c>
      <c r="R134" s="16">
        <f t="shared" ref="R134" si="209">R133/R130</f>
        <v>0.75848046157865878</v>
      </c>
      <c r="S134" s="16">
        <f t="shared" ref="S134" si="210">S133/S130</f>
        <v>0.76333449565433387</v>
      </c>
      <c r="T134" s="16">
        <f t="shared" ref="T134" si="211">T133/T130</f>
        <v>0.73342103665394642</v>
      </c>
      <c r="U134" s="16">
        <f t="shared" ref="U134" si="212">U133/U130</f>
        <v>0.71965811779337907</v>
      </c>
      <c r="V134" s="16">
        <f t="shared" ref="V134" si="213">V133/V130</f>
        <v>0.70233466678229395</v>
      </c>
      <c r="W134" s="16">
        <f t="shared" ref="W134" si="214">W133/W130</f>
        <v>0.6749990508968271</v>
      </c>
      <c r="X134" s="16">
        <f t="shared" ref="X134" si="215">X133/X130</f>
        <v>0.69091092842431112</v>
      </c>
      <c r="Y134" s="16">
        <f t="shared" ref="Y134" si="216">Y133/Y130</f>
        <v>0.65492856862142468</v>
      </c>
      <c r="Z134" s="16">
        <f t="shared" ref="Z134" si="217">Z133/Z130</f>
        <v>0.66244744516485332</v>
      </c>
      <c r="AA134" s="16">
        <f t="shared" ref="AA134" si="218">AA133/AA130</f>
        <v>0.71450816216727375</v>
      </c>
      <c r="AB134" s="16">
        <f t="shared" ref="AB134" si="219">AB133/AB130</f>
        <v>0.74111656149478922</v>
      </c>
      <c r="AC134" s="16">
        <f t="shared" ref="AC134" si="220">AC133/AC130</f>
        <v>0.74488047429264592</v>
      </c>
      <c r="AD134" s="16">
        <f t="shared" ref="AD134" si="221">AD133/AD130</f>
        <v>0.76422530518772069</v>
      </c>
      <c r="AE134" s="16">
        <f t="shared" ref="AE134" si="222">AE133/AE130</f>
        <v>0.76925755221797509</v>
      </c>
      <c r="AF134" s="16">
        <f t="shared" ref="AF134" si="223">AF133/AF130</f>
        <v>0.78280933298732602</v>
      </c>
      <c r="AG134" s="16">
        <f t="shared" ref="AG134" si="224">AG133/AG130</f>
        <v>0.80264283502028555</v>
      </c>
      <c r="AH134" s="16">
        <f t="shared" ref="AH134" si="225">AH133/AH130</f>
        <v>0.81591690403829864</v>
      </c>
      <c r="AI134" s="16">
        <f t="shared" ref="AI134" si="226">AI133/AI130</f>
        <v>0.8202945050276268</v>
      </c>
      <c r="AJ134" s="16">
        <f t="shared" ref="AJ134" si="227">AJ133/AJ130</f>
        <v>0.81045706112064431</v>
      </c>
      <c r="AK134" s="16">
        <f t="shared" ref="AK134" si="228">AK133/AK130</f>
        <v>0.83573291537011085</v>
      </c>
      <c r="AL134" s="16">
        <f t="shared" ref="AL134" si="229">AL133/AL130</f>
        <v>0.85230350695771717</v>
      </c>
      <c r="AM134" s="16">
        <f t="shared" ref="AM134" si="230">AM133/AM130</f>
        <v>0.85601531973620348</v>
      </c>
      <c r="AN134" s="16">
        <f t="shared" ref="AN134" si="231">AN133/AN130</f>
        <v>0.8553811573040303</v>
      </c>
    </row>
    <row r="135" spans="1:62" x14ac:dyDescent="0.25">
      <c r="A135" t="s">
        <v>77</v>
      </c>
      <c r="C135" s="1">
        <f>C119/B119-1</f>
        <v>2.9213483146067531E-2</v>
      </c>
      <c r="D135" s="1">
        <f t="shared" ref="D135:AN135" si="232">D119/C119-1</f>
        <v>1.2372634643377012E-2</v>
      </c>
      <c r="E135" s="1">
        <f t="shared" si="232"/>
        <v>1.5815959741193542E-2</v>
      </c>
      <c r="F135" s="1">
        <f t="shared" si="232"/>
        <v>1.4154281670204494E-3</v>
      </c>
      <c r="G135" s="1">
        <f t="shared" si="232"/>
        <v>2.1201413427560656E-3</v>
      </c>
      <c r="H135" s="1">
        <f t="shared" si="232"/>
        <v>2.1156558533146352E-3</v>
      </c>
      <c r="I135" s="1">
        <f t="shared" si="232"/>
        <v>-9.1484869809993485E-3</v>
      </c>
      <c r="J135" s="1">
        <f t="shared" si="232"/>
        <v>-0.12926136363636365</v>
      </c>
      <c r="K135" s="1">
        <f t="shared" si="232"/>
        <v>4.2319749134614559E-2</v>
      </c>
      <c r="L135" s="1">
        <f t="shared" si="232"/>
        <v>3.007518789247543E-2</v>
      </c>
      <c r="M135" s="1">
        <f t="shared" si="232"/>
        <v>2.9927007224092916E-2</v>
      </c>
      <c r="N135" s="1">
        <f t="shared" si="232"/>
        <v>3.401842657448495E-2</v>
      </c>
      <c r="O135" s="1">
        <f t="shared" si="232"/>
        <v>3.5640849826206855E-2</v>
      </c>
      <c r="P135" s="1">
        <f t="shared" si="232"/>
        <v>3.7061548574648606E-2</v>
      </c>
      <c r="Q135" s="1">
        <f t="shared" si="232"/>
        <v>3.8289725524040197E-2</v>
      </c>
      <c r="R135" s="1">
        <f t="shared" si="232"/>
        <v>3.8721573384220997E-2</v>
      </c>
      <c r="S135" s="1">
        <f t="shared" si="232"/>
        <v>4.2011834257869252E-2</v>
      </c>
      <c r="T135" s="1">
        <f t="shared" si="232"/>
        <v>4.145371941842968E-2</v>
      </c>
      <c r="U135" s="1">
        <f t="shared" si="232"/>
        <v>3.7077426333856245E-2</v>
      </c>
      <c r="V135" s="1">
        <f t="shared" si="232"/>
        <v>3.6803364824563367E-2</v>
      </c>
      <c r="W135" s="1">
        <f t="shared" si="232"/>
        <v>3.7018255525506083E-2</v>
      </c>
      <c r="X135" s="1">
        <f t="shared" si="232"/>
        <v>3.6185819020235543E-2</v>
      </c>
      <c r="Y135" s="1">
        <f t="shared" si="232"/>
        <v>3.3034450163613283E-2</v>
      </c>
      <c r="Z135" s="1">
        <f t="shared" si="232"/>
        <v>3.152124252939581E-2</v>
      </c>
      <c r="AA135" s="1">
        <f t="shared" si="232"/>
        <v>3.0115146101412194E-2</v>
      </c>
      <c r="AB135" s="1">
        <f t="shared" si="232"/>
        <v>3.5253654297710435E-2</v>
      </c>
      <c r="AC135" s="1">
        <f t="shared" si="232"/>
        <v>3.5714285671274437E-2</v>
      </c>
      <c r="AD135" s="1">
        <f t="shared" si="232"/>
        <v>3.5685645507791186E-2</v>
      </c>
      <c r="AE135" s="1">
        <f t="shared" si="232"/>
        <v>4.1424699920966868E-2</v>
      </c>
      <c r="AF135" s="1">
        <f t="shared" si="232"/>
        <v>4.349442375302992E-2</v>
      </c>
      <c r="AG135" s="1">
        <f t="shared" si="232"/>
        <v>4.4887780511404074E-2</v>
      </c>
      <c r="AH135" s="1">
        <f t="shared" si="232"/>
        <v>4.6368905521774195E-2</v>
      </c>
      <c r="AI135" s="1">
        <f t="shared" si="232"/>
        <v>4.6920821080256747E-2</v>
      </c>
      <c r="AJ135" s="1">
        <f t="shared" si="232"/>
        <v>4.6374105165067681E-2</v>
      </c>
      <c r="AK135" s="1">
        <f t="shared" si="232"/>
        <v>4.7590719778477508E-2</v>
      </c>
      <c r="AL135" s="1">
        <f t="shared" si="232"/>
        <v>4.8835888669823024E-2</v>
      </c>
      <c r="AM135" s="1">
        <f t="shared" si="232"/>
        <v>4.9810503490801183E-2</v>
      </c>
      <c r="AN135" s="1">
        <f t="shared" si="232"/>
        <v>5.1572975733585213E-2</v>
      </c>
    </row>
    <row r="136" spans="1:62" x14ac:dyDescent="0.25">
      <c r="A136" t="s">
        <v>83</v>
      </c>
      <c r="C136" s="16">
        <f t="shared" ref="C136" si="233">C135/C130</f>
        <v>1.1791261063160696</v>
      </c>
      <c r="D136" s="16">
        <f t="shared" ref="D136" si="234">D135/D130</f>
        <v>0.65879336198539395</v>
      </c>
      <c r="E136" s="16">
        <f t="shared" ref="E136" si="235">E135/E130</f>
        <v>1.2413453296896595</v>
      </c>
      <c r="F136" s="16">
        <f t="shared" ref="F136" si="236">F135/F130</f>
        <v>0.17696901126238973</v>
      </c>
      <c r="G136" s="16">
        <f t="shared" ref="G136" si="237">G135/G130</f>
        <v>0.17854577525266208</v>
      </c>
      <c r="H136" s="16">
        <f t="shared" ref="H136" si="238">H135/H130</f>
        <v>0.20826462828083062</v>
      </c>
      <c r="I136" s="16">
        <f t="shared" ref="I136" si="239">I135/I130</f>
        <v>-1.0661081922730407</v>
      </c>
      <c r="J136" s="16">
        <f t="shared" ref="J136" si="240">J135/J130</f>
        <v>1.7839100611861491</v>
      </c>
      <c r="K136" s="16">
        <f t="shared" ref="K136" si="241">K135/K130</f>
        <v>1.0630103164326514</v>
      </c>
      <c r="L136" s="16">
        <f t="shared" ref="L136" si="242">L135/L130</f>
        <v>0.89937298862259363</v>
      </c>
      <c r="M136" s="16">
        <f t="shared" ref="M136" si="243">M135/M130</f>
        <v>0.85601823849593628</v>
      </c>
      <c r="N136" s="16">
        <f t="shared" ref="N136" si="244">N135/N130</f>
        <v>0.87758194057116323</v>
      </c>
      <c r="O136" s="16">
        <f t="shared" ref="O136" si="245">O135/O130</f>
        <v>0.89452021837393969</v>
      </c>
      <c r="P136" s="16">
        <f t="shared" ref="P136" si="246">P135/P130</f>
        <v>0.84118435126680335</v>
      </c>
      <c r="Q136" s="16">
        <f t="shared" ref="Q136" si="247">Q135/Q130</f>
        <v>0.84563866520755115</v>
      </c>
      <c r="R136" s="16">
        <f t="shared" ref="R136" si="248">R135/R130</f>
        <v>0.8261745344143695</v>
      </c>
      <c r="S136" s="16">
        <f t="shared" ref="S136" si="249">S135/S130</f>
        <v>0.82648817259380891</v>
      </c>
      <c r="T136" s="16">
        <f t="shared" ref="T136" si="250">T135/T130</f>
        <v>0.81177715603293343</v>
      </c>
      <c r="U136" s="16">
        <f t="shared" ref="U136" si="251">U135/U130</f>
        <v>0.74511216728553287</v>
      </c>
      <c r="V136" s="16">
        <f t="shared" ref="V136" si="252">V135/V130</f>
        <v>0.73186776176384583</v>
      </c>
      <c r="W136" s="16">
        <f t="shared" ref="W136" si="253">W135/W130</f>
        <v>0.73247694587087109</v>
      </c>
      <c r="X136" s="16">
        <f t="shared" ref="X136" si="254">X135/X130</f>
        <v>0.71098646532396348</v>
      </c>
      <c r="Y136" s="16">
        <f t="shared" ref="Y136" si="255">Y135/Y130</f>
        <v>0.68798795467637297</v>
      </c>
      <c r="Z136" s="16">
        <f t="shared" ref="Z136" si="256">Z135/Z130</f>
        <v>0.65679300135745244</v>
      </c>
      <c r="AA136" s="16">
        <f t="shared" ref="AA136" si="257">AA135/AA130</f>
        <v>0.5882229406435624</v>
      </c>
      <c r="AB136" s="16">
        <f t="shared" ref="AB136" si="258">AB135/AB130</f>
        <v>0.68148532765275804</v>
      </c>
      <c r="AC136" s="16">
        <f t="shared" ref="AC136" si="259">AC135/AC130</f>
        <v>0.67994550328639736</v>
      </c>
      <c r="AD136" s="16">
        <f t="shared" ref="AD136" si="260">AD135/AD130</f>
        <v>0.68088296105170443</v>
      </c>
      <c r="AE136" s="16">
        <f t="shared" ref="AE136" si="261">AE135/AE130</f>
        <v>0.78984342440563238</v>
      </c>
      <c r="AF136" s="16">
        <f t="shared" ref="AF136" si="262">AF135/AF130</f>
        <v>0.82257220557689448</v>
      </c>
      <c r="AG136" s="16">
        <f t="shared" ref="AG136" si="263">AG135/AG130</f>
        <v>0.84142938900709519</v>
      </c>
      <c r="AH136" s="16">
        <f t="shared" ref="AH136" si="264">AH135/AH130</f>
        <v>0.86207810095090198</v>
      </c>
      <c r="AI136" s="16">
        <f t="shared" ref="AI136" si="265">AI135/AI130</f>
        <v>0.8782143437997022</v>
      </c>
      <c r="AJ136" s="16">
        <f t="shared" ref="AJ136" si="266">AJ135/AJ130</f>
        <v>0.89515638033054101</v>
      </c>
      <c r="AK136" s="16">
        <f t="shared" ref="AK136" si="267">AK135/AK130</f>
        <v>0.91604311204736633</v>
      </c>
      <c r="AL136" s="16">
        <f t="shared" ref="AL136" si="268">AL135/AL130</f>
        <v>0.93739751075783395</v>
      </c>
      <c r="AM136" s="16">
        <f t="shared" ref="AM136" si="269">AM135/AM130</f>
        <v>0.95281659224028747</v>
      </c>
      <c r="AN136" s="16">
        <f t="shared" ref="AN136" si="270">AN135/AN130</f>
        <v>0.97889689378811306</v>
      </c>
    </row>
    <row r="140" spans="1:62" x14ac:dyDescent="0.25">
      <c r="A140" t="s">
        <v>127</v>
      </c>
    </row>
    <row r="141" spans="1:62" x14ac:dyDescent="0.25">
      <c r="B141" s="3" t="s">
        <v>87</v>
      </c>
      <c r="C141" s="3" t="s">
        <v>88</v>
      </c>
      <c r="D141" s="3" t="s">
        <v>89</v>
      </c>
      <c r="E141" s="3" t="s">
        <v>90</v>
      </c>
      <c r="F141" s="3" t="s">
        <v>91</v>
      </c>
      <c r="G141" s="3" t="s">
        <v>92</v>
      </c>
      <c r="H141" s="3" t="s">
        <v>93</v>
      </c>
      <c r="I141" s="3" t="s">
        <v>94</v>
      </c>
      <c r="J141" s="3" t="s">
        <v>95</v>
      </c>
      <c r="K141" s="3" t="s">
        <v>96</v>
      </c>
      <c r="L141" s="3" t="s">
        <v>97</v>
      </c>
      <c r="M141" s="3" t="s">
        <v>98</v>
      </c>
      <c r="N141" s="3" t="s">
        <v>99</v>
      </c>
      <c r="O141" s="3" t="s">
        <v>100</v>
      </c>
      <c r="P141" s="3" t="s">
        <v>101</v>
      </c>
      <c r="Q141" s="3" t="s">
        <v>102</v>
      </c>
      <c r="R141" s="3" t="s">
        <v>103</v>
      </c>
      <c r="S141" s="3" t="s">
        <v>104</v>
      </c>
      <c r="T141" s="3" t="s">
        <v>105</v>
      </c>
      <c r="U141" s="3" t="s">
        <v>106</v>
      </c>
      <c r="V141" s="3" t="s">
        <v>107</v>
      </c>
      <c r="W141" s="3" t="s">
        <v>108</v>
      </c>
      <c r="X141" s="3" t="s">
        <v>109</v>
      </c>
      <c r="Y141" s="3" t="s">
        <v>110</v>
      </c>
      <c r="Z141" s="3" t="s">
        <v>111</v>
      </c>
      <c r="AA141" s="3" t="s">
        <v>112</v>
      </c>
      <c r="AB141" s="3" t="s">
        <v>113</v>
      </c>
      <c r="AC141" s="3" t="s">
        <v>114</v>
      </c>
      <c r="AD141" s="3" t="s">
        <v>115</v>
      </c>
      <c r="AE141" s="3" t="s">
        <v>116</v>
      </c>
      <c r="AF141" s="3" t="s">
        <v>117</v>
      </c>
      <c r="AG141" s="3" t="s">
        <v>118</v>
      </c>
      <c r="AH141" s="3" t="s">
        <v>119</v>
      </c>
      <c r="AI141" s="3" t="s">
        <v>120</v>
      </c>
      <c r="AJ141" s="3" t="s">
        <v>121</v>
      </c>
      <c r="AK141" s="3" t="s">
        <v>122</v>
      </c>
      <c r="AL141" s="3" t="s">
        <v>123</v>
      </c>
      <c r="AM141" s="3" t="s">
        <v>124</v>
      </c>
      <c r="AN141" s="3" t="s">
        <v>125</v>
      </c>
      <c r="AO141" s="3" t="s">
        <v>211</v>
      </c>
      <c r="AP141" s="3" t="s">
        <v>212</v>
      </c>
      <c r="AQ141" s="3" t="s">
        <v>213</v>
      </c>
      <c r="AR141" s="3" t="s">
        <v>214</v>
      </c>
      <c r="AS141" s="3" t="s">
        <v>215</v>
      </c>
      <c r="AT141" s="3" t="s">
        <v>216</v>
      </c>
      <c r="AU141" s="3" t="s">
        <v>217</v>
      </c>
      <c r="AV141" s="3" t="s">
        <v>218</v>
      </c>
      <c r="AW141" s="3" t="s">
        <v>219</v>
      </c>
      <c r="AX141" s="3" t="s">
        <v>220</v>
      </c>
      <c r="AY141" s="3" t="s">
        <v>221</v>
      </c>
      <c r="AZ141" s="3" t="s">
        <v>222</v>
      </c>
      <c r="BA141" s="3" t="s">
        <v>223</v>
      </c>
      <c r="BB141" s="3" t="s">
        <v>224</v>
      </c>
      <c r="BC141" s="3" t="s">
        <v>225</v>
      </c>
      <c r="BD141" s="3" t="s">
        <v>226</v>
      </c>
      <c r="BE141" s="3" t="s">
        <v>227</v>
      </c>
      <c r="BF141" s="3" t="s">
        <v>228</v>
      </c>
      <c r="BG141" s="3" t="s">
        <v>229</v>
      </c>
      <c r="BH141" s="3" t="s">
        <v>230</v>
      </c>
      <c r="BI141" s="3" t="s">
        <v>231</v>
      </c>
      <c r="BJ141" s="3" t="s">
        <v>232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129</v>
      </c>
      <c r="C146" s="1">
        <f>C143/B143-1</f>
        <v>-1.1917819406385477E-2</v>
      </c>
      <c r="D146" s="1">
        <f t="shared" ref="D146:AN146" si="271">D143/C143-1</f>
        <v>1.1655771467528719E-2</v>
      </c>
      <c r="E146" s="1">
        <f t="shared" si="271"/>
        <v>1.0993865347500575E-2</v>
      </c>
      <c r="F146" s="1">
        <f t="shared" si="271"/>
        <v>6.7021228353065787E-3</v>
      </c>
      <c r="G146" s="1">
        <f t="shared" si="271"/>
        <v>2.7088384719731184E-3</v>
      </c>
      <c r="H146" s="1">
        <f t="shared" si="271"/>
        <v>1.0680812020439578E-2</v>
      </c>
      <c r="I146" s="1">
        <f t="shared" si="271"/>
        <v>9.5690956753664569E-3</v>
      </c>
      <c r="J146" s="1">
        <f t="shared" si="271"/>
        <v>3.6722863267435235E-2</v>
      </c>
      <c r="K146" s="1">
        <f t="shared" si="271"/>
        <v>-4.2234688411278309E-2</v>
      </c>
      <c r="L146" s="1">
        <f t="shared" si="271"/>
        <v>2.3707736274035884E-2</v>
      </c>
      <c r="M146" s="1">
        <f t="shared" si="271"/>
        <v>1.8819520397883593E-2</v>
      </c>
      <c r="N146" s="1">
        <f t="shared" si="271"/>
        <v>1.9155764888693083E-2</v>
      </c>
      <c r="O146" s="1">
        <f t="shared" si="271"/>
        <v>2.0449740557907825E-2</v>
      </c>
      <c r="P146" s="1">
        <f t="shared" si="271"/>
        <v>1.6000182828238341E-2</v>
      </c>
      <c r="Q146" s="1">
        <f t="shared" si="271"/>
        <v>1.736160088129024E-2</v>
      </c>
      <c r="R146" s="1">
        <f t="shared" si="271"/>
        <v>1.6402013272732052E-2</v>
      </c>
      <c r="S146" s="1">
        <f t="shared" si="271"/>
        <v>1.5485187807613654E-2</v>
      </c>
      <c r="T146" s="1">
        <f t="shared" si="271"/>
        <v>1.6654631990979052E-2</v>
      </c>
      <c r="U146" s="1">
        <f t="shared" si="271"/>
        <v>1.2751168095644472E-2</v>
      </c>
      <c r="V146" s="1">
        <f t="shared" si="271"/>
        <v>1.2585539578651828E-2</v>
      </c>
      <c r="W146" s="1">
        <f t="shared" si="271"/>
        <v>1.1628253857440818E-2</v>
      </c>
      <c r="X146" s="1">
        <f t="shared" si="271"/>
        <v>1.0956244087257483E-2</v>
      </c>
      <c r="Y146" s="1">
        <f t="shared" si="271"/>
        <v>1.0797700037746383E-2</v>
      </c>
      <c r="Z146" s="1">
        <f t="shared" si="271"/>
        <v>7.2908705811867147E-3</v>
      </c>
      <c r="AA146" s="1">
        <f t="shared" si="271"/>
        <v>6.6125588640768562E-3</v>
      </c>
      <c r="AB146" s="1">
        <f t="shared" si="271"/>
        <v>7.6220701023639315E-3</v>
      </c>
      <c r="AC146" s="1">
        <f t="shared" si="271"/>
        <v>6.3422025015256178E-3</v>
      </c>
      <c r="AD146" s="1">
        <f t="shared" si="271"/>
        <v>6.1131840133166193E-3</v>
      </c>
      <c r="AE146" s="1">
        <f t="shared" si="271"/>
        <v>4.0342304875999879E-3</v>
      </c>
      <c r="AF146" s="1">
        <f t="shared" si="271"/>
        <v>3.2468906385272334E-3</v>
      </c>
      <c r="AG146" s="1">
        <f t="shared" si="271"/>
        <v>2.8372295593606101E-3</v>
      </c>
      <c r="AH146" s="1">
        <f t="shared" si="271"/>
        <v>2.536124020307895E-3</v>
      </c>
      <c r="AI146" s="1">
        <f t="shared" si="271"/>
        <v>2.2754840796199716E-3</v>
      </c>
      <c r="AJ146" s="1">
        <f t="shared" si="271"/>
        <v>3.7068643561632975E-4</v>
      </c>
      <c r="AK146" s="1">
        <f t="shared" si="271"/>
        <v>-2.7448309723843156E-4</v>
      </c>
      <c r="AL146" s="1">
        <f t="shared" si="271"/>
        <v>-5.5313303867576824E-4</v>
      </c>
      <c r="AM146" s="1">
        <f t="shared" si="271"/>
        <v>-8.234492729193299E-4</v>
      </c>
      <c r="AN146" s="1">
        <f t="shared" si="271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72">AP146</f>
        <v>5.8069335012798304E-3</v>
      </c>
      <c r="AR146" s="35">
        <f t="shared" si="272"/>
        <v>5.8069335012798304E-3</v>
      </c>
      <c r="AS146" s="35">
        <f t="shared" si="272"/>
        <v>5.8069335012798304E-3</v>
      </c>
      <c r="AT146" s="35">
        <f t="shared" si="272"/>
        <v>5.8069335012798304E-3</v>
      </c>
      <c r="AU146" s="35">
        <f t="shared" si="272"/>
        <v>5.8069335012798304E-3</v>
      </c>
      <c r="AV146" s="35">
        <f t="shared" si="272"/>
        <v>5.8069335012798304E-3</v>
      </c>
      <c r="AW146" s="35">
        <f t="shared" si="272"/>
        <v>5.8069335012798304E-3</v>
      </c>
      <c r="AX146" s="35">
        <f t="shared" si="272"/>
        <v>5.8069335012798304E-3</v>
      </c>
      <c r="AY146" s="35">
        <f t="shared" si="272"/>
        <v>5.8069335012798304E-3</v>
      </c>
      <c r="AZ146" s="35">
        <f t="shared" si="272"/>
        <v>5.8069335012798304E-3</v>
      </c>
      <c r="BA146" s="35">
        <f t="shared" si="272"/>
        <v>5.8069335012798304E-3</v>
      </c>
      <c r="BB146" s="35">
        <f t="shared" si="272"/>
        <v>5.8069335012798304E-3</v>
      </c>
      <c r="BC146" s="35">
        <f t="shared" si="272"/>
        <v>5.8069335012798304E-3</v>
      </c>
      <c r="BD146" s="35">
        <f t="shared" si="272"/>
        <v>5.8069335012798304E-3</v>
      </c>
      <c r="BE146" s="35">
        <f t="shared" si="272"/>
        <v>5.8069335012798304E-3</v>
      </c>
      <c r="BF146" s="35">
        <f t="shared" si="272"/>
        <v>5.8069335012798304E-3</v>
      </c>
      <c r="BG146" s="35">
        <f t="shared" si="272"/>
        <v>5.8069335012798304E-3</v>
      </c>
      <c r="BH146" s="35">
        <f t="shared" si="272"/>
        <v>5.8069335012798304E-3</v>
      </c>
      <c r="BI146" s="35">
        <f t="shared" si="272"/>
        <v>5.8069335012798304E-3</v>
      </c>
      <c r="BJ146" s="35">
        <f t="shared" si="272"/>
        <v>5.8069335012798304E-3</v>
      </c>
    </row>
    <row r="147" spans="1:62" x14ac:dyDescent="0.25">
      <c r="A147" s="3" t="s">
        <v>131</v>
      </c>
      <c r="C147" s="1">
        <f>C144/B144-1</f>
        <v>3.432985724051929E-2</v>
      </c>
      <c r="D147" s="1">
        <f t="shared" ref="D147:AN147" si="273">D144/C144-1</f>
        <v>2.4463612091416564E-2</v>
      </c>
      <c r="E147" s="1">
        <f t="shared" si="273"/>
        <v>1.6314688921422738E-2</v>
      </c>
      <c r="F147" s="1">
        <f t="shared" si="273"/>
        <v>9.596406332857299E-3</v>
      </c>
      <c r="G147" s="1">
        <f t="shared" si="273"/>
        <v>2.9033756210473882E-2</v>
      </c>
      <c r="H147" s="1">
        <f t="shared" si="273"/>
        <v>1.5355288995467564E-2</v>
      </c>
      <c r="I147" s="1">
        <f t="shared" si="273"/>
        <v>-2.2615689481781942E-3</v>
      </c>
      <c r="J147" s="1">
        <f t="shared" si="273"/>
        <v>-0.1075237313320575</v>
      </c>
      <c r="K147" s="1">
        <f t="shared" si="273"/>
        <v>3.5494817940016521E-2</v>
      </c>
      <c r="L147" s="1">
        <f t="shared" si="273"/>
        <v>3.2506643046944061E-2</v>
      </c>
      <c r="M147" s="1">
        <f t="shared" si="273"/>
        <v>3.3971004546624384E-2</v>
      </c>
      <c r="N147" s="1">
        <f t="shared" si="273"/>
        <v>3.8040321911557262E-2</v>
      </c>
      <c r="O147" s="1">
        <f t="shared" si="273"/>
        <v>3.648643248211636E-2</v>
      </c>
      <c r="P147" s="1">
        <f t="shared" si="273"/>
        <v>3.9289019123997626E-2</v>
      </c>
      <c r="Q147" s="1">
        <f t="shared" si="273"/>
        <v>3.7321461695418279E-2</v>
      </c>
      <c r="R147" s="1">
        <f t="shared" si="273"/>
        <v>3.6229033296377056E-2</v>
      </c>
      <c r="S147" s="1">
        <f t="shared" si="273"/>
        <v>3.7792503623938822E-2</v>
      </c>
      <c r="T147" s="1">
        <f t="shared" si="273"/>
        <v>3.3855465762080428E-2</v>
      </c>
      <c r="U147" s="1">
        <f t="shared" si="273"/>
        <v>3.3164988580435706E-2</v>
      </c>
      <c r="V147" s="1">
        <f t="shared" si="273"/>
        <v>3.0512485210785201E-2</v>
      </c>
      <c r="W147" s="1">
        <f t="shared" si="273"/>
        <v>2.8642214031059154E-2</v>
      </c>
      <c r="X147" s="1">
        <f t="shared" si="273"/>
        <v>2.6846031839276474E-2</v>
      </c>
      <c r="Y147" s="1">
        <f t="shared" si="273"/>
        <v>2.3398169336384278E-2</v>
      </c>
      <c r="Z147" s="1">
        <f t="shared" si="273"/>
        <v>2.3953267371010112E-2</v>
      </c>
      <c r="AA147" s="1">
        <f t="shared" si="273"/>
        <v>2.5767708475501472E-2</v>
      </c>
      <c r="AB147" s="1">
        <f t="shared" si="273"/>
        <v>2.2858511402645165E-2</v>
      </c>
      <c r="AC147" s="1">
        <f t="shared" si="273"/>
        <v>2.1905406108538417E-2</v>
      </c>
      <c r="AD147" s="1">
        <f t="shared" si="273"/>
        <v>2.0672097759674157E-2</v>
      </c>
      <c r="AE147" s="1">
        <f t="shared" si="273"/>
        <v>2.0727327147560537E-2</v>
      </c>
      <c r="AF147" s="1">
        <f t="shared" si="273"/>
        <v>1.9842142560418496E-2</v>
      </c>
      <c r="AG147" s="1">
        <f t="shared" si="273"/>
        <v>1.9072720737989712E-2</v>
      </c>
      <c r="AH147" s="1">
        <f t="shared" si="273"/>
        <v>1.8316051821024582E-2</v>
      </c>
      <c r="AI147" s="1">
        <f t="shared" si="273"/>
        <v>1.7363195566843848E-2</v>
      </c>
      <c r="AJ147" s="1">
        <f t="shared" si="273"/>
        <v>1.7089555626162989E-2</v>
      </c>
      <c r="AK147" s="1">
        <f t="shared" si="273"/>
        <v>1.6423072631931435E-2</v>
      </c>
      <c r="AL147" s="1">
        <f t="shared" si="273"/>
        <v>1.5850365524357146E-2</v>
      </c>
      <c r="AM147" s="1">
        <f t="shared" si="273"/>
        <v>1.5343720960387275E-2</v>
      </c>
      <c r="AN147" s="1">
        <f t="shared" si="273"/>
        <v>1.4899006023455286E-2</v>
      </c>
      <c r="AO147" s="35">
        <f t="shared" ref="AO147:AO149" si="274">AVERAGE(T147:AN147)</f>
        <v>2.2214452594167707E-2</v>
      </c>
      <c r="AP147" s="35">
        <f t="shared" ref="AP147:BD147" si="275">AO147</f>
        <v>2.2214452594167707E-2</v>
      </c>
      <c r="AQ147" s="35">
        <f t="shared" si="275"/>
        <v>2.2214452594167707E-2</v>
      </c>
      <c r="AR147" s="35">
        <f t="shared" si="275"/>
        <v>2.2214452594167707E-2</v>
      </c>
      <c r="AS147" s="35">
        <f t="shared" si="275"/>
        <v>2.2214452594167707E-2</v>
      </c>
      <c r="AT147" s="35">
        <f t="shared" si="275"/>
        <v>2.2214452594167707E-2</v>
      </c>
      <c r="AU147" s="35">
        <f t="shared" si="275"/>
        <v>2.2214452594167707E-2</v>
      </c>
      <c r="AV147" s="35">
        <f t="shared" si="275"/>
        <v>2.2214452594167707E-2</v>
      </c>
      <c r="AW147" s="35">
        <f t="shared" si="275"/>
        <v>2.2214452594167707E-2</v>
      </c>
      <c r="AX147" s="35">
        <f t="shared" si="275"/>
        <v>2.2214452594167707E-2</v>
      </c>
      <c r="AY147" s="35">
        <f t="shared" si="275"/>
        <v>2.2214452594167707E-2</v>
      </c>
      <c r="AZ147" s="35">
        <f t="shared" si="275"/>
        <v>2.2214452594167707E-2</v>
      </c>
      <c r="BA147" s="35">
        <f t="shared" si="275"/>
        <v>2.2214452594167707E-2</v>
      </c>
      <c r="BB147" s="35">
        <f t="shared" si="275"/>
        <v>2.2214452594167707E-2</v>
      </c>
      <c r="BC147" s="35">
        <f t="shared" si="275"/>
        <v>2.2214452594167707E-2</v>
      </c>
      <c r="BD147" s="35">
        <f t="shared" si="275"/>
        <v>2.2214452594167707E-2</v>
      </c>
      <c r="BE147" s="35">
        <f t="shared" si="272"/>
        <v>2.2214452594167707E-2</v>
      </c>
      <c r="BF147" s="35">
        <f t="shared" si="272"/>
        <v>2.2214452594167707E-2</v>
      </c>
      <c r="BG147" s="35">
        <f t="shared" si="272"/>
        <v>2.2214452594167707E-2</v>
      </c>
      <c r="BH147" s="35">
        <f t="shared" si="272"/>
        <v>2.2214452594167707E-2</v>
      </c>
      <c r="BI147" s="35">
        <f t="shared" si="272"/>
        <v>2.2214452594167707E-2</v>
      </c>
      <c r="BJ147" s="35">
        <f t="shared" si="272"/>
        <v>2.2214452594167707E-2</v>
      </c>
    </row>
    <row r="148" spans="1:62" x14ac:dyDescent="0.25">
      <c r="A148" t="s">
        <v>130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76">M146/M130</f>
        <v>0.53830483548536456</v>
      </c>
      <c r="N148" s="17">
        <f t="shared" si="276"/>
        <v>0.49416610398885708</v>
      </c>
      <c r="O148" s="17">
        <f t="shared" si="276"/>
        <v>0.51325112837515507</v>
      </c>
      <c r="P148" s="17">
        <f t="shared" si="276"/>
        <v>0.36315545167824997</v>
      </c>
      <c r="Q148" s="17">
        <f t="shared" si="276"/>
        <v>0.38343552465275982</v>
      </c>
      <c r="R148" s="17">
        <f t="shared" si="276"/>
        <v>0.34995803359012523</v>
      </c>
      <c r="S148" s="17">
        <f t="shared" si="276"/>
        <v>0.30463617691220612</v>
      </c>
      <c r="T148" s="17">
        <f t="shared" si="276"/>
        <v>0.32614322627950659</v>
      </c>
      <c r="U148" s="17">
        <f t="shared" si="276"/>
        <v>0.25624892109871622</v>
      </c>
      <c r="V148" s="17">
        <f t="shared" si="276"/>
        <v>0.2502746889021033</v>
      </c>
      <c r="W148" s="17">
        <f t="shared" si="276"/>
        <v>0.23008722994633829</v>
      </c>
      <c r="X148" s="17">
        <f t="shared" si="276"/>
        <v>0.21527055260154968</v>
      </c>
      <c r="Y148" s="17">
        <f t="shared" si="276"/>
        <v>0.22487698531034322</v>
      </c>
      <c r="Z148" s="17">
        <f t="shared" si="276"/>
        <v>0.15191637090640292</v>
      </c>
      <c r="AA148" s="17">
        <f t="shared" si="276"/>
        <v>0.12915955337249865</v>
      </c>
      <c r="AB148" s="17">
        <f t="shared" si="276"/>
        <v>0.14734157478361395</v>
      </c>
      <c r="AC148" s="17">
        <f t="shared" si="276"/>
        <v>0.1207458581570505</v>
      </c>
      <c r="AD148" s="17">
        <f t="shared" si="276"/>
        <v>0.11663969568750551</v>
      </c>
      <c r="AE148" s="17">
        <f t="shared" si="276"/>
        <v>7.6920543280865034E-2</v>
      </c>
      <c r="AF148" s="17">
        <f t="shared" si="276"/>
        <v>6.140561854470513E-2</v>
      </c>
      <c r="AG148" s="17">
        <f t="shared" si="276"/>
        <v>5.3184370165041898E-2</v>
      </c>
      <c r="AH148" s="17">
        <f t="shared" si="276"/>
        <v>4.7150929153941819E-2</v>
      </c>
      <c r="AI148" s="17">
        <f t="shared" si="276"/>
        <v>4.2590106306792441E-2</v>
      </c>
      <c r="AJ148" s="17">
        <f t="shared" si="276"/>
        <v>7.1553365129705272E-3</v>
      </c>
      <c r="AK148" s="17">
        <f t="shared" si="276"/>
        <v>-5.2833483454142573E-3</v>
      </c>
      <c r="AL148" s="17">
        <f t="shared" si="276"/>
        <v>-1.0617305176489601E-2</v>
      </c>
      <c r="AM148" s="17">
        <f t="shared" si="276"/>
        <v>-1.5751620142740268E-2</v>
      </c>
      <c r="AN148" s="17">
        <f t="shared" si="276"/>
        <v>-2.0089290044925164E-2</v>
      </c>
      <c r="AO148" s="35">
        <f t="shared" si="274"/>
        <v>0.11454142844287508</v>
      </c>
      <c r="AP148" s="35">
        <f t="shared" si="272"/>
        <v>0.11454142844287508</v>
      </c>
      <c r="AQ148" s="35">
        <f t="shared" si="272"/>
        <v>0.11454142844287508</v>
      </c>
      <c r="AR148" s="35">
        <f t="shared" si="272"/>
        <v>0.11454142844287508</v>
      </c>
      <c r="AS148" s="35">
        <f t="shared" si="272"/>
        <v>0.11454142844287508</v>
      </c>
      <c r="AT148" s="35">
        <f t="shared" si="272"/>
        <v>0.11454142844287508</v>
      </c>
      <c r="AU148" s="35">
        <f t="shared" si="272"/>
        <v>0.11454142844287508</v>
      </c>
      <c r="AV148" s="35">
        <f t="shared" si="272"/>
        <v>0.11454142844287508</v>
      </c>
      <c r="AW148" s="35">
        <f t="shared" si="272"/>
        <v>0.11454142844287508</v>
      </c>
      <c r="AX148" s="35">
        <f t="shared" si="272"/>
        <v>0.11454142844287508</v>
      </c>
      <c r="AY148" s="35">
        <f t="shared" si="272"/>
        <v>0.11454142844287508</v>
      </c>
      <c r="AZ148" s="35">
        <f t="shared" si="272"/>
        <v>0.11454142844287508</v>
      </c>
      <c r="BA148" s="35">
        <f t="shared" si="272"/>
        <v>0.11454142844287508</v>
      </c>
      <c r="BB148" s="35">
        <f t="shared" si="272"/>
        <v>0.11454142844287508</v>
      </c>
      <c r="BC148" s="35">
        <f t="shared" si="272"/>
        <v>0.11454142844287508</v>
      </c>
      <c r="BD148" s="35">
        <f t="shared" si="272"/>
        <v>0.11454142844287508</v>
      </c>
      <c r="BE148" s="35">
        <f t="shared" si="272"/>
        <v>0.11454142844287508</v>
      </c>
      <c r="BF148" s="35">
        <f t="shared" si="272"/>
        <v>0.11454142844287508</v>
      </c>
      <c r="BG148" s="35">
        <f t="shared" si="272"/>
        <v>0.11454142844287508</v>
      </c>
      <c r="BH148" s="35">
        <f t="shared" si="272"/>
        <v>0.11454142844287508</v>
      </c>
      <c r="BI148" s="35">
        <f t="shared" si="272"/>
        <v>0.11454142844287508</v>
      </c>
      <c r="BJ148" s="35">
        <f t="shared" si="272"/>
        <v>0.11454142844287508</v>
      </c>
    </row>
    <row r="149" spans="1:62" x14ac:dyDescent="0.25">
      <c r="A149" t="s">
        <v>132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77">M147/M130</f>
        <v>0.9716908628447144</v>
      </c>
      <c r="N149" s="17">
        <f t="shared" si="277"/>
        <v>0.98133579017834394</v>
      </c>
      <c r="O149" s="17">
        <f t="shared" si="277"/>
        <v>0.91574279824242555</v>
      </c>
      <c r="P149" s="17">
        <f t="shared" si="277"/>
        <v>0.89174115315666691</v>
      </c>
      <c r="Q149" s="17">
        <f t="shared" si="277"/>
        <v>0.82425430372680586</v>
      </c>
      <c r="R149" s="17">
        <f t="shared" si="277"/>
        <v>0.77299298814427986</v>
      </c>
      <c r="S149" s="17">
        <f t="shared" si="277"/>
        <v>0.74348234990581141</v>
      </c>
      <c r="T149" s="17">
        <f t="shared" si="277"/>
        <v>0.66298257666822158</v>
      </c>
      <c r="U149" s="17">
        <f t="shared" si="277"/>
        <v>0.66648737419521586</v>
      </c>
      <c r="V149" s="17">
        <f t="shared" si="277"/>
        <v>0.60676800514081108</v>
      </c>
      <c r="W149" s="17">
        <f t="shared" si="277"/>
        <v>0.56674095412180292</v>
      </c>
      <c r="X149" s="17">
        <f t="shared" si="277"/>
        <v>0.52747639274678271</v>
      </c>
      <c r="Y149" s="17">
        <f t="shared" si="277"/>
        <v>0.48729912516121315</v>
      </c>
      <c r="Z149" s="17">
        <f t="shared" si="277"/>
        <v>0.49910273537763417</v>
      </c>
      <c r="AA149" s="17">
        <f t="shared" si="277"/>
        <v>0.50330678131409612</v>
      </c>
      <c r="AB149" s="17">
        <f t="shared" si="277"/>
        <v>0.44187589749802619</v>
      </c>
      <c r="AC149" s="17">
        <f t="shared" si="277"/>
        <v>0.41704550717482058</v>
      </c>
      <c r="AD149" s="17">
        <f t="shared" si="277"/>
        <v>0.39442411461169208</v>
      </c>
      <c r="AE149" s="17">
        <f t="shared" si="277"/>
        <v>0.3952072817483171</v>
      </c>
      <c r="AF149" s="17">
        <f t="shared" si="277"/>
        <v>0.3752571838167556</v>
      </c>
      <c r="AG149" s="17">
        <f t="shared" si="277"/>
        <v>0.35752152533343534</v>
      </c>
      <c r="AH149" s="17">
        <f t="shared" si="277"/>
        <v>0.34052706211434036</v>
      </c>
      <c r="AI149" s="17">
        <f t="shared" si="277"/>
        <v>0.32498594547012194</v>
      </c>
      <c r="AJ149" s="17">
        <f t="shared" si="277"/>
        <v>0.32987859714642898</v>
      </c>
      <c r="AK149" s="17">
        <f t="shared" si="277"/>
        <v>0.31611714706483662</v>
      </c>
      <c r="AL149" s="17">
        <f t="shared" si="277"/>
        <v>0.30424537347091185</v>
      </c>
      <c r="AM149" s="17">
        <f t="shared" si="277"/>
        <v>0.29350741095122629</v>
      </c>
      <c r="AN149" s="17">
        <f t="shared" si="277"/>
        <v>0.28279521414920078</v>
      </c>
      <c r="AO149" s="35">
        <f t="shared" si="274"/>
        <v>0.43302629548932831</v>
      </c>
      <c r="AP149" s="35">
        <f t="shared" si="272"/>
        <v>0.43302629548932831</v>
      </c>
      <c r="AQ149" s="35">
        <f t="shared" si="272"/>
        <v>0.43302629548932831</v>
      </c>
      <c r="AR149" s="35">
        <f t="shared" si="272"/>
        <v>0.43302629548932831</v>
      </c>
      <c r="AS149" s="35">
        <f t="shared" si="272"/>
        <v>0.43302629548932831</v>
      </c>
      <c r="AT149" s="35">
        <f t="shared" si="272"/>
        <v>0.43302629548932831</v>
      </c>
      <c r="AU149" s="35">
        <f t="shared" si="272"/>
        <v>0.43302629548932831</v>
      </c>
      <c r="AV149" s="35">
        <f t="shared" si="272"/>
        <v>0.43302629548932831</v>
      </c>
      <c r="AW149" s="35">
        <f t="shared" si="272"/>
        <v>0.43302629548932831</v>
      </c>
      <c r="AX149" s="35">
        <f t="shared" si="272"/>
        <v>0.43302629548932831</v>
      </c>
      <c r="AY149" s="35">
        <f t="shared" si="272"/>
        <v>0.43302629548932831</v>
      </c>
      <c r="AZ149" s="35">
        <f t="shared" si="272"/>
        <v>0.43302629548932831</v>
      </c>
      <c r="BA149" s="35">
        <f t="shared" si="272"/>
        <v>0.43302629548932831</v>
      </c>
      <c r="BB149" s="35">
        <f t="shared" si="272"/>
        <v>0.43302629548932831</v>
      </c>
      <c r="BC149" s="35">
        <f t="shared" si="272"/>
        <v>0.43302629548932831</v>
      </c>
      <c r="BD149" s="35">
        <f t="shared" si="272"/>
        <v>0.43302629548932831</v>
      </c>
      <c r="BE149" s="35">
        <f t="shared" si="272"/>
        <v>0.43302629548932831</v>
      </c>
      <c r="BF149" s="35">
        <f t="shared" si="272"/>
        <v>0.43302629548932831</v>
      </c>
      <c r="BG149" s="35">
        <f t="shared" si="272"/>
        <v>0.43302629548932831</v>
      </c>
      <c r="BH149" s="35">
        <f t="shared" si="272"/>
        <v>0.43302629548932831</v>
      </c>
      <c r="BI149" s="35">
        <f t="shared" si="272"/>
        <v>0.43302629548932831</v>
      </c>
      <c r="BJ149" s="35">
        <f t="shared" si="272"/>
        <v>0.43302629548932831</v>
      </c>
    </row>
    <row r="152" spans="1:62" x14ac:dyDescent="0.25">
      <c r="A152" t="s">
        <v>128</v>
      </c>
    </row>
    <row r="153" spans="1:62" x14ac:dyDescent="0.25">
      <c r="B153" s="3" t="s">
        <v>87</v>
      </c>
      <c r="C153" s="3" t="s">
        <v>88</v>
      </c>
      <c r="D153" s="3" t="s">
        <v>89</v>
      </c>
      <c r="E153" s="3" t="s">
        <v>90</v>
      </c>
      <c r="F153" s="3" t="s">
        <v>91</v>
      </c>
      <c r="G153" s="3" t="s">
        <v>92</v>
      </c>
      <c r="H153" s="3" t="s">
        <v>93</v>
      </c>
      <c r="I153" s="3" t="s">
        <v>94</v>
      </c>
      <c r="J153" s="3" t="s">
        <v>95</v>
      </c>
      <c r="K153" s="3" t="s">
        <v>96</v>
      </c>
      <c r="L153" s="3" t="s">
        <v>97</v>
      </c>
      <c r="M153" s="3" t="s">
        <v>98</v>
      </c>
      <c r="N153" s="3" t="s">
        <v>99</v>
      </c>
      <c r="O153" s="3" t="s">
        <v>100</v>
      </c>
      <c r="P153" s="3" t="s">
        <v>101</v>
      </c>
      <c r="Q153" s="3" t="s">
        <v>102</v>
      </c>
      <c r="R153" s="3" t="s">
        <v>103</v>
      </c>
      <c r="S153" s="3" t="s">
        <v>104</v>
      </c>
      <c r="T153" s="3" t="s">
        <v>105</v>
      </c>
      <c r="U153" s="3" t="s">
        <v>106</v>
      </c>
      <c r="V153" s="3" t="s">
        <v>107</v>
      </c>
      <c r="W153" s="3" t="s">
        <v>108</v>
      </c>
      <c r="X153" s="3" t="s">
        <v>109</v>
      </c>
      <c r="Y153" s="3" t="s">
        <v>110</v>
      </c>
      <c r="Z153" s="3" t="s">
        <v>111</v>
      </c>
      <c r="AA153" s="3" t="s">
        <v>112</v>
      </c>
      <c r="AB153" s="3" t="s">
        <v>113</v>
      </c>
      <c r="AC153" s="3" t="s">
        <v>114</v>
      </c>
      <c r="AD153" s="3" t="s">
        <v>115</v>
      </c>
      <c r="AE153" s="3" t="s">
        <v>116</v>
      </c>
      <c r="AF153" s="3" t="s">
        <v>117</v>
      </c>
      <c r="AG153" s="3" t="s">
        <v>118</v>
      </c>
      <c r="AH153" s="3" t="s">
        <v>119</v>
      </c>
      <c r="AI153" s="3" t="s">
        <v>120</v>
      </c>
      <c r="AJ153" s="3" t="s">
        <v>121</v>
      </c>
      <c r="AK153" s="3" t="s">
        <v>122</v>
      </c>
      <c r="AL153" s="3" t="s">
        <v>123</v>
      </c>
      <c r="AM153" s="3" t="s">
        <v>124</v>
      </c>
      <c r="AN153" s="3" t="s">
        <v>125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73</v>
      </c>
      <c r="C155" s="1">
        <f>C154/B154-1</f>
        <v>1.7064846416382284E-2</v>
      </c>
      <c r="D155" s="1">
        <f t="shared" ref="D155:AN155" si="278">D154/C154-1</f>
        <v>1.0067114093959662E-2</v>
      </c>
      <c r="E155" s="1">
        <f t="shared" si="278"/>
        <v>6.6445182724252927E-3</v>
      </c>
      <c r="F155" s="1">
        <f t="shared" si="278"/>
        <v>0</v>
      </c>
      <c r="G155" s="1">
        <f t="shared" si="278"/>
        <v>1.3201320132013139E-2</v>
      </c>
      <c r="H155" s="1">
        <f t="shared" si="278"/>
        <v>3.2573289902280145E-3</v>
      </c>
      <c r="I155" s="1">
        <f t="shared" si="278"/>
        <v>-6.4935064935065512E-3</v>
      </c>
      <c r="J155" s="1">
        <f t="shared" si="278"/>
        <v>-8.8235294117646967E-2</v>
      </c>
      <c r="K155" s="1">
        <f t="shared" si="278"/>
        <v>4.2332613390928753E-2</v>
      </c>
      <c r="L155" s="1">
        <f t="shared" si="278"/>
        <v>2.2793203481143776E-2</v>
      </c>
      <c r="M155" s="1">
        <f t="shared" si="278"/>
        <v>2.6118937788305763E-2</v>
      </c>
      <c r="N155" s="1">
        <f t="shared" si="278"/>
        <v>3.0830447724925492E-2</v>
      </c>
      <c r="O155" s="1">
        <f t="shared" si="278"/>
        <v>3.1322745086483694E-2</v>
      </c>
      <c r="P155" s="1">
        <f t="shared" si="278"/>
        <v>3.4885714285714187E-2</v>
      </c>
      <c r="Q155" s="1">
        <f t="shared" si="278"/>
        <v>3.497970790425442E-2</v>
      </c>
      <c r="R155" s="1">
        <f t="shared" si="278"/>
        <v>0.13110862142552282</v>
      </c>
      <c r="S155" s="1">
        <f t="shared" si="278"/>
        <v>4.1883828974365045E-2</v>
      </c>
      <c r="T155" s="1">
        <f t="shared" si="278"/>
        <v>3.9815296860499227E-2</v>
      </c>
      <c r="U155" s="1">
        <f t="shared" si="278"/>
        <v>4.0881187687753062E-2</v>
      </c>
      <c r="V155" s="1">
        <f t="shared" si="278"/>
        <v>3.992387485360549E-2</v>
      </c>
      <c r="W155" s="1">
        <f t="shared" si="278"/>
        <v>3.9778783308195065E-2</v>
      </c>
      <c r="X155" s="1">
        <f t="shared" si="278"/>
        <v>4.0113726476219913E-2</v>
      </c>
      <c r="Y155" s="1">
        <f t="shared" si="278"/>
        <v>3.6205069081577612E-2</v>
      </c>
      <c r="Z155" s="1">
        <f t="shared" si="278"/>
        <v>3.8062594214342216E-2</v>
      </c>
      <c r="AA155" s="1">
        <f t="shared" si="278"/>
        <v>4.4601953496412605E-2</v>
      </c>
      <c r="AB155" s="1">
        <f t="shared" si="278"/>
        <v>0.10820024824162178</v>
      </c>
      <c r="AC155" s="1">
        <f t="shared" si="278"/>
        <v>4.2053074085689257E-2</v>
      </c>
      <c r="AD155" s="1">
        <f t="shared" si="278"/>
        <v>4.1760415024577613E-2</v>
      </c>
      <c r="AE155" s="1">
        <f t="shared" si="278"/>
        <v>4.121442229650718E-2</v>
      </c>
      <c r="AF155" s="1">
        <f t="shared" si="278"/>
        <v>4.1815851708967067E-2</v>
      </c>
      <c r="AG155" s="1">
        <f t="shared" si="278"/>
        <v>4.2331397265833015E-2</v>
      </c>
      <c r="AH155" s="1">
        <f t="shared" si="278"/>
        <v>4.2911718902082896E-2</v>
      </c>
      <c r="AI155" s="1">
        <f t="shared" si="278"/>
        <v>4.2545993303701568E-2</v>
      </c>
      <c r="AJ155" s="1">
        <f t="shared" si="278"/>
        <v>4.046281583600031E-2</v>
      </c>
      <c r="AK155" s="1">
        <f t="shared" si="278"/>
        <v>4.0685293927857025E-2</v>
      </c>
      <c r="AL155" s="1">
        <f t="shared" si="278"/>
        <v>4.0985893659897688E-2</v>
      </c>
      <c r="AM155" s="1">
        <f t="shared" si="278"/>
        <v>4.1337820531911929E-2</v>
      </c>
      <c r="AN155" s="1">
        <f t="shared" si="278"/>
        <v>4.1870441870441866E-2</v>
      </c>
      <c r="AO155" s="35">
        <f>AN155</f>
        <v>4.1870441870441866E-2</v>
      </c>
      <c r="AP155" s="35">
        <f t="shared" ref="AP155:BJ155" si="279">AO155</f>
        <v>4.1870441870441866E-2</v>
      </c>
      <c r="AQ155" s="35">
        <f t="shared" si="279"/>
        <v>4.1870441870441866E-2</v>
      </c>
      <c r="AR155" s="35">
        <f t="shared" si="279"/>
        <v>4.1870441870441866E-2</v>
      </c>
      <c r="AS155" s="35">
        <f t="shared" si="279"/>
        <v>4.1870441870441866E-2</v>
      </c>
      <c r="AT155" s="35">
        <f t="shared" si="279"/>
        <v>4.1870441870441866E-2</v>
      </c>
      <c r="AU155" s="35">
        <f t="shared" si="279"/>
        <v>4.1870441870441866E-2</v>
      </c>
      <c r="AV155" s="35">
        <f t="shared" si="279"/>
        <v>4.1870441870441866E-2</v>
      </c>
      <c r="AW155" s="35">
        <f t="shared" si="279"/>
        <v>4.1870441870441866E-2</v>
      </c>
      <c r="AX155" s="35">
        <f t="shared" si="279"/>
        <v>4.1870441870441866E-2</v>
      </c>
      <c r="AY155" s="35">
        <f t="shared" si="279"/>
        <v>4.1870441870441866E-2</v>
      </c>
      <c r="AZ155" s="35">
        <f t="shared" si="279"/>
        <v>4.1870441870441866E-2</v>
      </c>
      <c r="BA155" s="35">
        <f t="shared" si="279"/>
        <v>4.1870441870441866E-2</v>
      </c>
      <c r="BB155" s="35">
        <f t="shared" si="279"/>
        <v>4.1870441870441866E-2</v>
      </c>
      <c r="BC155" s="35">
        <f t="shared" si="279"/>
        <v>4.1870441870441866E-2</v>
      </c>
      <c r="BD155" s="35">
        <f t="shared" si="279"/>
        <v>4.1870441870441866E-2</v>
      </c>
      <c r="BE155" s="35">
        <f t="shared" si="279"/>
        <v>4.1870441870441866E-2</v>
      </c>
      <c r="BF155" s="35">
        <f t="shared" si="279"/>
        <v>4.1870441870441866E-2</v>
      </c>
      <c r="BG155" s="35">
        <f t="shared" si="279"/>
        <v>4.1870441870441866E-2</v>
      </c>
      <c r="BH155" s="35">
        <f t="shared" si="279"/>
        <v>4.1870441870441866E-2</v>
      </c>
      <c r="BI155" s="35">
        <f t="shared" si="279"/>
        <v>4.1870441870441866E-2</v>
      </c>
      <c r="BJ155" s="35">
        <f t="shared" si="279"/>
        <v>4.1870441870441866E-2</v>
      </c>
    </row>
    <row r="156" spans="1:62" x14ac:dyDescent="0.25">
      <c r="A156" t="s">
        <v>133</v>
      </c>
      <c r="C156" s="17">
        <f>C155/C130</f>
        <v>0.68877804845189017</v>
      </c>
      <c r="D156" s="17">
        <f t="shared" ref="D156:AN156" si="280">D155/D130</f>
        <v>0.5360336040473298</v>
      </c>
      <c r="E156" s="17">
        <f t="shared" si="280"/>
        <v>0.52150750637218679</v>
      </c>
      <c r="F156" s="17">
        <f t="shared" si="280"/>
        <v>0</v>
      </c>
      <c r="G156" s="17">
        <f t="shared" si="280"/>
        <v>1.1117371704401748</v>
      </c>
      <c r="H156" s="17">
        <f t="shared" si="280"/>
        <v>0.32065064375917796</v>
      </c>
      <c r="I156" s="17">
        <f t="shared" si="280"/>
        <v>-0.7567131574525453</v>
      </c>
      <c r="J156" s="17">
        <f t="shared" si="280"/>
        <v>1.2177175336862129</v>
      </c>
      <c r="K156" s="17">
        <f t="shared" si="280"/>
        <v>1.0633334477709711</v>
      </c>
      <c r="L156" s="17">
        <f t="shared" si="280"/>
        <v>0.68161142029799304</v>
      </c>
      <c r="M156" s="17">
        <f t="shared" si="280"/>
        <v>0.74709398602780341</v>
      </c>
      <c r="N156" s="17">
        <f t="shared" si="280"/>
        <v>0.79534084517039594</v>
      </c>
      <c r="O156" s="17">
        <f t="shared" si="280"/>
        <v>0.78614367815186847</v>
      </c>
      <c r="P156" s="17">
        <f t="shared" si="280"/>
        <v>0.79179953532704683</v>
      </c>
      <c r="Q156" s="17">
        <f t="shared" si="280"/>
        <v>0.77253605495113342</v>
      </c>
      <c r="R156" s="17">
        <f t="shared" si="280"/>
        <v>2.7973709433016185</v>
      </c>
      <c r="S156" s="17">
        <f t="shared" si="280"/>
        <v>0.82396995707871445</v>
      </c>
      <c r="T156" s="17">
        <f t="shared" si="280"/>
        <v>0.77969236308512202</v>
      </c>
      <c r="U156" s="17">
        <f t="shared" si="280"/>
        <v>0.82155298711803049</v>
      </c>
      <c r="V156" s="17">
        <f t="shared" si="280"/>
        <v>0.79392188918951079</v>
      </c>
      <c r="W156" s="17">
        <f t="shared" si="280"/>
        <v>0.78709926479301784</v>
      </c>
      <c r="X156" s="17">
        <f t="shared" si="280"/>
        <v>0.78816280439447794</v>
      </c>
      <c r="Y156" s="17">
        <f t="shared" si="280"/>
        <v>0.75402046357616392</v>
      </c>
      <c r="Z156" s="17">
        <f t="shared" si="280"/>
        <v>0.79309200676892877</v>
      </c>
      <c r="AA156" s="17">
        <f t="shared" si="280"/>
        <v>0.87118595260200171</v>
      </c>
      <c r="AB156" s="17">
        <f t="shared" si="280"/>
        <v>2.0916095960537135</v>
      </c>
      <c r="AC156" s="17">
        <f t="shared" si="280"/>
        <v>0.80062636243436269</v>
      </c>
      <c r="AD156" s="17">
        <f t="shared" si="280"/>
        <v>0.79678970723605247</v>
      </c>
      <c r="AE156" s="17">
        <f t="shared" si="280"/>
        <v>0.78583406768618735</v>
      </c>
      <c r="AF156" s="17">
        <f t="shared" si="280"/>
        <v>0.79082683250689689</v>
      </c>
      <c r="AG156" s="17">
        <f t="shared" si="280"/>
        <v>0.79350953269247193</v>
      </c>
      <c r="AH156" s="17">
        <f t="shared" si="280"/>
        <v>0.79780302604457698</v>
      </c>
      <c r="AI156" s="17">
        <f t="shared" si="280"/>
        <v>0.79633094072684418</v>
      </c>
      <c r="AJ156" s="17">
        <f t="shared" si="280"/>
        <v>0.7810511412092811</v>
      </c>
      <c r="AK156" s="17">
        <f t="shared" si="280"/>
        <v>0.78312501760250264</v>
      </c>
      <c r="AL156" s="17">
        <f t="shared" si="280"/>
        <v>0.78671804157654557</v>
      </c>
      <c r="AM156" s="17">
        <f t="shared" si="280"/>
        <v>0.79074409069426133</v>
      </c>
      <c r="AN156" s="17">
        <f t="shared" si="280"/>
        <v>0.79473493444009191</v>
      </c>
      <c r="AO156" s="35">
        <f>AN156</f>
        <v>0.79473493444009191</v>
      </c>
      <c r="AP156" s="35">
        <f t="shared" ref="AP156:BJ156" si="281">AO156</f>
        <v>0.79473493444009191</v>
      </c>
      <c r="AQ156" s="35">
        <f t="shared" si="281"/>
        <v>0.79473493444009191</v>
      </c>
      <c r="AR156" s="35">
        <f t="shared" si="281"/>
        <v>0.79473493444009191</v>
      </c>
      <c r="AS156" s="35">
        <f t="shared" si="281"/>
        <v>0.79473493444009191</v>
      </c>
      <c r="AT156" s="35">
        <f t="shared" si="281"/>
        <v>0.79473493444009191</v>
      </c>
      <c r="AU156" s="35">
        <f t="shared" si="281"/>
        <v>0.79473493444009191</v>
      </c>
      <c r="AV156" s="35">
        <f t="shared" si="281"/>
        <v>0.79473493444009191</v>
      </c>
      <c r="AW156" s="35">
        <f t="shared" si="281"/>
        <v>0.79473493444009191</v>
      </c>
      <c r="AX156" s="35">
        <f t="shared" si="281"/>
        <v>0.79473493444009191</v>
      </c>
      <c r="AY156" s="35">
        <f t="shared" si="281"/>
        <v>0.79473493444009191</v>
      </c>
      <c r="AZ156" s="35">
        <f t="shared" si="281"/>
        <v>0.79473493444009191</v>
      </c>
      <c r="BA156" s="35">
        <f t="shared" si="281"/>
        <v>0.79473493444009191</v>
      </c>
      <c r="BB156" s="35">
        <f t="shared" si="281"/>
        <v>0.79473493444009191</v>
      </c>
      <c r="BC156" s="35">
        <f t="shared" si="281"/>
        <v>0.79473493444009191</v>
      </c>
      <c r="BD156" s="35">
        <f t="shared" si="281"/>
        <v>0.79473493444009191</v>
      </c>
      <c r="BE156" s="35">
        <f t="shared" si="281"/>
        <v>0.79473493444009191</v>
      </c>
      <c r="BF156" s="35">
        <f t="shared" si="281"/>
        <v>0.79473493444009191</v>
      </c>
      <c r="BG156" s="35">
        <f t="shared" si="281"/>
        <v>0.79473493444009191</v>
      </c>
      <c r="BH156" s="35">
        <f t="shared" si="281"/>
        <v>0.79473493444009191</v>
      </c>
      <c r="BI156" s="35">
        <f t="shared" si="281"/>
        <v>0.79473493444009191</v>
      </c>
      <c r="BJ156" s="35">
        <f t="shared" si="281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4"/>
  <sheetViews>
    <sheetView topLeftCell="B1" workbookViewId="0">
      <selection activeCell="E34" sqref="E34:AM34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  <row r="34" spans="5:39" x14ac:dyDescent="0.25">
      <c r="E34" s="48">
        <v>0.165744813662728</v>
      </c>
      <c r="F34" s="48">
        <v>0.17055842239387956</v>
      </c>
      <c r="G34" s="48">
        <v>0.17325087171646336</v>
      </c>
      <c r="H34" s="48">
        <v>0.17511910185866433</v>
      </c>
      <c r="I34" s="48">
        <v>0.17572352925761173</v>
      </c>
      <c r="J34" s="48">
        <v>0.17836103063483666</v>
      </c>
      <c r="K34" s="48">
        <v>0.18000946899560227</v>
      </c>
      <c r="L34">
        <v>0.18167314246136571</v>
      </c>
      <c r="M34">
        <v>0.16892809890264981</v>
      </c>
      <c r="N34" s="49">
        <v>0.15613432750489573</v>
      </c>
      <c r="O34">
        <v>0.14334055610714164</v>
      </c>
      <c r="P34">
        <v>0.14415910574012319</v>
      </c>
      <c r="Q34">
        <v>0.14459770604213562</v>
      </c>
      <c r="R34">
        <v>0.14398192961433681</v>
      </c>
      <c r="S34">
        <v>0.14326249757575393</v>
      </c>
      <c r="T34">
        <v>0.14612736512295083</v>
      </c>
      <c r="U34">
        <v>0.14904514723744558</v>
      </c>
      <c r="V34">
        <v>0.15223161511799549</v>
      </c>
      <c r="W34">
        <v>0.15644310855132851</v>
      </c>
      <c r="X34">
        <v>0.16090437107863884</v>
      </c>
      <c r="Y34">
        <v>0.16529199994324537</v>
      </c>
      <c r="Z34">
        <v>0.16995252905247152</v>
      </c>
      <c r="AA34">
        <v>0.17489535524374972</v>
      </c>
      <c r="AB34">
        <v>0.17944806868465973</v>
      </c>
      <c r="AC34">
        <v>0.1524517633054647</v>
      </c>
      <c r="AD34">
        <v>0.15715090257076475</v>
      </c>
      <c r="AE34">
        <v>0.16213933664819744</v>
      </c>
      <c r="AF34">
        <v>0.16635650215298706</v>
      </c>
      <c r="AG34">
        <v>0.1714527737382649</v>
      </c>
      <c r="AH34">
        <v>0.19624614370190996</v>
      </c>
      <c r="AI34">
        <v>0.19799459717174742</v>
      </c>
      <c r="AJ34">
        <v>0.23279165969552171</v>
      </c>
      <c r="AK34" s="12">
        <v>0.25400660448906054</v>
      </c>
      <c r="AL34" s="12">
        <v>0.26754161574587582</v>
      </c>
      <c r="AM34" s="12">
        <v>0.27195522830633173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3C72-382E-427D-8E33-9C4D24AEC1F9}">
  <sheetPr codeName="Sheet7"/>
  <dimension ref="A1:W26"/>
  <sheetViews>
    <sheetView workbookViewId="0">
      <selection activeCell="H11" sqref="H11"/>
    </sheetView>
  </sheetViews>
  <sheetFormatPr defaultRowHeight="15" x14ac:dyDescent="0.25"/>
  <cols>
    <col min="5" max="5" width="13" customWidth="1"/>
    <col min="6" max="6" width="9.5703125" customWidth="1"/>
    <col min="8" max="8" width="10.5703125" bestFit="1" customWidth="1"/>
    <col min="11" max="12" width="10.5703125" bestFit="1" customWidth="1"/>
  </cols>
  <sheetData>
    <row r="1" spans="1:23" x14ac:dyDescent="0.25">
      <c r="A1" s="39" t="s">
        <v>240</v>
      </c>
      <c r="B1" s="39"/>
      <c r="C1" s="39"/>
      <c r="D1" s="39"/>
      <c r="E1" s="39"/>
      <c r="F1" s="39"/>
      <c r="G1" s="39"/>
      <c r="H1" s="39"/>
      <c r="I1" s="39"/>
    </row>
    <row r="2" spans="1:23" x14ac:dyDescent="0.25">
      <c r="A2" s="40" t="s">
        <v>241</v>
      </c>
      <c r="B2" s="40"/>
      <c r="C2" s="40"/>
      <c r="D2" s="40"/>
      <c r="E2" s="40"/>
      <c r="F2" s="40"/>
      <c r="G2" s="40"/>
      <c r="H2" s="40"/>
      <c r="I2" s="40"/>
    </row>
    <row r="3" spans="1:23" x14ac:dyDescent="0.25">
      <c r="A3" s="41" t="s">
        <v>242</v>
      </c>
      <c r="B3" s="41"/>
      <c r="C3" s="41"/>
      <c r="D3" s="41"/>
      <c r="E3" s="41"/>
      <c r="F3" s="41"/>
      <c r="G3" s="41"/>
      <c r="H3" s="41"/>
      <c r="I3" s="41"/>
    </row>
    <row r="4" spans="1:23" x14ac:dyDescent="0.25">
      <c r="A4" s="42" t="s">
        <v>243</v>
      </c>
      <c r="B4" s="42"/>
      <c r="C4" s="42"/>
      <c r="D4" s="42"/>
      <c r="E4" s="42"/>
      <c r="F4" s="42"/>
      <c r="G4" s="42"/>
      <c r="H4" s="42"/>
      <c r="I4" s="42"/>
    </row>
    <row r="5" spans="1:23" x14ac:dyDescent="0.25">
      <c r="A5" s="43" t="s">
        <v>244</v>
      </c>
      <c r="B5" s="43"/>
      <c r="C5" s="43"/>
      <c r="D5" s="43"/>
      <c r="E5" s="43"/>
      <c r="F5" s="43"/>
      <c r="G5" s="43"/>
      <c r="H5" s="43"/>
      <c r="I5" s="43"/>
    </row>
    <row r="6" spans="1:23" x14ac:dyDescent="0.25">
      <c r="A6" s="44" t="s">
        <v>245</v>
      </c>
      <c r="B6" s="44"/>
      <c r="C6" s="44"/>
      <c r="D6" s="44"/>
      <c r="E6" s="44"/>
      <c r="F6" s="44"/>
      <c r="G6" s="44"/>
      <c r="H6" s="44"/>
      <c r="I6" s="44"/>
    </row>
    <row r="7" spans="1:23" x14ac:dyDescent="0.25">
      <c r="A7" s="44" t="s">
        <v>246</v>
      </c>
      <c r="B7" s="44"/>
      <c r="C7" s="44"/>
      <c r="D7" s="44"/>
      <c r="E7" s="44"/>
      <c r="F7" s="44"/>
      <c r="G7" s="44"/>
      <c r="H7" s="44"/>
      <c r="I7" s="44"/>
      <c r="W7" t="s">
        <v>255</v>
      </c>
    </row>
    <row r="8" spans="1:23" x14ac:dyDescent="0.25">
      <c r="C8" t="s">
        <v>146</v>
      </c>
      <c r="D8" t="s">
        <v>239</v>
      </c>
      <c r="E8" t="s">
        <v>252</v>
      </c>
      <c r="G8" t="s">
        <v>251</v>
      </c>
      <c r="H8" t="s">
        <v>250</v>
      </c>
      <c r="I8" t="s">
        <v>249</v>
      </c>
      <c r="J8" t="s">
        <v>253</v>
      </c>
      <c r="K8" t="s">
        <v>254</v>
      </c>
      <c r="L8" t="s">
        <v>256</v>
      </c>
    </row>
    <row r="9" spans="1:23" x14ac:dyDescent="0.25">
      <c r="C9">
        <v>2020</v>
      </c>
      <c r="D9" s="1">
        <v>0.65689441125743975</v>
      </c>
      <c r="E9" s="35">
        <f>E10</f>
        <v>0.40070868670482801</v>
      </c>
      <c r="F9" s="35"/>
      <c r="G9" s="9"/>
      <c r="H9" s="34"/>
      <c r="I9" s="13"/>
      <c r="J9" s="13"/>
      <c r="K9" s="34"/>
      <c r="O9" s="33"/>
      <c r="P9" s="33"/>
      <c r="R9" s="1"/>
      <c r="S9" s="1"/>
    </row>
    <row r="10" spans="1:23" x14ac:dyDescent="0.25">
      <c r="C10">
        <v>2022</v>
      </c>
      <c r="D10" s="1">
        <f>(D9+D11)/2</f>
        <v>0.66094445471117147</v>
      </c>
      <c r="E10" s="35">
        <f>H10/G10</f>
        <v>0.40070868670482801</v>
      </c>
      <c r="F10" s="35"/>
      <c r="G10" s="9">
        <f>Drivers!D35</f>
        <v>59893.885000000002</v>
      </c>
      <c r="H10" s="34">
        <v>24000</v>
      </c>
      <c r="I10" s="13">
        <v>0.32600000000000001</v>
      </c>
      <c r="J10" s="13">
        <f t="shared" ref="J10" si="0">1-I10</f>
        <v>0.67399999999999993</v>
      </c>
      <c r="K10" s="34">
        <f t="shared" ref="K10" si="1">J10*H10</f>
        <v>16175.999999999998</v>
      </c>
      <c r="L10">
        <v>16201</v>
      </c>
      <c r="M10" s="34">
        <f>1-L10/H10</f>
        <v>0.32495833333333335</v>
      </c>
      <c r="O10" s="33"/>
      <c r="P10" s="33"/>
      <c r="R10" s="1"/>
      <c r="S10" s="1"/>
    </row>
    <row r="11" spans="1:23" x14ac:dyDescent="0.25">
      <c r="C11">
        <v>2025</v>
      </c>
      <c r="D11" s="1">
        <v>0.66499449816490319</v>
      </c>
      <c r="E11" s="1">
        <f>($E$17-$E$10)/($C$17-$C$10)*3+E9</f>
        <v>0.42516935113861948</v>
      </c>
      <c r="F11" s="47"/>
      <c r="G11" s="9"/>
      <c r="H11" s="34"/>
      <c r="I11" s="13"/>
      <c r="J11" s="13"/>
      <c r="K11" s="34"/>
      <c r="O11" s="33"/>
      <c r="P11" s="33"/>
      <c r="R11" s="1"/>
      <c r="S11" s="1"/>
    </row>
    <row r="12" spans="1:23" x14ac:dyDescent="0.25">
      <c r="C12">
        <v>2030</v>
      </c>
      <c r="D12" s="1">
        <v>0.67567586253217848</v>
      </c>
      <c r="E12" s="1">
        <f>($E$17-$E$11)/($C$17-$C$11)*5+E11</f>
        <v>0.46593712519493863</v>
      </c>
      <c r="F12" s="1"/>
    </row>
    <row r="13" spans="1:23" x14ac:dyDescent="0.25">
      <c r="C13">
        <v>2035</v>
      </c>
      <c r="D13" s="1">
        <v>0.68230721712569542</v>
      </c>
      <c r="E13" s="1">
        <f>($E$17-$E$11)/($C$17-$C$11)*5+E12</f>
        <v>0.50670489925125772</v>
      </c>
      <c r="F13" s="1"/>
    </row>
    <row r="14" spans="1:23" x14ac:dyDescent="0.25">
      <c r="C14">
        <v>2040</v>
      </c>
      <c r="D14" s="1">
        <v>0.68432409943013062</v>
      </c>
      <c r="E14" s="1">
        <f>($E$17-$E$11)/($C$17-$C$11)*5+E13</f>
        <v>0.54747267330757687</v>
      </c>
      <c r="F14" s="1"/>
    </row>
    <row r="15" spans="1:23" x14ac:dyDescent="0.25">
      <c r="C15">
        <v>2045</v>
      </c>
      <c r="D15" s="1">
        <v>0.68329379537331036</v>
      </c>
      <c r="E15" s="1">
        <f>($E$17-$E$11)/($C$17-$C$11)*5+E14</f>
        <v>0.58824044736389602</v>
      </c>
      <c r="F15" s="1"/>
    </row>
    <row r="16" spans="1:23" x14ac:dyDescent="0.25">
      <c r="C16">
        <v>2050</v>
      </c>
      <c r="D16" s="1">
        <v>0.67702428042598461</v>
      </c>
      <c r="E16" s="1">
        <f>($E$17-$E$11)/($C$17-$C$11)*5+E15</f>
        <v>0.62900822142021517</v>
      </c>
      <c r="F16" s="1"/>
    </row>
    <row r="17" spans="3:11" x14ac:dyDescent="0.25">
      <c r="C17">
        <v>2055</v>
      </c>
      <c r="D17" s="1">
        <v>0.66977599547653432</v>
      </c>
      <c r="E17" s="1">
        <f>D17</f>
        <v>0.66977599547653432</v>
      </c>
      <c r="F17" s="9">
        <f>D17*G17</f>
        <v>50098.608174449066</v>
      </c>
      <c r="G17" s="9">
        <f>Drivers!AK35</f>
        <v>74799.05</v>
      </c>
      <c r="K17" s="9">
        <v>50000</v>
      </c>
    </row>
    <row r="18" spans="3:11" x14ac:dyDescent="0.25">
      <c r="C18">
        <v>2060</v>
      </c>
      <c r="D18" s="1">
        <v>0.66679752332956665</v>
      </c>
      <c r="E18" s="1">
        <f>E17*D18/D17</f>
        <v>0.66679752332956665</v>
      </c>
      <c r="F18" s="1"/>
    </row>
    <row r="19" spans="3:11" x14ac:dyDescent="0.25">
      <c r="C19">
        <v>2065</v>
      </c>
      <c r="D19" s="1">
        <v>0.66760747425401545</v>
      </c>
      <c r="E19" s="1">
        <f t="shared" ref="E19:E26" si="2">E18*D19/D18</f>
        <v>0.66760747425401545</v>
      </c>
      <c r="F19" s="1"/>
    </row>
    <row r="20" spans="3:11" x14ac:dyDescent="0.25">
      <c r="C20">
        <v>2070</v>
      </c>
      <c r="D20" s="1">
        <v>0.66865737498380307</v>
      </c>
      <c r="E20" s="1">
        <f t="shared" si="2"/>
        <v>0.66865737498380307</v>
      </c>
      <c r="F20" s="1"/>
    </row>
    <row r="21" spans="3:11" x14ac:dyDescent="0.25">
      <c r="C21">
        <v>2075</v>
      </c>
      <c r="D21" s="1">
        <v>0.66443995787363663</v>
      </c>
      <c r="E21" s="1">
        <f t="shared" si="2"/>
        <v>0.66443995787363663</v>
      </c>
      <c r="F21" s="1"/>
    </row>
    <row r="22" spans="3:11" x14ac:dyDescent="0.25">
      <c r="C22">
        <v>2080</v>
      </c>
      <c r="D22" s="1">
        <v>0.65749144238725898</v>
      </c>
      <c r="E22" s="1">
        <f t="shared" si="2"/>
        <v>0.65749144238725898</v>
      </c>
      <c r="F22" s="1"/>
    </row>
    <row r="23" spans="3:11" x14ac:dyDescent="0.25">
      <c r="C23">
        <v>2085</v>
      </c>
      <c r="D23" s="1">
        <v>0.65129730571815114</v>
      </c>
      <c r="E23" s="1">
        <f t="shared" si="2"/>
        <v>0.65129730571815114</v>
      </c>
      <c r="F23" s="1"/>
    </row>
    <row r="24" spans="3:11" x14ac:dyDescent="0.25">
      <c r="C24">
        <v>2090</v>
      </c>
      <c r="D24" s="1">
        <v>0.64619542947705577</v>
      </c>
      <c r="E24" s="1">
        <f t="shared" si="2"/>
        <v>0.64619542947705577</v>
      </c>
      <c r="F24" s="1"/>
    </row>
    <row r="25" spans="3:11" x14ac:dyDescent="0.25">
      <c r="C25">
        <v>2095</v>
      </c>
      <c r="D25" s="1">
        <v>0.64174407812794831</v>
      </c>
      <c r="E25" s="1">
        <f t="shared" si="2"/>
        <v>0.64174407812794831</v>
      </c>
      <c r="F25" s="1"/>
    </row>
    <row r="26" spans="3:11" x14ac:dyDescent="0.25">
      <c r="C26">
        <v>2100</v>
      </c>
      <c r="D26" s="1">
        <v>0.63710709593251891</v>
      </c>
      <c r="E26" s="1">
        <f t="shared" si="2"/>
        <v>0.63710709593251891</v>
      </c>
      <c r="F26" s="1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Drivers</vt:lpstr>
      <vt:lpstr>Index_E2G</vt:lpstr>
      <vt:lpstr>Index_G2E</vt:lpstr>
      <vt:lpstr>GDP_CGE</vt:lpstr>
      <vt:lpstr>GDP_Simple</vt:lpstr>
      <vt:lpstr>Sheet1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2024-07-23T14:52:25Z</dcterms:modified>
</cp:coreProperties>
</file>