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23E3E74C-1F9E-455C-A127-E0FDDDDC524D}" xr6:coauthVersionLast="47" xr6:coauthVersionMax="47" xr10:uidLastSave="{00000000-0000-0000-0000-000000000000}"/>
  <bookViews>
    <workbookView xWindow="-3300" yWindow="-18060" windowWidth="35520" windowHeight="15570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GDP_Simple" sheetId="5" r:id="rId5"/>
    <sheet name="Sheet1" sheetId="7" r:id="rId6"/>
    <sheet name="Population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0" i="8" l="1"/>
  <c r="J10" i="8"/>
  <c r="K10" i="8" s="1"/>
  <c r="G10" i="8"/>
  <c r="E10" i="8" s="1"/>
  <c r="E9" i="8" s="1"/>
  <c r="D10" i="8"/>
  <c r="E17" i="8"/>
  <c r="G17" i="8"/>
  <c r="F17" i="8" s="1"/>
  <c r="C41" i="6" l="1"/>
  <c r="D41" i="6"/>
  <c r="D42" i="6" s="1"/>
  <c r="C42" i="6" s="1"/>
  <c r="E41" i="6"/>
  <c r="F41" i="6"/>
  <c r="H41" i="6"/>
  <c r="I41" i="6"/>
  <c r="J41" i="6"/>
  <c r="K41" i="6"/>
  <c r="M41" i="6"/>
  <c r="N41" i="6"/>
  <c r="O41" i="6"/>
  <c r="P41" i="6"/>
  <c r="R41" i="6"/>
  <c r="S41" i="6"/>
  <c r="T41" i="6"/>
  <c r="U41" i="6"/>
  <c r="W41" i="6"/>
  <c r="X41" i="6"/>
  <c r="Y41" i="6"/>
  <c r="Z41" i="6"/>
  <c r="AB41" i="6"/>
  <c r="AC41" i="6"/>
  <c r="AD41" i="6"/>
  <c r="AE41" i="6"/>
  <c r="AG41" i="6"/>
  <c r="AH41" i="6"/>
  <c r="AI41" i="6"/>
  <c r="AJ41" i="6"/>
  <c r="AL41" i="6"/>
  <c r="AM41" i="6"/>
  <c r="AN41" i="6"/>
  <c r="AO41" i="6"/>
  <c r="AQ41" i="6"/>
  <c r="AR41" i="6"/>
  <c r="AS41" i="6"/>
  <c r="AT41" i="6"/>
  <c r="AV41" i="6"/>
  <c r="AW41" i="6"/>
  <c r="AX41" i="6"/>
  <c r="AY41" i="6"/>
  <c r="BA41" i="6"/>
  <c r="BB41" i="6"/>
  <c r="BC41" i="6"/>
  <c r="BD41" i="6"/>
  <c r="BF41" i="6"/>
  <c r="BG41" i="6"/>
  <c r="BH41" i="6"/>
  <c r="BI41" i="6"/>
  <c r="BK41" i="6"/>
  <c r="BL41" i="6"/>
  <c r="BM41" i="6"/>
  <c r="BN41" i="6"/>
  <c r="BP41" i="6"/>
  <c r="BQ41" i="6"/>
  <c r="BR41" i="6"/>
  <c r="BS41" i="6"/>
  <c r="BU41" i="6"/>
  <c r="BV41" i="6"/>
  <c r="BW41" i="6"/>
  <c r="BX41" i="6"/>
  <c r="BZ41" i="6"/>
  <c r="CA41" i="6"/>
  <c r="CB41" i="6"/>
  <c r="CC41" i="6"/>
  <c r="E11" i="8" l="1"/>
  <c r="B41" i="6"/>
  <c r="E18" i="8" l="1"/>
  <c r="AK41" i="6"/>
  <c r="E19" i="8" l="1"/>
  <c r="AP41" i="6"/>
  <c r="E20" i="8" l="1"/>
  <c r="AU41" i="6"/>
  <c r="E21" i="8" l="1"/>
  <c r="AZ41" i="6"/>
  <c r="E22" i="8" l="1"/>
  <c r="BE41" i="6"/>
  <c r="E23" i="8" l="1"/>
  <c r="BJ41" i="6"/>
  <c r="E24" i="8" l="1"/>
  <c r="BO41" i="6"/>
  <c r="E25" i="8" l="1"/>
  <c r="BT41" i="6"/>
  <c r="E26" i="8" l="1"/>
  <c r="CD41" i="6" s="1"/>
  <c r="BY41" i="6"/>
  <c r="C9" i="1" l="1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AN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BG38" i="6"/>
  <c r="BH38" i="6"/>
  <c r="BI38" i="6"/>
  <c r="BJ38" i="6"/>
  <c r="BK38" i="6"/>
  <c r="BL38" i="6"/>
  <c r="BM38" i="6"/>
  <c r="BN38" i="6"/>
  <c r="BO38" i="6"/>
  <c r="BP38" i="6"/>
  <c r="BQ38" i="6"/>
  <c r="BR38" i="6"/>
  <c r="BS38" i="6"/>
  <c r="BT38" i="6"/>
  <c r="BU38" i="6"/>
  <c r="BV38" i="6"/>
  <c r="BW38" i="6"/>
  <c r="BX38" i="6"/>
  <c r="BY38" i="6"/>
  <c r="BZ38" i="6"/>
  <c r="CA38" i="6"/>
  <c r="CB38" i="6"/>
  <c r="CC38" i="6"/>
  <c r="CD38" i="6"/>
  <c r="B38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BG37" i="6"/>
  <c r="BH37" i="6"/>
  <c r="BI37" i="6"/>
  <c r="BJ37" i="6"/>
  <c r="BK37" i="6"/>
  <c r="BL37" i="6"/>
  <c r="BM37" i="6"/>
  <c r="BN37" i="6"/>
  <c r="BO37" i="6"/>
  <c r="BP37" i="6"/>
  <c r="BQ37" i="6"/>
  <c r="BR37" i="6"/>
  <c r="BS37" i="6"/>
  <c r="BT37" i="6"/>
  <c r="BU37" i="6"/>
  <c r="BV37" i="6"/>
  <c r="BW37" i="6"/>
  <c r="BX37" i="6"/>
  <c r="BY37" i="6"/>
  <c r="BZ37" i="6"/>
  <c r="CA37" i="6"/>
  <c r="CB37" i="6"/>
  <c r="CC37" i="6"/>
  <c r="CD37" i="6"/>
  <c r="B37" i="6"/>
  <c r="C10" i="1"/>
  <c r="AK42" i="6"/>
  <c r="AP42" i="6"/>
  <c r="AU42" i="6"/>
  <c r="AZ42" i="6"/>
  <c r="BE42" i="6"/>
  <c r="BJ42" i="6"/>
  <c r="BO42" i="6"/>
  <c r="BT42" i="6"/>
  <c r="BY42" i="6"/>
  <c r="CD42" i="6"/>
  <c r="B42" i="6"/>
  <c r="A42" i="6" s="1"/>
  <c r="A44" i="6" s="1"/>
  <c r="AL42" i="6" l="1"/>
  <c r="AM42" i="6" s="1"/>
  <c r="BZ42" i="6"/>
  <c r="BA42" i="6"/>
  <c r="BU42" i="6"/>
  <c r="BF42" i="6"/>
  <c r="BP42" i="6"/>
  <c r="AQ42" i="6"/>
  <c r="AV42" i="6"/>
  <c r="BK42" i="6"/>
  <c r="C15" i="1"/>
  <c r="CA42" i="6" l="1"/>
  <c r="BV42" i="6"/>
  <c r="BL42" i="6"/>
  <c r="BG42" i="6"/>
  <c r="BB42" i="6"/>
  <c r="BQ42" i="6"/>
  <c r="AN42" i="6"/>
  <c r="AW42" i="6"/>
  <c r="AR42" i="6"/>
  <c r="AH87" i="6"/>
  <c r="AI87" i="6" s="1"/>
  <c r="AJ87" i="6" s="1"/>
  <c r="AK87" i="6" s="1"/>
  <c r="AL87" i="6" s="1"/>
  <c r="AH86" i="6"/>
  <c r="AI86" i="6" s="1"/>
  <c r="AJ86" i="6" s="1"/>
  <c r="AK86" i="6" s="1"/>
  <c r="AL86" i="6" s="1"/>
  <c r="AL55" i="6"/>
  <c r="AL56" i="6"/>
  <c r="AL57" i="6"/>
  <c r="AH55" i="6"/>
  <c r="AI55" i="6"/>
  <c r="AJ55" i="6"/>
  <c r="AK55" i="6"/>
  <c r="AH56" i="6"/>
  <c r="AI56" i="6"/>
  <c r="AJ56" i="6"/>
  <c r="AK56" i="6"/>
  <c r="AH57" i="6"/>
  <c r="AI57" i="6"/>
  <c r="AJ57" i="6"/>
  <c r="AK57" i="6"/>
  <c r="BW42" i="6" l="1"/>
  <c r="BM42" i="6"/>
  <c r="AX42" i="6"/>
  <c r="BC42" i="6"/>
  <c r="AS42" i="6"/>
  <c r="AO42" i="6"/>
  <c r="CB42" i="6"/>
  <c r="BR42" i="6"/>
  <c r="BH42" i="6"/>
  <c r="AP155" i="5"/>
  <c r="AQ155" i="5"/>
  <c r="AR155" i="5"/>
  <c r="AS155" i="5"/>
  <c r="AT155" i="5"/>
  <c r="AU155" i="5" s="1"/>
  <c r="AV155" i="5" s="1"/>
  <c r="AW155" i="5" s="1"/>
  <c r="AX155" i="5" s="1"/>
  <c r="AY155" i="5" s="1"/>
  <c r="AZ155" i="5" s="1"/>
  <c r="BA155" i="5" s="1"/>
  <c r="BB155" i="5" s="1"/>
  <c r="BC155" i="5" s="1"/>
  <c r="BD155" i="5" s="1"/>
  <c r="BE155" i="5" s="1"/>
  <c r="BF155" i="5" s="1"/>
  <c r="BG155" i="5" s="1"/>
  <c r="BH155" i="5" s="1"/>
  <c r="BI155" i="5" s="1"/>
  <c r="BJ155" i="5" s="1"/>
  <c r="AP156" i="5"/>
  <c r="AQ156" i="5"/>
  <c r="AR156" i="5"/>
  <c r="AS156" i="5" s="1"/>
  <c r="AT156" i="5" s="1"/>
  <c r="AU156" i="5" s="1"/>
  <c r="AV156" i="5" s="1"/>
  <c r="AW156" i="5" s="1"/>
  <c r="AX156" i="5" s="1"/>
  <c r="AY156" i="5" s="1"/>
  <c r="AZ156" i="5" s="1"/>
  <c r="BA156" i="5" s="1"/>
  <c r="BB156" i="5" s="1"/>
  <c r="BC156" i="5" s="1"/>
  <c r="BD156" i="5" s="1"/>
  <c r="BE156" i="5" s="1"/>
  <c r="BF156" i="5" s="1"/>
  <c r="BG156" i="5" s="1"/>
  <c r="BH156" i="5" s="1"/>
  <c r="BI156" i="5" s="1"/>
  <c r="BJ156" i="5" s="1"/>
  <c r="AO155" i="5"/>
  <c r="AO156" i="5"/>
  <c r="AF42" i="5"/>
  <c r="AG42" i="5" s="1"/>
  <c r="AF43" i="5"/>
  <c r="AE43" i="5"/>
  <c r="AE42" i="5"/>
  <c r="AP44" i="5"/>
  <c r="AR44" i="5" s="1"/>
  <c r="AQ44" i="5"/>
  <c r="AO44" i="5"/>
  <c r="AO147" i="5"/>
  <c r="AO148" i="5"/>
  <c r="AO149" i="5"/>
  <c r="CC42" i="6" l="1"/>
  <c r="BN42" i="6"/>
  <c r="BX42" i="6"/>
  <c r="AY42" i="6"/>
  <c r="BD42" i="6"/>
  <c r="AT42" i="6"/>
  <c r="BS42" i="6"/>
  <c r="BI42" i="6"/>
  <c r="AG43" i="5"/>
  <c r="AH42" i="5"/>
  <c r="AS44" i="5"/>
  <c r="O60" i="5"/>
  <c r="P60" i="5"/>
  <c r="Q60" i="5"/>
  <c r="R60" i="5"/>
  <c r="S60" i="5"/>
  <c r="T60" i="5"/>
  <c r="U60" i="5"/>
  <c r="V60" i="5"/>
  <c r="W60" i="5"/>
  <c r="X60" i="5"/>
  <c r="Y60" i="5"/>
  <c r="Z60" i="5"/>
  <c r="AA60" i="5"/>
  <c r="AB60" i="5"/>
  <c r="AC60" i="5"/>
  <c r="AD60" i="5"/>
  <c r="AE60" i="5"/>
  <c r="AF60" i="5"/>
  <c r="AG60" i="5"/>
  <c r="AH60" i="5"/>
  <c r="AI60" i="5"/>
  <c r="AJ60" i="5"/>
  <c r="AK60" i="5"/>
  <c r="AL60" i="5"/>
  <c r="AM60" i="5"/>
  <c r="AN60" i="5"/>
  <c r="N60" i="5"/>
  <c r="J60" i="5"/>
  <c r="K60" i="5"/>
  <c r="L60" i="5"/>
  <c r="M60" i="5"/>
  <c r="I60" i="5"/>
  <c r="H61" i="5"/>
  <c r="H60" i="5"/>
  <c r="Y57" i="5"/>
  <c r="C10" i="6"/>
  <c r="C11" i="6"/>
  <c r="C12" i="6"/>
  <c r="C13" i="6"/>
  <c r="C98" i="6" s="1"/>
  <c r="C14" i="6"/>
  <c r="C99" i="6" s="1"/>
  <c r="C15" i="6"/>
  <c r="C16" i="6"/>
  <c r="C17" i="6"/>
  <c r="C18" i="6"/>
  <c r="C103" i="6" s="1"/>
  <c r="C19" i="6"/>
  <c r="C104" i="6" s="1"/>
  <c r="C20" i="6"/>
  <c r="C21" i="6"/>
  <c r="C22" i="6"/>
  <c r="C23" i="6"/>
  <c r="C24" i="6"/>
  <c r="C25" i="6"/>
  <c r="C110" i="6" s="1"/>
  <c r="C26" i="6"/>
  <c r="C111" i="6" s="1"/>
  <c r="C27" i="6"/>
  <c r="C28" i="6"/>
  <c r="C29" i="6"/>
  <c r="C30" i="6"/>
  <c r="C115" i="6" s="1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10" i="6"/>
  <c r="C109" i="6" l="1"/>
  <c r="C97" i="6"/>
  <c r="C102" i="6"/>
  <c r="C113" i="6"/>
  <c r="C101" i="6"/>
  <c r="C114" i="6"/>
  <c r="C112" i="6"/>
  <c r="C100" i="6"/>
  <c r="C108" i="6"/>
  <c r="C107" i="6"/>
  <c r="C106" i="6"/>
  <c r="C96" i="6"/>
  <c r="C95" i="6"/>
  <c r="C105" i="6"/>
  <c r="AI42" i="5"/>
  <c r="AJ42" i="5"/>
  <c r="AH43" i="5"/>
  <c r="AK42" i="5"/>
  <c r="AT44" i="5"/>
  <c r="AU44" i="5" s="1"/>
  <c r="C7" i="6"/>
  <c r="B7" i="6"/>
  <c r="AO5" i="5"/>
  <c r="AP5" i="5" s="1"/>
  <c r="AQ5" i="5" s="1"/>
  <c r="AR5" i="5" s="1"/>
  <c r="AS5" i="5" s="1"/>
  <c r="AT5" i="5" s="1"/>
  <c r="AU5" i="5" s="1"/>
  <c r="AV5" i="5" s="1"/>
  <c r="AW5" i="5" s="1"/>
  <c r="AX5" i="5" s="1"/>
  <c r="AY5" i="5" s="1"/>
  <c r="AZ5" i="5" s="1"/>
  <c r="BA5" i="5" s="1"/>
  <c r="BB5" i="5" s="1"/>
  <c r="BC5" i="5" s="1"/>
  <c r="BD5" i="5" s="1"/>
  <c r="BE5" i="5" s="1"/>
  <c r="BF5" i="5" s="1"/>
  <c r="BG5" i="5" s="1"/>
  <c r="BH5" i="5" s="1"/>
  <c r="AO3" i="5"/>
  <c r="AP3" i="5" s="1"/>
  <c r="AQ3" i="5" s="1"/>
  <c r="AR3" i="5" s="1"/>
  <c r="AS3" i="5" s="1"/>
  <c r="AT3" i="5" s="1"/>
  <c r="AU3" i="5" s="1"/>
  <c r="AV3" i="5" s="1"/>
  <c r="AW3" i="5" s="1"/>
  <c r="AX3" i="5" s="1"/>
  <c r="AY3" i="5" s="1"/>
  <c r="AZ3" i="5" s="1"/>
  <c r="BA3" i="5" s="1"/>
  <c r="BB3" i="5" s="1"/>
  <c r="BC3" i="5" s="1"/>
  <c r="BD3" i="5" s="1"/>
  <c r="BE3" i="5" s="1"/>
  <c r="BF3" i="5" s="1"/>
  <c r="BG3" i="5" s="1"/>
  <c r="I76" i="2"/>
  <c r="J76" i="2"/>
  <c r="K76" i="2"/>
  <c r="L76" i="2"/>
  <c r="M76" i="2"/>
  <c r="N76" i="2"/>
  <c r="O76" i="2"/>
  <c r="P76" i="2"/>
  <c r="Q76" i="2"/>
  <c r="R76" i="2"/>
  <c r="S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T76" i="2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W69" i="5"/>
  <c r="X69" i="5"/>
  <c r="Y69" i="5"/>
  <c r="Z69" i="5"/>
  <c r="AA69" i="5"/>
  <c r="AB69" i="5"/>
  <c r="AC69" i="5"/>
  <c r="AD69" i="5"/>
  <c r="AE69" i="5"/>
  <c r="AF69" i="5"/>
  <c r="AG69" i="5"/>
  <c r="AH69" i="5"/>
  <c r="AI69" i="5"/>
  <c r="AJ69" i="5"/>
  <c r="AK69" i="5"/>
  <c r="AL69" i="5"/>
  <c r="AM69" i="5"/>
  <c r="AN69" i="5"/>
  <c r="AO69" i="5"/>
  <c r="AP69" i="5"/>
  <c r="AQ69" i="5"/>
  <c r="AR69" i="5"/>
  <c r="AS69" i="5"/>
  <c r="AT69" i="5"/>
  <c r="AU69" i="5"/>
  <c r="AV69" i="5"/>
  <c r="AW69" i="5"/>
  <c r="AX69" i="5"/>
  <c r="AY69" i="5"/>
  <c r="AZ69" i="5"/>
  <c r="BA69" i="5"/>
  <c r="BB69" i="5"/>
  <c r="BC69" i="5"/>
  <c r="BD69" i="5"/>
  <c r="BE69" i="5"/>
  <c r="BF69" i="5"/>
  <c r="BG69" i="5"/>
  <c r="BH69" i="5"/>
  <c r="I69" i="5"/>
  <c r="J70" i="5"/>
  <c r="J7" i="5" s="1"/>
  <c r="K70" i="5"/>
  <c r="K7" i="5" s="1"/>
  <c r="L70" i="5"/>
  <c r="L7" i="5" s="1"/>
  <c r="M70" i="5"/>
  <c r="M7" i="5" s="1"/>
  <c r="N70" i="5"/>
  <c r="N7" i="5" s="1"/>
  <c r="O70" i="5"/>
  <c r="O7" i="5" s="1"/>
  <c r="P70" i="5"/>
  <c r="P7" i="5" s="1"/>
  <c r="Q70" i="5"/>
  <c r="Q7" i="5" s="1"/>
  <c r="Q8" i="5" s="1"/>
  <c r="R70" i="5"/>
  <c r="R7" i="5" s="1"/>
  <c r="S70" i="5"/>
  <c r="S7" i="5" s="1"/>
  <c r="T70" i="5"/>
  <c r="T7" i="5" s="1"/>
  <c r="T8" i="5" s="1"/>
  <c r="U70" i="5"/>
  <c r="U7" i="5" s="1"/>
  <c r="U8" i="5" s="1"/>
  <c r="V70" i="5"/>
  <c r="V7" i="5" s="1"/>
  <c r="W70" i="5"/>
  <c r="W7" i="5" s="1"/>
  <c r="X70" i="5"/>
  <c r="X7" i="5" s="1"/>
  <c r="Y70" i="5"/>
  <c r="Y7" i="5" s="1"/>
  <c r="Z70" i="5"/>
  <c r="Z7" i="5" s="1"/>
  <c r="AA70" i="5"/>
  <c r="AA7" i="5" s="1"/>
  <c r="AB70" i="5"/>
  <c r="AB7" i="5" s="1"/>
  <c r="AC70" i="5"/>
  <c r="AC7" i="5" s="1"/>
  <c r="AC8" i="5" s="1"/>
  <c r="AD70" i="5"/>
  <c r="AD7" i="5" s="1"/>
  <c r="AE70" i="5"/>
  <c r="AE7" i="5" s="1"/>
  <c r="AF70" i="5"/>
  <c r="AF7" i="5" s="1"/>
  <c r="AF8" i="5" s="1"/>
  <c r="AG70" i="5"/>
  <c r="AG7" i="5" s="1"/>
  <c r="AH70" i="5"/>
  <c r="AH7" i="5" s="1"/>
  <c r="AI70" i="5"/>
  <c r="AI7" i="5" s="1"/>
  <c r="AJ70" i="5"/>
  <c r="AJ7" i="5" s="1"/>
  <c r="AK70" i="5"/>
  <c r="AK7" i="5" s="1"/>
  <c r="AL70" i="5"/>
  <c r="AL7" i="5" s="1"/>
  <c r="AM70" i="5"/>
  <c r="AM7" i="5" s="1"/>
  <c r="AN70" i="5"/>
  <c r="AN7" i="5" s="1"/>
  <c r="AO70" i="5"/>
  <c r="AO7" i="5" s="1"/>
  <c r="AO8" i="5" s="1"/>
  <c r="AP70" i="5"/>
  <c r="AP7" i="5" s="1"/>
  <c r="AQ70" i="5"/>
  <c r="AQ7" i="5" s="1"/>
  <c r="AR70" i="5"/>
  <c r="AR7" i="5" s="1"/>
  <c r="AR8" i="5" s="1"/>
  <c r="AS70" i="5"/>
  <c r="AS7" i="5" s="1"/>
  <c r="AS8" i="5" s="1"/>
  <c r="AT70" i="5"/>
  <c r="AT7" i="5" s="1"/>
  <c r="AU70" i="5"/>
  <c r="AU7" i="5" s="1"/>
  <c r="AV70" i="5"/>
  <c r="AV7" i="5" s="1"/>
  <c r="AW70" i="5"/>
  <c r="AW7" i="5" s="1"/>
  <c r="AX70" i="5"/>
  <c r="AX7" i="5" s="1"/>
  <c r="AY70" i="5"/>
  <c r="AY7" i="5" s="1"/>
  <c r="AZ70" i="5"/>
  <c r="AZ7" i="5" s="1"/>
  <c r="BA70" i="5"/>
  <c r="BA7" i="5" s="1"/>
  <c r="BA8" i="5" s="1"/>
  <c r="BB70" i="5"/>
  <c r="BB7" i="5" s="1"/>
  <c r="BC70" i="5"/>
  <c r="BC7" i="5" s="1"/>
  <c r="BD70" i="5"/>
  <c r="BD7" i="5" s="1"/>
  <c r="BD8" i="5" s="1"/>
  <c r="BE70" i="5"/>
  <c r="BE7" i="5" s="1"/>
  <c r="BF70" i="5"/>
  <c r="BF7" i="5" s="1"/>
  <c r="BG70" i="5"/>
  <c r="BG7" i="5" s="1"/>
  <c r="BH70" i="5"/>
  <c r="BH7" i="5" s="1"/>
  <c r="I70" i="5"/>
  <c r="E2" i="5"/>
  <c r="N2" i="5" s="1" a="1"/>
  <c r="N2" i="5" s="1"/>
  <c r="N6" i="5" s="1"/>
  <c r="A73" i="5"/>
  <c r="B33" i="5"/>
  <c r="C33" i="5"/>
  <c r="D33" i="5"/>
  <c r="E33" i="5"/>
  <c r="F33" i="5"/>
  <c r="G33" i="5"/>
  <c r="H33" i="5"/>
  <c r="I33" i="5"/>
  <c r="I35" i="5" s="1"/>
  <c r="J33" i="5"/>
  <c r="J3" i="5" s="1"/>
  <c r="CD35" i="6"/>
  <c r="CD44" i="6" s="1"/>
  <c r="G50" i="6"/>
  <c r="H50" i="6"/>
  <c r="I50" i="6"/>
  <c r="AY8" i="5" l="1"/>
  <c r="AA8" i="5"/>
  <c r="AU8" i="5"/>
  <c r="AI8" i="5"/>
  <c r="W8" i="5"/>
  <c r="AZ8" i="5"/>
  <c r="AN8" i="5"/>
  <c r="AB8" i="5"/>
  <c r="P8" i="5"/>
  <c r="BH8" i="5"/>
  <c r="BH2" i="5" s="1"/>
  <c r="BH6" i="5" s="1"/>
  <c r="AL42" i="5"/>
  <c r="AI43" i="5"/>
  <c r="AK43" i="5"/>
  <c r="AJ43" i="5"/>
  <c r="AV44" i="5"/>
  <c r="AW44" i="5"/>
  <c r="AT8" i="5"/>
  <c r="AH8" i="5"/>
  <c r="BC8" i="5"/>
  <c r="AQ8" i="5"/>
  <c r="AE8" i="5"/>
  <c r="S8" i="5"/>
  <c r="V8" i="5"/>
  <c r="AX8" i="5"/>
  <c r="AL8" i="5"/>
  <c r="Z8" i="5"/>
  <c r="N8" i="5"/>
  <c r="AV8" i="5"/>
  <c r="AJ8" i="5"/>
  <c r="X8" i="5"/>
  <c r="L8" i="5"/>
  <c r="BF8" i="5"/>
  <c r="BE8" i="5"/>
  <c r="BB8" i="5"/>
  <c r="AP8" i="5"/>
  <c r="AD8" i="5"/>
  <c r="R8" i="5"/>
  <c r="AW8" i="5"/>
  <c r="AK8" i="5"/>
  <c r="Y8" i="5"/>
  <c r="M8" i="5"/>
  <c r="J9" i="5"/>
  <c r="K8" i="5"/>
  <c r="AM8" i="5"/>
  <c r="O8" i="5"/>
  <c r="BH4" i="5"/>
  <c r="AG8" i="5"/>
  <c r="BG8" i="5"/>
  <c r="J35" i="5"/>
  <c r="K2" i="5" a="1"/>
  <c r="K2" i="5" s="1"/>
  <c r="K6" i="5" s="1"/>
  <c r="K14" i="5" s="1"/>
  <c r="D12" i="6" s="1"/>
  <c r="D97" i="6" s="1"/>
  <c r="N4" i="5"/>
  <c r="AN2" i="5" a="1"/>
  <c r="AN2" i="5" s="1"/>
  <c r="AN6" i="5" s="1"/>
  <c r="AK2" i="5" a="1"/>
  <c r="AK2" i="5" s="1"/>
  <c r="AK4" i="5" s="1"/>
  <c r="AC2" i="5" a="1"/>
  <c r="AC2" i="5" s="1"/>
  <c r="X2" i="5" a="1"/>
  <c r="X2" i="5" s="1"/>
  <c r="M2" i="5" a="1"/>
  <c r="M2" i="5" s="1"/>
  <c r="M6" i="5" s="1"/>
  <c r="Y2" i="5" a="1"/>
  <c r="Y2" i="5" s="1"/>
  <c r="U2" i="5" a="1"/>
  <c r="U2" i="5" s="1"/>
  <c r="T2" i="5" a="1"/>
  <c r="T2" i="5" s="1"/>
  <c r="Q2" i="5" a="1"/>
  <c r="Q2" i="5" s="1"/>
  <c r="P2" i="5" a="1"/>
  <c r="P2" i="5" s="1"/>
  <c r="AG2" i="5" a="1"/>
  <c r="AG2" i="5" s="1"/>
  <c r="AF2" i="5" a="1"/>
  <c r="AF2" i="5" s="1"/>
  <c r="AD2" i="5" a="1"/>
  <c r="AD2" i="5" s="1"/>
  <c r="V2" i="5" a="1"/>
  <c r="V2" i="5" s="1"/>
  <c r="AJ2" i="5" a="1"/>
  <c r="AJ2" i="5" s="1"/>
  <c r="AB2" i="5" a="1"/>
  <c r="AB2" i="5" s="1"/>
  <c r="L2" i="5" a="1"/>
  <c r="L2" i="5" s="1"/>
  <c r="AI2" i="5" a="1"/>
  <c r="AI2" i="5" s="1"/>
  <c r="AA2" i="5" a="1"/>
  <c r="AA2" i="5" s="1"/>
  <c r="S2" i="5" a="1"/>
  <c r="S2" i="5" s="1"/>
  <c r="Z2" i="5" a="1"/>
  <c r="Z2" i="5" s="1"/>
  <c r="AH2" i="5" a="1"/>
  <c r="AH2" i="5" s="1"/>
  <c r="R2" i="5" a="1"/>
  <c r="R2" i="5" s="1"/>
  <c r="AM2" i="5" a="1"/>
  <c r="AM2" i="5" s="1"/>
  <c r="AE2" i="5" a="1"/>
  <c r="AE2" i="5" s="1"/>
  <c r="W2" i="5" a="1"/>
  <c r="W2" i="5" s="1"/>
  <c r="O2" i="5" a="1"/>
  <c r="O2" i="5" s="1"/>
  <c r="AL2" i="5" a="1"/>
  <c r="AL2" i="5" s="1"/>
  <c r="AL43" i="5" l="1"/>
  <c r="AM42" i="5"/>
  <c r="AO42" i="5" s="1"/>
  <c r="AN42" i="5"/>
  <c r="AY44" i="5"/>
  <c r="AZ44" i="5" s="1"/>
  <c r="AX44" i="5"/>
  <c r="M4" i="5"/>
  <c r="AN4" i="5"/>
  <c r="K4" i="5"/>
  <c r="K13" i="5" s="1"/>
  <c r="D11" i="6" s="1"/>
  <c r="D96" i="6" s="1"/>
  <c r="AC6" i="5"/>
  <c r="AC4" i="5"/>
  <c r="AO2" i="5"/>
  <c r="AO6" i="5" s="1"/>
  <c r="AK6" i="5"/>
  <c r="X6" i="5"/>
  <c r="X4" i="5"/>
  <c r="AD6" i="5"/>
  <c r="AD4" i="5"/>
  <c r="AE4" i="5"/>
  <c r="AE6" i="5"/>
  <c r="AA4" i="5"/>
  <c r="AA6" i="5"/>
  <c r="AI6" i="5"/>
  <c r="AI4" i="5"/>
  <c r="AM4" i="5"/>
  <c r="AM6" i="5"/>
  <c r="R6" i="5"/>
  <c r="R4" i="5"/>
  <c r="AF4" i="5"/>
  <c r="AF6" i="5"/>
  <c r="L6" i="5"/>
  <c r="L14" i="5" s="1"/>
  <c r="E12" i="6" s="1"/>
  <c r="E97" i="6" s="1"/>
  <c r="L4" i="5"/>
  <c r="Q6" i="5"/>
  <c r="Q4" i="5"/>
  <c r="AL4" i="5"/>
  <c r="AL6" i="5"/>
  <c r="AB4" i="5"/>
  <c r="AB6" i="5"/>
  <c r="T4" i="5"/>
  <c r="T6" i="5"/>
  <c r="U4" i="5"/>
  <c r="U6" i="5"/>
  <c r="Y6" i="5"/>
  <c r="Y4" i="5"/>
  <c r="AH6" i="5"/>
  <c r="AH4" i="5"/>
  <c r="Z4" i="5"/>
  <c r="Z6" i="5"/>
  <c r="S6" i="5"/>
  <c r="S4" i="5"/>
  <c r="O4" i="5"/>
  <c r="O6" i="5"/>
  <c r="AJ6" i="5"/>
  <c r="AJ4" i="5"/>
  <c r="AG4" i="5"/>
  <c r="AG6" i="5"/>
  <c r="W6" i="5"/>
  <c r="W4" i="5"/>
  <c r="V6" i="5"/>
  <c r="V4" i="5"/>
  <c r="P4" i="5"/>
  <c r="P6" i="5"/>
  <c r="AO43" i="5" l="1"/>
  <c r="AP42" i="5"/>
  <c r="AN43" i="5"/>
  <c r="AM43" i="5"/>
  <c r="BA44" i="5"/>
  <c r="L13" i="5"/>
  <c r="E11" i="6" s="1"/>
  <c r="E96" i="6" s="1"/>
  <c r="M14" i="5"/>
  <c r="F12" i="6" s="1"/>
  <c r="F97" i="6" s="1"/>
  <c r="AP2" i="5"/>
  <c r="AP6" i="5" s="1"/>
  <c r="AO4" i="5"/>
  <c r="AP43" i="5" l="1"/>
  <c r="AQ42" i="5"/>
  <c r="BB44" i="5"/>
  <c r="AP4" i="5"/>
  <c r="AQ2" i="5"/>
  <c r="AR2" i="5" s="1"/>
  <c r="M13" i="5"/>
  <c r="F11" i="6" s="1"/>
  <c r="F96" i="6" s="1"/>
  <c r="N14" i="5"/>
  <c r="G12" i="6" s="1"/>
  <c r="G97" i="6" s="1"/>
  <c r="AQ43" i="5" l="1"/>
  <c r="AR42" i="5"/>
  <c r="AS42" i="5" s="1"/>
  <c r="BC44" i="5"/>
  <c r="BD44" i="5" s="1"/>
  <c r="AQ4" i="5"/>
  <c r="AQ6" i="5"/>
  <c r="N13" i="5"/>
  <c r="G11" i="6" s="1"/>
  <c r="G96" i="6" s="1"/>
  <c r="O14" i="5"/>
  <c r="H12" i="6" s="1"/>
  <c r="H97" i="6" s="1"/>
  <c r="AR4" i="5"/>
  <c r="AS2" i="5"/>
  <c r="AR6" i="5"/>
  <c r="AS43" i="5" l="1"/>
  <c r="AR43" i="5"/>
  <c r="AT42" i="5"/>
  <c r="AU42" i="5" s="1"/>
  <c r="BE44" i="5"/>
  <c r="BF44" i="5" s="1"/>
  <c r="BG44" i="5" s="1"/>
  <c r="BH44" i="5" s="1"/>
  <c r="O13" i="5"/>
  <c r="H11" i="6" s="1"/>
  <c r="H96" i="6" s="1"/>
  <c r="P14" i="5"/>
  <c r="I12" i="6" s="1"/>
  <c r="I97" i="6" s="1"/>
  <c r="AT2" i="5"/>
  <c r="AS4" i="5"/>
  <c r="AS6" i="5"/>
  <c r="AU43" i="5" l="1"/>
  <c r="AV42" i="5"/>
  <c r="AT43" i="5"/>
  <c r="P13" i="5"/>
  <c r="I11" i="6" s="1"/>
  <c r="I96" i="6" s="1"/>
  <c r="Q14" i="5"/>
  <c r="J12" i="6" s="1"/>
  <c r="J97" i="6" s="1"/>
  <c r="Q13" i="5"/>
  <c r="J11" i="6" s="1"/>
  <c r="AU2" i="5"/>
  <c r="AT6" i="5"/>
  <c r="AT4" i="5"/>
  <c r="J96" i="6" l="1"/>
  <c r="AV43" i="5"/>
  <c r="AW42" i="5"/>
  <c r="R13" i="5"/>
  <c r="K11" i="6" s="1"/>
  <c r="K96" i="6" s="1"/>
  <c r="R14" i="5"/>
  <c r="K12" i="6" s="1"/>
  <c r="K97" i="6" s="1"/>
  <c r="AV2" i="5"/>
  <c r="AU6" i="5"/>
  <c r="AU4" i="5"/>
  <c r="AW43" i="5" l="1"/>
  <c r="AX42" i="5"/>
  <c r="S14" i="5"/>
  <c r="L12" i="6" s="1"/>
  <c r="L97" i="6" s="1"/>
  <c r="S13" i="5"/>
  <c r="L11" i="6" s="1"/>
  <c r="L96" i="6" s="1"/>
  <c r="AW2" i="5"/>
  <c r="AV6" i="5"/>
  <c r="AV4" i="5"/>
  <c r="AX43" i="5" l="1"/>
  <c r="AY42" i="5"/>
  <c r="T13" i="5"/>
  <c r="M11" i="6" s="1"/>
  <c r="M96" i="6" s="1"/>
  <c r="T14" i="5"/>
  <c r="M12" i="6" s="1"/>
  <c r="M97" i="6" s="1"/>
  <c r="AX2" i="5"/>
  <c r="AW6" i="5"/>
  <c r="AW4" i="5"/>
  <c r="AY43" i="5" l="1"/>
  <c r="AZ42" i="5"/>
  <c r="U14" i="5"/>
  <c r="N12" i="6" s="1"/>
  <c r="N97" i="6" s="1"/>
  <c r="U13" i="5"/>
  <c r="N11" i="6" s="1"/>
  <c r="N96" i="6" s="1"/>
  <c r="AY2" i="5"/>
  <c r="AX6" i="5"/>
  <c r="AX4" i="5"/>
  <c r="AZ43" i="5" l="1"/>
  <c r="BA42" i="5"/>
  <c r="V13" i="5"/>
  <c r="O11" i="6" s="1"/>
  <c r="O96" i="6" s="1"/>
  <c r="V14" i="5"/>
  <c r="O12" i="6" s="1"/>
  <c r="O97" i="6" s="1"/>
  <c r="AZ2" i="5"/>
  <c r="AY4" i="5"/>
  <c r="AY6" i="5"/>
  <c r="BA43" i="5" l="1"/>
  <c r="BB42" i="5"/>
  <c r="W14" i="5"/>
  <c r="P12" i="6" s="1"/>
  <c r="P97" i="6" s="1"/>
  <c r="W13" i="5"/>
  <c r="P11" i="6" s="1"/>
  <c r="P96" i="6" s="1"/>
  <c r="BA2" i="5"/>
  <c r="AZ4" i="5"/>
  <c r="AZ6" i="5"/>
  <c r="BB43" i="5" l="1"/>
  <c r="BC42" i="5"/>
  <c r="X13" i="5"/>
  <c r="Q11" i="6" s="1"/>
  <c r="Q96" i="6" s="1"/>
  <c r="X14" i="5"/>
  <c r="Q12" i="6" s="1"/>
  <c r="Q97" i="6" s="1"/>
  <c r="BB2" i="5"/>
  <c r="BA6" i="5"/>
  <c r="BA4" i="5"/>
  <c r="BC43" i="5" l="1"/>
  <c r="BD42" i="5"/>
  <c r="Y14" i="5"/>
  <c r="R12" i="6" s="1"/>
  <c r="R97" i="6" s="1"/>
  <c r="Y13" i="5"/>
  <c r="R11" i="6" s="1"/>
  <c r="R96" i="6" s="1"/>
  <c r="BC2" i="5"/>
  <c r="BB6" i="5"/>
  <c r="BB4" i="5"/>
  <c r="BD43" i="5" l="1"/>
  <c r="BE42" i="5"/>
  <c r="Z13" i="5"/>
  <c r="S11" i="6" s="1"/>
  <c r="S96" i="6" s="1"/>
  <c r="Z14" i="5"/>
  <c r="S12" i="6" s="1"/>
  <c r="S97" i="6" s="1"/>
  <c r="BD2" i="5"/>
  <c r="BC4" i="5"/>
  <c r="BC6" i="5"/>
  <c r="BE43" i="5" l="1"/>
  <c r="BF42" i="5"/>
  <c r="AA14" i="5"/>
  <c r="T12" i="6" s="1"/>
  <c r="T97" i="6" s="1"/>
  <c r="AA13" i="5"/>
  <c r="T11" i="6" s="1"/>
  <c r="T96" i="6" s="1"/>
  <c r="BE2" i="5"/>
  <c r="BD4" i="5"/>
  <c r="BD6" i="5"/>
  <c r="BF43" i="5" l="1"/>
  <c r="BG42" i="5"/>
  <c r="AB13" i="5"/>
  <c r="U11" i="6" s="1"/>
  <c r="U96" i="6" s="1"/>
  <c r="AB14" i="5"/>
  <c r="U12" i="6" s="1"/>
  <c r="U97" i="6" s="1"/>
  <c r="BF2" i="5"/>
  <c r="BE4" i="5"/>
  <c r="BE6" i="5"/>
  <c r="BG43" i="5" l="1"/>
  <c r="BH42" i="5"/>
  <c r="BH43" i="5" s="1"/>
  <c r="AC14" i="5"/>
  <c r="V12" i="6" s="1"/>
  <c r="V97" i="6" s="1"/>
  <c r="AC13" i="5"/>
  <c r="V11" i="6" s="1"/>
  <c r="V96" i="6" s="1"/>
  <c r="BG2" i="5"/>
  <c r="BF6" i="5"/>
  <c r="BF4" i="5"/>
  <c r="AD13" i="5" l="1"/>
  <c r="W11" i="6" s="1"/>
  <c r="W96" i="6" s="1"/>
  <c r="AD14" i="5"/>
  <c r="W12" i="6" s="1"/>
  <c r="W97" i="6" s="1"/>
  <c r="BG6" i="5"/>
  <c r="BG4" i="5"/>
  <c r="AE14" i="5" l="1"/>
  <c r="X12" i="6" s="1"/>
  <c r="X97" i="6" s="1"/>
  <c r="AE13" i="5"/>
  <c r="X11" i="6" s="1"/>
  <c r="X96" i="6" s="1"/>
  <c r="AF13" i="5" l="1"/>
  <c r="Y11" i="6" s="1"/>
  <c r="Y96" i="6" s="1"/>
  <c r="AF14" i="5"/>
  <c r="Y12" i="6" s="1"/>
  <c r="Y97" i="6" s="1"/>
  <c r="AG14" i="5" l="1"/>
  <c r="Z12" i="6" s="1"/>
  <c r="Z97" i="6" s="1"/>
  <c r="AG13" i="5"/>
  <c r="Z11" i="6" s="1"/>
  <c r="Z96" i="6" s="1"/>
  <c r="AH13" i="5" l="1"/>
  <c r="AH14" i="5"/>
  <c r="AI14" i="5" l="1"/>
  <c r="AA12" i="6"/>
  <c r="AA97" i="6" s="1"/>
  <c r="AI13" i="5"/>
  <c r="AA11" i="6"/>
  <c r="AA96" i="6" s="1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F50" i="6"/>
  <c r="AG50" i="6"/>
  <c r="AH50" i="6"/>
  <c r="AI50" i="6"/>
  <c r="AJ50" i="6"/>
  <c r="AK50" i="6"/>
  <c r="AL50" i="6"/>
  <c r="AM50" i="6"/>
  <c r="AN50" i="6"/>
  <c r="AO50" i="6"/>
  <c r="AP50" i="6"/>
  <c r="AQ50" i="6"/>
  <c r="AR50" i="6"/>
  <c r="AS50" i="6"/>
  <c r="AT50" i="6"/>
  <c r="AU50" i="6"/>
  <c r="AV50" i="6"/>
  <c r="AW50" i="6"/>
  <c r="AX50" i="6"/>
  <c r="AY50" i="6"/>
  <c r="AZ50" i="6"/>
  <c r="BA50" i="6"/>
  <c r="BB50" i="6"/>
  <c r="BC50" i="6"/>
  <c r="BD50" i="6"/>
  <c r="BE50" i="6"/>
  <c r="BF50" i="6"/>
  <c r="BG50" i="6"/>
  <c r="BH50" i="6"/>
  <c r="BI50" i="6"/>
  <c r="BJ50" i="6"/>
  <c r="BK50" i="6"/>
  <c r="BL50" i="6"/>
  <c r="BM50" i="6"/>
  <c r="BN50" i="6"/>
  <c r="BO50" i="6"/>
  <c r="BP50" i="6"/>
  <c r="BQ50" i="6"/>
  <c r="BR50" i="6"/>
  <c r="BS50" i="6"/>
  <c r="BT50" i="6"/>
  <c r="BU50" i="6"/>
  <c r="BV50" i="6"/>
  <c r="BW50" i="6"/>
  <c r="BX50" i="6"/>
  <c r="BY50" i="6"/>
  <c r="BZ50" i="6"/>
  <c r="CA50" i="6"/>
  <c r="CB50" i="6"/>
  <c r="CC50" i="6"/>
  <c r="CD50" i="6"/>
  <c r="CE50" i="6"/>
  <c r="CF50" i="6"/>
  <c r="CG50" i="6"/>
  <c r="CH50" i="6"/>
  <c r="CI50" i="6"/>
  <c r="CJ50" i="6"/>
  <c r="J50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K44" i="6" s="1"/>
  <c r="AL35" i="6"/>
  <c r="AL44" i="6" s="1"/>
  <c r="AM35" i="6"/>
  <c r="AM44" i="6" s="1"/>
  <c r="AN35" i="6"/>
  <c r="AN44" i="6" s="1"/>
  <c r="AO35" i="6"/>
  <c r="AO44" i="6" s="1"/>
  <c r="AP35" i="6"/>
  <c r="AP44" i="6" s="1"/>
  <c r="AQ35" i="6"/>
  <c r="AQ44" i="6" s="1"/>
  <c r="AR35" i="6"/>
  <c r="AR44" i="6" s="1"/>
  <c r="AS35" i="6"/>
  <c r="AS44" i="6" s="1"/>
  <c r="AT35" i="6"/>
  <c r="AT44" i="6" s="1"/>
  <c r="AU35" i="6"/>
  <c r="AU44" i="6" s="1"/>
  <c r="AV35" i="6"/>
  <c r="AV44" i="6" s="1"/>
  <c r="AW35" i="6"/>
  <c r="AW44" i="6" s="1"/>
  <c r="AX35" i="6"/>
  <c r="AX44" i="6" s="1"/>
  <c r="AY35" i="6"/>
  <c r="AY44" i="6" s="1"/>
  <c r="AZ35" i="6"/>
  <c r="AZ44" i="6" s="1"/>
  <c r="BA35" i="6"/>
  <c r="BA44" i="6" s="1"/>
  <c r="BB35" i="6"/>
  <c r="BB44" i="6" s="1"/>
  <c r="BC35" i="6"/>
  <c r="BC44" i="6" s="1"/>
  <c r="BD35" i="6"/>
  <c r="BD44" i="6" s="1"/>
  <c r="BE35" i="6"/>
  <c r="BE44" i="6" s="1"/>
  <c r="BF35" i="6"/>
  <c r="BF44" i="6" s="1"/>
  <c r="BG35" i="6"/>
  <c r="BG44" i="6" s="1"/>
  <c r="BH35" i="6"/>
  <c r="BH44" i="6" s="1"/>
  <c r="BI35" i="6"/>
  <c r="BI44" i="6" s="1"/>
  <c r="BJ35" i="6"/>
  <c r="BJ44" i="6" s="1"/>
  <c r="BK35" i="6"/>
  <c r="BK44" i="6" s="1"/>
  <c r="BL35" i="6"/>
  <c r="BL44" i="6" s="1"/>
  <c r="BM35" i="6"/>
  <c r="BM44" i="6" s="1"/>
  <c r="BN35" i="6"/>
  <c r="BN44" i="6" s="1"/>
  <c r="BO35" i="6"/>
  <c r="BO44" i="6" s="1"/>
  <c r="BP35" i="6"/>
  <c r="BP44" i="6" s="1"/>
  <c r="BQ35" i="6"/>
  <c r="BQ44" i="6" s="1"/>
  <c r="BR35" i="6"/>
  <c r="BR44" i="6" s="1"/>
  <c r="BS35" i="6"/>
  <c r="BS44" i="6" s="1"/>
  <c r="BT35" i="6"/>
  <c r="BT44" i="6" s="1"/>
  <c r="BU35" i="6"/>
  <c r="BU44" i="6" s="1"/>
  <c r="BV35" i="6"/>
  <c r="BV44" i="6" s="1"/>
  <c r="BW35" i="6"/>
  <c r="BW44" i="6" s="1"/>
  <c r="BX35" i="6"/>
  <c r="BX44" i="6" s="1"/>
  <c r="BY35" i="6"/>
  <c r="BY44" i="6" s="1"/>
  <c r="BZ35" i="6"/>
  <c r="BZ44" i="6" s="1"/>
  <c r="CA35" i="6"/>
  <c r="CA44" i="6" s="1"/>
  <c r="CB35" i="6"/>
  <c r="CB44" i="6" s="1"/>
  <c r="CC35" i="6"/>
  <c r="CC44" i="6" s="1"/>
  <c r="C35" i="6"/>
  <c r="B35" i="6"/>
  <c r="B44" i="6" s="1"/>
  <c r="C12" i="1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5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C14" i="1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J13" i="5" l="1"/>
  <c r="AB11" i="6"/>
  <c r="AB96" i="6" s="1"/>
  <c r="AJ14" i="5"/>
  <c r="AB12" i="6"/>
  <c r="AB97" i="6" s="1"/>
  <c r="J51" i="6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B172" i="2"/>
  <c r="B171" i="2"/>
  <c r="B170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B7" i="2"/>
  <c r="A151" i="2"/>
  <c r="AM151" i="2" s="1" a="1"/>
  <c r="AM151" i="2" s="1"/>
  <c r="A149" i="2"/>
  <c r="X149" i="2" s="1" a="1"/>
  <c r="X149" i="2" s="1"/>
  <c r="A150" i="2"/>
  <c r="E150" i="2" s="1" a="1"/>
  <c r="E150" i="2" s="1"/>
  <c r="A152" i="2"/>
  <c r="P152" i="2" s="1" a="1"/>
  <c r="P152" i="2" s="1"/>
  <c r="A153" i="2"/>
  <c r="G153" i="2" s="1" a="1"/>
  <c r="G153" i="2" s="1"/>
  <c r="A154" i="2"/>
  <c r="H154" i="2" s="1" a="1"/>
  <c r="H154" i="2" s="1"/>
  <c r="A155" i="2"/>
  <c r="L155" i="2" s="1" a="1"/>
  <c r="L155" i="2" s="1"/>
  <c r="A156" i="2"/>
  <c r="N156" i="2" s="1" a="1"/>
  <c r="N156" i="2" s="1"/>
  <c r="A157" i="2"/>
  <c r="L157" i="2" s="1" a="1"/>
  <c r="L157" i="2" s="1"/>
  <c r="A158" i="2"/>
  <c r="H158" i="2" s="1" a="1"/>
  <c r="H158" i="2" s="1"/>
  <c r="A159" i="2"/>
  <c r="D159" i="2" s="1" a="1"/>
  <c r="D159" i="2" s="1"/>
  <c r="A160" i="2"/>
  <c r="K160" i="2" s="1" a="1"/>
  <c r="K160" i="2" s="1"/>
  <c r="A161" i="2"/>
  <c r="G161" i="2" s="1" a="1"/>
  <c r="G161" i="2" s="1"/>
  <c r="A162" i="2"/>
  <c r="X162" i="2" s="1" a="1"/>
  <c r="X162" i="2" s="1"/>
  <c r="A163" i="2"/>
  <c r="H163" i="2" s="1" a="1"/>
  <c r="H163" i="2" s="1"/>
  <c r="A164" i="2"/>
  <c r="K164" i="2" s="1" a="1"/>
  <c r="K164" i="2" s="1"/>
  <c r="A165" i="2"/>
  <c r="D165" i="2" s="1" a="1"/>
  <c r="D165" i="2" s="1"/>
  <c r="A166" i="2"/>
  <c r="L166" i="2" s="1" a="1"/>
  <c r="L166" i="2" s="1"/>
  <c r="A148" i="2"/>
  <c r="D148" i="2" s="1" a="1"/>
  <c r="D148" i="2" s="1"/>
  <c r="AK14" i="5" l="1"/>
  <c r="AC12" i="6"/>
  <c r="AC97" i="6" s="1"/>
  <c r="AK13" i="5"/>
  <c r="AC11" i="6"/>
  <c r="AC96" i="6" s="1"/>
  <c r="AG152" i="2" a="1"/>
  <c r="AG152" i="2" s="1"/>
  <c r="U160" i="2" a="1"/>
  <c r="U160" i="2" s="1"/>
  <c r="U157" i="2" a="1"/>
  <c r="U157" i="2" s="1"/>
  <c r="I157" i="2" a="1"/>
  <c r="I157" i="2" s="1"/>
  <c r="Y153" i="2" a="1"/>
  <c r="Y153" i="2" s="1"/>
  <c r="N152" i="2" a="1"/>
  <c r="N152" i="2" s="1"/>
  <c r="M152" i="2" a="1"/>
  <c r="M152" i="2" s="1"/>
  <c r="T164" i="2" a="1"/>
  <c r="T164" i="2" s="1"/>
  <c r="S164" i="2" a="1"/>
  <c r="S164" i="2" s="1"/>
  <c r="AI159" i="2" a="1"/>
  <c r="AI159" i="2" s="1"/>
  <c r="AD159" i="2" a="1"/>
  <c r="AD159" i="2" s="1"/>
  <c r="AH151" i="2" a="1"/>
  <c r="AH151" i="2" s="1"/>
  <c r="D151" i="2" a="1"/>
  <c r="D151" i="2" s="1"/>
  <c r="T151" i="2" a="1"/>
  <c r="T151" i="2" s="1"/>
  <c r="AE151" i="2" a="1"/>
  <c r="AE151" i="2" s="1"/>
  <c r="AI151" i="2" a="1"/>
  <c r="AI151" i="2" s="1"/>
  <c r="AC151" i="2" a="1"/>
  <c r="AC151" i="2" s="1"/>
  <c r="AF151" i="2" a="1"/>
  <c r="AF151" i="2" s="1"/>
  <c r="H151" i="2" a="1"/>
  <c r="H151" i="2" s="1"/>
  <c r="AK151" i="2" a="1"/>
  <c r="AK151" i="2" s="1"/>
  <c r="J151" i="2" a="1"/>
  <c r="J151" i="2" s="1"/>
  <c r="W151" i="2" a="1"/>
  <c r="W151" i="2" s="1"/>
  <c r="AL151" i="2" a="1"/>
  <c r="AL151" i="2" s="1"/>
  <c r="N151" i="2" a="1"/>
  <c r="N151" i="2" s="1"/>
  <c r="Q151" i="2" a="1"/>
  <c r="Q151" i="2" s="1"/>
  <c r="E151" i="2" a="1"/>
  <c r="E151" i="2" s="1"/>
  <c r="Y151" i="2" a="1"/>
  <c r="Y151" i="2" s="1"/>
  <c r="AN151" i="2" a="1"/>
  <c r="AN151" i="2" s="1"/>
  <c r="P151" i="2" a="1"/>
  <c r="P151" i="2" s="1"/>
  <c r="S151" i="2" a="1"/>
  <c r="S151" i="2" s="1"/>
  <c r="V151" i="2" a="1"/>
  <c r="V151" i="2" s="1"/>
  <c r="K151" i="2" a="1"/>
  <c r="K151" i="2" s="1"/>
  <c r="Z151" i="2" a="1"/>
  <c r="Z151" i="2" s="1"/>
  <c r="G151" i="2" a="1"/>
  <c r="G151" i="2" s="1"/>
  <c r="M151" i="2" a="1"/>
  <c r="M151" i="2" s="1"/>
  <c r="AB151" i="2" a="1"/>
  <c r="AB151" i="2" s="1"/>
  <c r="AO151" i="2" a="1"/>
  <c r="AO151" i="2" s="1"/>
  <c r="K165" i="2" a="1"/>
  <c r="K165" i="2" s="1"/>
  <c r="I153" i="2" a="1"/>
  <c r="I153" i="2" s="1"/>
  <c r="AH164" i="2" a="1"/>
  <c r="AH164" i="2" s="1"/>
  <c r="M159" i="2" a="1"/>
  <c r="M159" i="2" s="1"/>
  <c r="E153" i="2" a="1"/>
  <c r="E153" i="2" s="1"/>
  <c r="AD164" i="2" a="1"/>
  <c r="AD164" i="2" s="1"/>
  <c r="L159" i="2" a="1"/>
  <c r="L159" i="2" s="1"/>
  <c r="AH152" i="2" a="1"/>
  <c r="AH152" i="2" s="1"/>
  <c r="F151" i="2" a="1"/>
  <c r="F151" i="2" s="1"/>
  <c r="L151" i="2" a="1"/>
  <c r="L151" i="2" s="1"/>
  <c r="R151" i="2" a="1"/>
  <c r="R151" i="2" s="1"/>
  <c r="X151" i="2" a="1"/>
  <c r="X151" i="2" s="1"/>
  <c r="AD151" i="2" a="1"/>
  <c r="AD151" i="2" s="1"/>
  <c r="AJ151" i="2" a="1"/>
  <c r="AJ151" i="2" s="1"/>
  <c r="C154" i="2" a="1"/>
  <c r="C154" i="2" s="1"/>
  <c r="AA166" i="2" a="1"/>
  <c r="AA166" i="2" s="1"/>
  <c r="X166" i="2" a="1"/>
  <c r="X166" i="2" s="1"/>
  <c r="AM161" i="2" a="1"/>
  <c r="AM161" i="2" s="1"/>
  <c r="Z154" i="2" a="1"/>
  <c r="Z154" i="2" s="1"/>
  <c r="D152" i="2" a="1"/>
  <c r="D152" i="2" s="1"/>
  <c r="J166" i="2" a="1"/>
  <c r="J166" i="2" s="1"/>
  <c r="AA161" i="2" a="1"/>
  <c r="AA161" i="2" s="1"/>
  <c r="V154" i="2" a="1"/>
  <c r="V154" i="2" s="1"/>
  <c r="I166" i="2" a="1"/>
  <c r="I166" i="2" s="1"/>
  <c r="U161" i="2" a="1"/>
  <c r="U161" i="2" s="1"/>
  <c r="G154" i="2" a="1"/>
  <c r="G154" i="2" s="1"/>
  <c r="C151" i="2" a="1"/>
  <c r="C151" i="2" s="1"/>
  <c r="I151" i="2" a="1"/>
  <c r="I151" i="2" s="1"/>
  <c r="O151" i="2" a="1"/>
  <c r="O151" i="2" s="1"/>
  <c r="U151" i="2" a="1"/>
  <c r="U151" i="2" s="1"/>
  <c r="AA151" i="2" a="1"/>
  <c r="AA151" i="2" s="1"/>
  <c r="AG151" i="2" a="1"/>
  <c r="AG151" i="2" s="1"/>
  <c r="L165" i="2" a="1"/>
  <c r="L165" i="2" s="1"/>
  <c r="AN161" i="2" a="1"/>
  <c r="AN161" i="2" s="1"/>
  <c r="AK154" i="2" a="1"/>
  <c r="AK154" i="2" s="1"/>
  <c r="AC165" i="2" a="1"/>
  <c r="AC165" i="2" s="1"/>
  <c r="AF160" i="2" a="1"/>
  <c r="AF160" i="2" s="1"/>
  <c r="F154" i="2" a="1"/>
  <c r="F154" i="2" s="1"/>
  <c r="Z165" i="2" a="1"/>
  <c r="Z165" i="2" s="1"/>
  <c r="AB153" i="2" a="1"/>
  <c r="AB153" i="2" s="1"/>
  <c r="P158" i="2" a="1"/>
  <c r="P158" i="2" s="1"/>
  <c r="C159" i="2" a="1"/>
  <c r="C159" i="2" s="1"/>
  <c r="M166" i="2" a="1"/>
  <c r="M166" i="2" s="1"/>
  <c r="O165" i="2" a="1"/>
  <c r="O165" i="2" s="1"/>
  <c r="W164" i="2" a="1"/>
  <c r="W164" i="2" s="1"/>
  <c r="V163" i="2" a="1"/>
  <c r="V163" i="2" s="1"/>
  <c r="AB161" i="2" a="1"/>
  <c r="AB161" i="2" s="1"/>
  <c r="AJ159" i="2" a="1"/>
  <c r="AJ159" i="2" s="1"/>
  <c r="AN158" i="2" a="1"/>
  <c r="AN158" i="2" s="1"/>
  <c r="F158" i="2" a="1"/>
  <c r="F158" i="2" s="1"/>
  <c r="J157" i="2" a="1"/>
  <c r="J157" i="2" s="1"/>
  <c r="AA154" i="2" a="1"/>
  <c r="AA154" i="2" s="1"/>
  <c r="AD153" i="2" a="1"/>
  <c r="AD153" i="2" s="1"/>
  <c r="AK152" i="2" a="1"/>
  <c r="AK152" i="2" s="1"/>
  <c r="AJ150" i="2" a="1"/>
  <c r="AJ150" i="2" s="1"/>
  <c r="C149" i="2" a="1"/>
  <c r="C149" i="2" s="1"/>
  <c r="F166" i="2" a="1"/>
  <c r="F166" i="2" s="1"/>
  <c r="H165" i="2" a="1"/>
  <c r="H165" i="2" s="1"/>
  <c r="O164" i="2" a="1"/>
  <c r="O164" i="2" s="1"/>
  <c r="P163" i="2" a="1"/>
  <c r="P163" i="2" s="1"/>
  <c r="Q161" i="2" a="1"/>
  <c r="Q161" i="2" s="1"/>
  <c r="AB159" i="2" a="1"/>
  <c r="AB159" i="2" s="1"/>
  <c r="AF158" i="2" a="1"/>
  <c r="AF158" i="2" s="1"/>
  <c r="AJ157" i="2" a="1"/>
  <c r="AJ157" i="2" s="1"/>
  <c r="AO155" i="2" a="1"/>
  <c r="AO155" i="2" s="1"/>
  <c r="T154" i="2" a="1"/>
  <c r="T154" i="2" s="1"/>
  <c r="X153" i="2" a="1"/>
  <c r="X153" i="2" s="1"/>
  <c r="AC152" i="2" a="1"/>
  <c r="AC152" i="2" s="1"/>
  <c r="AF150" i="2" a="1"/>
  <c r="AF150" i="2" s="1"/>
  <c r="T163" i="2" a="1"/>
  <c r="T163" i="2" s="1"/>
  <c r="AM158" i="2" a="1"/>
  <c r="AM158" i="2" s="1"/>
  <c r="AN166" i="2" a="1"/>
  <c r="AN166" i="2" s="1"/>
  <c r="D166" i="2" a="1"/>
  <c r="D166" i="2" s="1"/>
  <c r="F165" i="2" a="1"/>
  <c r="F165" i="2" s="1"/>
  <c r="M164" i="2" a="1"/>
  <c r="M164" i="2" s="1"/>
  <c r="L163" i="2" a="1"/>
  <c r="L163" i="2" s="1"/>
  <c r="P161" i="2" a="1"/>
  <c r="P161" i="2" s="1"/>
  <c r="Y159" i="2" a="1"/>
  <c r="Y159" i="2" s="1"/>
  <c r="AF157" i="2" a="1"/>
  <c r="AF157" i="2" s="1"/>
  <c r="AE155" i="2" a="1"/>
  <c r="AE155" i="2" s="1"/>
  <c r="R154" i="2" a="1"/>
  <c r="R154" i="2" s="1"/>
  <c r="S153" i="2" a="1"/>
  <c r="S153" i="2" s="1"/>
  <c r="AA152" i="2" a="1"/>
  <c r="AA152" i="2" s="1"/>
  <c r="AA150" i="2" a="1"/>
  <c r="AA150" i="2" s="1"/>
  <c r="AH158" i="2" a="1"/>
  <c r="AH158" i="2" s="1"/>
  <c r="AK166" i="2" a="1"/>
  <c r="AK166" i="2" s="1"/>
  <c r="AM165" i="2" a="1"/>
  <c r="AM165" i="2" s="1"/>
  <c r="J164" i="2" a="1"/>
  <c r="J164" i="2" s="1"/>
  <c r="J163" i="2" a="1"/>
  <c r="J163" i="2" s="1"/>
  <c r="K161" i="2" a="1"/>
  <c r="K161" i="2" s="1"/>
  <c r="X159" i="2" a="1"/>
  <c r="X159" i="2" s="1"/>
  <c r="AB158" i="2" a="1"/>
  <c r="AB158" i="2" s="1"/>
  <c r="AE157" i="2" a="1"/>
  <c r="AE157" i="2" s="1"/>
  <c r="T155" i="2" a="1"/>
  <c r="T155" i="2" s="1"/>
  <c r="Q154" i="2" a="1"/>
  <c r="Q154" i="2" s="1"/>
  <c r="W150" i="2" a="1"/>
  <c r="W150" i="2" s="1"/>
  <c r="E158" i="2" a="1"/>
  <c r="E158" i="2" s="1"/>
  <c r="D157" i="2" a="1"/>
  <c r="D157" i="2" s="1"/>
  <c r="AE166" i="2" a="1"/>
  <c r="AE166" i="2" s="1"/>
  <c r="AG165" i="2" a="1"/>
  <c r="AG165" i="2" s="1"/>
  <c r="AN164" i="2" a="1"/>
  <c r="AN164" i="2" s="1"/>
  <c r="I164" i="2" a="1"/>
  <c r="I164" i="2" s="1"/>
  <c r="I161" i="2" a="1"/>
  <c r="I161" i="2" s="1"/>
  <c r="S159" i="2" a="1"/>
  <c r="S159" i="2" s="1"/>
  <c r="W158" i="2" a="1"/>
  <c r="W158" i="2" s="1"/>
  <c r="AA157" i="2" a="1"/>
  <c r="AA157" i="2" s="1"/>
  <c r="J155" i="2" a="1"/>
  <c r="J155" i="2" s="1"/>
  <c r="L154" i="2" a="1"/>
  <c r="L154" i="2" s="1"/>
  <c r="O153" i="2" a="1"/>
  <c r="O153" i="2" s="1"/>
  <c r="W152" i="2" a="1"/>
  <c r="W152" i="2" s="1"/>
  <c r="V150" i="2" a="1"/>
  <c r="V150" i="2" s="1"/>
  <c r="Q163" i="2" a="1"/>
  <c r="Q163" i="2" s="1"/>
  <c r="AL157" i="2" a="1"/>
  <c r="AL157" i="2" s="1"/>
  <c r="AB166" i="2" a="1"/>
  <c r="AB166" i="2" s="1"/>
  <c r="AD165" i="2" a="1"/>
  <c r="AD165" i="2" s="1"/>
  <c r="AI164" i="2" a="1"/>
  <c r="AI164" i="2" s="1"/>
  <c r="AO163" i="2" a="1"/>
  <c r="AO163" i="2" s="1"/>
  <c r="F163" i="2" a="1"/>
  <c r="F163" i="2" s="1"/>
  <c r="E161" i="2" a="1"/>
  <c r="E161" i="2" s="1"/>
  <c r="Q159" i="2" a="1"/>
  <c r="Q159" i="2" s="1"/>
  <c r="U158" i="2" a="1"/>
  <c r="U158" i="2" s="1"/>
  <c r="Y157" i="2" a="1"/>
  <c r="Y157" i="2" s="1"/>
  <c r="AO154" i="2" a="1"/>
  <c r="AO154" i="2" s="1"/>
  <c r="J154" i="2" a="1"/>
  <c r="J154" i="2" s="1"/>
  <c r="J153" i="2" a="1"/>
  <c r="J153" i="2" s="1"/>
  <c r="S152" i="2" a="1"/>
  <c r="S152" i="2" s="1"/>
  <c r="R150" i="2" a="1"/>
  <c r="R150" i="2" s="1"/>
  <c r="AF163" i="2" a="1"/>
  <c r="AF163" i="2" s="1"/>
  <c r="P150" i="2" a="1"/>
  <c r="P150" i="2" s="1"/>
  <c r="M150" i="2" a="1"/>
  <c r="M150" i="2" s="1"/>
  <c r="V166" i="2" a="1"/>
  <c r="V166" i="2" s="1"/>
  <c r="X165" i="2" a="1"/>
  <c r="X165" i="2" s="1"/>
  <c r="AC164" i="2" a="1"/>
  <c r="AC164" i="2" s="1"/>
  <c r="AA163" i="2" a="1"/>
  <c r="AA163" i="2" s="1"/>
  <c r="AH161" i="2" a="1"/>
  <c r="AH161" i="2" s="1"/>
  <c r="I160" i="2" a="1"/>
  <c r="I160" i="2" s="1"/>
  <c r="H159" i="2" a="1"/>
  <c r="H159" i="2" s="1"/>
  <c r="K158" i="2" a="1"/>
  <c r="K158" i="2" s="1"/>
  <c r="O157" i="2" a="1"/>
  <c r="O157" i="2" s="1"/>
  <c r="AG154" i="2" a="1"/>
  <c r="AG154" i="2" s="1"/>
  <c r="AI153" i="2" a="1"/>
  <c r="AI153" i="2" s="1"/>
  <c r="D153" i="2" a="1"/>
  <c r="D153" i="2" s="1"/>
  <c r="I152" i="2" a="1"/>
  <c r="I152" i="2" s="1"/>
  <c r="L150" i="2" a="1"/>
  <c r="L150" i="2" s="1"/>
  <c r="AK163" i="2" a="1"/>
  <c r="AK163" i="2" s="1"/>
  <c r="Q158" i="2" a="1"/>
  <c r="Q158" i="2" s="1"/>
  <c r="T157" i="2" a="1"/>
  <c r="T157" i="2" s="1"/>
  <c r="C163" i="2" a="1"/>
  <c r="C163" i="2" s="1"/>
  <c r="S166" i="2" a="1"/>
  <c r="S166" i="2" s="1"/>
  <c r="U165" i="2" a="1"/>
  <c r="U165" i="2" s="1"/>
  <c r="Y164" i="2" a="1"/>
  <c r="Y164" i="2" s="1"/>
  <c r="Z163" i="2" a="1"/>
  <c r="Z163" i="2" s="1"/>
  <c r="AF161" i="2" a="1"/>
  <c r="AF161" i="2" s="1"/>
  <c r="AN159" i="2" a="1"/>
  <c r="AN159" i="2" s="1"/>
  <c r="F159" i="2" a="1"/>
  <c r="F159" i="2" s="1"/>
  <c r="J158" i="2" a="1"/>
  <c r="J158" i="2" s="1"/>
  <c r="M157" i="2" a="1"/>
  <c r="M157" i="2" s="1"/>
  <c r="AE154" i="2" a="1"/>
  <c r="AE154" i="2" s="1"/>
  <c r="AH153" i="2" a="1"/>
  <c r="AH153" i="2" s="1"/>
  <c r="AM152" i="2" a="1"/>
  <c r="AM152" i="2" s="1"/>
  <c r="G152" i="2" a="1"/>
  <c r="G152" i="2" s="1"/>
  <c r="AK148" i="2" a="1"/>
  <c r="AK148" i="2" s="1"/>
  <c r="AJ156" i="2" a="1"/>
  <c r="AJ156" i="2" s="1"/>
  <c r="AF149" i="2" a="1"/>
  <c r="AF149" i="2" s="1"/>
  <c r="AO149" i="2" a="1"/>
  <c r="AO149" i="2" s="1"/>
  <c r="Y156" i="2" a="1"/>
  <c r="Y156" i="2" s="1"/>
  <c r="P149" i="2" a="1"/>
  <c r="P149" i="2" s="1"/>
  <c r="Y149" i="2" a="1"/>
  <c r="Y149" i="2" s="1"/>
  <c r="AG149" i="2" a="1"/>
  <c r="AG149" i="2" s="1"/>
  <c r="I149" i="2" a="1"/>
  <c r="I149" i="2" s="1"/>
  <c r="Q149" i="2" a="1"/>
  <c r="Q149" i="2" s="1"/>
  <c r="Z149" i="2" a="1"/>
  <c r="Z149" i="2" s="1"/>
  <c r="R149" i="2" a="1"/>
  <c r="R149" i="2" s="1"/>
  <c r="AH149" i="2" a="1"/>
  <c r="AH149" i="2" s="1"/>
  <c r="J149" i="2" a="1"/>
  <c r="J149" i="2" s="1"/>
  <c r="AA149" i="2" a="1"/>
  <c r="AA149" i="2" s="1"/>
  <c r="AI149" i="2" a="1"/>
  <c r="AI149" i="2" s="1"/>
  <c r="K149" i="2" a="1"/>
  <c r="K149" i="2" s="1"/>
  <c r="S149" i="2" a="1"/>
  <c r="S149" i="2" s="1"/>
  <c r="AJ149" i="2" a="1"/>
  <c r="AJ149" i="2" s="1"/>
  <c r="L149" i="2" a="1"/>
  <c r="L149" i="2" s="1"/>
  <c r="T149" i="2" a="1"/>
  <c r="T149" i="2" s="1"/>
  <c r="AB149" i="2" a="1"/>
  <c r="AB149" i="2" s="1"/>
  <c r="AK149" i="2" a="1"/>
  <c r="AK149" i="2" s="1"/>
  <c r="W149" i="2" a="1"/>
  <c r="W149" i="2" s="1"/>
  <c r="AE149" i="2" a="1"/>
  <c r="AE149" i="2" s="1"/>
  <c r="D149" i="2" a="1"/>
  <c r="D149" i="2" s="1"/>
  <c r="U149" i="2" a="1"/>
  <c r="U149" i="2" s="1"/>
  <c r="AC149" i="2" a="1"/>
  <c r="AC149" i="2" s="1"/>
  <c r="AL149" i="2" a="1"/>
  <c r="AL149" i="2" s="1"/>
  <c r="E149" i="2" a="1"/>
  <c r="E149" i="2" s="1"/>
  <c r="M149" i="2" a="1"/>
  <c r="M149" i="2" s="1"/>
  <c r="AD149" i="2" a="1"/>
  <c r="AD149" i="2" s="1"/>
  <c r="AM149" i="2" a="1"/>
  <c r="AM149" i="2" s="1"/>
  <c r="F149" i="2" a="1"/>
  <c r="F149" i="2" s="1"/>
  <c r="N149" i="2" a="1"/>
  <c r="N149" i="2" s="1"/>
  <c r="V149" i="2" a="1"/>
  <c r="V149" i="2" s="1"/>
  <c r="AN149" i="2" a="1"/>
  <c r="AN149" i="2" s="1"/>
  <c r="H149" i="2" a="1"/>
  <c r="H149" i="2" s="1"/>
  <c r="AH162" i="2" a="1"/>
  <c r="AH162" i="2" s="1"/>
  <c r="O149" i="2" a="1"/>
  <c r="O149" i="2" s="1"/>
  <c r="D156" i="2" a="1"/>
  <c r="D156" i="2" s="1"/>
  <c r="O156" i="2" a="1"/>
  <c r="O156" i="2" s="1"/>
  <c r="AA156" i="2" a="1"/>
  <c r="AA156" i="2" s="1"/>
  <c r="AL156" i="2" a="1"/>
  <c r="AL156" i="2" s="1"/>
  <c r="C156" i="2" a="1"/>
  <c r="C156" i="2" s="1"/>
  <c r="AC156" i="2" a="1"/>
  <c r="AC156" i="2" s="1"/>
  <c r="E156" i="2" a="1"/>
  <c r="E156" i="2" s="1"/>
  <c r="P156" i="2" a="1"/>
  <c r="P156" i="2" s="1"/>
  <c r="AB156" i="2" a="1"/>
  <c r="AB156" i="2" s="1"/>
  <c r="AM156" i="2" a="1"/>
  <c r="AM156" i="2" s="1"/>
  <c r="Q156" i="2" a="1"/>
  <c r="Q156" i="2" s="1"/>
  <c r="G156" i="2" a="1"/>
  <c r="G156" i="2" s="1"/>
  <c r="R156" i="2" a="1"/>
  <c r="R156" i="2" s="1"/>
  <c r="AD156" i="2" a="1"/>
  <c r="AD156" i="2" s="1"/>
  <c r="AO156" i="2" a="1"/>
  <c r="AO156" i="2" s="1"/>
  <c r="H156" i="2" a="1"/>
  <c r="H156" i="2" s="1"/>
  <c r="AE156" i="2" a="1"/>
  <c r="AE156" i="2" s="1"/>
  <c r="S156" i="2" a="1"/>
  <c r="S156" i="2" s="1"/>
  <c r="I156" i="2" a="1"/>
  <c r="I156" i="2" s="1"/>
  <c r="T156" i="2" a="1"/>
  <c r="T156" i="2" s="1"/>
  <c r="AF156" i="2" a="1"/>
  <c r="AF156" i="2" s="1"/>
  <c r="M156" i="2" a="1"/>
  <c r="M156" i="2" s="1"/>
  <c r="J156" i="2" a="1"/>
  <c r="J156" i="2" s="1"/>
  <c r="U156" i="2" a="1"/>
  <c r="U156" i="2" s="1"/>
  <c r="X156" i="2" a="1"/>
  <c r="X156" i="2" s="1"/>
  <c r="K156" i="2" a="1"/>
  <c r="K156" i="2" s="1"/>
  <c r="V156" i="2" a="1"/>
  <c r="V156" i="2" s="1"/>
  <c r="AG156" i="2" a="1"/>
  <c r="AG156" i="2" s="1"/>
  <c r="L156" i="2" a="1"/>
  <c r="L156" i="2" s="1"/>
  <c r="W156" i="2" a="1"/>
  <c r="W156" i="2" s="1"/>
  <c r="AH156" i="2" a="1"/>
  <c r="AH156" i="2" s="1"/>
  <c r="AI156" i="2" a="1"/>
  <c r="AI156" i="2" s="1"/>
  <c r="Z156" i="2" a="1"/>
  <c r="Z156" i="2" s="1"/>
  <c r="AK156" i="2" a="1"/>
  <c r="AK156" i="2" s="1"/>
  <c r="F156" i="2" a="1"/>
  <c r="F156" i="2" s="1"/>
  <c r="AN156" i="2" a="1"/>
  <c r="AN156" i="2" s="1"/>
  <c r="M162" i="2" a="1"/>
  <c r="M162" i="2" s="1"/>
  <c r="G149" i="2" a="1"/>
  <c r="G149" i="2" s="1"/>
  <c r="O162" i="2" a="1"/>
  <c r="O162" i="2" s="1"/>
  <c r="Z162" i="2" a="1"/>
  <c r="Z162" i="2" s="1"/>
  <c r="AJ162" i="2" a="1"/>
  <c r="AJ162" i="2" s="1"/>
  <c r="Q162" i="2" a="1"/>
  <c r="Q162" i="2" s="1"/>
  <c r="AA162" i="2" a="1"/>
  <c r="AA162" i="2" s="1"/>
  <c r="D162" i="2" a="1"/>
  <c r="D162" i="2" s="1"/>
  <c r="P162" i="2" a="1"/>
  <c r="P162" i="2" s="1"/>
  <c r="AK162" i="2" a="1"/>
  <c r="AK162" i="2" s="1"/>
  <c r="E162" i="2" a="1"/>
  <c r="E162" i="2" s="1"/>
  <c r="F162" i="2" a="1"/>
  <c r="F162" i="2" s="1"/>
  <c r="R162" i="2" a="1"/>
  <c r="R162" i="2" s="1"/>
  <c r="AB162" i="2" a="1"/>
  <c r="AB162" i="2" s="1"/>
  <c r="G162" i="2" a="1"/>
  <c r="G162" i="2" s="1"/>
  <c r="AC162" i="2" a="1"/>
  <c r="AC162" i="2" s="1"/>
  <c r="S162" i="2" a="1"/>
  <c r="S162" i="2" s="1"/>
  <c r="H162" i="2" a="1"/>
  <c r="H162" i="2" s="1"/>
  <c r="T162" i="2" a="1"/>
  <c r="T162" i="2" s="1"/>
  <c r="AD162" i="2" a="1"/>
  <c r="AD162" i="2" s="1"/>
  <c r="AN162" i="2" a="1"/>
  <c r="AN162" i="2" s="1"/>
  <c r="I162" i="2" a="1"/>
  <c r="I162" i="2" s="1"/>
  <c r="AE162" i="2" a="1"/>
  <c r="AE162" i="2" s="1"/>
  <c r="AO162" i="2" a="1"/>
  <c r="AO162" i="2" s="1"/>
  <c r="J162" i="2" a="1"/>
  <c r="J162" i="2" s="1"/>
  <c r="U162" i="2" a="1"/>
  <c r="U162" i="2" s="1"/>
  <c r="AF162" i="2" a="1"/>
  <c r="AF162" i="2" s="1"/>
  <c r="K162" i="2" a="1"/>
  <c r="K162" i="2" s="1"/>
  <c r="V162" i="2" a="1"/>
  <c r="V162" i="2" s="1"/>
  <c r="C162" i="2" a="1"/>
  <c r="C162" i="2" s="1"/>
  <c r="L162" i="2" a="1"/>
  <c r="L162" i="2" s="1"/>
  <c r="W162" i="2" a="1"/>
  <c r="W162" i="2" s="1"/>
  <c r="AG162" i="2" a="1"/>
  <c r="AG162" i="2" s="1"/>
  <c r="N162" i="2" a="1"/>
  <c r="N162" i="2" s="1"/>
  <c r="Y162" i="2" a="1"/>
  <c r="Y162" i="2" s="1"/>
  <c r="AI162" i="2" a="1"/>
  <c r="AI162" i="2" s="1"/>
  <c r="AL162" i="2" a="1"/>
  <c r="AL162" i="2" s="1"/>
  <c r="AM162" i="2" a="1"/>
  <c r="AM162" i="2" s="1"/>
  <c r="AJ160" i="2" a="1"/>
  <c r="AJ160" i="2" s="1"/>
  <c r="N155" i="2" a="1"/>
  <c r="N155" i="2" s="1"/>
  <c r="C164" i="2" a="1"/>
  <c r="C164" i="2" s="1"/>
  <c r="C155" i="2" a="1"/>
  <c r="C155" i="2" s="1"/>
  <c r="AL166" i="2" a="1"/>
  <c r="AL166" i="2" s="1"/>
  <c r="AC166" i="2" a="1"/>
  <c r="AC166" i="2" s="1"/>
  <c r="T166" i="2" a="1"/>
  <c r="T166" i="2" s="1"/>
  <c r="K166" i="2" a="1"/>
  <c r="K166" i="2" s="1"/>
  <c r="AN165" i="2" a="1"/>
  <c r="AN165" i="2" s="1"/>
  <c r="AE165" i="2" a="1"/>
  <c r="AE165" i="2" s="1"/>
  <c r="V165" i="2" a="1"/>
  <c r="V165" i="2" s="1"/>
  <c r="M165" i="2" a="1"/>
  <c r="M165" i="2" s="1"/>
  <c r="AO164" i="2" a="1"/>
  <c r="AO164" i="2" s="1"/>
  <c r="AE164" i="2" a="1"/>
  <c r="AE164" i="2" s="1"/>
  <c r="U164" i="2" a="1"/>
  <c r="U164" i="2" s="1"/>
  <c r="AL163" i="2" a="1"/>
  <c r="AL163" i="2" s="1"/>
  <c r="AB163" i="2" a="1"/>
  <c r="AB163" i="2" s="1"/>
  <c r="R163" i="2" a="1"/>
  <c r="R163" i="2" s="1"/>
  <c r="G163" i="2" a="1"/>
  <c r="G163" i="2" s="1"/>
  <c r="AC161" i="2" a="1"/>
  <c r="AC161" i="2" s="1"/>
  <c r="R161" i="2" a="1"/>
  <c r="R161" i="2" s="1"/>
  <c r="F161" i="2" a="1"/>
  <c r="F161" i="2" s="1"/>
  <c r="AG160" i="2" a="1"/>
  <c r="AG160" i="2" s="1"/>
  <c r="V160" i="2" a="1"/>
  <c r="V160" i="2" s="1"/>
  <c r="J160" i="2" a="1"/>
  <c r="J160" i="2" s="1"/>
  <c r="AK159" i="2" a="1"/>
  <c r="AK159" i="2" s="1"/>
  <c r="Z159" i="2" a="1"/>
  <c r="Z159" i="2" s="1"/>
  <c r="N159" i="2" a="1"/>
  <c r="N159" i="2" s="1"/>
  <c r="AO158" i="2" a="1"/>
  <c r="AO158" i="2" s="1"/>
  <c r="AC158" i="2" a="1"/>
  <c r="AC158" i="2" s="1"/>
  <c r="R158" i="2" a="1"/>
  <c r="R158" i="2" s="1"/>
  <c r="G158" i="2" a="1"/>
  <c r="G158" i="2" s="1"/>
  <c r="AG157" i="2" a="1"/>
  <c r="AG157" i="2" s="1"/>
  <c r="V157" i="2" a="1"/>
  <c r="V157" i="2" s="1"/>
  <c r="K157" i="2" a="1"/>
  <c r="K157" i="2" s="1"/>
  <c r="AF155" i="2" a="1"/>
  <c r="AF155" i="2" s="1"/>
  <c r="U155" i="2" a="1"/>
  <c r="U155" i="2" s="1"/>
  <c r="K155" i="2" a="1"/>
  <c r="K155" i="2" s="1"/>
  <c r="AL154" i="2" a="1"/>
  <c r="AL154" i="2" s="1"/>
  <c r="AB154" i="2" a="1"/>
  <c r="AB154" i="2" s="1"/>
  <c r="AJ153" i="2" a="1"/>
  <c r="AJ153" i="2" s="1"/>
  <c r="Z153" i="2" a="1"/>
  <c r="Z153" i="2" s="1"/>
  <c r="P153" i="2" a="1"/>
  <c r="P153" i="2" s="1"/>
  <c r="F153" i="2" a="1"/>
  <c r="F153" i="2" s="1"/>
  <c r="AI152" i="2" a="1"/>
  <c r="AI152" i="2" s="1"/>
  <c r="X152" i="2" a="1"/>
  <c r="X152" i="2" s="1"/>
  <c r="O152" i="2" a="1"/>
  <c r="O152" i="2" s="1"/>
  <c r="E152" i="2" a="1"/>
  <c r="E152" i="2" s="1"/>
  <c r="AG150" i="2" a="1"/>
  <c r="AG150" i="2" s="1"/>
  <c r="X150" i="2" a="1"/>
  <c r="X150" i="2" s="1"/>
  <c r="D150" i="2" a="1"/>
  <c r="D150" i="2" s="1"/>
  <c r="AL148" i="2" a="1"/>
  <c r="AL148" i="2" s="1"/>
  <c r="AC148" i="2" a="1"/>
  <c r="AC148" i="2" s="1"/>
  <c r="U148" i="2" a="1"/>
  <c r="U148" i="2" s="1"/>
  <c r="L148" i="2" a="1"/>
  <c r="L148" i="2" s="1"/>
  <c r="AN155" i="2" a="1"/>
  <c r="AN155" i="2" s="1"/>
  <c r="T148" i="2" a="1"/>
  <c r="T148" i="2" s="1"/>
  <c r="C153" i="2" a="1"/>
  <c r="C153" i="2" s="1"/>
  <c r="AJ166" i="2" a="1"/>
  <c r="AJ166" i="2" s="1"/>
  <c r="R166" i="2" a="1"/>
  <c r="R166" i="2" s="1"/>
  <c r="AL165" i="2" a="1"/>
  <c r="AL165" i="2" s="1"/>
  <c r="T165" i="2" a="1"/>
  <c r="T165" i="2" s="1"/>
  <c r="AM164" i="2" a="1"/>
  <c r="AM164" i="2" s="1"/>
  <c r="R164" i="2" a="1"/>
  <c r="R164" i="2" s="1"/>
  <c r="H164" i="2" a="1"/>
  <c r="H164" i="2" s="1"/>
  <c r="AJ163" i="2" a="1"/>
  <c r="AJ163" i="2" s="1"/>
  <c r="Y163" i="2" a="1"/>
  <c r="Y163" i="2" s="1"/>
  <c r="O163" i="2" a="1"/>
  <c r="O163" i="2" s="1"/>
  <c r="E163" i="2" a="1"/>
  <c r="E163" i="2" s="1"/>
  <c r="AL161" i="2" a="1"/>
  <c r="AL161" i="2" s="1"/>
  <c r="Z161" i="2" a="1"/>
  <c r="Z161" i="2" s="1"/>
  <c r="O161" i="2" a="1"/>
  <c r="O161" i="2" s="1"/>
  <c r="D161" i="2" a="1"/>
  <c r="D161" i="2" s="1"/>
  <c r="AD160" i="2" a="1"/>
  <c r="AD160" i="2" s="1"/>
  <c r="S160" i="2" a="1"/>
  <c r="S160" i="2" s="1"/>
  <c r="G160" i="2" a="1"/>
  <c r="G160" i="2" s="1"/>
  <c r="AH159" i="2" a="1"/>
  <c r="AH159" i="2" s="1"/>
  <c r="W159" i="2" a="1"/>
  <c r="W159" i="2" s="1"/>
  <c r="K159" i="2" a="1"/>
  <c r="K159" i="2" s="1"/>
  <c r="AL158" i="2" a="1"/>
  <c r="AL158" i="2" s="1"/>
  <c r="AA158" i="2" a="1"/>
  <c r="AA158" i="2" s="1"/>
  <c r="O158" i="2" a="1"/>
  <c r="O158" i="2" s="1"/>
  <c r="D158" i="2" a="1"/>
  <c r="D158" i="2" s="1"/>
  <c r="S157" i="2" a="1"/>
  <c r="S157" i="2" s="1"/>
  <c r="H157" i="2" a="1"/>
  <c r="H157" i="2" s="1"/>
  <c r="AM155" i="2" a="1"/>
  <c r="AM155" i="2" s="1"/>
  <c r="AC155" i="2" a="1"/>
  <c r="AC155" i="2" s="1"/>
  <c r="R155" i="2" a="1"/>
  <c r="R155" i="2" s="1"/>
  <c r="H155" i="2" a="1"/>
  <c r="H155" i="2" s="1"/>
  <c r="P154" i="2" a="1"/>
  <c r="P154" i="2" s="1"/>
  <c r="E154" i="2" a="1"/>
  <c r="E154" i="2" s="1"/>
  <c r="W153" i="2" a="1"/>
  <c r="W153" i="2" s="1"/>
  <c r="N153" i="2" a="1"/>
  <c r="N153" i="2" s="1"/>
  <c r="AF152" i="2" a="1"/>
  <c r="AF152" i="2" s="1"/>
  <c r="L152" i="2" a="1"/>
  <c r="L152" i="2" s="1"/>
  <c r="AO150" i="2" a="1"/>
  <c r="AO150" i="2" s="1"/>
  <c r="AE150" i="2" a="1"/>
  <c r="AE150" i="2" s="1"/>
  <c r="U150" i="2" a="1"/>
  <c r="U150" i="2" s="1"/>
  <c r="K150" i="2" a="1"/>
  <c r="K150" i="2" s="1"/>
  <c r="AA148" i="2" a="1"/>
  <c r="AA148" i="2" s="1"/>
  <c r="S148" i="2" a="1"/>
  <c r="S148" i="2" s="1"/>
  <c r="J148" i="2" a="1"/>
  <c r="J148" i="2" s="1"/>
  <c r="AD155" i="2" a="1"/>
  <c r="AD155" i="2" s="1"/>
  <c r="AB148" i="2" a="1"/>
  <c r="AB148" i="2" s="1"/>
  <c r="C161" i="2" a="1"/>
  <c r="C161" i="2" s="1"/>
  <c r="C152" i="2" a="1"/>
  <c r="C152" i="2" s="1"/>
  <c r="AI166" i="2" a="1"/>
  <c r="AI166" i="2" s="1"/>
  <c r="Z166" i="2" a="1"/>
  <c r="Z166" i="2" s="1"/>
  <c r="Q166" i="2" a="1"/>
  <c r="Q166" i="2" s="1"/>
  <c r="H166" i="2" a="1"/>
  <c r="H166" i="2" s="1"/>
  <c r="AK165" i="2" a="1"/>
  <c r="AK165" i="2" s="1"/>
  <c r="AB165" i="2" a="1"/>
  <c r="AB165" i="2" s="1"/>
  <c r="S165" i="2" a="1"/>
  <c r="S165" i="2" s="1"/>
  <c r="J165" i="2" a="1"/>
  <c r="J165" i="2" s="1"/>
  <c r="AL164" i="2" a="1"/>
  <c r="AL164" i="2" s="1"/>
  <c r="AB164" i="2" a="1"/>
  <c r="AB164" i="2" s="1"/>
  <c r="Q164" i="2" a="1"/>
  <c r="Q164" i="2" s="1"/>
  <c r="G164" i="2" a="1"/>
  <c r="G164" i="2" s="1"/>
  <c r="AI163" i="2" a="1"/>
  <c r="AI163" i="2" s="1"/>
  <c r="N163" i="2" a="1"/>
  <c r="N163" i="2" s="1"/>
  <c r="D163" i="2" a="1"/>
  <c r="D163" i="2" s="1"/>
  <c r="AK161" i="2" a="1"/>
  <c r="AK161" i="2" s="1"/>
  <c r="Y161" i="2" a="1"/>
  <c r="Y161" i="2" s="1"/>
  <c r="N161" i="2" a="1"/>
  <c r="N161" i="2" s="1"/>
  <c r="AO160" i="2" a="1"/>
  <c r="AO160" i="2" s="1"/>
  <c r="AC160" i="2" a="1"/>
  <c r="AC160" i="2" s="1"/>
  <c r="R160" i="2" a="1"/>
  <c r="R160" i="2" s="1"/>
  <c r="AG159" i="2" a="1"/>
  <c r="AG159" i="2" s="1"/>
  <c r="V159" i="2" a="1"/>
  <c r="V159" i="2" s="1"/>
  <c r="J159" i="2" a="1"/>
  <c r="J159" i="2" s="1"/>
  <c r="AK158" i="2" a="1"/>
  <c r="AK158" i="2" s="1"/>
  <c r="Z158" i="2" a="1"/>
  <c r="Z158" i="2" s="1"/>
  <c r="N158" i="2" a="1"/>
  <c r="N158" i="2" s="1"/>
  <c r="AO157" i="2" a="1"/>
  <c r="AO157" i="2" s="1"/>
  <c r="AD157" i="2" a="1"/>
  <c r="AD157" i="2" s="1"/>
  <c r="R157" i="2" a="1"/>
  <c r="R157" i="2" s="1"/>
  <c r="G157" i="2" a="1"/>
  <c r="G157" i="2" s="1"/>
  <c r="AL155" i="2" a="1"/>
  <c r="AL155" i="2" s="1"/>
  <c r="AB155" i="2" a="1"/>
  <c r="AB155" i="2" s="1"/>
  <c r="G155" i="2" a="1"/>
  <c r="G155" i="2" s="1"/>
  <c r="AJ154" i="2" a="1"/>
  <c r="AJ154" i="2" s="1"/>
  <c r="Y154" i="2" a="1"/>
  <c r="Y154" i="2" s="1"/>
  <c r="O154" i="2" a="1"/>
  <c r="O154" i="2" s="1"/>
  <c r="D154" i="2" a="1"/>
  <c r="D154" i="2" s="1"/>
  <c r="AG153" i="2" a="1"/>
  <c r="AG153" i="2" s="1"/>
  <c r="V153" i="2" a="1"/>
  <c r="V153" i="2" s="1"/>
  <c r="M153" i="2" a="1"/>
  <c r="M153" i="2" s="1"/>
  <c r="AO152" i="2" a="1"/>
  <c r="AO152" i="2" s="1"/>
  <c r="AE152" i="2" a="1"/>
  <c r="AE152" i="2" s="1"/>
  <c r="V152" i="2" a="1"/>
  <c r="V152" i="2" s="1"/>
  <c r="AN150" i="2" a="1"/>
  <c r="AN150" i="2" s="1"/>
  <c r="AD150" i="2" a="1"/>
  <c r="AD150" i="2" s="1"/>
  <c r="T150" i="2" a="1"/>
  <c r="T150" i="2" s="1"/>
  <c r="J150" i="2" a="1"/>
  <c r="J150" i="2" s="1"/>
  <c r="AI148" i="2" a="1"/>
  <c r="AI148" i="2" s="1"/>
  <c r="R148" i="2" a="1"/>
  <c r="R148" i="2" s="1"/>
  <c r="I148" i="2" a="1"/>
  <c r="I148" i="2" s="1"/>
  <c r="AE160" i="2" a="1"/>
  <c r="AE160" i="2" s="1"/>
  <c r="H160" i="2" a="1"/>
  <c r="H160" i="2" s="1"/>
  <c r="I155" i="2" a="1"/>
  <c r="I155" i="2" s="1"/>
  <c r="AJ148" i="2" a="1"/>
  <c r="AJ148" i="2" s="1"/>
  <c r="AH166" i="2" a="1"/>
  <c r="AH166" i="2" s="1"/>
  <c r="Y166" i="2" a="1"/>
  <c r="Y166" i="2" s="1"/>
  <c r="P166" i="2" a="1"/>
  <c r="P166" i="2" s="1"/>
  <c r="G166" i="2" a="1"/>
  <c r="G166" i="2" s="1"/>
  <c r="AJ165" i="2" a="1"/>
  <c r="AJ165" i="2" s="1"/>
  <c r="AA165" i="2" a="1"/>
  <c r="AA165" i="2" s="1"/>
  <c r="R165" i="2" a="1"/>
  <c r="R165" i="2" s="1"/>
  <c r="I165" i="2" a="1"/>
  <c r="I165" i="2" s="1"/>
  <c r="AK164" i="2" a="1"/>
  <c r="AK164" i="2" s="1"/>
  <c r="AA164" i="2" a="1"/>
  <c r="AA164" i="2" s="1"/>
  <c r="F164" i="2" a="1"/>
  <c r="F164" i="2" s="1"/>
  <c r="AH163" i="2" a="1"/>
  <c r="AH163" i="2" s="1"/>
  <c r="X163" i="2" a="1"/>
  <c r="X163" i="2" s="1"/>
  <c r="M163" i="2" a="1"/>
  <c r="M163" i="2" s="1"/>
  <c r="AJ161" i="2" a="1"/>
  <c r="AJ161" i="2" s="1"/>
  <c r="X161" i="2" a="1"/>
  <c r="X161" i="2" s="1"/>
  <c r="M161" i="2" a="1"/>
  <c r="M161" i="2" s="1"/>
  <c r="AN160" i="2" a="1"/>
  <c r="AN160" i="2" s="1"/>
  <c r="AB160" i="2" a="1"/>
  <c r="AB160" i="2" s="1"/>
  <c r="Q160" i="2" a="1"/>
  <c r="Q160" i="2" s="1"/>
  <c r="F160" i="2" a="1"/>
  <c r="F160" i="2" s="1"/>
  <c r="AF159" i="2" a="1"/>
  <c r="AF159" i="2" s="1"/>
  <c r="U159" i="2" a="1"/>
  <c r="U159" i="2" s="1"/>
  <c r="I159" i="2" a="1"/>
  <c r="I159" i="2" s="1"/>
  <c r="AJ158" i="2" a="1"/>
  <c r="AJ158" i="2" s="1"/>
  <c r="Y158" i="2" a="1"/>
  <c r="Y158" i="2" s="1"/>
  <c r="M158" i="2" a="1"/>
  <c r="M158" i="2" s="1"/>
  <c r="AN157" i="2" a="1"/>
  <c r="AN157" i="2" s="1"/>
  <c r="AC157" i="2" a="1"/>
  <c r="AC157" i="2" s="1"/>
  <c r="Q157" i="2" a="1"/>
  <c r="Q157" i="2" s="1"/>
  <c r="F157" i="2" a="1"/>
  <c r="F157" i="2" s="1"/>
  <c r="AK155" i="2" a="1"/>
  <c r="AK155" i="2" s="1"/>
  <c r="AA155" i="2" a="1"/>
  <c r="AA155" i="2" s="1"/>
  <c r="Q155" i="2" a="1"/>
  <c r="Q155" i="2" s="1"/>
  <c r="F155" i="2" a="1"/>
  <c r="F155" i="2" s="1"/>
  <c r="AI154" i="2" a="1"/>
  <c r="AI154" i="2" s="1"/>
  <c r="X154" i="2" a="1"/>
  <c r="X154" i="2" s="1"/>
  <c r="N154" i="2" a="1"/>
  <c r="N154" i="2" s="1"/>
  <c r="AO153" i="2" a="1"/>
  <c r="AO153" i="2" s="1"/>
  <c r="AF153" i="2" a="1"/>
  <c r="AF153" i="2" s="1"/>
  <c r="L153" i="2" a="1"/>
  <c r="L153" i="2" s="1"/>
  <c r="AD152" i="2" a="1"/>
  <c r="AD152" i="2" s="1"/>
  <c r="U152" i="2" a="1"/>
  <c r="U152" i="2" s="1"/>
  <c r="K152" i="2" a="1"/>
  <c r="K152" i="2" s="1"/>
  <c r="AM150" i="2" a="1"/>
  <c r="AM150" i="2" s="1"/>
  <c r="AC150" i="2" a="1"/>
  <c r="AC150" i="2" s="1"/>
  <c r="I150" i="2" a="1"/>
  <c r="I150" i="2" s="1"/>
  <c r="AH148" i="2" a="1"/>
  <c r="AH148" i="2" s="1"/>
  <c r="Z148" i="2" a="1"/>
  <c r="Z148" i="2" s="1"/>
  <c r="T160" i="2" a="1"/>
  <c r="T160" i="2" s="1"/>
  <c r="S155" i="2" a="1"/>
  <c r="S155" i="2" s="1"/>
  <c r="K148" i="2" a="1"/>
  <c r="K148" i="2" s="1"/>
  <c r="C160" i="2" a="1"/>
  <c r="C160" i="2" s="1"/>
  <c r="C150" i="2" a="1"/>
  <c r="C150" i="2" s="1"/>
  <c r="AG166" i="2" a="1"/>
  <c r="AG166" i="2" s="1"/>
  <c r="O166" i="2" a="1"/>
  <c r="O166" i="2" s="1"/>
  <c r="AI165" i="2" a="1"/>
  <c r="AI165" i="2" s="1"/>
  <c r="Q165" i="2" a="1"/>
  <c r="Q165" i="2" s="1"/>
  <c r="AJ164" i="2" a="1"/>
  <c r="AJ164" i="2" s="1"/>
  <c r="Z164" i="2" a="1"/>
  <c r="Z164" i="2" s="1"/>
  <c r="P164" i="2" a="1"/>
  <c r="P164" i="2" s="1"/>
  <c r="E164" i="2" a="1"/>
  <c r="E164" i="2" s="1"/>
  <c r="AG163" i="2" a="1"/>
  <c r="AG163" i="2" s="1"/>
  <c r="W163" i="2" a="1"/>
  <c r="W163" i="2" s="1"/>
  <c r="AI161" i="2" a="1"/>
  <c r="AI161" i="2" s="1"/>
  <c r="W161" i="2" a="1"/>
  <c r="W161" i="2" s="1"/>
  <c r="L161" i="2" a="1"/>
  <c r="L161" i="2" s="1"/>
  <c r="AM160" i="2" a="1"/>
  <c r="AM160" i="2" s="1"/>
  <c r="AA160" i="2" a="1"/>
  <c r="AA160" i="2" s="1"/>
  <c r="P160" i="2" a="1"/>
  <c r="P160" i="2" s="1"/>
  <c r="E160" i="2" a="1"/>
  <c r="E160" i="2" s="1"/>
  <c r="AE159" i="2" a="1"/>
  <c r="AE159" i="2" s="1"/>
  <c r="T159" i="2" a="1"/>
  <c r="T159" i="2" s="1"/>
  <c r="AI158" i="2" a="1"/>
  <c r="AI158" i="2" s="1"/>
  <c r="X158" i="2" a="1"/>
  <c r="X158" i="2" s="1"/>
  <c r="L158" i="2" a="1"/>
  <c r="L158" i="2" s="1"/>
  <c r="AM157" i="2" a="1"/>
  <c r="AM157" i="2" s="1"/>
  <c r="AB157" i="2" a="1"/>
  <c r="AB157" i="2" s="1"/>
  <c r="P157" i="2" a="1"/>
  <c r="P157" i="2" s="1"/>
  <c r="E157" i="2" a="1"/>
  <c r="E157" i="2" s="1"/>
  <c r="AJ155" i="2" a="1"/>
  <c r="AJ155" i="2" s="1"/>
  <c r="Z155" i="2" a="1"/>
  <c r="Z155" i="2" s="1"/>
  <c r="AH154" i="2" a="1"/>
  <c r="AH154" i="2" s="1"/>
  <c r="W154" i="2" a="1"/>
  <c r="W154" i="2" s="1"/>
  <c r="M154" i="2" a="1"/>
  <c r="M154" i="2" s="1"/>
  <c r="AN153" i="2" a="1"/>
  <c r="AN153" i="2" s="1"/>
  <c r="AE153" i="2" a="1"/>
  <c r="AE153" i="2" s="1"/>
  <c r="U153" i="2" a="1"/>
  <c r="U153" i="2" s="1"/>
  <c r="K153" i="2" a="1"/>
  <c r="K153" i="2" s="1"/>
  <c r="AN152" i="2" a="1"/>
  <c r="AN152" i="2" s="1"/>
  <c r="T152" i="2" a="1"/>
  <c r="T152" i="2" s="1"/>
  <c r="J152" i="2" a="1"/>
  <c r="J152" i="2" s="1"/>
  <c r="AL150" i="2" a="1"/>
  <c r="AL150" i="2" s="1"/>
  <c r="AB150" i="2" a="1"/>
  <c r="AB150" i="2" s="1"/>
  <c r="S150" i="2" a="1"/>
  <c r="S150" i="2" s="1"/>
  <c r="H150" i="2" a="1"/>
  <c r="H150" i="2" s="1"/>
  <c r="AG148" i="2" a="1"/>
  <c r="AG148" i="2" s="1"/>
  <c r="Y148" i="2" a="1"/>
  <c r="Y148" i="2" s="1"/>
  <c r="Q148" i="2" a="1"/>
  <c r="Q148" i="2" s="1"/>
  <c r="H148" i="2" a="1"/>
  <c r="H148" i="2" s="1"/>
  <c r="Z160" i="2" a="1"/>
  <c r="Z160" i="2" s="1"/>
  <c r="Y155" i="2" a="1"/>
  <c r="Y155" i="2" s="1"/>
  <c r="E155" i="2" a="1"/>
  <c r="E155" i="2" s="1"/>
  <c r="AO148" i="2" a="1"/>
  <c r="AO148" i="2" s="1"/>
  <c r="X148" i="2" a="1"/>
  <c r="X148" i="2" s="1"/>
  <c r="P148" i="2" a="1"/>
  <c r="P148" i="2" s="1"/>
  <c r="G148" i="2" a="1"/>
  <c r="G148" i="2" s="1"/>
  <c r="AL160" i="2" a="1"/>
  <c r="AL160" i="2" s="1"/>
  <c r="O160" i="2" a="1"/>
  <c r="O160" i="2" s="1"/>
  <c r="D160" i="2" a="1"/>
  <c r="D160" i="2" s="1"/>
  <c r="P155" i="2" a="1"/>
  <c r="P155" i="2" s="1"/>
  <c r="C148" i="2" a="1"/>
  <c r="C148" i="2" s="1"/>
  <c r="C158" i="2" a="1"/>
  <c r="C158" i="2" s="1"/>
  <c r="AO166" i="2" a="1"/>
  <c r="AO166" i="2" s="1"/>
  <c r="AF166" i="2" a="1"/>
  <c r="AF166" i="2" s="1"/>
  <c r="W166" i="2" a="1"/>
  <c r="W166" i="2" s="1"/>
  <c r="N166" i="2" a="1"/>
  <c r="N166" i="2" s="1"/>
  <c r="E166" i="2" a="1"/>
  <c r="E166" i="2" s="1"/>
  <c r="AH165" i="2" a="1"/>
  <c r="AH165" i="2" s="1"/>
  <c r="Y165" i="2" a="1"/>
  <c r="Y165" i="2" s="1"/>
  <c r="P165" i="2" a="1"/>
  <c r="P165" i="2" s="1"/>
  <c r="G165" i="2" a="1"/>
  <c r="G165" i="2" s="1"/>
  <c r="X164" i="2" a="1"/>
  <c r="X164" i="2" s="1"/>
  <c r="N164" i="2" a="1"/>
  <c r="N164" i="2" s="1"/>
  <c r="D164" i="2" a="1"/>
  <c r="D164" i="2" s="1"/>
  <c r="AE163" i="2" a="1"/>
  <c r="AE163" i="2" s="1"/>
  <c r="U163" i="2" a="1"/>
  <c r="U163" i="2" s="1"/>
  <c r="K163" i="2" a="1"/>
  <c r="K163" i="2" s="1"/>
  <c r="AG161" i="2" a="1"/>
  <c r="AG161" i="2" s="1"/>
  <c r="V161" i="2" a="1"/>
  <c r="V161" i="2" s="1"/>
  <c r="J161" i="2" a="1"/>
  <c r="J161" i="2" s="1"/>
  <c r="AK160" i="2" a="1"/>
  <c r="AK160" i="2" s="1"/>
  <c r="Y160" i="2" a="1"/>
  <c r="Y160" i="2" s="1"/>
  <c r="N160" i="2" a="1"/>
  <c r="N160" i="2" s="1"/>
  <c r="AO159" i="2" a="1"/>
  <c r="AO159" i="2" s="1"/>
  <c r="AC159" i="2" a="1"/>
  <c r="AC159" i="2" s="1"/>
  <c r="R159" i="2" a="1"/>
  <c r="R159" i="2" s="1"/>
  <c r="G159" i="2" a="1"/>
  <c r="G159" i="2" s="1"/>
  <c r="AG158" i="2" a="1"/>
  <c r="AG158" i="2" s="1"/>
  <c r="V158" i="2" a="1"/>
  <c r="V158" i="2" s="1"/>
  <c r="AK157" i="2" a="1"/>
  <c r="AK157" i="2" s="1"/>
  <c r="Z157" i="2" a="1"/>
  <c r="Z157" i="2" s="1"/>
  <c r="N157" i="2" a="1"/>
  <c r="N157" i="2" s="1"/>
  <c r="AI155" i="2" a="1"/>
  <c r="AI155" i="2" s="1"/>
  <c r="X155" i="2" a="1"/>
  <c r="X155" i="2" s="1"/>
  <c r="O155" i="2" a="1"/>
  <c r="O155" i="2" s="1"/>
  <c r="D155" i="2" a="1"/>
  <c r="D155" i="2" s="1"/>
  <c r="AF154" i="2" a="1"/>
  <c r="AF154" i="2" s="1"/>
  <c r="U154" i="2" a="1"/>
  <c r="U154" i="2" s="1"/>
  <c r="K154" i="2" a="1"/>
  <c r="K154" i="2" s="1"/>
  <c r="AM153" i="2" a="1"/>
  <c r="AM153" i="2" s="1"/>
  <c r="AC153" i="2" a="1"/>
  <c r="AC153" i="2" s="1"/>
  <c r="T153" i="2" a="1"/>
  <c r="T153" i="2" s="1"/>
  <c r="AL152" i="2" a="1"/>
  <c r="AL152" i="2" s="1"/>
  <c r="AB152" i="2" a="1"/>
  <c r="AB152" i="2" s="1"/>
  <c r="R152" i="2" a="1"/>
  <c r="R152" i="2" s="1"/>
  <c r="H152" i="2" a="1"/>
  <c r="H152" i="2" s="1"/>
  <c r="AK150" i="2" a="1"/>
  <c r="AK150" i="2" s="1"/>
  <c r="Z150" i="2" a="1"/>
  <c r="Z150" i="2" s="1"/>
  <c r="Q150" i="2" a="1"/>
  <c r="Q150" i="2" s="1"/>
  <c r="G150" i="2" a="1"/>
  <c r="G150" i="2" s="1"/>
  <c r="AF148" i="2" a="1"/>
  <c r="AF148" i="2" s="1"/>
  <c r="O148" i="2" a="1"/>
  <c r="O148" i="2" s="1"/>
  <c r="F148" i="2" a="1"/>
  <c r="F148" i="2" s="1"/>
  <c r="AN148" i="2" a="1"/>
  <c r="AN148" i="2" s="1"/>
  <c r="AE148" i="2" a="1"/>
  <c r="AE148" i="2" s="1"/>
  <c r="W148" i="2" a="1"/>
  <c r="W148" i="2" s="1"/>
  <c r="C166" i="2" a="1"/>
  <c r="C166" i="2" s="1"/>
  <c r="C157" i="2" a="1"/>
  <c r="C157" i="2" s="1"/>
  <c r="AM166" i="2" a="1"/>
  <c r="AM166" i="2" s="1"/>
  <c r="U166" i="2" a="1"/>
  <c r="U166" i="2" s="1"/>
  <c r="AO165" i="2" a="1"/>
  <c r="AO165" i="2" s="1"/>
  <c r="W165" i="2" a="1"/>
  <c r="W165" i="2" s="1"/>
  <c r="E165" i="2" a="1"/>
  <c r="E165" i="2" s="1"/>
  <c r="AG164" i="2" a="1"/>
  <c r="AG164" i="2" s="1"/>
  <c r="L164" i="2" a="1"/>
  <c r="L164" i="2" s="1"/>
  <c r="AN163" i="2" a="1"/>
  <c r="AN163" i="2" s="1"/>
  <c r="AD163" i="2" a="1"/>
  <c r="AD163" i="2" s="1"/>
  <c r="S163" i="2" a="1"/>
  <c r="S163" i="2" s="1"/>
  <c r="I163" i="2" a="1"/>
  <c r="I163" i="2" s="1"/>
  <c r="AE161" i="2" a="1"/>
  <c r="AE161" i="2" s="1"/>
  <c r="T161" i="2" a="1"/>
  <c r="T161" i="2" s="1"/>
  <c r="H161" i="2" a="1"/>
  <c r="H161" i="2" s="1"/>
  <c r="AI160" i="2" a="1"/>
  <c r="AI160" i="2" s="1"/>
  <c r="X160" i="2" a="1"/>
  <c r="X160" i="2" s="1"/>
  <c r="L160" i="2" a="1"/>
  <c r="L160" i="2" s="1"/>
  <c r="AM159" i="2" a="1"/>
  <c r="AM159" i="2" s="1"/>
  <c r="AA159" i="2" a="1"/>
  <c r="AA159" i="2" s="1"/>
  <c r="P159" i="2" a="1"/>
  <c r="P159" i="2" s="1"/>
  <c r="E159" i="2" a="1"/>
  <c r="E159" i="2" s="1"/>
  <c r="AE158" i="2" a="1"/>
  <c r="AE158" i="2" s="1"/>
  <c r="T158" i="2" a="1"/>
  <c r="T158" i="2" s="1"/>
  <c r="I158" i="2" a="1"/>
  <c r="I158" i="2" s="1"/>
  <c r="AI157" i="2" a="1"/>
  <c r="AI157" i="2" s="1"/>
  <c r="X157" i="2" a="1"/>
  <c r="X157" i="2" s="1"/>
  <c r="AH155" i="2" a="1"/>
  <c r="AH155" i="2" s="1"/>
  <c r="W155" i="2" a="1"/>
  <c r="W155" i="2" s="1"/>
  <c r="M155" i="2" a="1"/>
  <c r="M155" i="2" s="1"/>
  <c r="AN154" i="2" a="1"/>
  <c r="AN154" i="2" s="1"/>
  <c r="AD154" i="2" a="1"/>
  <c r="AD154" i="2" s="1"/>
  <c r="I154" i="2" a="1"/>
  <c r="I154" i="2" s="1"/>
  <c r="AL153" i="2" a="1"/>
  <c r="AL153" i="2" s="1"/>
  <c r="R153" i="2" a="1"/>
  <c r="R153" i="2" s="1"/>
  <c r="H153" i="2" a="1"/>
  <c r="H153" i="2" s="1"/>
  <c r="AJ152" i="2" a="1"/>
  <c r="AJ152" i="2" s="1"/>
  <c r="Z152" i="2" a="1"/>
  <c r="Z152" i="2" s="1"/>
  <c r="Q152" i="2" a="1"/>
  <c r="Q152" i="2" s="1"/>
  <c r="F152" i="2" a="1"/>
  <c r="F152" i="2" s="1"/>
  <c r="AI150" i="2" a="1"/>
  <c r="AI150" i="2" s="1"/>
  <c r="Y150" i="2" a="1"/>
  <c r="Y150" i="2" s="1"/>
  <c r="O150" i="2" a="1"/>
  <c r="O150" i="2" s="1"/>
  <c r="F150" i="2" a="1"/>
  <c r="F150" i="2" s="1"/>
  <c r="AM148" i="2" a="1"/>
  <c r="AM148" i="2" s="1"/>
  <c r="AD148" i="2" a="1"/>
  <c r="AD148" i="2" s="1"/>
  <c r="N148" i="2" a="1"/>
  <c r="N148" i="2" s="1"/>
  <c r="E148" i="2" a="1"/>
  <c r="E148" i="2" s="1"/>
  <c r="M160" i="2" a="1"/>
  <c r="M160" i="2" s="1"/>
  <c r="C165" i="2" a="1"/>
  <c r="C165" i="2" s="1"/>
  <c r="AD166" i="2" a="1"/>
  <c r="AD166" i="2" s="1"/>
  <c r="AF165" i="2" a="1"/>
  <c r="AF165" i="2" s="1"/>
  <c r="N165" i="2" a="1"/>
  <c r="N165" i="2" s="1"/>
  <c r="AF164" i="2" a="1"/>
  <c r="AF164" i="2" s="1"/>
  <c r="V164" i="2" a="1"/>
  <c r="V164" i="2" s="1"/>
  <c r="AM163" i="2" a="1"/>
  <c r="AM163" i="2" s="1"/>
  <c r="AC163" i="2" a="1"/>
  <c r="AC163" i="2" s="1"/>
  <c r="AO161" i="2" a="1"/>
  <c r="AO161" i="2" s="1"/>
  <c r="AD161" i="2" a="1"/>
  <c r="AD161" i="2" s="1"/>
  <c r="S161" i="2" a="1"/>
  <c r="S161" i="2" s="1"/>
  <c r="AH160" i="2" a="1"/>
  <c r="AH160" i="2" s="1"/>
  <c r="W160" i="2" a="1"/>
  <c r="W160" i="2" s="1"/>
  <c r="AL159" i="2" a="1"/>
  <c r="AL159" i="2" s="1"/>
  <c r="O159" i="2" a="1"/>
  <c r="O159" i="2" s="1"/>
  <c r="AD158" i="2" a="1"/>
  <c r="AD158" i="2" s="1"/>
  <c r="S158" i="2" a="1"/>
  <c r="S158" i="2" s="1"/>
  <c r="AH157" i="2" a="1"/>
  <c r="AH157" i="2" s="1"/>
  <c r="W157" i="2" a="1"/>
  <c r="W157" i="2" s="1"/>
  <c r="AG155" i="2" a="1"/>
  <c r="AG155" i="2" s="1"/>
  <c r="V155" i="2" a="1"/>
  <c r="V155" i="2" s="1"/>
  <c r="AM154" i="2" a="1"/>
  <c r="AM154" i="2" s="1"/>
  <c r="AC154" i="2" a="1"/>
  <c r="AC154" i="2" s="1"/>
  <c r="S154" i="2" a="1"/>
  <c r="S154" i="2" s="1"/>
  <c r="AK153" i="2" a="1"/>
  <c r="AK153" i="2" s="1"/>
  <c r="AA153" i="2" a="1"/>
  <c r="AA153" i="2" s="1"/>
  <c r="Q153" i="2" a="1"/>
  <c r="Q153" i="2" s="1"/>
  <c r="Y152" i="2" a="1"/>
  <c r="Y152" i="2" s="1"/>
  <c r="AH150" i="2" a="1"/>
  <c r="AH150" i="2" s="1"/>
  <c r="N150" i="2" a="1"/>
  <c r="N150" i="2" s="1"/>
  <c r="V148" i="2" a="1"/>
  <c r="V148" i="2" s="1"/>
  <c r="M148" i="2" a="1"/>
  <c r="M148" i="2" s="1"/>
  <c r="AL13" i="5" l="1"/>
  <c r="AD11" i="6"/>
  <c r="AD96" i="6" s="1"/>
  <c r="AL14" i="5"/>
  <c r="AD12" i="6"/>
  <c r="AD97" i="6" s="1"/>
  <c r="B62" i="6"/>
  <c r="A62" i="6"/>
  <c r="C57" i="6"/>
  <c r="B57" i="6"/>
  <c r="C56" i="6"/>
  <c r="B56" i="6"/>
  <c r="C55" i="6"/>
  <c r="B55" i="6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B5" i="2"/>
  <c r="B6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4" i="2"/>
  <c r="AM14" i="5" l="1"/>
  <c r="AE12" i="6"/>
  <c r="AE97" i="6" s="1"/>
  <c r="AM13" i="5"/>
  <c r="AE11" i="6"/>
  <c r="AE96" i="6" s="1"/>
  <c r="D155" i="5"/>
  <c r="E155" i="5"/>
  <c r="F155" i="5"/>
  <c r="G155" i="5"/>
  <c r="H155" i="5"/>
  <c r="I155" i="5"/>
  <c r="J155" i="5"/>
  <c r="K155" i="5"/>
  <c r="L155" i="5"/>
  <c r="M155" i="5"/>
  <c r="N155" i="5"/>
  <c r="O155" i="5"/>
  <c r="P155" i="5"/>
  <c r="Q155" i="5"/>
  <c r="R155" i="5"/>
  <c r="S155" i="5"/>
  <c r="T155" i="5"/>
  <c r="U155" i="5"/>
  <c r="V155" i="5"/>
  <c r="W155" i="5"/>
  <c r="X155" i="5"/>
  <c r="Y155" i="5"/>
  <c r="Z155" i="5"/>
  <c r="AA155" i="5"/>
  <c r="AB155" i="5"/>
  <c r="AC155" i="5"/>
  <c r="AD155" i="5"/>
  <c r="AE155" i="5"/>
  <c r="AF155" i="5"/>
  <c r="AG155" i="5"/>
  <c r="AH155" i="5"/>
  <c r="AI155" i="5"/>
  <c r="AJ155" i="5"/>
  <c r="AK155" i="5"/>
  <c r="AL155" i="5"/>
  <c r="AM155" i="5"/>
  <c r="AN155" i="5"/>
  <c r="C155" i="5"/>
  <c r="D146" i="5"/>
  <c r="E146" i="5"/>
  <c r="F146" i="5"/>
  <c r="G146" i="5"/>
  <c r="H146" i="5"/>
  <c r="I146" i="5"/>
  <c r="J146" i="5"/>
  <c r="K146" i="5"/>
  <c r="L146" i="5"/>
  <c r="M146" i="5"/>
  <c r="N146" i="5"/>
  <c r="O146" i="5"/>
  <c r="P146" i="5"/>
  <c r="Q146" i="5"/>
  <c r="R146" i="5"/>
  <c r="S146" i="5"/>
  <c r="T146" i="5"/>
  <c r="AO146" i="5" s="1"/>
  <c r="AP146" i="5" s="1"/>
  <c r="AQ146" i="5" s="1"/>
  <c r="AR146" i="5" s="1"/>
  <c r="AS146" i="5" s="1"/>
  <c r="AT146" i="5" s="1"/>
  <c r="AU146" i="5" s="1"/>
  <c r="AV146" i="5" s="1"/>
  <c r="AW146" i="5" s="1"/>
  <c r="AX146" i="5" s="1"/>
  <c r="AY146" i="5" s="1"/>
  <c r="AZ146" i="5" s="1"/>
  <c r="BA146" i="5" s="1"/>
  <c r="BB146" i="5" s="1"/>
  <c r="BC146" i="5" s="1"/>
  <c r="BD146" i="5" s="1"/>
  <c r="BE146" i="5" s="1"/>
  <c r="BF146" i="5" s="1"/>
  <c r="BG146" i="5" s="1"/>
  <c r="BH146" i="5" s="1"/>
  <c r="BI146" i="5" s="1"/>
  <c r="BJ146" i="5" s="1"/>
  <c r="U146" i="5"/>
  <c r="V146" i="5"/>
  <c r="W146" i="5"/>
  <c r="X146" i="5"/>
  <c r="Y146" i="5"/>
  <c r="Z146" i="5"/>
  <c r="AA146" i="5"/>
  <c r="AB146" i="5"/>
  <c r="AC146" i="5"/>
  <c r="AD146" i="5"/>
  <c r="AE146" i="5"/>
  <c r="AF146" i="5"/>
  <c r="AG146" i="5"/>
  <c r="AH146" i="5"/>
  <c r="AI146" i="5"/>
  <c r="AJ146" i="5"/>
  <c r="AK146" i="5"/>
  <c r="AL146" i="5"/>
  <c r="AM146" i="5"/>
  <c r="AN146" i="5"/>
  <c r="D147" i="5"/>
  <c r="E147" i="5"/>
  <c r="F147" i="5"/>
  <c r="G147" i="5"/>
  <c r="H147" i="5"/>
  <c r="I147" i="5"/>
  <c r="J147" i="5"/>
  <c r="K147" i="5"/>
  <c r="L147" i="5"/>
  <c r="M147" i="5"/>
  <c r="N147" i="5"/>
  <c r="O147" i="5"/>
  <c r="P147" i="5"/>
  <c r="Q147" i="5"/>
  <c r="R147" i="5"/>
  <c r="S147" i="5"/>
  <c r="T147" i="5"/>
  <c r="U147" i="5"/>
  <c r="V147" i="5"/>
  <c r="W147" i="5"/>
  <c r="X147" i="5"/>
  <c r="Y147" i="5"/>
  <c r="Z147" i="5"/>
  <c r="AA147" i="5"/>
  <c r="AB147" i="5"/>
  <c r="AC147" i="5"/>
  <c r="AD147" i="5"/>
  <c r="AE147" i="5"/>
  <c r="AF147" i="5"/>
  <c r="AG147" i="5"/>
  <c r="AH147" i="5"/>
  <c r="AI147" i="5"/>
  <c r="AJ147" i="5"/>
  <c r="AK147" i="5"/>
  <c r="AL147" i="5"/>
  <c r="AM147" i="5"/>
  <c r="AN147" i="5"/>
  <c r="AP147" i="5" s="1"/>
  <c r="AQ147" i="5" s="1"/>
  <c r="AR147" i="5" s="1"/>
  <c r="AS147" i="5" s="1"/>
  <c r="AT147" i="5" s="1"/>
  <c r="AU147" i="5" s="1"/>
  <c r="AV147" i="5" s="1"/>
  <c r="AW147" i="5" s="1"/>
  <c r="AX147" i="5" s="1"/>
  <c r="AY147" i="5" s="1"/>
  <c r="AZ147" i="5" s="1"/>
  <c r="BA147" i="5" s="1"/>
  <c r="BB147" i="5" s="1"/>
  <c r="BC147" i="5" s="1"/>
  <c r="BD147" i="5" s="1"/>
  <c r="BE147" i="5" s="1"/>
  <c r="BF147" i="5" s="1"/>
  <c r="BG147" i="5" s="1"/>
  <c r="BH147" i="5" s="1"/>
  <c r="BI147" i="5" s="1"/>
  <c r="BJ147" i="5" s="1"/>
  <c r="C147" i="5"/>
  <c r="C146" i="5"/>
  <c r="AN13" i="5" l="1"/>
  <c r="AF11" i="6"/>
  <c r="AF96" i="6" s="1"/>
  <c r="AN14" i="5"/>
  <c r="AF12" i="6"/>
  <c r="AF97" i="6" s="1"/>
  <c r="D129" i="5"/>
  <c r="D131" i="5" s="1"/>
  <c r="E129" i="5"/>
  <c r="F129" i="5"/>
  <c r="F131" i="5" s="1"/>
  <c r="G129" i="5"/>
  <c r="H129" i="5"/>
  <c r="I129" i="5"/>
  <c r="I131" i="5" s="1"/>
  <c r="J129" i="5"/>
  <c r="J131" i="5" s="1"/>
  <c r="K129" i="5"/>
  <c r="K131" i="5" s="1"/>
  <c r="L129" i="5"/>
  <c r="L131" i="5" s="1"/>
  <c r="M129" i="5"/>
  <c r="M131" i="5" s="1"/>
  <c r="N129" i="5"/>
  <c r="N131" i="5" s="1"/>
  <c r="O129" i="5"/>
  <c r="P129" i="5"/>
  <c r="Q129" i="5"/>
  <c r="R129" i="5"/>
  <c r="R131" i="5" s="1"/>
  <c r="S129" i="5"/>
  <c r="S131" i="5" s="1"/>
  <c r="T129" i="5"/>
  <c r="U129" i="5"/>
  <c r="U131" i="5" s="1"/>
  <c r="V129" i="5"/>
  <c r="V131" i="5" s="1"/>
  <c r="W129" i="5"/>
  <c r="X129" i="5"/>
  <c r="Y129" i="5"/>
  <c r="Y131" i="5" s="1"/>
  <c r="Z129" i="5"/>
  <c r="Z131" i="5" s="1"/>
  <c r="AA129" i="5"/>
  <c r="AB129" i="5"/>
  <c r="AB131" i="5" s="1"/>
  <c r="AC129" i="5"/>
  <c r="AC130" i="5" s="1"/>
  <c r="AD129" i="5"/>
  <c r="AD131" i="5" s="1"/>
  <c r="AE129" i="5"/>
  <c r="AE131" i="5" s="1"/>
  <c r="AF129" i="5"/>
  <c r="AG129" i="5"/>
  <c r="AH129" i="5"/>
  <c r="AH131" i="5" s="1"/>
  <c r="AI129" i="5"/>
  <c r="AI131" i="5" s="1"/>
  <c r="AJ129" i="5"/>
  <c r="AK129" i="5"/>
  <c r="AL129" i="5"/>
  <c r="AL131" i="5" s="1"/>
  <c r="AM129" i="5"/>
  <c r="AN129" i="5"/>
  <c r="AN131" i="5" s="1"/>
  <c r="P131" i="5"/>
  <c r="D132" i="5"/>
  <c r="E132" i="5"/>
  <c r="F132" i="5"/>
  <c r="G132" i="5"/>
  <c r="H132" i="5"/>
  <c r="I132" i="5"/>
  <c r="J132" i="5"/>
  <c r="K132" i="5"/>
  <c r="K5" i="5" s="1"/>
  <c r="K28" i="5" s="1"/>
  <c r="D26" i="6" s="1"/>
  <c r="D111" i="6" s="1"/>
  <c r="L132" i="5"/>
  <c r="L5" i="5" s="1"/>
  <c r="M132" i="5"/>
  <c r="M5" i="5" s="1"/>
  <c r="N132" i="5"/>
  <c r="N5" i="5" s="1"/>
  <c r="O132" i="5"/>
  <c r="O5" i="5" s="1"/>
  <c r="P132" i="5"/>
  <c r="P5" i="5" s="1"/>
  <c r="Q132" i="5"/>
  <c r="Q5" i="5" s="1"/>
  <c r="R132" i="5"/>
  <c r="R5" i="5" s="1"/>
  <c r="S132" i="5"/>
  <c r="S5" i="5" s="1"/>
  <c r="T132" i="5"/>
  <c r="T5" i="5" s="1"/>
  <c r="U132" i="5"/>
  <c r="U5" i="5" s="1"/>
  <c r="V132" i="5"/>
  <c r="V5" i="5" s="1"/>
  <c r="W132" i="5"/>
  <c r="W5" i="5" s="1"/>
  <c r="X132" i="5"/>
  <c r="X5" i="5" s="1"/>
  <c r="Y132" i="5"/>
  <c r="Y5" i="5" s="1"/>
  <c r="Z132" i="5"/>
  <c r="Z5" i="5" s="1"/>
  <c r="AA132" i="5"/>
  <c r="AA5" i="5" s="1"/>
  <c r="AB132" i="5"/>
  <c r="AB5" i="5" s="1"/>
  <c r="AC132" i="5"/>
  <c r="AC5" i="5" s="1"/>
  <c r="AD132" i="5"/>
  <c r="AD5" i="5" s="1"/>
  <c r="AE132" i="5"/>
  <c r="AE5" i="5" s="1"/>
  <c r="AF132" i="5"/>
  <c r="AF5" i="5" s="1"/>
  <c r="AG132" i="5"/>
  <c r="AG5" i="5" s="1"/>
  <c r="AH132" i="5"/>
  <c r="AH5" i="5" s="1"/>
  <c r="AI132" i="5"/>
  <c r="AI5" i="5" s="1"/>
  <c r="AJ132" i="5"/>
  <c r="AJ5" i="5" s="1"/>
  <c r="AK132" i="5"/>
  <c r="AK5" i="5" s="1"/>
  <c r="AL132" i="5"/>
  <c r="AL5" i="5" s="1"/>
  <c r="AM132" i="5"/>
  <c r="AM5" i="5" s="1"/>
  <c r="AN132" i="5"/>
  <c r="AN5" i="5" s="1"/>
  <c r="D133" i="5"/>
  <c r="E133" i="5"/>
  <c r="F133" i="5"/>
  <c r="G133" i="5"/>
  <c r="H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D135" i="5"/>
  <c r="E135" i="5"/>
  <c r="F135" i="5"/>
  <c r="G135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W135" i="5"/>
  <c r="X135" i="5"/>
  <c r="Y135" i="5"/>
  <c r="Z135" i="5"/>
  <c r="AA135" i="5"/>
  <c r="AB135" i="5"/>
  <c r="AC135" i="5"/>
  <c r="AD135" i="5"/>
  <c r="AE135" i="5"/>
  <c r="AF135" i="5"/>
  <c r="AG135" i="5"/>
  <c r="AH135" i="5"/>
  <c r="AI135" i="5"/>
  <c r="AJ135" i="5"/>
  <c r="AK135" i="5"/>
  <c r="AL135" i="5"/>
  <c r="AM135" i="5"/>
  <c r="AN135" i="5"/>
  <c r="C133" i="5"/>
  <c r="C132" i="5"/>
  <c r="C135" i="5"/>
  <c r="C129" i="5"/>
  <c r="B129" i="5"/>
  <c r="AE3" i="5"/>
  <c r="AF3" i="5" s="1"/>
  <c r="AG3" i="5" s="1"/>
  <c r="AH3" i="5" s="1"/>
  <c r="AI3" i="5" s="1"/>
  <c r="AJ3" i="5" s="1"/>
  <c r="AK3" i="5" s="1"/>
  <c r="AL3" i="5" s="1"/>
  <c r="AM3" i="5" s="1"/>
  <c r="U3" i="5"/>
  <c r="V3" i="5" s="1"/>
  <c r="W3" i="5" s="1"/>
  <c r="X3" i="5" s="1"/>
  <c r="Y3" i="5" s="1"/>
  <c r="Z3" i="5" s="1"/>
  <c r="AA3" i="5" s="1"/>
  <c r="AB3" i="5" s="1"/>
  <c r="AC3" i="5" s="1"/>
  <c r="Q130" i="5" l="1"/>
  <c r="Q149" i="5" s="1"/>
  <c r="L28" i="5"/>
  <c r="E26" i="6" s="1"/>
  <c r="E111" i="6" s="1"/>
  <c r="AO14" i="5"/>
  <c r="AG12" i="6"/>
  <c r="AG97" i="6" s="1"/>
  <c r="AO13" i="5"/>
  <c r="AG11" i="6"/>
  <c r="AG96" i="6" s="1"/>
  <c r="G130" i="5"/>
  <c r="G134" i="5" s="1"/>
  <c r="E130" i="5"/>
  <c r="E156" i="5" s="1"/>
  <c r="AK130" i="5"/>
  <c r="AK156" i="5" s="1"/>
  <c r="W130" i="5"/>
  <c r="W156" i="5" s="1"/>
  <c r="AH130" i="5"/>
  <c r="AH156" i="5" s="1"/>
  <c r="AI130" i="5"/>
  <c r="AI136" i="5" s="1"/>
  <c r="K130" i="5"/>
  <c r="K156" i="5" s="1"/>
  <c r="V130" i="5"/>
  <c r="V156" i="5" s="1"/>
  <c r="J130" i="5"/>
  <c r="J134" i="5" s="1"/>
  <c r="AC148" i="5"/>
  <c r="AC156" i="5"/>
  <c r="AC149" i="5"/>
  <c r="W131" i="5"/>
  <c r="G131" i="5"/>
  <c r="S130" i="5"/>
  <c r="S156" i="5" s="1"/>
  <c r="AJ130" i="5"/>
  <c r="AJ156" i="5" s="1"/>
  <c r="X130" i="5"/>
  <c r="X156" i="5" s="1"/>
  <c r="AG131" i="5"/>
  <c r="AK148" i="5"/>
  <c r="X131" i="5"/>
  <c r="AF130" i="5"/>
  <c r="AF156" i="5" s="1"/>
  <c r="T130" i="5"/>
  <c r="T156" i="5" s="1"/>
  <c r="H130" i="5"/>
  <c r="H156" i="5" s="1"/>
  <c r="AK131" i="5"/>
  <c r="AL130" i="5"/>
  <c r="AL156" i="5" s="1"/>
  <c r="N130" i="5"/>
  <c r="N156" i="5" s="1"/>
  <c r="AJ131" i="5"/>
  <c r="M130" i="5"/>
  <c r="M156" i="5" s="1"/>
  <c r="L130" i="5"/>
  <c r="L156" i="5" s="1"/>
  <c r="C130" i="5"/>
  <c r="C136" i="5" s="1"/>
  <c r="AE130" i="5"/>
  <c r="Z130" i="5"/>
  <c r="Z156" i="5" s="1"/>
  <c r="D130" i="5"/>
  <c r="AC136" i="5"/>
  <c r="C131" i="5"/>
  <c r="Y130" i="5"/>
  <c r="Y156" i="5" s="1"/>
  <c r="Q136" i="5"/>
  <c r="AC134" i="5"/>
  <c r="AM130" i="5"/>
  <c r="AM156" i="5" s="1"/>
  <c r="AA130" i="5"/>
  <c r="AA156" i="5" s="1"/>
  <c r="O130" i="5"/>
  <c r="O156" i="5" s="1"/>
  <c r="AF131" i="5"/>
  <c r="T131" i="5"/>
  <c r="H131" i="5"/>
  <c r="AG130" i="5"/>
  <c r="AG156" i="5" s="1"/>
  <c r="U130" i="5"/>
  <c r="U156" i="5" s="1"/>
  <c r="I130" i="5"/>
  <c r="AC131" i="5"/>
  <c r="Q131" i="5"/>
  <c r="E131" i="5"/>
  <c r="AD130" i="5"/>
  <c r="AD156" i="5" s="1"/>
  <c r="R130" i="5"/>
  <c r="R156" i="5" s="1"/>
  <c r="F130" i="5"/>
  <c r="F156" i="5" s="1"/>
  <c r="AM131" i="5"/>
  <c r="AA131" i="5"/>
  <c r="O131" i="5"/>
  <c r="AN130" i="5"/>
  <c r="AN156" i="5" s="1"/>
  <c r="AB130" i="5"/>
  <c r="AB156" i="5" s="1"/>
  <c r="P130" i="5"/>
  <c r="P156" i="5" s="1"/>
  <c r="AH149" i="5" l="1"/>
  <c r="K148" i="5"/>
  <c r="AH136" i="5"/>
  <c r="Q148" i="5"/>
  <c r="AP13" i="5"/>
  <c r="AH11" i="6"/>
  <c r="AH96" i="6" s="1"/>
  <c r="Q134" i="5"/>
  <c r="AP14" i="5"/>
  <c r="AH12" i="6"/>
  <c r="AH97" i="6" s="1"/>
  <c r="AH134" i="5"/>
  <c r="Q156" i="5"/>
  <c r="W134" i="5"/>
  <c r="AK149" i="5"/>
  <c r="AI134" i="5"/>
  <c r="W149" i="5"/>
  <c r="W148" i="5"/>
  <c r="AH148" i="5"/>
  <c r="G136" i="5"/>
  <c r="M28" i="5"/>
  <c r="G156" i="5"/>
  <c r="E134" i="5"/>
  <c r="X136" i="5"/>
  <c r="E136" i="5"/>
  <c r="AK134" i="5"/>
  <c r="AK136" i="5"/>
  <c r="W136" i="5"/>
  <c r="H134" i="5"/>
  <c r="Y134" i="5"/>
  <c r="X134" i="5"/>
  <c r="T136" i="5"/>
  <c r="T134" i="5"/>
  <c r="S136" i="5"/>
  <c r="H136" i="5"/>
  <c r="V134" i="5"/>
  <c r="AJ134" i="5"/>
  <c r="V136" i="5"/>
  <c r="V149" i="5"/>
  <c r="K136" i="5"/>
  <c r="AF136" i="5"/>
  <c r="AF134" i="5"/>
  <c r="K134" i="5"/>
  <c r="AA136" i="5"/>
  <c r="V148" i="5"/>
  <c r="K149" i="5"/>
  <c r="J136" i="5"/>
  <c r="J156" i="5"/>
  <c r="C134" i="5"/>
  <c r="C156" i="5"/>
  <c r="AL134" i="5"/>
  <c r="I134" i="5"/>
  <c r="I156" i="5"/>
  <c r="AM136" i="5"/>
  <c r="AI156" i="5"/>
  <c r="AI148" i="5"/>
  <c r="AI149" i="5"/>
  <c r="D136" i="5"/>
  <c r="D156" i="5"/>
  <c r="AE136" i="5"/>
  <c r="AE156" i="5"/>
  <c r="R149" i="5"/>
  <c r="R148" i="5"/>
  <c r="L149" i="5"/>
  <c r="L148" i="5"/>
  <c r="P148" i="5"/>
  <c r="P149" i="5"/>
  <c r="Y136" i="5"/>
  <c r="Y149" i="5"/>
  <c r="Y148" i="5"/>
  <c r="AE134" i="5"/>
  <c r="AE149" i="5"/>
  <c r="AE148" i="5"/>
  <c r="AB149" i="5"/>
  <c r="AB148" i="5"/>
  <c r="AN149" i="5"/>
  <c r="AP149" i="5" s="1"/>
  <c r="AQ149" i="5" s="1"/>
  <c r="AR149" i="5" s="1"/>
  <c r="AS149" i="5" s="1"/>
  <c r="AT149" i="5" s="1"/>
  <c r="AU149" i="5" s="1"/>
  <c r="AV149" i="5" s="1"/>
  <c r="AW149" i="5" s="1"/>
  <c r="AX149" i="5" s="1"/>
  <c r="AY149" i="5" s="1"/>
  <c r="AZ149" i="5" s="1"/>
  <c r="BA149" i="5" s="1"/>
  <c r="BB149" i="5" s="1"/>
  <c r="BC149" i="5" s="1"/>
  <c r="BD149" i="5" s="1"/>
  <c r="BE149" i="5" s="1"/>
  <c r="BF149" i="5" s="1"/>
  <c r="BG149" i="5" s="1"/>
  <c r="BH149" i="5" s="1"/>
  <c r="BI149" i="5" s="1"/>
  <c r="BJ149" i="5" s="1"/>
  <c r="AN148" i="5"/>
  <c r="O134" i="5"/>
  <c r="O148" i="5"/>
  <c r="O149" i="5"/>
  <c r="X148" i="5"/>
  <c r="X149" i="5"/>
  <c r="AA134" i="5"/>
  <c r="AA148" i="5"/>
  <c r="AA149" i="5"/>
  <c r="N134" i="5"/>
  <c r="N148" i="5"/>
  <c r="N149" i="5"/>
  <c r="AJ136" i="5"/>
  <c r="AJ148" i="5"/>
  <c r="AJ149" i="5"/>
  <c r="AD149" i="5"/>
  <c r="AD148" i="5"/>
  <c r="U134" i="5"/>
  <c r="U148" i="5"/>
  <c r="U149" i="5"/>
  <c r="AG134" i="5"/>
  <c r="AG148" i="5"/>
  <c r="AG149" i="5"/>
  <c r="U136" i="5"/>
  <c r="M136" i="5"/>
  <c r="M149" i="5"/>
  <c r="M148" i="5"/>
  <c r="Z134" i="5"/>
  <c r="Z148" i="5"/>
  <c r="Z149" i="5"/>
  <c r="T149" i="5"/>
  <c r="T148" i="5"/>
  <c r="AM134" i="5"/>
  <c r="AM148" i="5"/>
  <c r="AM149" i="5"/>
  <c r="AL136" i="5"/>
  <c r="AL149" i="5"/>
  <c r="AL148" i="5"/>
  <c r="AF149" i="5"/>
  <c r="AF148" i="5"/>
  <c r="S134" i="5"/>
  <c r="S149" i="5"/>
  <c r="S148" i="5"/>
  <c r="M134" i="5"/>
  <c r="I136" i="5"/>
  <c r="L136" i="5"/>
  <c r="L134" i="5"/>
  <c r="Z136" i="5"/>
  <c r="N136" i="5"/>
  <c r="O136" i="5"/>
  <c r="D134" i="5"/>
  <c r="AB134" i="5"/>
  <c r="AB136" i="5"/>
  <c r="AN134" i="5"/>
  <c r="AN136" i="5"/>
  <c r="AD136" i="5"/>
  <c r="AD134" i="5"/>
  <c r="P134" i="5"/>
  <c r="P136" i="5"/>
  <c r="F134" i="5"/>
  <c r="F136" i="5"/>
  <c r="R134" i="5"/>
  <c r="R136" i="5"/>
  <c r="AG136" i="5"/>
  <c r="AQ14" i="5" l="1"/>
  <c r="AI12" i="6"/>
  <c r="AI97" i="6" s="1"/>
  <c r="AQ13" i="5"/>
  <c r="AI11" i="6"/>
  <c r="AI96" i="6" s="1"/>
  <c r="AP148" i="5"/>
  <c r="AQ148" i="5" s="1"/>
  <c r="AR148" i="5" s="1"/>
  <c r="AS148" i="5" s="1"/>
  <c r="AT148" i="5" s="1"/>
  <c r="AU148" i="5" s="1"/>
  <c r="AV148" i="5" s="1"/>
  <c r="AW148" i="5" s="1"/>
  <c r="AX148" i="5" s="1"/>
  <c r="AY148" i="5" s="1"/>
  <c r="AZ148" i="5" s="1"/>
  <c r="BA148" i="5" s="1"/>
  <c r="BB148" i="5" s="1"/>
  <c r="BC148" i="5" s="1"/>
  <c r="BD148" i="5" s="1"/>
  <c r="BE148" i="5" s="1"/>
  <c r="BF148" i="5" s="1"/>
  <c r="BG148" i="5" s="1"/>
  <c r="BH148" i="5" s="1"/>
  <c r="BI148" i="5" s="1"/>
  <c r="BJ148" i="5" s="1"/>
  <c r="F26" i="6"/>
  <c r="F111" i="6" s="1"/>
  <c r="N28" i="5"/>
  <c r="D102" i="5"/>
  <c r="E102" i="5"/>
  <c r="F102" i="5"/>
  <c r="G102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W102" i="5"/>
  <c r="X102" i="5"/>
  <c r="Y102" i="5"/>
  <c r="Z102" i="5"/>
  <c r="AA102" i="5"/>
  <c r="AB102" i="5"/>
  <c r="AC102" i="5"/>
  <c r="AD102" i="5"/>
  <c r="AE102" i="5"/>
  <c r="AF102" i="5"/>
  <c r="AG102" i="5"/>
  <c r="AH102" i="5"/>
  <c r="AI102" i="5"/>
  <c r="AJ102" i="5"/>
  <c r="AK102" i="5"/>
  <c r="AL102" i="5"/>
  <c r="AM102" i="5"/>
  <c r="AN102" i="5"/>
  <c r="D103" i="5"/>
  <c r="E103" i="5"/>
  <c r="F103" i="5"/>
  <c r="G103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D105" i="5"/>
  <c r="E105" i="5"/>
  <c r="F105" i="5"/>
  <c r="G105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W105" i="5"/>
  <c r="X105" i="5"/>
  <c r="Y105" i="5"/>
  <c r="Z105" i="5"/>
  <c r="AA105" i="5"/>
  <c r="AB105" i="5"/>
  <c r="AC105" i="5"/>
  <c r="AD105" i="5"/>
  <c r="AE105" i="5"/>
  <c r="AF105" i="5"/>
  <c r="AG105" i="5"/>
  <c r="AH105" i="5"/>
  <c r="AI105" i="5"/>
  <c r="AJ105" i="5"/>
  <c r="AK105" i="5"/>
  <c r="AL105" i="5"/>
  <c r="AM105" i="5"/>
  <c r="AN105" i="5"/>
  <c r="C105" i="5"/>
  <c r="C103" i="5"/>
  <c r="C102" i="5"/>
  <c r="AN99" i="5"/>
  <c r="AN101" i="5" s="1"/>
  <c r="AM99" i="5"/>
  <c r="AL99" i="5"/>
  <c r="AL101" i="5" s="1"/>
  <c r="AK99" i="5"/>
  <c r="AJ99" i="5"/>
  <c r="AI99" i="5"/>
  <c r="AH99" i="5"/>
  <c r="AG99" i="5"/>
  <c r="AG101" i="5" s="1"/>
  <c r="AF99" i="5"/>
  <c r="AE99" i="5"/>
  <c r="AD99" i="5"/>
  <c r="AD101" i="5" s="1"/>
  <c r="AC99" i="5"/>
  <c r="AB99" i="5"/>
  <c r="AB101" i="5" s="1"/>
  <c r="AA99" i="5"/>
  <c r="Z99" i="5"/>
  <c r="Z101" i="5" s="1"/>
  <c r="Y99" i="5"/>
  <c r="Y101" i="5" s="1"/>
  <c r="X99" i="5"/>
  <c r="W99" i="5"/>
  <c r="V99" i="5"/>
  <c r="U99" i="5"/>
  <c r="U101" i="5" s="1"/>
  <c r="T99" i="5"/>
  <c r="S99" i="5"/>
  <c r="R99" i="5"/>
  <c r="Q99" i="5"/>
  <c r="Q101" i="5" s="1"/>
  <c r="P99" i="5"/>
  <c r="P101" i="5" s="1"/>
  <c r="O99" i="5"/>
  <c r="O101" i="5" s="1"/>
  <c r="N99" i="5"/>
  <c r="N101" i="5" s="1"/>
  <c r="M99" i="5"/>
  <c r="L99" i="5"/>
  <c r="K99" i="5"/>
  <c r="K101" i="5" s="1"/>
  <c r="J99" i="5"/>
  <c r="I99" i="5"/>
  <c r="I101" i="5" s="1"/>
  <c r="H99" i="5"/>
  <c r="H101" i="5" s="1"/>
  <c r="G99" i="5"/>
  <c r="G101" i="5" s="1"/>
  <c r="F99" i="5"/>
  <c r="F101" i="5" s="1"/>
  <c r="E99" i="5"/>
  <c r="D99" i="5"/>
  <c r="D101" i="5" s="1"/>
  <c r="C99" i="5"/>
  <c r="B99" i="5"/>
  <c r="AR14" i="5" l="1"/>
  <c r="AJ12" i="6"/>
  <c r="AJ97" i="6" s="1"/>
  <c r="AR13" i="5"/>
  <c r="AJ11" i="6"/>
  <c r="AJ96" i="6" s="1"/>
  <c r="G26" i="6"/>
  <c r="G111" i="6" s="1"/>
  <c r="O28" i="5"/>
  <c r="AK100" i="5"/>
  <c r="M100" i="5"/>
  <c r="M106" i="5" s="1"/>
  <c r="AF100" i="5"/>
  <c r="AF106" i="5" s="1"/>
  <c r="T100" i="5"/>
  <c r="T104" i="5" s="1"/>
  <c r="W100" i="5"/>
  <c r="W104" i="5" s="1"/>
  <c r="D100" i="5"/>
  <c r="D104" i="5" s="1"/>
  <c r="AI100" i="5"/>
  <c r="AI106" i="5" s="1"/>
  <c r="AA100" i="5"/>
  <c r="AA106" i="5" s="1"/>
  <c r="H100" i="5"/>
  <c r="H104" i="5" s="1"/>
  <c r="S100" i="5"/>
  <c r="S106" i="5" s="1"/>
  <c r="AE100" i="5"/>
  <c r="AE106" i="5" s="1"/>
  <c r="Z100" i="5"/>
  <c r="Z104" i="5" s="1"/>
  <c r="AM100" i="5"/>
  <c r="AM106" i="5" s="1"/>
  <c r="AK106" i="5"/>
  <c r="AF101" i="5"/>
  <c r="AK104" i="5"/>
  <c r="AE101" i="5"/>
  <c r="S101" i="5"/>
  <c r="AK101" i="5"/>
  <c r="I100" i="5"/>
  <c r="I106" i="5" s="1"/>
  <c r="E100" i="5"/>
  <c r="E106" i="5" s="1"/>
  <c r="AC100" i="5"/>
  <c r="AC104" i="5" s="1"/>
  <c r="C100" i="5"/>
  <c r="C104" i="5" s="1"/>
  <c r="AL100" i="5"/>
  <c r="AL104" i="5" s="1"/>
  <c r="F100" i="5"/>
  <c r="F106" i="5" s="1"/>
  <c r="R100" i="5"/>
  <c r="AD100" i="5"/>
  <c r="C101" i="5"/>
  <c r="AG100" i="5"/>
  <c r="AG106" i="5" s="1"/>
  <c r="T101" i="5"/>
  <c r="J100" i="5"/>
  <c r="J104" i="5" s="1"/>
  <c r="V100" i="5"/>
  <c r="V104" i="5" s="1"/>
  <c r="AH100" i="5"/>
  <c r="AH106" i="5" s="1"/>
  <c r="R101" i="5"/>
  <c r="U100" i="5"/>
  <c r="U104" i="5" s="1"/>
  <c r="L100" i="5"/>
  <c r="L106" i="5" s="1"/>
  <c r="X100" i="5"/>
  <c r="X106" i="5" s="1"/>
  <c r="AJ100" i="5"/>
  <c r="AJ106" i="5" s="1"/>
  <c r="M101" i="5"/>
  <c r="Y100" i="5"/>
  <c r="Y104" i="5" s="1"/>
  <c r="N100" i="5"/>
  <c r="N104" i="5" s="1"/>
  <c r="G100" i="5"/>
  <c r="G106" i="5" s="1"/>
  <c r="AC101" i="5"/>
  <c r="Q100" i="5"/>
  <c r="Q104" i="5" s="1"/>
  <c r="AM101" i="5"/>
  <c r="AA101" i="5"/>
  <c r="AN100" i="5"/>
  <c r="AN106" i="5" s="1"/>
  <c r="AB100" i="5"/>
  <c r="AB104" i="5" s="1"/>
  <c r="P100" i="5"/>
  <c r="P106" i="5" s="1"/>
  <c r="O100" i="5"/>
  <c r="O106" i="5" s="1"/>
  <c r="K100" i="5"/>
  <c r="K104" i="5" s="1"/>
  <c r="AJ101" i="5"/>
  <c r="X101" i="5"/>
  <c r="L101" i="5"/>
  <c r="AI101" i="5"/>
  <c r="W101" i="5"/>
  <c r="AH101" i="5"/>
  <c r="V101" i="5"/>
  <c r="J101" i="5"/>
  <c r="E101" i="5"/>
  <c r="T106" i="5" l="1"/>
  <c r="AS13" i="5"/>
  <c r="AK11" i="6"/>
  <c r="AK96" i="6" s="1"/>
  <c r="W106" i="5"/>
  <c r="AS14" i="5"/>
  <c r="AK12" i="6"/>
  <c r="AK97" i="6" s="1"/>
  <c r="H26" i="6"/>
  <c r="H111" i="6" s="1"/>
  <c r="P28" i="5"/>
  <c r="E104" i="5"/>
  <c r="AM104" i="5"/>
  <c r="AI104" i="5"/>
  <c r="Z106" i="5"/>
  <c r="F104" i="5"/>
  <c r="AB106" i="5"/>
  <c r="U106" i="5"/>
  <c r="AA104" i="5"/>
  <c r="D106" i="5"/>
  <c r="M104" i="5"/>
  <c r="AJ104" i="5"/>
  <c r="AF104" i="5"/>
  <c r="AL106" i="5"/>
  <c r="V106" i="5"/>
  <c r="AC106" i="5"/>
  <c r="P104" i="5"/>
  <c r="Y106" i="5"/>
  <c r="O104" i="5"/>
  <c r="K106" i="5"/>
  <c r="AE104" i="5"/>
  <c r="AN104" i="5"/>
  <c r="S104" i="5"/>
  <c r="N106" i="5"/>
  <c r="H106" i="5"/>
  <c r="J106" i="5"/>
  <c r="X104" i="5"/>
  <c r="AH104" i="5"/>
  <c r="I104" i="5"/>
  <c r="AD106" i="5"/>
  <c r="AD104" i="5"/>
  <c r="R106" i="5"/>
  <c r="R104" i="5"/>
  <c r="C106" i="5"/>
  <c r="Q106" i="5"/>
  <c r="AG104" i="5"/>
  <c r="G104" i="5"/>
  <c r="L104" i="5"/>
  <c r="AT14" i="5" l="1"/>
  <c r="AL12" i="6"/>
  <c r="AL97" i="6" s="1"/>
  <c r="AT13" i="5"/>
  <c r="AL11" i="6"/>
  <c r="AL96" i="6" s="1"/>
  <c r="Q28" i="5"/>
  <c r="I26" i="6"/>
  <c r="I111" i="6" s="1"/>
  <c r="AG14" i="7"/>
  <c r="AF14" i="7"/>
  <c r="AE14" i="7"/>
  <c r="AD14" i="7"/>
  <c r="U14" i="7"/>
  <c r="T14" i="7"/>
  <c r="S14" i="7"/>
  <c r="R14" i="7"/>
  <c r="I14" i="7"/>
  <c r="H14" i="7"/>
  <c r="G14" i="7"/>
  <c r="F14" i="7"/>
  <c r="AI13" i="7"/>
  <c r="AH13" i="7"/>
  <c r="AG13" i="7"/>
  <c r="AF13" i="7"/>
  <c r="W13" i="7"/>
  <c r="V13" i="7"/>
  <c r="U13" i="7"/>
  <c r="T13" i="7"/>
  <c r="K13" i="7"/>
  <c r="J13" i="7"/>
  <c r="I13" i="7"/>
  <c r="H13" i="7"/>
  <c r="AI12" i="7"/>
  <c r="AH12" i="7"/>
  <c r="AG12" i="7"/>
  <c r="AF12" i="7"/>
  <c r="W12" i="7"/>
  <c r="V12" i="7"/>
  <c r="U12" i="7"/>
  <c r="T12" i="7"/>
  <c r="K12" i="7"/>
  <c r="J12" i="7"/>
  <c r="I12" i="7"/>
  <c r="H12" i="7"/>
  <c r="AO11" i="7"/>
  <c r="AO14" i="7" s="1"/>
  <c r="AN11" i="7"/>
  <c r="AN14" i="7" s="1"/>
  <c r="AM11" i="7"/>
  <c r="AM14" i="7" s="1"/>
  <c r="AL11" i="7"/>
  <c r="AL14" i="7" s="1"/>
  <c r="AK11" i="7"/>
  <c r="AK12" i="7" s="1"/>
  <c r="AJ11" i="7"/>
  <c r="AJ14" i="7" s="1"/>
  <c r="AI11" i="7"/>
  <c r="AI14" i="7" s="1"/>
  <c r="AH11" i="7"/>
  <c r="AH14" i="7" s="1"/>
  <c r="AG11" i="7"/>
  <c r="AF11" i="7"/>
  <c r="AE11" i="7"/>
  <c r="AE13" i="7" s="1"/>
  <c r="AD11" i="7"/>
  <c r="AD13" i="7" s="1"/>
  <c r="AC11" i="7"/>
  <c r="AC14" i="7" s="1"/>
  <c r="AB11" i="7"/>
  <c r="AB14" i="7" s="1"/>
  <c r="AA11" i="7"/>
  <c r="AA14" i="7" s="1"/>
  <c r="Z11" i="7"/>
  <c r="Z14" i="7" s="1"/>
  <c r="Y11" i="7"/>
  <c r="Y14" i="7" s="1"/>
  <c r="X11" i="7"/>
  <c r="X14" i="7" s="1"/>
  <c r="W11" i="7"/>
  <c r="W14" i="7" s="1"/>
  <c r="V11" i="7"/>
  <c r="V14" i="7" s="1"/>
  <c r="U11" i="7"/>
  <c r="T11" i="7"/>
  <c r="S11" i="7"/>
  <c r="S13" i="7" s="1"/>
  <c r="R11" i="7"/>
  <c r="R13" i="7" s="1"/>
  <c r="Q11" i="7"/>
  <c r="Q14" i="7" s="1"/>
  <c r="P11" i="7"/>
  <c r="P14" i="7" s="1"/>
  <c r="O11" i="7"/>
  <c r="O14" i="7" s="1"/>
  <c r="N11" i="7"/>
  <c r="N14" i="7" s="1"/>
  <c r="M11" i="7"/>
  <c r="M14" i="7" s="1"/>
  <c r="L11" i="7"/>
  <c r="L12" i="7" s="1"/>
  <c r="K11" i="7"/>
  <c r="K14" i="7" s="1"/>
  <c r="J11" i="7"/>
  <c r="J14" i="7" s="1"/>
  <c r="I11" i="7"/>
  <c r="H11" i="7"/>
  <c r="G11" i="7"/>
  <c r="G13" i="7" s="1"/>
  <c r="F11" i="7"/>
  <c r="F13" i="7" s="1"/>
  <c r="E11" i="7"/>
  <c r="E14" i="7" s="1"/>
  <c r="D11" i="7"/>
  <c r="D14" i="7" s="1"/>
  <c r="C13" i="7"/>
  <c r="C14" i="7"/>
  <c r="C12" i="7"/>
  <c r="C11" i="7"/>
  <c r="AU13" i="5" l="1"/>
  <c r="AM11" i="6"/>
  <c r="AU14" i="5"/>
  <c r="AM12" i="6"/>
  <c r="R28" i="5"/>
  <c r="J26" i="6"/>
  <c r="J111" i="6" s="1"/>
  <c r="AJ12" i="7"/>
  <c r="M12" i="7"/>
  <c r="N12" i="7"/>
  <c r="Z12" i="7"/>
  <c r="AL12" i="7"/>
  <c r="L13" i="7"/>
  <c r="X13" i="7"/>
  <c r="AJ13" i="7"/>
  <c r="O12" i="7"/>
  <c r="AA12" i="7"/>
  <c r="AM12" i="7"/>
  <c r="M13" i="7"/>
  <c r="Y13" i="7"/>
  <c r="AK13" i="7"/>
  <c r="X12" i="7"/>
  <c r="D12" i="7"/>
  <c r="P12" i="7"/>
  <c r="AB12" i="7"/>
  <c r="AN12" i="7"/>
  <c r="N13" i="7"/>
  <c r="Z13" i="7"/>
  <c r="AL13" i="7"/>
  <c r="L14" i="7"/>
  <c r="Y12" i="7"/>
  <c r="E12" i="7"/>
  <c r="AC12" i="7"/>
  <c r="O13" i="7"/>
  <c r="R12" i="7"/>
  <c r="D13" i="7"/>
  <c r="P13" i="7"/>
  <c r="AB13" i="7"/>
  <c r="AN13" i="7"/>
  <c r="Q12" i="7"/>
  <c r="AO12" i="7"/>
  <c r="AA13" i="7"/>
  <c r="AM13" i="7"/>
  <c r="AK14" i="7"/>
  <c r="F12" i="7"/>
  <c r="AD12" i="7"/>
  <c r="G12" i="7"/>
  <c r="S12" i="7"/>
  <c r="AE12" i="7"/>
  <c r="E13" i="7"/>
  <c r="Q13" i="7"/>
  <c r="AC13" i="7"/>
  <c r="AO13" i="7"/>
  <c r="AV14" i="5" l="1"/>
  <c r="AN12" i="6"/>
  <c r="AV13" i="5"/>
  <c r="AN11" i="6"/>
  <c r="S28" i="5"/>
  <c r="K26" i="6"/>
  <c r="K111" i="6" s="1"/>
  <c r="C13" i="1"/>
  <c r="C11" i="1"/>
  <c r="C8" i="1"/>
  <c r="AW13" i="5" l="1"/>
  <c r="AO11" i="6"/>
  <c r="AW14" i="5"/>
  <c r="AO12" i="6"/>
  <c r="T28" i="5"/>
  <c r="L26" i="6"/>
  <c r="L111" i="6" s="1"/>
  <c r="C50" i="6"/>
  <c r="D50" i="6"/>
  <c r="E50" i="6"/>
  <c r="F50" i="6"/>
  <c r="B50" i="6"/>
  <c r="B48" i="6"/>
  <c r="C48" i="6" s="1"/>
  <c r="D48" i="6" s="1"/>
  <c r="E48" i="6" s="1"/>
  <c r="F48" i="6" s="1"/>
  <c r="C7" i="1"/>
  <c r="AX14" i="5" l="1"/>
  <c r="AP12" i="6"/>
  <c r="AX13" i="5"/>
  <c r="AP11" i="6"/>
  <c r="U28" i="5"/>
  <c r="M26" i="6"/>
  <c r="M111" i="6" s="1"/>
  <c r="C6" i="6"/>
  <c r="AY13" i="5" l="1"/>
  <c r="AQ11" i="6"/>
  <c r="AY14" i="5"/>
  <c r="AQ12" i="6"/>
  <c r="V28" i="5"/>
  <c r="N26" i="6"/>
  <c r="N111" i="6" s="1"/>
  <c r="J52" i="6"/>
  <c r="AZ14" i="5" l="1"/>
  <c r="AR12" i="6"/>
  <c r="AZ13" i="5"/>
  <c r="AR11" i="6"/>
  <c r="W28" i="5"/>
  <c r="O26" i="6"/>
  <c r="O111" i="6" s="1"/>
  <c r="F34" i="5"/>
  <c r="C34" i="5"/>
  <c r="G34" i="5"/>
  <c r="J34" i="5"/>
  <c r="H34" i="5"/>
  <c r="I34" i="5"/>
  <c r="D34" i="5"/>
  <c r="E34" i="5"/>
  <c r="K3" i="5"/>
  <c r="K33" i="5"/>
  <c r="BA13" i="5" l="1"/>
  <c r="AS11" i="6"/>
  <c r="BA14" i="5"/>
  <c r="AS12" i="6"/>
  <c r="X28" i="5"/>
  <c r="P26" i="6"/>
  <c r="P111" i="6" s="1"/>
  <c r="K9" i="5"/>
  <c r="K10" i="5" s="1"/>
  <c r="K12" i="5"/>
  <c r="D10" i="6" s="1"/>
  <c r="D95" i="6" s="1"/>
  <c r="K34" i="5"/>
  <c r="K44" i="5" s="1"/>
  <c r="D57" i="6" s="1"/>
  <c r="L33" i="5"/>
  <c r="L3" i="5"/>
  <c r="BB14" i="5" l="1"/>
  <c r="AT12" i="6"/>
  <c r="BB13" i="5"/>
  <c r="AT11" i="6"/>
  <c r="Y28" i="5"/>
  <c r="Q26" i="6"/>
  <c r="Q111" i="6" s="1"/>
  <c r="K43" i="5"/>
  <c r="D56" i="6" s="1"/>
  <c r="J49" i="5"/>
  <c r="C62" i="6" s="1"/>
  <c r="K35" i="5"/>
  <c r="K22" i="5" s="1"/>
  <c r="D20" i="6" s="1"/>
  <c r="D105" i="6" s="1"/>
  <c r="L9" i="5"/>
  <c r="L10" i="5" s="1"/>
  <c r="L12" i="5"/>
  <c r="E10" i="6" s="1"/>
  <c r="E95" i="6" s="1"/>
  <c r="L34" i="5"/>
  <c r="M33" i="5"/>
  <c r="M3" i="5"/>
  <c r="BC13" i="5" l="1"/>
  <c r="AU11" i="6"/>
  <c r="BC14" i="5"/>
  <c r="AU12" i="6"/>
  <c r="K32" i="5"/>
  <c r="D30" i="6" s="1"/>
  <c r="D115" i="6" s="1"/>
  <c r="K25" i="5"/>
  <c r="D23" i="6" s="1"/>
  <c r="D108" i="6" s="1"/>
  <c r="K30" i="5"/>
  <c r="D28" i="6" s="1"/>
  <c r="D113" i="6" s="1"/>
  <c r="K20" i="5"/>
  <c r="D18" i="6" s="1"/>
  <c r="D103" i="6" s="1"/>
  <c r="K23" i="5"/>
  <c r="D21" i="6" s="1"/>
  <c r="D106" i="6" s="1"/>
  <c r="K42" i="5"/>
  <c r="D55" i="6" s="1"/>
  <c r="Z28" i="5"/>
  <c r="R26" i="6"/>
  <c r="R111" i="6" s="1"/>
  <c r="K29" i="5"/>
  <c r="D27" i="6" s="1"/>
  <c r="D112" i="6" s="1"/>
  <c r="K31" i="5"/>
  <c r="D29" i="6" s="1"/>
  <c r="D114" i="6" s="1"/>
  <c r="K27" i="5"/>
  <c r="D25" i="6" s="1"/>
  <c r="D110" i="6" s="1"/>
  <c r="K26" i="5"/>
  <c r="D24" i="6" s="1"/>
  <c r="D109" i="6" s="1"/>
  <c r="K18" i="5"/>
  <c r="D16" i="6" s="1"/>
  <c r="D101" i="6" s="1"/>
  <c r="K16" i="5"/>
  <c r="D14" i="6" s="1"/>
  <c r="D99" i="6" s="1"/>
  <c r="K21" i="5"/>
  <c r="D19" i="6" s="1"/>
  <c r="D104" i="6" s="1"/>
  <c r="K17" i="5"/>
  <c r="D15" i="6" s="1"/>
  <c r="D100" i="6" s="1"/>
  <c r="K19" i="5"/>
  <c r="D17" i="6" s="1"/>
  <c r="D102" i="6" s="1"/>
  <c r="K24" i="5"/>
  <c r="D22" i="6" s="1"/>
  <c r="D107" i="6" s="1"/>
  <c r="L35" i="5"/>
  <c r="L32" i="5" s="1"/>
  <c r="E30" i="6" s="1"/>
  <c r="M9" i="5"/>
  <c r="M10" i="5" s="1"/>
  <c r="K15" i="5"/>
  <c r="D13" i="6" s="1"/>
  <c r="D98" i="6" s="1"/>
  <c r="L43" i="5"/>
  <c r="E56" i="6" s="1"/>
  <c r="M12" i="5"/>
  <c r="F10" i="6" s="1"/>
  <c r="F95" i="6" s="1"/>
  <c r="L44" i="5"/>
  <c r="E57" i="6" s="1"/>
  <c r="K49" i="5"/>
  <c r="D62" i="6" s="1"/>
  <c r="N3" i="5"/>
  <c r="M34" i="5"/>
  <c r="N33" i="5"/>
  <c r="E115" i="6" l="1"/>
  <c r="E112" i="6"/>
  <c r="BD14" i="5"/>
  <c r="AV12" i="6"/>
  <c r="BD13" i="5"/>
  <c r="AV11" i="6"/>
  <c r="AA28" i="5"/>
  <c r="S26" i="6"/>
  <c r="S111" i="6" s="1"/>
  <c r="L22" i="5"/>
  <c r="E20" i="6" s="1"/>
  <c r="E105" i="6" s="1"/>
  <c r="L26" i="5"/>
  <c r="E24" i="6" s="1"/>
  <c r="E109" i="6" s="1"/>
  <c r="D7" i="6"/>
  <c r="D6" i="6" s="1"/>
  <c r="L20" i="5"/>
  <c r="E18" i="6" s="1"/>
  <c r="E103" i="6" s="1"/>
  <c r="L18" i="5"/>
  <c r="E16" i="6" s="1"/>
  <c r="E101" i="6" s="1"/>
  <c r="L17" i="5"/>
  <c r="E15" i="6" s="1"/>
  <c r="E100" i="6" s="1"/>
  <c r="L21" i="5"/>
  <c r="E19" i="6" s="1"/>
  <c r="E104" i="6" s="1"/>
  <c r="L16" i="5"/>
  <c r="E14" i="6" s="1"/>
  <c r="E99" i="6" s="1"/>
  <c r="L30" i="5"/>
  <c r="E28" i="6" s="1"/>
  <c r="E113" i="6" s="1"/>
  <c r="L31" i="5"/>
  <c r="E29" i="6" s="1"/>
  <c r="E114" i="6" s="1"/>
  <c r="L23" i="5"/>
  <c r="E21" i="6" s="1"/>
  <c r="E106" i="6" s="1"/>
  <c r="L19" i="5"/>
  <c r="E17" i="6" s="1"/>
  <c r="E102" i="6" s="1"/>
  <c r="L29" i="5"/>
  <c r="E27" i="6" s="1"/>
  <c r="L27" i="5"/>
  <c r="E25" i="6" s="1"/>
  <c r="E110" i="6" s="1"/>
  <c r="L25" i="5"/>
  <c r="E23" i="6" s="1"/>
  <c r="E108" i="6" s="1"/>
  <c r="F108" i="6" s="1"/>
  <c r="L24" i="5"/>
  <c r="E22" i="6" s="1"/>
  <c r="E107" i="6" s="1"/>
  <c r="L15" i="5"/>
  <c r="E13" i="6" s="1"/>
  <c r="E98" i="6" s="1"/>
  <c r="M35" i="5"/>
  <c r="M25" i="5" s="1"/>
  <c r="F23" i="6" s="1"/>
  <c r="N9" i="5"/>
  <c r="N10" i="5" s="1"/>
  <c r="K37" i="5"/>
  <c r="L42" i="5"/>
  <c r="E55" i="6" s="1"/>
  <c r="N12" i="5"/>
  <c r="G10" i="6" s="1"/>
  <c r="G95" i="6" s="1"/>
  <c r="L49" i="5"/>
  <c r="E62" i="6" s="1"/>
  <c r="L36" i="5"/>
  <c r="M44" i="5"/>
  <c r="F57" i="6" s="1"/>
  <c r="N34" i="5"/>
  <c r="O33" i="5"/>
  <c r="M43" i="5"/>
  <c r="F56" i="6" s="1"/>
  <c r="O3" i="5"/>
  <c r="F113" i="6" l="1"/>
  <c r="BE13" i="5"/>
  <c r="AW11" i="6"/>
  <c r="BE14" i="5"/>
  <c r="AW12" i="6"/>
  <c r="M22" i="5"/>
  <c r="F20" i="6" s="1"/>
  <c r="F105" i="6" s="1"/>
  <c r="M32" i="5"/>
  <c r="F30" i="6" s="1"/>
  <c r="F115" i="6" s="1"/>
  <c r="M17" i="5"/>
  <c r="F15" i="6" s="1"/>
  <c r="F100" i="6" s="1"/>
  <c r="G100" i="6" s="1"/>
  <c r="M18" i="5"/>
  <c r="F16" i="6" s="1"/>
  <c r="F101" i="6" s="1"/>
  <c r="AB28" i="5"/>
  <c r="T26" i="6"/>
  <c r="T111" i="6" s="1"/>
  <c r="M15" i="5"/>
  <c r="F13" i="6" s="1"/>
  <c r="F98" i="6" s="1"/>
  <c r="M26" i="5"/>
  <c r="F24" i="6" s="1"/>
  <c r="F109" i="6" s="1"/>
  <c r="M24" i="5"/>
  <c r="F22" i="6" s="1"/>
  <c r="F107" i="6" s="1"/>
  <c r="M31" i="5"/>
  <c r="F29" i="6" s="1"/>
  <c r="F114" i="6" s="1"/>
  <c r="M21" i="5"/>
  <c r="F19" i="6" s="1"/>
  <c r="F104" i="6" s="1"/>
  <c r="M20" i="5"/>
  <c r="F18" i="6" s="1"/>
  <c r="F103" i="6" s="1"/>
  <c r="M27" i="5"/>
  <c r="F25" i="6" s="1"/>
  <c r="F110" i="6" s="1"/>
  <c r="M16" i="5"/>
  <c r="F14" i="6" s="1"/>
  <c r="F99" i="6" s="1"/>
  <c r="M23" i="5"/>
  <c r="F21" i="6" s="1"/>
  <c r="F106" i="6" s="1"/>
  <c r="M30" i="5"/>
  <c r="F28" i="6" s="1"/>
  <c r="E7" i="6"/>
  <c r="E6" i="6" s="1"/>
  <c r="M29" i="5"/>
  <c r="F27" i="6" s="1"/>
  <c r="F112" i="6" s="1"/>
  <c r="M19" i="5"/>
  <c r="F17" i="6" s="1"/>
  <c r="F102" i="6" s="1"/>
  <c r="N35" i="5"/>
  <c r="N17" i="5" s="1"/>
  <c r="G15" i="6" s="1"/>
  <c r="O9" i="5"/>
  <c r="O10" i="5" s="1"/>
  <c r="O12" i="5"/>
  <c r="H10" i="6" s="1"/>
  <c r="H95" i="6" s="1"/>
  <c r="M36" i="5"/>
  <c r="M49" i="5"/>
  <c r="F62" i="6" s="1"/>
  <c r="L37" i="5"/>
  <c r="N44" i="5"/>
  <c r="G57" i="6" s="1"/>
  <c r="P3" i="5"/>
  <c r="M42" i="5"/>
  <c r="F55" i="6" s="1"/>
  <c r="N43" i="5"/>
  <c r="G56" i="6" s="1"/>
  <c r="O34" i="5"/>
  <c r="P33" i="5"/>
  <c r="BF14" i="5" l="1"/>
  <c r="AX12" i="6"/>
  <c r="BF13" i="5"/>
  <c r="AX11" i="6"/>
  <c r="N31" i="5"/>
  <c r="G29" i="6" s="1"/>
  <c r="G114" i="6" s="1"/>
  <c r="N29" i="5"/>
  <c r="G27" i="6" s="1"/>
  <c r="G112" i="6" s="1"/>
  <c r="N25" i="5"/>
  <c r="G23" i="6" s="1"/>
  <c r="G108" i="6" s="1"/>
  <c r="N21" i="5"/>
  <c r="G19" i="6" s="1"/>
  <c r="G104" i="6" s="1"/>
  <c r="F7" i="6"/>
  <c r="F6" i="6" s="1"/>
  <c r="AC28" i="5"/>
  <c r="U26" i="6"/>
  <c r="U111" i="6" s="1"/>
  <c r="N24" i="5"/>
  <c r="G22" i="6" s="1"/>
  <c r="G107" i="6" s="1"/>
  <c r="N32" i="5"/>
  <c r="G30" i="6" s="1"/>
  <c r="G115" i="6" s="1"/>
  <c r="N15" i="5"/>
  <c r="G13" i="6" s="1"/>
  <c r="G98" i="6" s="1"/>
  <c r="N20" i="5"/>
  <c r="G18" i="6" s="1"/>
  <c r="G103" i="6" s="1"/>
  <c r="N22" i="5"/>
  <c r="G20" i="6" s="1"/>
  <c r="G105" i="6" s="1"/>
  <c r="N23" i="5"/>
  <c r="G21" i="6" s="1"/>
  <c r="G106" i="6" s="1"/>
  <c r="N27" i="5"/>
  <c r="G25" i="6" s="1"/>
  <c r="G110" i="6" s="1"/>
  <c r="N26" i="5"/>
  <c r="G24" i="6" s="1"/>
  <c r="G109" i="6" s="1"/>
  <c r="H109" i="6" s="1"/>
  <c r="N30" i="5"/>
  <c r="G28" i="6" s="1"/>
  <c r="G113" i="6" s="1"/>
  <c r="N19" i="5"/>
  <c r="G17" i="6" s="1"/>
  <c r="G102" i="6" s="1"/>
  <c r="N16" i="5"/>
  <c r="G14" i="6" s="1"/>
  <c r="G99" i="6" s="1"/>
  <c r="N18" i="5"/>
  <c r="G16" i="6" s="1"/>
  <c r="G101" i="6" s="1"/>
  <c r="O35" i="5"/>
  <c r="O26" i="5" s="1"/>
  <c r="H24" i="6" s="1"/>
  <c r="P9" i="5"/>
  <c r="P10" i="5" s="1"/>
  <c r="M37" i="5"/>
  <c r="P12" i="5"/>
  <c r="I10" i="6" s="1"/>
  <c r="I95" i="6" s="1"/>
  <c r="N36" i="5"/>
  <c r="N49" i="5"/>
  <c r="G62" i="6" s="1"/>
  <c r="O43" i="5"/>
  <c r="H56" i="6" s="1"/>
  <c r="N42" i="5"/>
  <c r="G55" i="6" s="1"/>
  <c r="Q3" i="5"/>
  <c r="P34" i="5"/>
  <c r="Q33" i="5"/>
  <c r="O44" i="5"/>
  <c r="H57" i="6" s="1"/>
  <c r="BG13" i="5" l="1"/>
  <c r="AY11" i="6"/>
  <c r="BG14" i="5"/>
  <c r="AY12" i="6"/>
  <c r="AD28" i="5"/>
  <c r="V26" i="6"/>
  <c r="V111" i="6" s="1"/>
  <c r="O31" i="5"/>
  <c r="H29" i="6" s="1"/>
  <c r="H114" i="6" s="1"/>
  <c r="O32" i="5"/>
  <c r="H30" i="6" s="1"/>
  <c r="H115" i="6" s="1"/>
  <c r="O17" i="5"/>
  <c r="H15" i="6" s="1"/>
  <c r="H100" i="6" s="1"/>
  <c r="G7" i="6"/>
  <c r="G6" i="6" s="1"/>
  <c r="O15" i="5"/>
  <c r="H13" i="6" s="1"/>
  <c r="H98" i="6" s="1"/>
  <c r="O30" i="5"/>
  <c r="H28" i="6" s="1"/>
  <c r="H113" i="6" s="1"/>
  <c r="O21" i="5"/>
  <c r="H19" i="6" s="1"/>
  <c r="H104" i="6" s="1"/>
  <c r="O18" i="5"/>
  <c r="H16" i="6" s="1"/>
  <c r="H101" i="6" s="1"/>
  <c r="O24" i="5"/>
  <c r="H22" i="6" s="1"/>
  <c r="H107" i="6" s="1"/>
  <c r="O25" i="5"/>
  <c r="H23" i="6" s="1"/>
  <c r="H108" i="6" s="1"/>
  <c r="O16" i="5"/>
  <c r="H14" i="6" s="1"/>
  <c r="H99" i="6" s="1"/>
  <c r="O20" i="5"/>
  <c r="H18" i="6" s="1"/>
  <c r="H103" i="6" s="1"/>
  <c r="O22" i="5"/>
  <c r="H20" i="6" s="1"/>
  <c r="H105" i="6" s="1"/>
  <c r="O19" i="5"/>
  <c r="H17" i="6" s="1"/>
  <c r="H102" i="6" s="1"/>
  <c r="O27" i="5"/>
  <c r="H25" i="6" s="1"/>
  <c r="H110" i="6" s="1"/>
  <c r="O29" i="5"/>
  <c r="H27" i="6" s="1"/>
  <c r="H112" i="6" s="1"/>
  <c r="I112" i="6" s="1"/>
  <c r="O23" i="5"/>
  <c r="H21" i="6" s="1"/>
  <c r="H106" i="6" s="1"/>
  <c r="P35" i="5"/>
  <c r="P29" i="5" s="1"/>
  <c r="I27" i="6" s="1"/>
  <c r="Q9" i="5"/>
  <c r="Q10" i="5" s="1"/>
  <c r="N37" i="5"/>
  <c r="Q12" i="5"/>
  <c r="J10" i="6" s="1"/>
  <c r="J95" i="6" s="1"/>
  <c r="O36" i="5"/>
  <c r="O49" i="5"/>
  <c r="H62" i="6" s="1"/>
  <c r="R3" i="5"/>
  <c r="P44" i="5"/>
  <c r="I57" i="6" s="1"/>
  <c r="P43" i="5"/>
  <c r="I56" i="6" s="1"/>
  <c r="O42" i="5"/>
  <c r="H55" i="6" s="1"/>
  <c r="R33" i="5"/>
  <c r="Q34" i="5"/>
  <c r="I102" i="6" l="1"/>
  <c r="I100" i="6"/>
  <c r="BH14" i="5"/>
  <c r="BA12" i="6" s="1"/>
  <c r="AZ12" i="6"/>
  <c r="BH13" i="5"/>
  <c r="BA11" i="6" s="1"/>
  <c r="AZ11" i="6"/>
  <c r="P16" i="5"/>
  <c r="I14" i="6" s="1"/>
  <c r="I99" i="6" s="1"/>
  <c r="P21" i="5"/>
  <c r="I19" i="6" s="1"/>
  <c r="I104" i="6" s="1"/>
  <c r="P19" i="5"/>
  <c r="I17" i="6" s="1"/>
  <c r="P27" i="5"/>
  <c r="I25" i="6" s="1"/>
  <c r="I110" i="6" s="1"/>
  <c r="P36" i="5"/>
  <c r="P30" i="5"/>
  <c r="I28" i="6" s="1"/>
  <c r="I113" i="6" s="1"/>
  <c r="AE28" i="5"/>
  <c r="W26" i="6"/>
  <c r="W111" i="6" s="1"/>
  <c r="P15" i="5"/>
  <c r="I13" i="6" s="1"/>
  <c r="I98" i="6" s="1"/>
  <c r="P31" i="5"/>
  <c r="I29" i="6" s="1"/>
  <c r="I114" i="6" s="1"/>
  <c r="P24" i="5"/>
  <c r="I22" i="6" s="1"/>
  <c r="I107" i="6" s="1"/>
  <c r="P23" i="5"/>
  <c r="I21" i="6" s="1"/>
  <c r="I106" i="6" s="1"/>
  <c r="J106" i="6" s="1"/>
  <c r="P25" i="5"/>
  <c r="I23" i="6" s="1"/>
  <c r="I108" i="6" s="1"/>
  <c r="H7" i="6"/>
  <c r="H6" i="6" s="1"/>
  <c r="P20" i="5"/>
  <c r="I18" i="6" s="1"/>
  <c r="I103" i="6" s="1"/>
  <c r="P26" i="5"/>
  <c r="I24" i="6" s="1"/>
  <c r="I109" i="6" s="1"/>
  <c r="P17" i="5"/>
  <c r="I15" i="6" s="1"/>
  <c r="P22" i="5"/>
  <c r="I20" i="6" s="1"/>
  <c r="I105" i="6" s="1"/>
  <c r="P18" i="5"/>
  <c r="I16" i="6" s="1"/>
  <c r="I101" i="6" s="1"/>
  <c r="P32" i="5"/>
  <c r="I30" i="6" s="1"/>
  <c r="I115" i="6" s="1"/>
  <c r="Q35" i="5"/>
  <c r="Q23" i="5" s="1"/>
  <c r="J21" i="6" s="1"/>
  <c r="R9" i="5"/>
  <c r="R10" i="5" s="1"/>
  <c r="O37" i="5"/>
  <c r="R12" i="5"/>
  <c r="K10" i="6" s="1"/>
  <c r="K95" i="6" s="1"/>
  <c r="P49" i="5"/>
  <c r="I62" i="6" s="1"/>
  <c r="Q44" i="5"/>
  <c r="J57" i="6" s="1"/>
  <c r="Q43" i="5"/>
  <c r="J56" i="6" s="1"/>
  <c r="P42" i="5"/>
  <c r="I55" i="6" s="1"/>
  <c r="S3" i="5"/>
  <c r="S33" i="5"/>
  <c r="R34" i="5"/>
  <c r="J100" i="6" l="1"/>
  <c r="AF28" i="5"/>
  <c r="X26" i="6"/>
  <c r="X111" i="6" s="1"/>
  <c r="Q16" i="5"/>
  <c r="J14" i="6" s="1"/>
  <c r="J99" i="6" s="1"/>
  <c r="R35" i="5"/>
  <c r="R31" i="5" s="1"/>
  <c r="K29" i="6" s="1"/>
  <c r="Q22" i="5"/>
  <c r="J20" i="6" s="1"/>
  <c r="J105" i="6" s="1"/>
  <c r="K105" i="6" s="1"/>
  <c r="Q24" i="5"/>
  <c r="J22" i="6" s="1"/>
  <c r="J107" i="6" s="1"/>
  <c r="Q17" i="5"/>
  <c r="J15" i="6" s="1"/>
  <c r="Q31" i="5"/>
  <c r="J29" i="6" s="1"/>
  <c r="J114" i="6" s="1"/>
  <c r="Q21" i="5"/>
  <c r="J19" i="6" s="1"/>
  <c r="J104" i="6" s="1"/>
  <c r="I7" i="6"/>
  <c r="I6" i="6" s="1"/>
  <c r="Q29" i="5"/>
  <c r="J27" i="6" s="1"/>
  <c r="J112" i="6" s="1"/>
  <c r="Q30" i="5"/>
  <c r="J28" i="6" s="1"/>
  <c r="J113" i="6" s="1"/>
  <c r="Q20" i="5"/>
  <c r="J18" i="6" s="1"/>
  <c r="J103" i="6" s="1"/>
  <c r="Q27" i="5"/>
  <c r="J25" i="6" s="1"/>
  <c r="J110" i="6" s="1"/>
  <c r="K110" i="6" s="1"/>
  <c r="Q32" i="5"/>
  <c r="J30" i="6" s="1"/>
  <c r="J115" i="6" s="1"/>
  <c r="Q18" i="5"/>
  <c r="J16" i="6" s="1"/>
  <c r="J101" i="6" s="1"/>
  <c r="Q15" i="5"/>
  <c r="J13" i="6" s="1"/>
  <c r="J98" i="6" s="1"/>
  <c r="Q26" i="5"/>
  <c r="J24" i="6" s="1"/>
  <c r="J109" i="6" s="1"/>
  <c r="Q19" i="5"/>
  <c r="J17" i="6" s="1"/>
  <c r="J102" i="6" s="1"/>
  <c r="Q25" i="5"/>
  <c r="J23" i="6" s="1"/>
  <c r="J108" i="6" s="1"/>
  <c r="S9" i="5"/>
  <c r="S10" i="5" s="1"/>
  <c r="R27" i="5"/>
  <c r="K25" i="6" s="1"/>
  <c r="R22" i="5"/>
  <c r="K20" i="6" s="1"/>
  <c r="R17" i="5"/>
  <c r="K15" i="6" s="1"/>
  <c r="P37" i="5"/>
  <c r="S12" i="5"/>
  <c r="L10" i="6" s="1"/>
  <c r="L95" i="6" s="1"/>
  <c r="Q49" i="5"/>
  <c r="J62" i="6" s="1"/>
  <c r="T33" i="5"/>
  <c r="S34" i="5"/>
  <c r="R44" i="5"/>
  <c r="Q36" i="5"/>
  <c r="R43" i="5"/>
  <c r="K56" i="6" s="1"/>
  <c r="Q42" i="5"/>
  <c r="J55" i="6" s="1"/>
  <c r="K100" i="6" l="1"/>
  <c r="K114" i="6"/>
  <c r="K101" i="6"/>
  <c r="R25" i="5"/>
  <c r="K23" i="6" s="1"/>
  <c r="K108" i="6" s="1"/>
  <c r="R24" i="5"/>
  <c r="K22" i="6" s="1"/>
  <c r="K107" i="6" s="1"/>
  <c r="R19" i="5"/>
  <c r="K17" i="6" s="1"/>
  <c r="K102" i="6" s="1"/>
  <c r="R29" i="5"/>
  <c r="K27" i="6" s="1"/>
  <c r="K112" i="6" s="1"/>
  <c r="R21" i="5"/>
  <c r="K19" i="6" s="1"/>
  <c r="K104" i="6" s="1"/>
  <c r="R32" i="5"/>
  <c r="K30" i="6" s="1"/>
  <c r="K115" i="6" s="1"/>
  <c r="L115" i="6" s="1"/>
  <c r="R18" i="5"/>
  <c r="K16" i="6" s="1"/>
  <c r="R23" i="5"/>
  <c r="K21" i="6" s="1"/>
  <c r="K106" i="6" s="1"/>
  <c r="R15" i="5"/>
  <c r="K13" i="6" s="1"/>
  <c r="K98" i="6" s="1"/>
  <c r="R30" i="5"/>
  <c r="K28" i="6" s="1"/>
  <c r="K113" i="6" s="1"/>
  <c r="R26" i="5"/>
  <c r="K24" i="6" s="1"/>
  <c r="K109" i="6" s="1"/>
  <c r="R20" i="5"/>
  <c r="K18" i="6" s="1"/>
  <c r="K103" i="6" s="1"/>
  <c r="R16" i="5"/>
  <c r="K14" i="6" s="1"/>
  <c r="K99" i="6" s="1"/>
  <c r="AG28" i="5"/>
  <c r="Y26" i="6"/>
  <c r="Y111" i="6" s="1"/>
  <c r="J7" i="6"/>
  <c r="J6" i="6" s="1"/>
  <c r="S35" i="5"/>
  <c r="S32" i="5" s="1"/>
  <c r="L30" i="6" s="1"/>
  <c r="T9" i="5"/>
  <c r="T10" i="5" s="1"/>
  <c r="R36" i="5"/>
  <c r="T12" i="5"/>
  <c r="M10" i="6" s="1"/>
  <c r="M95" i="6" s="1"/>
  <c r="S44" i="5"/>
  <c r="L57" i="6" s="1"/>
  <c r="K57" i="6"/>
  <c r="R49" i="5"/>
  <c r="K62" i="6" s="1"/>
  <c r="U33" i="5"/>
  <c r="T34" i="5"/>
  <c r="Q37" i="5"/>
  <c r="R42" i="5"/>
  <c r="K55" i="6" s="1"/>
  <c r="S43" i="5"/>
  <c r="L56" i="6" s="1"/>
  <c r="L103" i="6" l="1"/>
  <c r="K7" i="6"/>
  <c r="K6" i="6" s="1"/>
  <c r="S22" i="5"/>
  <c r="L20" i="6" s="1"/>
  <c r="L105" i="6" s="1"/>
  <c r="S31" i="5"/>
  <c r="L29" i="6" s="1"/>
  <c r="L114" i="6" s="1"/>
  <c r="S27" i="5"/>
  <c r="L25" i="6" s="1"/>
  <c r="L110" i="6" s="1"/>
  <c r="S18" i="5"/>
  <c r="L16" i="6" s="1"/>
  <c r="L101" i="6" s="1"/>
  <c r="S26" i="5"/>
  <c r="L24" i="6" s="1"/>
  <c r="L109" i="6" s="1"/>
  <c r="AH28" i="5"/>
  <c r="Z26" i="6"/>
  <c r="Z111" i="6" s="1"/>
  <c r="S20" i="5"/>
  <c r="L18" i="6" s="1"/>
  <c r="S19" i="5"/>
  <c r="L17" i="6" s="1"/>
  <c r="L102" i="6" s="1"/>
  <c r="S17" i="5"/>
  <c r="L15" i="6" s="1"/>
  <c r="L100" i="6" s="1"/>
  <c r="S15" i="5"/>
  <c r="L13" i="6" s="1"/>
  <c r="L98" i="6" s="1"/>
  <c r="S30" i="5"/>
  <c r="L28" i="6" s="1"/>
  <c r="L113" i="6" s="1"/>
  <c r="S29" i="5"/>
  <c r="L27" i="6" s="1"/>
  <c r="L112" i="6" s="1"/>
  <c r="S21" i="5"/>
  <c r="L19" i="6" s="1"/>
  <c r="L104" i="6" s="1"/>
  <c r="S24" i="5"/>
  <c r="L22" i="6" s="1"/>
  <c r="L107" i="6" s="1"/>
  <c r="S25" i="5"/>
  <c r="L23" i="6" s="1"/>
  <c r="L108" i="6" s="1"/>
  <c r="S16" i="5"/>
  <c r="L14" i="6" s="1"/>
  <c r="L99" i="6" s="1"/>
  <c r="S23" i="5"/>
  <c r="L21" i="6" s="1"/>
  <c r="L106" i="6" s="1"/>
  <c r="T35" i="5"/>
  <c r="T29" i="5" s="1"/>
  <c r="M27" i="6" s="1"/>
  <c r="U9" i="5"/>
  <c r="U10" i="5" s="1"/>
  <c r="T44" i="5"/>
  <c r="M57" i="6" s="1"/>
  <c r="U12" i="5"/>
  <c r="N10" i="6" s="1"/>
  <c r="N95" i="6" s="1"/>
  <c r="S36" i="5"/>
  <c r="R37" i="5"/>
  <c r="S49" i="5"/>
  <c r="L62" i="6" s="1"/>
  <c r="V33" i="5"/>
  <c r="U34" i="5"/>
  <c r="S42" i="5"/>
  <c r="L55" i="6" s="1"/>
  <c r="T43" i="5"/>
  <c r="M56" i="6" s="1"/>
  <c r="M112" i="6" l="1"/>
  <c r="M102" i="6"/>
  <c r="M110" i="6"/>
  <c r="T24" i="5"/>
  <c r="M22" i="6" s="1"/>
  <c r="M107" i="6" s="1"/>
  <c r="T15" i="5"/>
  <c r="M13" i="6" s="1"/>
  <c r="M98" i="6" s="1"/>
  <c r="AI28" i="5"/>
  <c r="AA26" i="6"/>
  <c r="AA111" i="6" s="1"/>
  <c r="L7" i="6"/>
  <c r="L6" i="6" s="1"/>
  <c r="T23" i="5"/>
  <c r="M21" i="6" s="1"/>
  <c r="M106" i="6" s="1"/>
  <c r="T19" i="5"/>
  <c r="M17" i="6" s="1"/>
  <c r="T21" i="5"/>
  <c r="M19" i="6" s="1"/>
  <c r="M104" i="6" s="1"/>
  <c r="T26" i="5"/>
  <c r="M24" i="6" s="1"/>
  <c r="M109" i="6" s="1"/>
  <c r="T20" i="5"/>
  <c r="M18" i="6" s="1"/>
  <c r="M103" i="6" s="1"/>
  <c r="T17" i="5"/>
  <c r="M15" i="6" s="1"/>
  <c r="M100" i="6" s="1"/>
  <c r="T25" i="5"/>
  <c r="M23" i="6" s="1"/>
  <c r="M108" i="6" s="1"/>
  <c r="T31" i="5"/>
  <c r="M29" i="6" s="1"/>
  <c r="M114" i="6" s="1"/>
  <c r="T22" i="5"/>
  <c r="M20" i="6" s="1"/>
  <c r="M105" i="6" s="1"/>
  <c r="T30" i="5"/>
  <c r="M28" i="6" s="1"/>
  <c r="M113" i="6" s="1"/>
  <c r="T18" i="5"/>
  <c r="M16" i="6" s="1"/>
  <c r="M101" i="6" s="1"/>
  <c r="T16" i="5"/>
  <c r="M14" i="6" s="1"/>
  <c r="M99" i="6" s="1"/>
  <c r="T32" i="5"/>
  <c r="M30" i="6" s="1"/>
  <c r="M115" i="6" s="1"/>
  <c r="T27" i="5"/>
  <c r="M25" i="6" s="1"/>
  <c r="U35" i="5"/>
  <c r="U23" i="5" s="1"/>
  <c r="N21" i="6" s="1"/>
  <c r="V9" i="5"/>
  <c r="V10" i="5" s="1"/>
  <c r="V12" i="5"/>
  <c r="O10" i="6" s="1"/>
  <c r="O95" i="6" s="1"/>
  <c r="S37" i="5"/>
  <c r="T49" i="5"/>
  <c r="M62" i="6" s="1"/>
  <c r="T42" i="5"/>
  <c r="M55" i="6" s="1"/>
  <c r="U43" i="5"/>
  <c r="N56" i="6" s="1"/>
  <c r="W33" i="5"/>
  <c r="V34" i="5"/>
  <c r="T36" i="5"/>
  <c r="U44" i="5"/>
  <c r="N57" i="6" s="1"/>
  <c r="N106" i="6" l="1"/>
  <c r="U15" i="5"/>
  <c r="N13" i="6" s="1"/>
  <c r="N98" i="6" s="1"/>
  <c r="U22" i="5"/>
  <c r="N20" i="6" s="1"/>
  <c r="N105" i="6" s="1"/>
  <c r="U31" i="5"/>
  <c r="N29" i="6" s="1"/>
  <c r="N114" i="6" s="1"/>
  <c r="U19" i="5"/>
  <c r="N17" i="6" s="1"/>
  <c r="N102" i="6" s="1"/>
  <c r="U25" i="5"/>
  <c r="N23" i="6" s="1"/>
  <c r="N108" i="6" s="1"/>
  <c r="U20" i="5"/>
  <c r="N18" i="6" s="1"/>
  <c r="N103" i="6" s="1"/>
  <c r="U27" i="5"/>
  <c r="N25" i="6" s="1"/>
  <c r="N110" i="6" s="1"/>
  <c r="O110" i="6" s="1"/>
  <c r="AJ28" i="5"/>
  <c r="AB26" i="6"/>
  <c r="AB111" i="6" s="1"/>
  <c r="U17" i="5"/>
  <c r="N15" i="6" s="1"/>
  <c r="N100" i="6" s="1"/>
  <c r="U21" i="5"/>
  <c r="N19" i="6" s="1"/>
  <c r="N104" i="6" s="1"/>
  <c r="U18" i="5"/>
  <c r="N16" i="6" s="1"/>
  <c r="N101" i="6" s="1"/>
  <c r="U29" i="5"/>
  <c r="N27" i="6" s="1"/>
  <c r="N112" i="6" s="1"/>
  <c r="U26" i="5"/>
  <c r="N24" i="6" s="1"/>
  <c r="N109" i="6" s="1"/>
  <c r="U30" i="5"/>
  <c r="N28" i="6" s="1"/>
  <c r="N113" i="6" s="1"/>
  <c r="U16" i="5"/>
  <c r="N14" i="6" s="1"/>
  <c r="N99" i="6" s="1"/>
  <c r="U32" i="5"/>
  <c r="N30" i="6" s="1"/>
  <c r="N115" i="6" s="1"/>
  <c r="U24" i="5"/>
  <c r="N22" i="6" s="1"/>
  <c r="N107" i="6" s="1"/>
  <c r="M7" i="6"/>
  <c r="M6" i="6" s="1"/>
  <c r="V35" i="5"/>
  <c r="V27" i="5" s="1"/>
  <c r="O25" i="6" s="1"/>
  <c r="W9" i="5"/>
  <c r="W10" i="5" s="1"/>
  <c r="W12" i="5"/>
  <c r="P10" i="6" s="1"/>
  <c r="P95" i="6" s="1"/>
  <c r="U49" i="5"/>
  <c r="N62" i="6" s="1"/>
  <c r="T37" i="5"/>
  <c r="U36" i="5"/>
  <c r="X33" i="5"/>
  <c r="W34" i="5"/>
  <c r="U42" i="5"/>
  <c r="N55" i="6" s="1"/>
  <c r="V43" i="5"/>
  <c r="O56" i="6" s="1"/>
  <c r="V44" i="5"/>
  <c r="O57" i="6" s="1"/>
  <c r="O100" i="6" l="1"/>
  <c r="O101" i="6"/>
  <c r="O112" i="6"/>
  <c r="N7" i="6"/>
  <c r="N6" i="6" s="1"/>
  <c r="AK28" i="5"/>
  <c r="AC26" i="6"/>
  <c r="AC111" i="6" s="1"/>
  <c r="V15" i="5"/>
  <c r="O13" i="6" s="1"/>
  <c r="O98" i="6" s="1"/>
  <c r="V25" i="5"/>
  <c r="O23" i="6" s="1"/>
  <c r="O108" i="6" s="1"/>
  <c r="V21" i="5"/>
  <c r="O19" i="6" s="1"/>
  <c r="O104" i="6" s="1"/>
  <c r="V18" i="5"/>
  <c r="O16" i="6" s="1"/>
  <c r="V29" i="5"/>
  <c r="O27" i="6" s="1"/>
  <c r="V24" i="5"/>
  <c r="O22" i="6" s="1"/>
  <c r="O107" i="6" s="1"/>
  <c r="V30" i="5"/>
  <c r="O28" i="6" s="1"/>
  <c r="O113" i="6" s="1"/>
  <c r="V20" i="5"/>
  <c r="O18" i="6" s="1"/>
  <c r="O103" i="6" s="1"/>
  <c r="V32" i="5"/>
  <c r="O30" i="6" s="1"/>
  <c r="O115" i="6" s="1"/>
  <c r="V16" i="5"/>
  <c r="O14" i="6" s="1"/>
  <c r="O99" i="6" s="1"/>
  <c r="P99" i="6" s="1"/>
  <c r="V19" i="5"/>
  <c r="O17" i="6" s="1"/>
  <c r="O102" i="6" s="1"/>
  <c r="V22" i="5"/>
  <c r="O20" i="6" s="1"/>
  <c r="O105" i="6" s="1"/>
  <c r="V31" i="5"/>
  <c r="O29" i="6" s="1"/>
  <c r="O114" i="6" s="1"/>
  <c r="V23" i="5"/>
  <c r="O21" i="6" s="1"/>
  <c r="O106" i="6" s="1"/>
  <c r="V26" i="5"/>
  <c r="O24" i="6" s="1"/>
  <c r="O109" i="6" s="1"/>
  <c r="V17" i="5"/>
  <c r="O15" i="6" s="1"/>
  <c r="W35" i="5"/>
  <c r="W16" i="5" s="1"/>
  <c r="P14" i="6" s="1"/>
  <c r="X9" i="5"/>
  <c r="X10" i="5" s="1"/>
  <c r="V36" i="5"/>
  <c r="X12" i="5"/>
  <c r="Q10" i="6" s="1"/>
  <c r="Q95" i="6" s="1"/>
  <c r="V49" i="5"/>
  <c r="O62" i="6" s="1"/>
  <c r="W44" i="5"/>
  <c r="P57" i="6" s="1"/>
  <c r="U37" i="5"/>
  <c r="V42" i="5"/>
  <c r="O55" i="6" s="1"/>
  <c r="W43" i="5"/>
  <c r="P56" i="6" s="1"/>
  <c r="X34" i="5"/>
  <c r="Y33" i="5"/>
  <c r="AL28" i="5" l="1"/>
  <c r="AD26" i="6"/>
  <c r="AD111" i="6" s="1"/>
  <c r="W24" i="5"/>
  <c r="P22" i="6" s="1"/>
  <c r="P107" i="6" s="1"/>
  <c r="O7" i="6"/>
  <c r="O6" i="6" s="1"/>
  <c r="W27" i="5"/>
  <c r="P25" i="6" s="1"/>
  <c r="P110" i="6" s="1"/>
  <c r="W21" i="5"/>
  <c r="P19" i="6" s="1"/>
  <c r="P104" i="6" s="1"/>
  <c r="W25" i="5"/>
  <c r="P23" i="6" s="1"/>
  <c r="P108" i="6" s="1"/>
  <c r="W29" i="5"/>
  <c r="P27" i="6" s="1"/>
  <c r="P112" i="6" s="1"/>
  <c r="W26" i="5"/>
  <c r="P24" i="6" s="1"/>
  <c r="P109" i="6" s="1"/>
  <c r="W32" i="5"/>
  <c r="P30" i="6" s="1"/>
  <c r="P115" i="6" s="1"/>
  <c r="W20" i="5"/>
  <c r="P18" i="6" s="1"/>
  <c r="P103" i="6" s="1"/>
  <c r="W31" i="5"/>
  <c r="P29" i="6" s="1"/>
  <c r="P114" i="6" s="1"/>
  <c r="W15" i="5"/>
  <c r="P13" i="6" s="1"/>
  <c r="P98" i="6" s="1"/>
  <c r="W30" i="5"/>
  <c r="P28" i="6" s="1"/>
  <c r="P113" i="6" s="1"/>
  <c r="W19" i="5"/>
  <c r="P17" i="6" s="1"/>
  <c r="P102" i="6" s="1"/>
  <c r="W17" i="5"/>
  <c r="P15" i="6" s="1"/>
  <c r="P100" i="6" s="1"/>
  <c r="W22" i="5"/>
  <c r="P20" i="6" s="1"/>
  <c r="P105" i="6" s="1"/>
  <c r="W36" i="5"/>
  <c r="W23" i="5"/>
  <c r="P21" i="6" s="1"/>
  <c r="P106" i="6" s="1"/>
  <c r="W18" i="5"/>
  <c r="P16" i="6" s="1"/>
  <c r="P101" i="6" s="1"/>
  <c r="X35" i="5"/>
  <c r="X29" i="5" s="1"/>
  <c r="Q27" i="6" s="1"/>
  <c r="Y9" i="5"/>
  <c r="Y10" i="5" s="1"/>
  <c r="V37" i="5"/>
  <c r="Y12" i="5"/>
  <c r="R10" i="6" s="1"/>
  <c r="R95" i="6" s="1"/>
  <c r="W49" i="5"/>
  <c r="P62" i="6" s="1"/>
  <c r="X44" i="5"/>
  <c r="Q57" i="6" s="1"/>
  <c r="W42" i="5"/>
  <c r="P55" i="6" s="1"/>
  <c r="X43" i="5"/>
  <c r="Q56" i="6" s="1"/>
  <c r="Y34" i="5"/>
  <c r="Z33" i="5"/>
  <c r="Q112" i="6" l="1"/>
  <c r="X32" i="5"/>
  <c r="Q30" i="6" s="1"/>
  <c r="Q115" i="6" s="1"/>
  <c r="X20" i="5"/>
  <c r="Q18" i="6" s="1"/>
  <c r="Q103" i="6" s="1"/>
  <c r="X18" i="5"/>
  <c r="Q16" i="6" s="1"/>
  <c r="Q101" i="6" s="1"/>
  <c r="X22" i="5"/>
  <c r="Q20" i="6" s="1"/>
  <c r="Q105" i="6" s="1"/>
  <c r="AM28" i="5"/>
  <c r="AE26" i="6"/>
  <c r="AE111" i="6" s="1"/>
  <c r="X16" i="5"/>
  <c r="Q14" i="6" s="1"/>
  <c r="Q99" i="6" s="1"/>
  <c r="X31" i="5"/>
  <c r="Q29" i="6" s="1"/>
  <c r="Q114" i="6" s="1"/>
  <c r="X15" i="5"/>
  <c r="Q13" i="6" s="1"/>
  <c r="Q98" i="6" s="1"/>
  <c r="R98" i="6" s="1"/>
  <c r="X19" i="5"/>
  <c r="Q17" i="6" s="1"/>
  <c r="Q102" i="6" s="1"/>
  <c r="X17" i="5"/>
  <c r="Q15" i="6" s="1"/>
  <c r="Q100" i="6" s="1"/>
  <c r="X21" i="5"/>
  <c r="Q19" i="6" s="1"/>
  <c r="Q104" i="6" s="1"/>
  <c r="X23" i="5"/>
  <c r="Q21" i="6" s="1"/>
  <c r="Q106" i="6" s="1"/>
  <c r="X26" i="5"/>
  <c r="Q24" i="6" s="1"/>
  <c r="Q109" i="6" s="1"/>
  <c r="P7" i="6"/>
  <c r="P6" i="6" s="1"/>
  <c r="X24" i="5"/>
  <c r="Q22" i="6" s="1"/>
  <c r="Q107" i="6" s="1"/>
  <c r="X25" i="5"/>
  <c r="Q23" i="6" s="1"/>
  <c r="Q108" i="6" s="1"/>
  <c r="W37" i="5"/>
  <c r="X30" i="5"/>
  <c r="Q28" i="6" s="1"/>
  <c r="Q113" i="6" s="1"/>
  <c r="X27" i="5"/>
  <c r="Q25" i="6" s="1"/>
  <c r="Q110" i="6" s="1"/>
  <c r="Y35" i="5"/>
  <c r="Y15" i="5" s="1"/>
  <c r="R13" i="6" s="1"/>
  <c r="Z9" i="5"/>
  <c r="Z10" i="5" s="1"/>
  <c r="Z12" i="5"/>
  <c r="S10" i="6" s="1"/>
  <c r="S95" i="6" s="1"/>
  <c r="X49" i="5"/>
  <c r="Q62" i="6" s="1"/>
  <c r="X42" i="5"/>
  <c r="Q55" i="6" s="1"/>
  <c r="Y43" i="5"/>
  <c r="R56" i="6" s="1"/>
  <c r="X36" i="5"/>
  <c r="Z34" i="5"/>
  <c r="AA33" i="5"/>
  <c r="Y44" i="5"/>
  <c r="R57" i="6" s="1"/>
  <c r="R115" i="6" l="1"/>
  <c r="Y24" i="5"/>
  <c r="R22" i="6" s="1"/>
  <c r="R107" i="6" s="1"/>
  <c r="Y31" i="5"/>
  <c r="R29" i="6" s="1"/>
  <c r="R114" i="6" s="1"/>
  <c r="Y30" i="5"/>
  <c r="R28" i="6" s="1"/>
  <c r="R113" i="6" s="1"/>
  <c r="S113" i="6" s="1"/>
  <c r="Y20" i="5"/>
  <c r="R18" i="6" s="1"/>
  <c r="R103" i="6" s="1"/>
  <c r="Y26" i="5"/>
  <c r="R24" i="6" s="1"/>
  <c r="R109" i="6" s="1"/>
  <c r="AN28" i="5"/>
  <c r="AF26" i="6"/>
  <c r="AF111" i="6" s="1"/>
  <c r="Y32" i="5"/>
  <c r="R30" i="6" s="1"/>
  <c r="Y18" i="5"/>
  <c r="R16" i="6" s="1"/>
  <c r="R101" i="6" s="1"/>
  <c r="Q7" i="6"/>
  <c r="Q6" i="6" s="1"/>
  <c r="Y16" i="5"/>
  <c r="R14" i="6" s="1"/>
  <c r="R99" i="6" s="1"/>
  <c r="Y27" i="5"/>
  <c r="R25" i="6" s="1"/>
  <c r="R110" i="6" s="1"/>
  <c r="Y22" i="5"/>
  <c r="R20" i="6" s="1"/>
  <c r="R105" i="6" s="1"/>
  <c r="Y21" i="5"/>
  <c r="R19" i="6" s="1"/>
  <c r="R104" i="6" s="1"/>
  <c r="Y17" i="5"/>
  <c r="R15" i="6" s="1"/>
  <c r="R100" i="6" s="1"/>
  <c r="Y25" i="5"/>
  <c r="R23" i="6" s="1"/>
  <c r="R108" i="6" s="1"/>
  <c r="Y23" i="5"/>
  <c r="R21" i="6" s="1"/>
  <c r="R106" i="6" s="1"/>
  <c r="Y29" i="5"/>
  <c r="R27" i="6" s="1"/>
  <c r="R112" i="6" s="1"/>
  <c r="Y19" i="5"/>
  <c r="R17" i="6" s="1"/>
  <c r="R102" i="6" s="1"/>
  <c r="Z35" i="5"/>
  <c r="Z30" i="5" s="1"/>
  <c r="S28" i="6" s="1"/>
  <c r="AA9" i="5"/>
  <c r="AA10" i="5" s="1"/>
  <c r="AA12" i="5"/>
  <c r="T10" i="6" s="1"/>
  <c r="T95" i="6" s="1"/>
  <c r="Y49" i="5"/>
  <c r="R62" i="6" s="1"/>
  <c r="X37" i="5"/>
  <c r="AA34" i="5"/>
  <c r="AB33" i="5"/>
  <c r="Y42" i="5"/>
  <c r="R55" i="6" s="1"/>
  <c r="Z43" i="5"/>
  <c r="S56" i="6" s="1"/>
  <c r="Z44" i="5"/>
  <c r="Y36" i="5"/>
  <c r="AG26" i="6" l="1"/>
  <c r="AG111" i="6" s="1"/>
  <c r="AO28" i="5"/>
  <c r="Z31" i="5"/>
  <c r="S29" i="6" s="1"/>
  <c r="S114" i="6" s="1"/>
  <c r="Z29" i="5"/>
  <c r="S27" i="6" s="1"/>
  <c r="S112" i="6" s="1"/>
  <c r="Z18" i="5"/>
  <c r="S16" i="6" s="1"/>
  <c r="S101" i="6" s="1"/>
  <c r="Z22" i="5"/>
  <c r="S20" i="6" s="1"/>
  <c r="S105" i="6" s="1"/>
  <c r="Z17" i="5"/>
  <c r="S15" i="6" s="1"/>
  <c r="S100" i="6" s="1"/>
  <c r="T100" i="6" s="1"/>
  <c r="Z32" i="5"/>
  <c r="S30" i="6" s="1"/>
  <c r="S115" i="6" s="1"/>
  <c r="Z21" i="5"/>
  <c r="S19" i="6" s="1"/>
  <c r="S104" i="6" s="1"/>
  <c r="R7" i="6"/>
  <c r="R6" i="6" s="1"/>
  <c r="Z24" i="5"/>
  <c r="S22" i="6" s="1"/>
  <c r="S107" i="6" s="1"/>
  <c r="Z15" i="5"/>
  <c r="S13" i="6" s="1"/>
  <c r="S98" i="6" s="1"/>
  <c r="Z27" i="5"/>
  <c r="S25" i="6" s="1"/>
  <c r="S110" i="6" s="1"/>
  <c r="Z16" i="5"/>
  <c r="S14" i="6" s="1"/>
  <c r="S99" i="6" s="1"/>
  <c r="Z20" i="5"/>
  <c r="S18" i="6" s="1"/>
  <c r="S103" i="6" s="1"/>
  <c r="Z26" i="5"/>
  <c r="S24" i="6" s="1"/>
  <c r="S109" i="6" s="1"/>
  <c r="Z23" i="5"/>
  <c r="S21" i="6" s="1"/>
  <c r="S106" i="6" s="1"/>
  <c r="Z19" i="5"/>
  <c r="S17" i="6" s="1"/>
  <c r="S102" i="6" s="1"/>
  <c r="Z25" i="5"/>
  <c r="S23" i="6" s="1"/>
  <c r="S108" i="6" s="1"/>
  <c r="AA35" i="5"/>
  <c r="AA17" i="5" s="1"/>
  <c r="T15" i="6" s="1"/>
  <c r="AB9" i="5"/>
  <c r="AB10" i="5" s="1"/>
  <c r="Z36" i="5"/>
  <c r="AB12" i="5"/>
  <c r="U10" i="6" s="1"/>
  <c r="U95" i="6" s="1"/>
  <c r="AA44" i="5"/>
  <c r="T57" i="6" s="1"/>
  <c r="S57" i="6"/>
  <c r="Z49" i="5"/>
  <c r="S62" i="6" s="1"/>
  <c r="Y37" i="5"/>
  <c r="AA43" i="5"/>
  <c r="T56" i="6" s="1"/>
  <c r="Z42" i="5"/>
  <c r="S55" i="6" s="1"/>
  <c r="AB34" i="5"/>
  <c r="AC33" i="5"/>
  <c r="AP28" i="5" l="1"/>
  <c r="AH26" i="6"/>
  <c r="AH111" i="6" s="1"/>
  <c r="AA18" i="5"/>
  <c r="T16" i="6" s="1"/>
  <c r="T101" i="6" s="1"/>
  <c r="AA21" i="5"/>
  <c r="T19" i="6" s="1"/>
  <c r="T104" i="6" s="1"/>
  <c r="AA24" i="5"/>
  <c r="T22" i="6" s="1"/>
  <c r="T107" i="6" s="1"/>
  <c r="AA16" i="5"/>
  <c r="T14" i="6" s="1"/>
  <c r="T99" i="6" s="1"/>
  <c r="AA25" i="5"/>
  <c r="T23" i="6" s="1"/>
  <c r="T108" i="6" s="1"/>
  <c r="AA30" i="5"/>
  <c r="T28" i="6" s="1"/>
  <c r="T113" i="6" s="1"/>
  <c r="AA36" i="5"/>
  <c r="AA19" i="5"/>
  <c r="T17" i="6" s="1"/>
  <c r="T102" i="6" s="1"/>
  <c r="AA26" i="5"/>
  <c r="T24" i="6" s="1"/>
  <c r="T109" i="6" s="1"/>
  <c r="AA31" i="5"/>
  <c r="T29" i="6" s="1"/>
  <c r="T114" i="6" s="1"/>
  <c r="AA23" i="5"/>
  <c r="T21" i="6" s="1"/>
  <c r="T106" i="6" s="1"/>
  <c r="U106" i="6" s="1"/>
  <c r="AA20" i="5"/>
  <c r="T18" i="6" s="1"/>
  <c r="T103" i="6" s="1"/>
  <c r="AA27" i="5"/>
  <c r="T25" i="6" s="1"/>
  <c r="T110" i="6" s="1"/>
  <c r="AA15" i="5"/>
  <c r="T13" i="6" s="1"/>
  <c r="T98" i="6" s="1"/>
  <c r="S7" i="6"/>
  <c r="S6" i="6" s="1"/>
  <c r="AA32" i="5"/>
  <c r="T30" i="6" s="1"/>
  <c r="T115" i="6" s="1"/>
  <c r="AA22" i="5"/>
  <c r="T20" i="6" s="1"/>
  <c r="T105" i="6" s="1"/>
  <c r="AA29" i="5"/>
  <c r="T27" i="6" s="1"/>
  <c r="T112" i="6" s="1"/>
  <c r="AB35" i="5"/>
  <c r="AB23" i="5" s="1"/>
  <c r="U21" i="6" s="1"/>
  <c r="AC9" i="5"/>
  <c r="AC10" i="5" s="1"/>
  <c r="Z37" i="5"/>
  <c r="AC12" i="5"/>
  <c r="V10" i="6" s="1"/>
  <c r="V95" i="6" s="1"/>
  <c r="AA49" i="5"/>
  <c r="T62" i="6" s="1"/>
  <c r="AB43" i="5"/>
  <c r="U56" i="6" s="1"/>
  <c r="AA42" i="5"/>
  <c r="T55" i="6" s="1"/>
  <c r="AB44" i="5"/>
  <c r="U57" i="6" s="1"/>
  <c r="AC34" i="5"/>
  <c r="AD33" i="5"/>
  <c r="U113" i="6" l="1"/>
  <c r="AQ28" i="5"/>
  <c r="AI26" i="6"/>
  <c r="AI111" i="6" s="1"/>
  <c r="AB25" i="5"/>
  <c r="U23" i="6" s="1"/>
  <c r="U108" i="6" s="1"/>
  <c r="V108" i="6" s="1"/>
  <c r="AB27" i="5"/>
  <c r="U25" i="6" s="1"/>
  <c r="U110" i="6" s="1"/>
  <c r="AB19" i="5"/>
  <c r="U17" i="6" s="1"/>
  <c r="U102" i="6" s="1"/>
  <c r="AB29" i="5"/>
  <c r="U27" i="6" s="1"/>
  <c r="U112" i="6" s="1"/>
  <c r="T7" i="6"/>
  <c r="T6" i="6" s="1"/>
  <c r="AB20" i="5"/>
  <c r="U18" i="6" s="1"/>
  <c r="U103" i="6" s="1"/>
  <c r="AB26" i="5"/>
  <c r="U24" i="6" s="1"/>
  <c r="U109" i="6" s="1"/>
  <c r="AB18" i="5"/>
  <c r="U16" i="6" s="1"/>
  <c r="U101" i="6" s="1"/>
  <c r="V101" i="6" s="1"/>
  <c r="AA37" i="5"/>
  <c r="AB17" i="5"/>
  <c r="U15" i="6" s="1"/>
  <c r="U100" i="6" s="1"/>
  <c r="AB24" i="5"/>
  <c r="U22" i="6" s="1"/>
  <c r="U107" i="6" s="1"/>
  <c r="AB31" i="5"/>
  <c r="U29" i="6" s="1"/>
  <c r="U114" i="6" s="1"/>
  <c r="AB32" i="5"/>
  <c r="U30" i="6" s="1"/>
  <c r="U115" i="6" s="1"/>
  <c r="AB16" i="5"/>
  <c r="U14" i="6" s="1"/>
  <c r="U99" i="6" s="1"/>
  <c r="AB15" i="5"/>
  <c r="U13" i="6" s="1"/>
  <c r="U98" i="6" s="1"/>
  <c r="AB22" i="5"/>
  <c r="U20" i="6" s="1"/>
  <c r="U105" i="6" s="1"/>
  <c r="AB21" i="5"/>
  <c r="U19" i="6" s="1"/>
  <c r="U104" i="6" s="1"/>
  <c r="AB30" i="5"/>
  <c r="U28" i="6" s="1"/>
  <c r="AC35" i="5"/>
  <c r="AC18" i="5" s="1"/>
  <c r="V16" i="6" s="1"/>
  <c r="AC25" i="5"/>
  <c r="V23" i="6" s="1"/>
  <c r="AD9" i="5"/>
  <c r="AD10" i="5" s="1"/>
  <c r="AB36" i="5"/>
  <c r="AD12" i="5"/>
  <c r="W10" i="6" s="1"/>
  <c r="W95" i="6" s="1"/>
  <c r="AB49" i="5"/>
  <c r="U62" i="6" s="1"/>
  <c r="AC44" i="5"/>
  <c r="V57" i="6" s="1"/>
  <c r="AC43" i="5"/>
  <c r="V56" i="6" s="1"/>
  <c r="AB42" i="5"/>
  <c r="U55" i="6" s="1"/>
  <c r="AD34" i="5"/>
  <c r="AE33" i="5"/>
  <c r="AC29" i="5" l="1"/>
  <c r="V27" i="6" s="1"/>
  <c r="V112" i="6" s="1"/>
  <c r="AC27" i="5"/>
  <c r="V25" i="6" s="1"/>
  <c r="V110" i="6" s="1"/>
  <c r="AR28" i="5"/>
  <c r="AJ26" i="6"/>
  <c r="AJ111" i="6" s="1"/>
  <c r="AC22" i="5"/>
  <c r="V20" i="6" s="1"/>
  <c r="V105" i="6" s="1"/>
  <c r="AC31" i="5"/>
  <c r="V29" i="6" s="1"/>
  <c r="V114" i="6" s="1"/>
  <c r="AC30" i="5"/>
  <c r="V28" i="6" s="1"/>
  <c r="V113" i="6" s="1"/>
  <c r="AC19" i="5"/>
  <c r="V17" i="6" s="1"/>
  <c r="V102" i="6" s="1"/>
  <c r="AC23" i="5"/>
  <c r="V21" i="6" s="1"/>
  <c r="V106" i="6" s="1"/>
  <c r="U7" i="6"/>
  <c r="U6" i="6" s="1"/>
  <c r="AC26" i="5"/>
  <c r="V24" i="6" s="1"/>
  <c r="V109" i="6" s="1"/>
  <c r="AC17" i="5"/>
  <c r="V15" i="6" s="1"/>
  <c r="V100" i="6" s="1"/>
  <c r="AC24" i="5"/>
  <c r="V22" i="6" s="1"/>
  <c r="V107" i="6" s="1"/>
  <c r="AC20" i="5"/>
  <c r="V18" i="6" s="1"/>
  <c r="V103" i="6" s="1"/>
  <c r="AC15" i="5"/>
  <c r="V13" i="6" s="1"/>
  <c r="V98" i="6" s="1"/>
  <c r="AC21" i="5"/>
  <c r="V19" i="6" s="1"/>
  <c r="V104" i="6" s="1"/>
  <c r="AC32" i="5"/>
  <c r="V30" i="6" s="1"/>
  <c r="V115" i="6" s="1"/>
  <c r="AC16" i="5"/>
  <c r="V14" i="6" s="1"/>
  <c r="V99" i="6" s="1"/>
  <c r="AD35" i="5"/>
  <c r="AD22" i="5" s="1"/>
  <c r="W20" i="6" s="1"/>
  <c r="AE9" i="5"/>
  <c r="AE10" i="5" s="1"/>
  <c r="AB37" i="5"/>
  <c r="AC36" i="5"/>
  <c r="AE12" i="5"/>
  <c r="X10" i="6" s="1"/>
  <c r="X95" i="6" s="1"/>
  <c r="AC49" i="5"/>
  <c r="V62" i="6" s="1"/>
  <c r="AD44" i="5"/>
  <c r="W57" i="6" s="1"/>
  <c r="AF33" i="5"/>
  <c r="AE34" i="5"/>
  <c r="AD43" i="5"/>
  <c r="W56" i="6" s="1"/>
  <c r="AC42" i="5"/>
  <c r="V55" i="6" s="1"/>
  <c r="W105" i="6" l="1"/>
  <c r="W107" i="6"/>
  <c r="AS28" i="5"/>
  <c r="AK26" i="6"/>
  <c r="AK111" i="6" s="1"/>
  <c r="AD16" i="5"/>
  <c r="W14" i="6" s="1"/>
  <c r="W99" i="6" s="1"/>
  <c r="AD19" i="5"/>
  <c r="W17" i="6" s="1"/>
  <c r="W102" i="6" s="1"/>
  <c r="AD29" i="5"/>
  <c r="W27" i="6" s="1"/>
  <c r="W112" i="6" s="1"/>
  <c r="X112" i="6" s="1"/>
  <c r="AD31" i="5"/>
  <c r="W29" i="6" s="1"/>
  <c r="W114" i="6" s="1"/>
  <c r="AD25" i="5"/>
  <c r="W23" i="6" s="1"/>
  <c r="W108" i="6" s="1"/>
  <c r="AD27" i="5"/>
  <c r="W25" i="6" s="1"/>
  <c r="W110" i="6" s="1"/>
  <c r="AD17" i="5"/>
  <c r="W15" i="6" s="1"/>
  <c r="W100" i="6" s="1"/>
  <c r="AD24" i="5"/>
  <c r="W22" i="6" s="1"/>
  <c r="AD32" i="5"/>
  <c r="W30" i="6" s="1"/>
  <c r="W115" i="6" s="1"/>
  <c r="AD18" i="5"/>
  <c r="W16" i="6" s="1"/>
  <c r="W101" i="6" s="1"/>
  <c r="AD15" i="5"/>
  <c r="W13" i="6" s="1"/>
  <c r="W98" i="6" s="1"/>
  <c r="V7" i="6"/>
  <c r="V6" i="6" s="1"/>
  <c r="AE35" i="5"/>
  <c r="AE29" i="5" s="1"/>
  <c r="X27" i="6" s="1"/>
  <c r="AD26" i="5"/>
  <c r="W24" i="6" s="1"/>
  <c r="W109" i="6" s="1"/>
  <c r="AD30" i="5"/>
  <c r="W28" i="6" s="1"/>
  <c r="W113" i="6" s="1"/>
  <c r="AD21" i="5"/>
  <c r="W19" i="6" s="1"/>
  <c r="W104" i="6" s="1"/>
  <c r="AD20" i="5"/>
  <c r="W18" i="6" s="1"/>
  <c r="W103" i="6" s="1"/>
  <c r="AD23" i="5"/>
  <c r="W21" i="6" s="1"/>
  <c r="W106" i="6" s="1"/>
  <c r="AF9" i="5"/>
  <c r="AF10" i="5" s="1"/>
  <c r="AC37" i="5"/>
  <c r="AF12" i="5"/>
  <c r="Y10" i="6" s="1"/>
  <c r="Y95" i="6" s="1"/>
  <c r="AD49" i="5"/>
  <c r="W62" i="6" s="1"/>
  <c r="X56" i="6"/>
  <c r="AD42" i="5"/>
  <c r="W55" i="6" s="1"/>
  <c r="AD36" i="5"/>
  <c r="AG33" i="5"/>
  <c r="AF34" i="5"/>
  <c r="AE44" i="5"/>
  <c r="X98" i="6" l="1"/>
  <c r="X108" i="6"/>
  <c r="AT28" i="5"/>
  <c r="AL26" i="6"/>
  <c r="AL111" i="6" s="1"/>
  <c r="W7" i="6"/>
  <c r="W6" i="6" s="1"/>
  <c r="AE16" i="5"/>
  <c r="X14" i="6" s="1"/>
  <c r="X99" i="6" s="1"/>
  <c r="AE24" i="5"/>
  <c r="X22" i="6" s="1"/>
  <c r="X107" i="6" s="1"/>
  <c r="AE31" i="5"/>
  <c r="X29" i="6" s="1"/>
  <c r="X114" i="6" s="1"/>
  <c r="AE25" i="5"/>
  <c r="X23" i="6" s="1"/>
  <c r="AE26" i="5"/>
  <c r="X24" i="6" s="1"/>
  <c r="X109" i="6" s="1"/>
  <c r="AE15" i="5"/>
  <c r="X13" i="6" s="1"/>
  <c r="AE22" i="5"/>
  <c r="X20" i="6" s="1"/>
  <c r="X105" i="6" s="1"/>
  <c r="Y105" i="6" s="1"/>
  <c r="AE19" i="5"/>
  <c r="X17" i="6" s="1"/>
  <c r="X102" i="6" s="1"/>
  <c r="AE23" i="5"/>
  <c r="X21" i="6" s="1"/>
  <c r="X106" i="6" s="1"/>
  <c r="AE27" i="5"/>
  <c r="X25" i="6" s="1"/>
  <c r="X110" i="6" s="1"/>
  <c r="AE30" i="5"/>
  <c r="X28" i="6" s="1"/>
  <c r="X113" i="6" s="1"/>
  <c r="AE32" i="5"/>
  <c r="X30" i="6" s="1"/>
  <c r="X115" i="6" s="1"/>
  <c r="AE18" i="5"/>
  <c r="X16" i="6" s="1"/>
  <c r="X101" i="6" s="1"/>
  <c r="AE20" i="5"/>
  <c r="X18" i="6" s="1"/>
  <c r="X103" i="6" s="1"/>
  <c r="AE17" i="5"/>
  <c r="X15" i="6" s="1"/>
  <c r="X100" i="6" s="1"/>
  <c r="AE21" i="5"/>
  <c r="X19" i="6" s="1"/>
  <c r="X104" i="6" s="1"/>
  <c r="AF35" i="5"/>
  <c r="AF22" i="5" s="1"/>
  <c r="Y20" i="6" s="1"/>
  <c r="AG9" i="5"/>
  <c r="AG10" i="5" s="1"/>
  <c r="AG12" i="5"/>
  <c r="Z10" i="6" s="1"/>
  <c r="Z95" i="6" s="1"/>
  <c r="AE36" i="5"/>
  <c r="AE49" i="5"/>
  <c r="X62" i="6" s="1"/>
  <c r="AF44" i="5"/>
  <c r="Y57" i="6" s="1"/>
  <c r="X57" i="6"/>
  <c r="AG34" i="5"/>
  <c r="AH33" i="5"/>
  <c r="X55" i="6"/>
  <c r="AD37" i="5"/>
  <c r="Y56" i="6" l="1"/>
  <c r="AU28" i="5"/>
  <c r="AM26" i="6"/>
  <c r="AF31" i="5"/>
  <c r="Y29" i="6" s="1"/>
  <c r="Y114" i="6" s="1"/>
  <c r="AF26" i="5"/>
  <c r="Y24" i="6" s="1"/>
  <c r="Y109" i="6" s="1"/>
  <c r="AF18" i="5"/>
  <c r="Y16" i="6" s="1"/>
  <c r="Y101" i="6" s="1"/>
  <c r="AF30" i="5"/>
  <c r="Y28" i="6" s="1"/>
  <c r="Y113" i="6" s="1"/>
  <c r="AF19" i="5"/>
  <c r="Y17" i="6" s="1"/>
  <c r="Y102" i="6" s="1"/>
  <c r="AF25" i="5"/>
  <c r="Y23" i="6" s="1"/>
  <c r="Y108" i="6" s="1"/>
  <c r="AF20" i="5"/>
  <c r="Y18" i="6" s="1"/>
  <c r="Y103" i="6" s="1"/>
  <c r="AF27" i="5"/>
  <c r="Y25" i="6" s="1"/>
  <c r="Y110" i="6" s="1"/>
  <c r="AF21" i="5"/>
  <c r="Y19" i="6" s="1"/>
  <c r="Y104" i="6" s="1"/>
  <c r="AF17" i="5"/>
  <c r="Y15" i="6" s="1"/>
  <c r="Y100" i="6" s="1"/>
  <c r="AF23" i="5"/>
  <c r="Y21" i="6" s="1"/>
  <c r="Y106" i="6" s="1"/>
  <c r="AF32" i="5"/>
  <c r="Y30" i="6" s="1"/>
  <c r="Y115" i="6" s="1"/>
  <c r="AF29" i="5"/>
  <c r="Y27" i="6" s="1"/>
  <c r="Y112" i="6" s="1"/>
  <c r="AF16" i="5"/>
  <c r="Y14" i="6" s="1"/>
  <c r="Y99" i="6" s="1"/>
  <c r="AF15" i="5"/>
  <c r="Y13" i="6" s="1"/>
  <c r="Y98" i="6" s="1"/>
  <c r="AF24" i="5"/>
  <c r="Y22" i="6" s="1"/>
  <c r="Y107" i="6" s="1"/>
  <c r="X7" i="6"/>
  <c r="X6" i="6" s="1"/>
  <c r="AG35" i="5"/>
  <c r="AG15" i="5" s="1"/>
  <c r="Z13" i="6" s="1"/>
  <c r="AH9" i="5"/>
  <c r="AH10" i="5" s="1"/>
  <c r="AF36" i="5"/>
  <c r="AE37" i="5"/>
  <c r="AG44" i="5"/>
  <c r="Z57" i="6" s="1"/>
  <c r="AH12" i="5"/>
  <c r="AF49" i="5"/>
  <c r="Y62" i="6" s="1"/>
  <c r="Y55" i="6"/>
  <c r="Z56" i="6"/>
  <c r="AI33" i="5"/>
  <c r="AH34" i="5"/>
  <c r="Z98" i="6" l="1"/>
  <c r="Z106" i="6"/>
  <c r="AV28" i="5"/>
  <c r="AN26" i="6"/>
  <c r="AG19" i="5"/>
  <c r="Z17" i="6" s="1"/>
  <c r="Z102" i="6" s="1"/>
  <c r="Y7" i="6"/>
  <c r="Y6" i="6" s="1"/>
  <c r="AG29" i="5"/>
  <c r="Z27" i="6" s="1"/>
  <c r="Z112" i="6" s="1"/>
  <c r="AG18" i="5"/>
  <c r="Z16" i="6" s="1"/>
  <c r="Z101" i="6" s="1"/>
  <c r="AG32" i="5"/>
  <c r="Z30" i="6" s="1"/>
  <c r="Z115" i="6" s="1"/>
  <c r="AG16" i="5"/>
  <c r="Z14" i="6" s="1"/>
  <c r="Z99" i="6" s="1"/>
  <c r="AG25" i="5"/>
  <c r="Z23" i="6" s="1"/>
  <c r="Z108" i="6" s="1"/>
  <c r="AG26" i="5"/>
  <c r="Z24" i="6" s="1"/>
  <c r="Z109" i="6" s="1"/>
  <c r="AA109" i="6" s="1"/>
  <c r="AG24" i="5"/>
  <c r="Z22" i="6" s="1"/>
  <c r="Z107" i="6" s="1"/>
  <c r="AG30" i="5"/>
  <c r="Z28" i="6" s="1"/>
  <c r="Z113" i="6" s="1"/>
  <c r="AG31" i="5"/>
  <c r="Z29" i="6" s="1"/>
  <c r="Z114" i="6" s="1"/>
  <c r="AG27" i="5"/>
  <c r="Z25" i="6" s="1"/>
  <c r="Z110" i="6" s="1"/>
  <c r="AA110" i="6" s="1"/>
  <c r="AG20" i="5"/>
  <c r="Z18" i="6" s="1"/>
  <c r="Z103" i="6" s="1"/>
  <c r="AI12" i="5"/>
  <c r="AA10" i="6"/>
  <c r="AA95" i="6" s="1"/>
  <c r="AG23" i="5"/>
  <c r="Z21" i="6" s="1"/>
  <c r="AG17" i="5"/>
  <c r="Z15" i="6" s="1"/>
  <c r="Z100" i="6" s="1"/>
  <c r="AH35" i="5"/>
  <c r="AH27" i="5" s="1"/>
  <c r="AA25" i="6" s="1"/>
  <c r="AG21" i="5"/>
  <c r="Z19" i="6" s="1"/>
  <c r="Z104" i="6" s="1"/>
  <c r="AG22" i="5"/>
  <c r="Z20" i="6" s="1"/>
  <c r="Z105" i="6" s="1"/>
  <c r="AI9" i="5"/>
  <c r="AI10" i="5" s="1"/>
  <c r="AH26" i="5"/>
  <c r="AA24" i="6" s="1"/>
  <c r="AG49" i="5"/>
  <c r="Z62" i="6" s="1"/>
  <c r="AF37" i="5"/>
  <c r="AG36" i="5"/>
  <c r="AH44" i="5"/>
  <c r="AA57" i="6" s="1"/>
  <c r="AJ33" i="5"/>
  <c r="AI34" i="5"/>
  <c r="Z55" i="6"/>
  <c r="AA107" i="6" l="1"/>
  <c r="AA105" i="6"/>
  <c r="AA56" i="6"/>
  <c r="AH32" i="5"/>
  <c r="AA30" i="6" s="1"/>
  <c r="AA115" i="6" s="1"/>
  <c r="AH15" i="5"/>
  <c r="AA13" i="6" s="1"/>
  <c r="AA98" i="6" s="1"/>
  <c r="AB98" i="6" s="1"/>
  <c r="AW28" i="5"/>
  <c r="AO26" i="6"/>
  <c r="AH23" i="5"/>
  <c r="AA21" i="6" s="1"/>
  <c r="AA106" i="6" s="1"/>
  <c r="AH30" i="5"/>
  <c r="AA28" i="6" s="1"/>
  <c r="AA113" i="6" s="1"/>
  <c r="AH31" i="5"/>
  <c r="AA29" i="6" s="1"/>
  <c r="AA114" i="6" s="1"/>
  <c r="AH19" i="5"/>
  <c r="AA17" i="6" s="1"/>
  <c r="AA102" i="6" s="1"/>
  <c r="AH25" i="5"/>
  <c r="AA23" i="6" s="1"/>
  <c r="AA108" i="6" s="1"/>
  <c r="AH20" i="5"/>
  <c r="AA18" i="6" s="1"/>
  <c r="AA103" i="6" s="1"/>
  <c r="AB103" i="6" s="1"/>
  <c r="AH16" i="5"/>
  <c r="AA14" i="6" s="1"/>
  <c r="AA99" i="6" s="1"/>
  <c r="AB99" i="6" s="1"/>
  <c r="AH21" i="5"/>
  <c r="AA19" i="6" s="1"/>
  <c r="AA104" i="6" s="1"/>
  <c r="AH17" i="5"/>
  <c r="AA15" i="6" s="1"/>
  <c r="AA100" i="6" s="1"/>
  <c r="AH29" i="5"/>
  <c r="AA27" i="6" s="1"/>
  <c r="AA112" i="6" s="1"/>
  <c r="AJ12" i="5"/>
  <c r="AJ35" i="5" s="1"/>
  <c r="AB10" i="6"/>
  <c r="AB95" i="6" s="1"/>
  <c r="AI35" i="5"/>
  <c r="AI26" i="5" s="1"/>
  <c r="AB24" i="6" s="1"/>
  <c r="AB109" i="6" s="1"/>
  <c r="Z7" i="6"/>
  <c r="Z6" i="6" s="1"/>
  <c r="AH18" i="5"/>
  <c r="AA16" i="6" s="1"/>
  <c r="AA101" i="6" s="1"/>
  <c r="AH24" i="5"/>
  <c r="AA22" i="6" s="1"/>
  <c r="AH22" i="5"/>
  <c r="AA20" i="6" s="1"/>
  <c r="AH49" i="5"/>
  <c r="AA62" i="6" s="1"/>
  <c r="AI24" i="5"/>
  <c r="AB22" i="6" s="1"/>
  <c r="AI15" i="5"/>
  <c r="AB13" i="6" s="1"/>
  <c r="AI31" i="5"/>
  <c r="AB29" i="6" s="1"/>
  <c r="AI20" i="5"/>
  <c r="AB18" i="6" s="1"/>
  <c r="AI16" i="5"/>
  <c r="AB14" i="6" s="1"/>
  <c r="AJ9" i="5"/>
  <c r="AJ10" i="5" s="1"/>
  <c r="AH36" i="5"/>
  <c r="AJ34" i="5"/>
  <c r="AK33" i="5"/>
  <c r="AG37" i="5"/>
  <c r="AI44" i="5"/>
  <c r="AA55" i="6"/>
  <c r="AB107" i="6" l="1"/>
  <c r="AB114" i="6"/>
  <c r="AB56" i="6"/>
  <c r="AI30" i="5"/>
  <c r="AB28" i="6" s="1"/>
  <c r="AB113" i="6" s="1"/>
  <c r="AC113" i="6" s="1"/>
  <c r="AX28" i="5"/>
  <c r="AP26" i="6"/>
  <c r="AI17" i="5"/>
  <c r="AB15" i="6" s="1"/>
  <c r="AB100" i="6" s="1"/>
  <c r="AC100" i="6" s="1"/>
  <c r="AI49" i="5"/>
  <c r="AB62" i="6" s="1"/>
  <c r="AA7" i="6"/>
  <c r="AA6" i="6" s="1"/>
  <c r="AI25" i="5"/>
  <c r="AB23" i="6" s="1"/>
  <c r="AB108" i="6" s="1"/>
  <c r="AI22" i="5"/>
  <c r="AB20" i="6" s="1"/>
  <c r="AB105" i="6" s="1"/>
  <c r="AI19" i="5"/>
  <c r="AB17" i="6" s="1"/>
  <c r="AB102" i="6" s="1"/>
  <c r="AC102" i="6" s="1"/>
  <c r="AI36" i="5"/>
  <c r="AI23" i="5"/>
  <c r="AB21" i="6" s="1"/>
  <c r="AB106" i="6" s="1"/>
  <c r="AI27" i="5"/>
  <c r="AB25" i="6" s="1"/>
  <c r="AB110" i="6" s="1"/>
  <c r="AC110" i="6" s="1"/>
  <c r="AI32" i="5"/>
  <c r="AB30" i="6" s="1"/>
  <c r="AB115" i="6" s="1"/>
  <c r="AC115" i="6" s="1"/>
  <c r="AH37" i="5"/>
  <c r="AI21" i="5"/>
  <c r="AB19" i="6" s="1"/>
  <c r="AB104" i="6" s="1"/>
  <c r="AC104" i="6" s="1"/>
  <c r="AI18" i="5"/>
  <c r="AB16" i="6" s="1"/>
  <c r="AB101" i="6" s="1"/>
  <c r="AC101" i="6" s="1"/>
  <c r="AI29" i="5"/>
  <c r="AB27" i="6" s="1"/>
  <c r="AB112" i="6" s="1"/>
  <c r="AC112" i="6" s="1"/>
  <c r="AK12" i="5"/>
  <c r="AC10" i="6"/>
  <c r="AC95" i="6" s="1"/>
  <c r="AJ25" i="5"/>
  <c r="AC23" i="6" s="1"/>
  <c r="AJ30" i="5"/>
  <c r="AC28" i="6" s="1"/>
  <c r="AJ16" i="5"/>
  <c r="AC14" i="6" s="1"/>
  <c r="AC99" i="6" s="1"/>
  <c r="AJ18" i="5"/>
  <c r="AC16" i="6" s="1"/>
  <c r="AJ17" i="5"/>
  <c r="AC15" i="6" s="1"/>
  <c r="AJ21" i="5"/>
  <c r="AC19" i="6" s="1"/>
  <c r="AJ31" i="5"/>
  <c r="AC29" i="6" s="1"/>
  <c r="AJ15" i="5"/>
  <c r="AC13" i="6" s="1"/>
  <c r="AC98" i="6" s="1"/>
  <c r="AJ24" i="5"/>
  <c r="AC22" i="6" s="1"/>
  <c r="AC107" i="6" s="1"/>
  <c r="AJ23" i="5"/>
  <c r="AC21" i="6" s="1"/>
  <c r="AJ22" i="5"/>
  <c r="AC20" i="6" s="1"/>
  <c r="AJ19" i="5"/>
  <c r="AC17" i="6" s="1"/>
  <c r="AJ29" i="5"/>
  <c r="AC27" i="6" s="1"/>
  <c r="AJ27" i="5"/>
  <c r="AC25" i="6" s="1"/>
  <c r="AJ20" i="5"/>
  <c r="AC18" i="6" s="1"/>
  <c r="AC103" i="6" s="1"/>
  <c r="AJ26" i="5"/>
  <c r="AC24" i="6" s="1"/>
  <c r="AC109" i="6" s="1"/>
  <c r="AJ32" i="5"/>
  <c r="AC30" i="6" s="1"/>
  <c r="AK9" i="5"/>
  <c r="AK10" i="5" s="1"/>
  <c r="AJ44" i="5"/>
  <c r="AC57" i="6" s="1"/>
  <c r="AB57" i="6"/>
  <c r="AK34" i="5"/>
  <c r="AJ49" i="5" s="1"/>
  <c r="AC62" i="6" s="1"/>
  <c r="AL33" i="5"/>
  <c r="AB55" i="6"/>
  <c r="AC56" i="6"/>
  <c r="AC106" i="6" l="1"/>
  <c r="AC108" i="6"/>
  <c r="AD98" i="6"/>
  <c r="AC114" i="6"/>
  <c r="AC105" i="6"/>
  <c r="AY28" i="5"/>
  <c r="AQ26" i="6"/>
  <c r="AB7" i="6"/>
  <c r="AB6" i="6" s="1"/>
  <c r="AI37" i="5"/>
  <c r="AC7" i="6"/>
  <c r="AL12" i="5"/>
  <c r="AL35" i="5" s="1"/>
  <c r="AD10" i="6"/>
  <c r="AD95" i="6" s="1"/>
  <c r="AK35" i="5"/>
  <c r="AK15" i="5" s="1"/>
  <c r="AD13" i="6" s="1"/>
  <c r="AL9" i="5"/>
  <c r="AL10" i="5" s="1"/>
  <c r="AC55" i="6"/>
  <c r="AL34" i="5"/>
  <c r="AK49" i="5" s="1"/>
  <c r="AD62" i="6" s="1"/>
  <c r="AM33" i="5"/>
  <c r="AJ36" i="5"/>
  <c r="AK44" i="5"/>
  <c r="AD57" i="6" s="1"/>
  <c r="AD56" i="6" l="1"/>
  <c r="AZ28" i="5"/>
  <c r="AR26" i="6"/>
  <c r="AK16" i="5"/>
  <c r="AD14" i="6" s="1"/>
  <c r="AD99" i="6" s="1"/>
  <c r="AK18" i="5"/>
  <c r="AD16" i="6" s="1"/>
  <c r="AD101" i="6" s="1"/>
  <c r="AK31" i="5"/>
  <c r="AD29" i="6" s="1"/>
  <c r="AD114" i="6" s="1"/>
  <c r="AE114" i="6" s="1"/>
  <c r="AK26" i="5"/>
  <c r="AD24" i="6" s="1"/>
  <c r="AD109" i="6" s="1"/>
  <c r="AK21" i="5"/>
  <c r="AD19" i="6" s="1"/>
  <c r="AD104" i="6" s="1"/>
  <c r="AE104" i="6" s="1"/>
  <c r="AK30" i="5"/>
  <c r="AD28" i="6" s="1"/>
  <c r="AD113" i="6" s="1"/>
  <c r="AC6" i="6"/>
  <c r="AK24" i="5"/>
  <c r="AD22" i="6" s="1"/>
  <c r="AD107" i="6" s="1"/>
  <c r="AK29" i="5"/>
  <c r="AD27" i="6" s="1"/>
  <c r="AD112" i="6" s="1"/>
  <c r="AE112" i="6" s="1"/>
  <c r="AK17" i="5"/>
  <c r="AD15" i="6" s="1"/>
  <c r="AD100" i="6" s="1"/>
  <c r="AK32" i="5"/>
  <c r="AD30" i="6" s="1"/>
  <c r="AD115" i="6" s="1"/>
  <c r="AK23" i="5"/>
  <c r="AD21" i="6" s="1"/>
  <c r="AD106" i="6" s="1"/>
  <c r="AE106" i="6" s="1"/>
  <c r="AK27" i="5"/>
  <c r="AD25" i="6" s="1"/>
  <c r="AD110" i="6" s="1"/>
  <c r="AK22" i="5"/>
  <c r="AD20" i="6" s="1"/>
  <c r="AD105" i="6" s="1"/>
  <c r="AK20" i="5"/>
  <c r="AD18" i="6" s="1"/>
  <c r="AD103" i="6" s="1"/>
  <c r="AE103" i="6" s="1"/>
  <c r="AK19" i="5"/>
  <c r="AD17" i="6" s="1"/>
  <c r="AD102" i="6" s="1"/>
  <c r="AE102" i="6" s="1"/>
  <c r="AE10" i="6"/>
  <c r="AE95" i="6" s="1"/>
  <c r="AM12" i="5"/>
  <c r="AM35" i="5" s="1"/>
  <c r="AK25" i="5"/>
  <c r="AD23" i="6" s="1"/>
  <c r="AD108" i="6" s="1"/>
  <c r="AK36" i="5"/>
  <c r="AM9" i="5"/>
  <c r="AM10" i="5" s="1"/>
  <c r="AL23" i="5"/>
  <c r="AE21" i="6" s="1"/>
  <c r="AL20" i="5"/>
  <c r="AE18" i="6" s="1"/>
  <c r="AL24" i="5"/>
  <c r="AE22" i="6" s="1"/>
  <c r="AL31" i="5"/>
  <c r="AE29" i="6" s="1"/>
  <c r="AL21" i="5"/>
  <c r="AE19" i="6" s="1"/>
  <c r="AL30" i="5"/>
  <c r="AE28" i="6" s="1"/>
  <c r="AL18" i="5"/>
  <c r="AE16" i="6" s="1"/>
  <c r="AL16" i="5"/>
  <c r="AE14" i="6" s="1"/>
  <c r="AL29" i="5"/>
  <c r="AE27" i="6" s="1"/>
  <c r="AL26" i="5"/>
  <c r="AE24" i="6" s="1"/>
  <c r="AL22" i="5"/>
  <c r="AE20" i="6" s="1"/>
  <c r="AL27" i="5"/>
  <c r="AE25" i="6" s="1"/>
  <c r="AL17" i="5"/>
  <c r="AE15" i="6" s="1"/>
  <c r="AL19" i="5"/>
  <c r="AE17" i="6" s="1"/>
  <c r="AL32" i="5"/>
  <c r="AE30" i="6" s="1"/>
  <c r="AL15" i="5"/>
  <c r="AE13" i="6" s="1"/>
  <c r="AE98" i="6" s="1"/>
  <c r="AL25" i="5"/>
  <c r="AE23" i="6" s="1"/>
  <c r="AN33" i="5"/>
  <c r="AM34" i="5"/>
  <c r="AL49" i="5" s="1"/>
  <c r="AE62" i="6" s="1"/>
  <c r="AL36" i="5"/>
  <c r="AL44" i="5"/>
  <c r="AD55" i="6"/>
  <c r="AJ37" i="5"/>
  <c r="AE109" i="6" l="1"/>
  <c r="AE105" i="6"/>
  <c r="AE110" i="6"/>
  <c r="AE99" i="6"/>
  <c r="AE101" i="6"/>
  <c r="AF101" i="6" s="1"/>
  <c r="AF110" i="6"/>
  <c r="AE115" i="6"/>
  <c r="AF115" i="6" s="1"/>
  <c r="AE100" i="6"/>
  <c r="AE107" i="6"/>
  <c r="AE108" i="6"/>
  <c r="AE113" i="6"/>
  <c r="AE56" i="6"/>
  <c r="BA28" i="5"/>
  <c r="AS26" i="6"/>
  <c r="AD7" i="6"/>
  <c r="AD6" i="6" s="1"/>
  <c r="AK37" i="5"/>
  <c r="AE7" i="6"/>
  <c r="AE6" i="6" s="1"/>
  <c r="AF10" i="6"/>
  <c r="AF95" i="6" s="1"/>
  <c r="AN12" i="5"/>
  <c r="AN35" i="5" s="1"/>
  <c r="AN9" i="5"/>
  <c r="AN10" i="5" s="1"/>
  <c r="AO33" i="5"/>
  <c r="AM15" i="5"/>
  <c r="AF13" i="6" s="1"/>
  <c r="AF98" i="6" s="1"/>
  <c r="AM27" i="5"/>
  <c r="AF25" i="6" s="1"/>
  <c r="AM19" i="5"/>
  <c r="AF17" i="6" s="1"/>
  <c r="AF102" i="6" s="1"/>
  <c r="AM30" i="5"/>
  <c r="AF28" i="6" s="1"/>
  <c r="AM16" i="5"/>
  <c r="AF14" i="6" s="1"/>
  <c r="AM24" i="5"/>
  <c r="AF22" i="6" s="1"/>
  <c r="AM32" i="5"/>
  <c r="AF30" i="6" s="1"/>
  <c r="AM23" i="5"/>
  <c r="AF21" i="6" s="1"/>
  <c r="AF106" i="6" s="1"/>
  <c r="AM22" i="5"/>
  <c r="AF20" i="6" s="1"/>
  <c r="AF105" i="6" s="1"/>
  <c r="AM29" i="5"/>
  <c r="AF27" i="6" s="1"/>
  <c r="AF112" i="6" s="1"/>
  <c r="AM21" i="5"/>
  <c r="AF19" i="6" s="1"/>
  <c r="AF104" i="6" s="1"/>
  <c r="AM26" i="5"/>
  <c r="AF24" i="6" s="1"/>
  <c r="AF109" i="6" s="1"/>
  <c r="AM18" i="5"/>
  <c r="AF16" i="6" s="1"/>
  <c r="AM25" i="5"/>
  <c r="AF23" i="6" s="1"/>
  <c r="AM31" i="5"/>
  <c r="AF29" i="6" s="1"/>
  <c r="AF114" i="6" s="1"/>
  <c r="AM20" i="5"/>
  <c r="AF18" i="6" s="1"/>
  <c r="AF103" i="6" s="1"/>
  <c r="AM17" i="5"/>
  <c r="AF15" i="6" s="1"/>
  <c r="AM44" i="5"/>
  <c r="AF57" i="6" s="1"/>
  <c r="AE57" i="6"/>
  <c r="AL37" i="5"/>
  <c r="AM36" i="5"/>
  <c r="AE55" i="6"/>
  <c r="AN34" i="5"/>
  <c r="AM49" i="5" s="1"/>
  <c r="AF62" i="6" s="1"/>
  <c r="AF108" i="6" l="1"/>
  <c r="AF113" i="6"/>
  <c r="AF99" i="6"/>
  <c r="AF107" i="6"/>
  <c r="AF100" i="6"/>
  <c r="AG100" i="6" s="1"/>
  <c r="AF56" i="6"/>
  <c r="BB28" i="5"/>
  <c r="AT26" i="6"/>
  <c r="AO12" i="5"/>
  <c r="AG10" i="6"/>
  <c r="AG95" i="6" s="1"/>
  <c r="AF7" i="6"/>
  <c r="AF6" i="6" s="1"/>
  <c r="AN23" i="5"/>
  <c r="AG21" i="6" s="1"/>
  <c r="AG106" i="6" s="1"/>
  <c r="AN17" i="5"/>
  <c r="AG15" i="6" s="1"/>
  <c r="AN22" i="5"/>
  <c r="AG20" i="6" s="1"/>
  <c r="AG105" i="6" s="1"/>
  <c r="AN24" i="5"/>
  <c r="AG22" i="6" s="1"/>
  <c r="AN27" i="5"/>
  <c r="AG25" i="6" s="1"/>
  <c r="AG110" i="6" s="1"/>
  <c r="AN29" i="5"/>
  <c r="AG27" i="6" s="1"/>
  <c r="AG112" i="6" s="1"/>
  <c r="AN19" i="5"/>
  <c r="AG17" i="6" s="1"/>
  <c r="AG102" i="6" s="1"/>
  <c r="AN32" i="5"/>
  <c r="AG30" i="6" s="1"/>
  <c r="AG115" i="6" s="1"/>
  <c r="AN16" i="5"/>
  <c r="AG14" i="6" s="1"/>
  <c r="AN31" i="5"/>
  <c r="AG29" i="6" s="1"/>
  <c r="AG114" i="6" s="1"/>
  <c r="AN15" i="5"/>
  <c r="AG13" i="6" s="1"/>
  <c r="AG98" i="6" s="1"/>
  <c r="AN25" i="5"/>
  <c r="AG23" i="6" s="1"/>
  <c r="AN21" i="5"/>
  <c r="AG19" i="6" s="1"/>
  <c r="AG104" i="6" s="1"/>
  <c r="AN18" i="5"/>
  <c r="AG16" i="6" s="1"/>
  <c r="AG101" i="6" s="1"/>
  <c r="AN26" i="5"/>
  <c r="AG24" i="6" s="1"/>
  <c r="AG109" i="6" s="1"/>
  <c r="AN30" i="5"/>
  <c r="AG28" i="6" s="1"/>
  <c r="AN20" i="5"/>
  <c r="AG18" i="6" s="1"/>
  <c r="AG103" i="6" s="1"/>
  <c r="AO34" i="5"/>
  <c r="AN49" i="5" s="1"/>
  <c r="AO9" i="5"/>
  <c r="AO10" i="5" s="1"/>
  <c r="AP33" i="5"/>
  <c r="AM37" i="5"/>
  <c r="AF55" i="6"/>
  <c r="AN44" i="5"/>
  <c r="AG113" i="6" l="1"/>
  <c r="AG108" i="6"/>
  <c r="AG107" i="6"/>
  <c r="AG99" i="6"/>
  <c r="AG62" i="6"/>
  <c r="AG57" i="6"/>
  <c r="AG56" i="6"/>
  <c r="AP12" i="5"/>
  <c r="AH10" i="6"/>
  <c r="AH95" i="6" s="1"/>
  <c r="BC28" i="5"/>
  <c r="AU26" i="6"/>
  <c r="AO35" i="5"/>
  <c r="AO25" i="5" s="1"/>
  <c r="AH23" i="6" s="1"/>
  <c r="AH108" i="6" s="1"/>
  <c r="AG7" i="6"/>
  <c r="AQ33" i="5"/>
  <c r="AP34" i="5"/>
  <c r="AO49" i="5" s="1"/>
  <c r="AP9" i="5"/>
  <c r="AP10" i="5" s="1"/>
  <c r="AN36" i="5"/>
  <c r="AG55" i="6"/>
  <c r="AH62" i="6" l="1"/>
  <c r="AQ12" i="5"/>
  <c r="AI10" i="6"/>
  <c r="AI95" i="6" s="1"/>
  <c r="AO17" i="5"/>
  <c r="AH15" i="6" s="1"/>
  <c r="AH100" i="6" s="1"/>
  <c r="AO30" i="5"/>
  <c r="AH28" i="6" s="1"/>
  <c r="AH113" i="6" s="1"/>
  <c r="AO23" i="5"/>
  <c r="AH21" i="6" s="1"/>
  <c r="AH106" i="6" s="1"/>
  <c r="BD28" i="5"/>
  <c r="AV26" i="6"/>
  <c r="AO32" i="5"/>
  <c r="AH30" i="6" s="1"/>
  <c r="AH115" i="6" s="1"/>
  <c r="AO18" i="5"/>
  <c r="AH16" i="6" s="1"/>
  <c r="AO22" i="5"/>
  <c r="AH20" i="6" s="1"/>
  <c r="AH105" i="6" s="1"/>
  <c r="AO31" i="5"/>
  <c r="AH29" i="6" s="1"/>
  <c r="AH114" i="6" s="1"/>
  <c r="AO26" i="5"/>
  <c r="AH24" i="6" s="1"/>
  <c r="AH109" i="6" s="1"/>
  <c r="AO16" i="5"/>
  <c r="AH14" i="6" s="1"/>
  <c r="AH99" i="6" s="1"/>
  <c r="AO36" i="5"/>
  <c r="AO29" i="5"/>
  <c r="AH27" i="6" s="1"/>
  <c r="AH112" i="6" s="1"/>
  <c r="AO24" i="5"/>
  <c r="AH22" i="6" s="1"/>
  <c r="AH107" i="6" s="1"/>
  <c r="AO27" i="5"/>
  <c r="AH25" i="6" s="1"/>
  <c r="AH110" i="6" s="1"/>
  <c r="AO19" i="5"/>
  <c r="AH17" i="6" s="1"/>
  <c r="AH102" i="6" s="1"/>
  <c r="AP35" i="5"/>
  <c r="AP36" i="5" s="1"/>
  <c r="AO20" i="5"/>
  <c r="AH18" i="6" s="1"/>
  <c r="AH103" i="6" s="1"/>
  <c r="AO21" i="5"/>
  <c r="AH19" i="6" s="1"/>
  <c r="AH104" i="6" s="1"/>
  <c r="AO15" i="5"/>
  <c r="AH13" i="6" s="1"/>
  <c r="AH98" i="6" s="1"/>
  <c r="AG6" i="6"/>
  <c r="AQ34" i="5"/>
  <c r="AP49" i="5" s="1"/>
  <c r="AQ35" i="5"/>
  <c r="AQ9" i="5"/>
  <c r="AQ10" i="5" s="1"/>
  <c r="AR33" i="5"/>
  <c r="AN37" i="5"/>
  <c r="AP32" i="5" l="1"/>
  <c r="AI30" i="6" s="1"/>
  <c r="AI62" i="6"/>
  <c r="AP16" i="5"/>
  <c r="AI14" i="6" s="1"/>
  <c r="AI99" i="6" s="1"/>
  <c r="AP24" i="5"/>
  <c r="AI22" i="6" s="1"/>
  <c r="AI107" i="6" s="1"/>
  <c r="AP27" i="5"/>
  <c r="AI25" i="6" s="1"/>
  <c r="AI110" i="6" s="1"/>
  <c r="AP23" i="5"/>
  <c r="AI21" i="6" s="1"/>
  <c r="AI106" i="6" s="1"/>
  <c r="AP15" i="5"/>
  <c r="AI13" i="6" s="1"/>
  <c r="AI98" i="6" s="1"/>
  <c r="AJ98" i="6" s="1"/>
  <c r="AI115" i="6"/>
  <c r="AP22" i="5"/>
  <c r="AI20" i="6" s="1"/>
  <c r="AI105" i="6" s="1"/>
  <c r="AP20" i="5"/>
  <c r="AI18" i="6" s="1"/>
  <c r="AI103" i="6" s="1"/>
  <c r="AP29" i="5"/>
  <c r="AI27" i="6" s="1"/>
  <c r="AI112" i="6" s="1"/>
  <c r="AP19" i="5"/>
  <c r="AI17" i="6" s="1"/>
  <c r="AI102" i="6" s="1"/>
  <c r="AP25" i="5"/>
  <c r="AI23" i="6" s="1"/>
  <c r="AI108" i="6" s="1"/>
  <c r="AP26" i="5"/>
  <c r="AI24" i="6" s="1"/>
  <c r="AI109" i="6" s="1"/>
  <c r="AP31" i="5"/>
  <c r="AI29" i="6" s="1"/>
  <c r="AI114" i="6" s="1"/>
  <c r="AP21" i="5"/>
  <c r="AI19" i="6" s="1"/>
  <c r="AI104" i="6" s="1"/>
  <c r="AP18" i="5"/>
  <c r="AI16" i="6" s="1"/>
  <c r="AP17" i="5"/>
  <c r="AI15" i="6" s="1"/>
  <c r="AI100" i="6" s="1"/>
  <c r="AH7" i="6"/>
  <c r="AH6" i="6" s="1"/>
  <c r="AH101" i="6"/>
  <c r="BE28" i="5"/>
  <c r="AW26" i="6"/>
  <c r="AO37" i="5"/>
  <c r="AP30" i="5"/>
  <c r="AI28" i="6" s="1"/>
  <c r="AR12" i="5"/>
  <c r="AR35" i="5" s="1"/>
  <c r="AJ10" i="6"/>
  <c r="AJ95" i="6" s="1"/>
  <c r="AR34" i="5"/>
  <c r="AQ49" i="5" s="1"/>
  <c r="AR9" i="5"/>
  <c r="AR10" i="5" s="1"/>
  <c r="AS33" i="5"/>
  <c r="AQ31" i="5"/>
  <c r="AJ29" i="6" s="1"/>
  <c r="AQ23" i="5"/>
  <c r="AJ21" i="6" s="1"/>
  <c r="AQ18" i="5"/>
  <c r="AJ16" i="6" s="1"/>
  <c r="AQ22" i="5"/>
  <c r="AJ20" i="6" s="1"/>
  <c r="AQ30" i="5"/>
  <c r="AJ28" i="6" s="1"/>
  <c r="AQ26" i="5"/>
  <c r="AJ24" i="6" s="1"/>
  <c r="AQ32" i="5"/>
  <c r="AJ30" i="6" s="1"/>
  <c r="AQ24" i="5"/>
  <c r="AJ22" i="6" s="1"/>
  <c r="AQ19" i="5"/>
  <c r="AJ17" i="6" s="1"/>
  <c r="AQ16" i="5"/>
  <c r="AJ14" i="6" s="1"/>
  <c r="AQ21" i="5"/>
  <c r="AJ19" i="6" s="1"/>
  <c r="AQ27" i="5"/>
  <c r="AJ25" i="6" s="1"/>
  <c r="AQ20" i="5"/>
  <c r="AJ18" i="6" s="1"/>
  <c r="AQ15" i="5"/>
  <c r="AJ13" i="6" s="1"/>
  <c r="AQ17" i="5"/>
  <c r="AJ15" i="6" s="1"/>
  <c r="AQ25" i="5"/>
  <c r="AJ23" i="6" s="1"/>
  <c r="AQ29" i="5"/>
  <c r="AJ27" i="6" s="1"/>
  <c r="AQ36" i="5"/>
  <c r="AJ100" i="6" l="1"/>
  <c r="AJ107" i="6"/>
  <c r="AJ114" i="6"/>
  <c r="AJ108" i="6"/>
  <c r="AJ105" i="6"/>
  <c r="AJ104" i="6"/>
  <c r="AI7" i="6"/>
  <c r="AI6" i="6" s="1"/>
  <c r="AJ102" i="6"/>
  <c r="AI101" i="6"/>
  <c r="AJ101" i="6" s="1"/>
  <c r="AJ99" i="6"/>
  <c r="AJ103" i="6"/>
  <c r="AJ62" i="6"/>
  <c r="AJ110" i="6"/>
  <c r="AJ112" i="6"/>
  <c r="AI113" i="6"/>
  <c r="AJ113" i="6" s="1"/>
  <c r="AJ109" i="6"/>
  <c r="AJ106" i="6"/>
  <c r="AJ115" i="6"/>
  <c r="AJ7" i="6"/>
  <c r="AJ6" i="6" s="1"/>
  <c r="AS12" i="5"/>
  <c r="AS35" i="5" s="1"/>
  <c r="AK10" i="6"/>
  <c r="AK95" i="6" s="1"/>
  <c r="BF28" i="5"/>
  <c r="AX26" i="6"/>
  <c r="AP37" i="5"/>
  <c r="AQ37" i="5"/>
  <c r="AS34" i="5"/>
  <c r="AR49" i="5" s="1"/>
  <c r="AS9" i="5"/>
  <c r="AS10" i="5" s="1"/>
  <c r="AT33" i="5"/>
  <c r="AR36" i="5"/>
  <c r="AR29" i="5"/>
  <c r="AK27" i="6" s="1"/>
  <c r="AR27" i="5"/>
  <c r="AK25" i="6" s="1"/>
  <c r="AR17" i="5"/>
  <c r="AK15" i="6" s="1"/>
  <c r="AK100" i="6" s="1"/>
  <c r="AR18" i="5"/>
  <c r="AK16" i="6" s="1"/>
  <c r="AR26" i="5"/>
  <c r="AK24" i="6" s="1"/>
  <c r="AR21" i="5"/>
  <c r="AK19" i="6" s="1"/>
  <c r="AK104" i="6" s="1"/>
  <c r="AR30" i="5"/>
  <c r="AK28" i="6" s="1"/>
  <c r="AR19" i="5"/>
  <c r="AK17" i="6" s="1"/>
  <c r="AR16" i="5"/>
  <c r="AK14" i="6" s="1"/>
  <c r="AR31" i="5"/>
  <c r="AK29" i="6" s="1"/>
  <c r="AK114" i="6" s="1"/>
  <c r="AR32" i="5"/>
  <c r="AK30" i="6" s="1"/>
  <c r="AR15" i="5"/>
  <c r="AK13" i="6" s="1"/>
  <c r="AK98" i="6" s="1"/>
  <c r="AR24" i="5"/>
  <c r="AK22" i="6" s="1"/>
  <c r="AK107" i="6" s="1"/>
  <c r="AR25" i="5"/>
  <c r="AK23" i="6" s="1"/>
  <c r="AK108" i="6" s="1"/>
  <c r="AR23" i="5"/>
  <c r="AK21" i="6" s="1"/>
  <c r="AR20" i="5"/>
  <c r="AK18" i="6" s="1"/>
  <c r="AK103" i="6" s="1"/>
  <c r="AR22" i="5"/>
  <c r="AK20" i="6" s="1"/>
  <c r="AK105" i="6" s="1"/>
  <c r="AK102" i="6" l="1"/>
  <c r="AK99" i="6"/>
  <c r="AK106" i="6"/>
  <c r="AK109" i="6"/>
  <c r="AK101" i="6"/>
  <c r="AK115" i="6"/>
  <c r="AK62" i="6"/>
  <c r="AK112" i="6"/>
  <c r="AK113" i="6"/>
  <c r="AK110" i="6"/>
  <c r="BG28" i="5"/>
  <c r="AY26" i="6"/>
  <c r="AK7" i="6"/>
  <c r="AK6" i="6" s="1"/>
  <c r="AT12" i="5"/>
  <c r="AL10" i="6"/>
  <c r="AL95" i="6" s="1"/>
  <c r="AR37" i="5"/>
  <c r="AS31" i="5"/>
  <c r="AL29" i="6" s="1"/>
  <c r="AL114" i="6" s="1"/>
  <c r="AS36" i="5"/>
  <c r="AS16" i="5"/>
  <c r="AL14" i="6" s="1"/>
  <c r="AL99" i="6" s="1"/>
  <c r="AS15" i="5"/>
  <c r="AL13" i="6" s="1"/>
  <c r="AL98" i="6" s="1"/>
  <c r="AS18" i="5"/>
  <c r="AL16" i="6" s="1"/>
  <c r="AS23" i="5"/>
  <c r="AL21" i="6" s="1"/>
  <c r="AL106" i="6" s="1"/>
  <c r="AS24" i="5"/>
  <c r="AL22" i="6" s="1"/>
  <c r="AL107" i="6" s="1"/>
  <c r="AS26" i="5"/>
  <c r="AL24" i="6" s="1"/>
  <c r="AL109" i="6" s="1"/>
  <c r="AS25" i="5"/>
  <c r="AL23" i="6" s="1"/>
  <c r="AL108" i="6" s="1"/>
  <c r="AS17" i="5"/>
  <c r="AL15" i="6" s="1"/>
  <c r="AL100" i="6" s="1"/>
  <c r="AS19" i="5"/>
  <c r="AL17" i="6" s="1"/>
  <c r="AL102" i="6" s="1"/>
  <c r="AS29" i="5"/>
  <c r="AL27" i="6" s="1"/>
  <c r="AS27" i="5"/>
  <c r="AL25" i="6" s="1"/>
  <c r="AS20" i="5"/>
  <c r="AL18" i="6" s="1"/>
  <c r="AL103" i="6" s="1"/>
  <c r="AS32" i="5"/>
  <c r="AL30" i="6" s="1"/>
  <c r="AS22" i="5"/>
  <c r="AL20" i="6" s="1"/>
  <c r="AL105" i="6" s="1"/>
  <c r="AS30" i="5"/>
  <c r="AL28" i="6" s="1"/>
  <c r="AS21" i="5"/>
  <c r="AL19" i="6" s="1"/>
  <c r="AL104" i="6" s="1"/>
  <c r="AT34" i="5"/>
  <c r="AS49" i="5" s="1"/>
  <c r="AT9" i="5"/>
  <c r="AT10" i="5" s="1"/>
  <c r="AU33" i="5"/>
  <c r="AL110" i="6" l="1"/>
  <c r="AL112" i="6"/>
  <c r="AL101" i="6"/>
  <c r="AL113" i="6"/>
  <c r="AL115" i="6"/>
  <c r="AL7" i="6"/>
  <c r="AL6" i="6" s="1"/>
  <c r="AU12" i="5"/>
  <c r="AM10" i="6"/>
  <c r="BH28" i="5"/>
  <c r="BA26" i="6" s="1"/>
  <c r="AZ26" i="6"/>
  <c r="AT35" i="5"/>
  <c r="AT16" i="5" s="1"/>
  <c r="AM14" i="6" s="1"/>
  <c r="AU35" i="5"/>
  <c r="AU34" i="5"/>
  <c r="AT49" i="5" s="1"/>
  <c r="AU9" i="5"/>
  <c r="AU10" i="5" s="1"/>
  <c r="AV33" i="5"/>
  <c r="AS37" i="5"/>
  <c r="AT29" i="5" l="1"/>
  <c r="AM27" i="6" s="1"/>
  <c r="AT36" i="5"/>
  <c r="AT15" i="5"/>
  <c r="AM13" i="6" s="1"/>
  <c r="AT21" i="5"/>
  <c r="AM19" i="6" s="1"/>
  <c r="AT20" i="5"/>
  <c r="AM18" i="6" s="1"/>
  <c r="AT18" i="5"/>
  <c r="AM16" i="6" s="1"/>
  <c r="AT25" i="5"/>
  <c r="AM23" i="6" s="1"/>
  <c r="AT22" i="5"/>
  <c r="AM20" i="6" s="1"/>
  <c r="AT32" i="5"/>
  <c r="AM30" i="6" s="1"/>
  <c r="AT26" i="5"/>
  <c r="AM24" i="6" s="1"/>
  <c r="AT27" i="5"/>
  <c r="AM25" i="6" s="1"/>
  <c r="AT30" i="5"/>
  <c r="AM28" i="6" s="1"/>
  <c r="AT17" i="5"/>
  <c r="AM15" i="6" s="1"/>
  <c r="AV12" i="5"/>
  <c r="AV35" i="5" s="1"/>
  <c r="AN10" i="6"/>
  <c r="AT24" i="5"/>
  <c r="AM22" i="6" s="1"/>
  <c r="AT19" i="5"/>
  <c r="AM17" i="6" s="1"/>
  <c r="AT31" i="5"/>
  <c r="AM29" i="6" s="1"/>
  <c r="AT23" i="5"/>
  <c r="AM21" i="6" s="1"/>
  <c r="AU36" i="5"/>
  <c r="AU30" i="5"/>
  <c r="AN28" i="6" s="1"/>
  <c r="AU19" i="5"/>
  <c r="AN17" i="6" s="1"/>
  <c r="AU26" i="5"/>
  <c r="AN24" i="6" s="1"/>
  <c r="AU17" i="5"/>
  <c r="AN15" i="6" s="1"/>
  <c r="AU32" i="5"/>
  <c r="AN30" i="6" s="1"/>
  <c r="AU21" i="5"/>
  <c r="AN19" i="6" s="1"/>
  <c r="AU22" i="5"/>
  <c r="AN20" i="6" s="1"/>
  <c r="AU18" i="5"/>
  <c r="AN16" i="6" s="1"/>
  <c r="AU20" i="5"/>
  <c r="AN18" i="6" s="1"/>
  <c r="AU29" i="5"/>
  <c r="AN27" i="6" s="1"/>
  <c r="AU24" i="5"/>
  <c r="AN22" i="6" s="1"/>
  <c r="AU25" i="5"/>
  <c r="AN23" i="6" s="1"/>
  <c r="AU15" i="5"/>
  <c r="AN13" i="6" s="1"/>
  <c r="AU16" i="5"/>
  <c r="AN14" i="6" s="1"/>
  <c r="AU23" i="5"/>
  <c r="AN21" i="6" s="1"/>
  <c r="AU27" i="5"/>
  <c r="AN25" i="6" s="1"/>
  <c r="AU31" i="5"/>
  <c r="AN29" i="6" s="1"/>
  <c r="AV34" i="5"/>
  <c r="AU49" i="5" s="1"/>
  <c r="AV9" i="5"/>
  <c r="AV10" i="5" s="1"/>
  <c r="AW33" i="5"/>
  <c r="AM7" i="6" l="1"/>
  <c r="AM6" i="6" s="1"/>
  <c r="AN7" i="6"/>
  <c r="AN6" i="6" s="1"/>
  <c r="AW12" i="5"/>
  <c r="AO10" i="6"/>
  <c r="AT37" i="5"/>
  <c r="AV15" i="5"/>
  <c r="AO13" i="6" s="1"/>
  <c r="AV25" i="5"/>
  <c r="AO23" i="6" s="1"/>
  <c r="AV22" i="5"/>
  <c r="AO20" i="6" s="1"/>
  <c r="AV24" i="5"/>
  <c r="AO22" i="6" s="1"/>
  <c r="AV32" i="5"/>
  <c r="AO30" i="6" s="1"/>
  <c r="AV23" i="5"/>
  <c r="AO21" i="6" s="1"/>
  <c r="AV36" i="5"/>
  <c r="AV29" i="5"/>
  <c r="AO27" i="6" s="1"/>
  <c r="AV21" i="5"/>
  <c r="AO19" i="6" s="1"/>
  <c r="AV17" i="5"/>
  <c r="AO15" i="6" s="1"/>
  <c r="AV18" i="5"/>
  <c r="AO16" i="6" s="1"/>
  <c r="AV16" i="5"/>
  <c r="AO14" i="6" s="1"/>
  <c r="AV30" i="5"/>
  <c r="AO28" i="6" s="1"/>
  <c r="AV19" i="5"/>
  <c r="AO17" i="6" s="1"/>
  <c r="AV20" i="5"/>
  <c r="AO18" i="6" s="1"/>
  <c r="AV31" i="5"/>
  <c r="AO29" i="6" s="1"/>
  <c r="AV27" i="5"/>
  <c r="AO25" i="6" s="1"/>
  <c r="AV26" i="5"/>
  <c r="AO24" i="6" s="1"/>
  <c r="AW34" i="5"/>
  <c r="AV49" i="5" s="1"/>
  <c r="AW9" i="5"/>
  <c r="AW10" i="5" s="1"/>
  <c r="AX33" i="5"/>
  <c r="AU37" i="5"/>
  <c r="AO7" i="6" l="1"/>
  <c r="AO6" i="6" s="1"/>
  <c r="AX12" i="5"/>
  <c r="AP10" i="6"/>
  <c r="AW35" i="5"/>
  <c r="AW29" i="5" s="1"/>
  <c r="AP27" i="6" s="1"/>
  <c r="AV37" i="5"/>
  <c r="AX34" i="5"/>
  <c r="AW49" i="5" s="1"/>
  <c r="AX9" i="5"/>
  <c r="AX10" i="5" s="1"/>
  <c r="AY33" i="5"/>
  <c r="AW36" i="5" l="1"/>
  <c r="AW16" i="5"/>
  <c r="AP14" i="6" s="1"/>
  <c r="AW20" i="5"/>
  <c r="AP18" i="6" s="1"/>
  <c r="AW23" i="5"/>
  <c r="AP21" i="6" s="1"/>
  <c r="AW24" i="5"/>
  <c r="AP22" i="6" s="1"/>
  <c r="AW15" i="5"/>
  <c r="AP13" i="6" s="1"/>
  <c r="AW26" i="5"/>
  <c r="AP24" i="6" s="1"/>
  <c r="AW25" i="5"/>
  <c r="AP23" i="6" s="1"/>
  <c r="AW19" i="5"/>
  <c r="AP17" i="6" s="1"/>
  <c r="AY12" i="5"/>
  <c r="AQ10" i="6"/>
  <c r="AW30" i="5"/>
  <c r="AP28" i="6" s="1"/>
  <c r="AW22" i="5"/>
  <c r="AP20" i="6" s="1"/>
  <c r="AW31" i="5"/>
  <c r="AP29" i="6" s="1"/>
  <c r="AW21" i="5"/>
  <c r="AP19" i="6" s="1"/>
  <c r="AX35" i="5"/>
  <c r="AX24" i="5" s="1"/>
  <c r="AQ22" i="6" s="1"/>
  <c r="AW18" i="5"/>
  <c r="AP16" i="6" s="1"/>
  <c r="AW32" i="5"/>
  <c r="AP30" i="6" s="1"/>
  <c r="AW17" i="5"/>
  <c r="AP15" i="6" s="1"/>
  <c r="AW27" i="5"/>
  <c r="AP25" i="6" s="1"/>
  <c r="AY34" i="5"/>
  <c r="AX49" i="5" s="1"/>
  <c r="AY9" i="5"/>
  <c r="AY10" i="5" s="1"/>
  <c r="AZ33" i="5"/>
  <c r="AP7" i="6" l="1"/>
  <c r="AP6" i="6" s="1"/>
  <c r="AX36" i="5"/>
  <c r="AX31" i="5"/>
  <c r="AQ29" i="6" s="1"/>
  <c r="AX17" i="5"/>
  <c r="AQ15" i="6" s="1"/>
  <c r="AX15" i="5"/>
  <c r="AQ13" i="6" s="1"/>
  <c r="AZ12" i="5"/>
  <c r="AR10" i="6"/>
  <c r="AX20" i="5"/>
  <c r="AQ18" i="6" s="1"/>
  <c r="AX16" i="5"/>
  <c r="AQ14" i="6" s="1"/>
  <c r="AW37" i="5"/>
  <c r="AX18" i="5"/>
  <c r="AQ16" i="6" s="1"/>
  <c r="AX23" i="5"/>
  <c r="AQ21" i="6" s="1"/>
  <c r="AX22" i="5"/>
  <c r="AQ20" i="6" s="1"/>
  <c r="AX25" i="5"/>
  <c r="AQ23" i="6" s="1"/>
  <c r="AX29" i="5"/>
  <c r="AQ27" i="6" s="1"/>
  <c r="AY35" i="5"/>
  <c r="AY36" i="5" s="1"/>
  <c r="AX21" i="5"/>
  <c r="AQ19" i="6" s="1"/>
  <c r="AX30" i="5"/>
  <c r="AQ28" i="6" s="1"/>
  <c r="AX27" i="5"/>
  <c r="AQ25" i="6" s="1"/>
  <c r="AX32" i="5"/>
  <c r="AQ30" i="6" s="1"/>
  <c r="AX26" i="5"/>
  <c r="AQ24" i="6" s="1"/>
  <c r="AX19" i="5"/>
  <c r="AQ17" i="6" s="1"/>
  <c r="AZ34" i="5"/>
  <c r="AY49" i="5" s="1"/>
  <c r="AZ9" i="5"/>
  <c r="AZ10" i="5" s="1"/>
  <c r="BA33" i="5"/>
  <c r="AY17" i="5"/>
  <c r="AR15" i="6" s="1"/>
  <c r="AY31" i="5"/>
  <c r="AR29" i="6" s="1"/>
  <c r="AY30" i="5"/>
  <c r="AR28" i="6" s="1"/>
  <c r="AY32" i="5"/>
  <c r="AR30" i="6" s="1"/>
  <c r="AY19" i="5"/>
  <c r="AR17" i="6" s="1"/>
  <c r="AY21" i="5" l="1"/>
  <c r="AR19" i="6" s="1"/>
  <c r="AY20" i="5"/>
  <c r="AR18" i="6" s="1"/>
  <c r="AY23" i="5"/>
  <c r="AR21" i="6" s="1"/>
  <c r="AY27" i="5"/>
  <c r="AR25" i="6" s="1"/>
  <c r="AQ7" i="6"/>
  <c r="AQ6" i="6" s="1"/>
  <c r="AY16" i="5"/>
  <c r="AR14" i="6" s="1"/>
  <c r="AY29" i="5"/>
  <c r="AR27" i="6" s="1"/>
  <c r="AY24" i="5"/>
  <c r="AR22" i="6" s="1"/>
  <c r="AY15" i="5"/>
  <c r="AR13" i="6" s="1"/>
  <c r="AY22" i="5"/>
  <c r="AR20" i="6" s="1"/>
  <c r="BA12" i="5"/>
  <c r="AS10" i="6"/>
  <c r="AY26" i="5"/>
  <c r="AR24" i="6" s="1"/>
  <c r="AZ35" i="5"/>
  <c r="AZ24" i="5" s="1"/>
  <c r="AS22" i="6" s="1"/>
  <c r="AY25" i="5"/>
  <c r="AR23" i="6" s="1"/>
  <c r="AY18" i="5"/>
  <c r="AR16" i="6" s="1"/>
  <c r="AX37" i="5"/>
  <c r="BA34" i="5"/>
  <c r="AZ49" i="5" s="1"/>
  <c r="BA9" i="5"/>
  <c r="BA10" i="5" s="1"/>
  <c r="BB33" i="5"/>
  <c r="AZ20" i="5" l="1"/>
  <c r="AS18" i="6" s="1"/>
  <c r="AZ16" i="5"/>
  <c r="AS14" i="6" s="1"/>
  <c r="AZ21" i="5"/>
  <c r="AS19" i="6" s="1"/>
  <c r="AZ27" i="5"/>
  <c r="AS25" i="6" s="1"/>
  <c r="AR7" i="6"/>
  <c r="AR6" i="6" s="1"/>
  <c r="AZ22" i="5"/>
  <c r="AS20" i="6" s="1"/>
  <c r="AZ26" i="5"/>
  <c r="AS24" i="6" s="1"/>
  <c r="AZ31" i="5"/>
  <c r="AS29" i="6" s="1"/>
  <c r="AZ25" i="5"/>
  <c r="AS23" i="6" s="1"/>
  <c r="AZ29" i="5"/>
  <c r="AS27" i="6" s="1"/>
  <c r="AZ32" i="5"/>
  <c r="AS30" i="6" s="1"/>
  <c r="AZ23" i="5"/>
  <c r="AS21" i="6" s="1"/>
  <c r="AZ15" i="5"/>
  <c r="AS13" i="6" s="1"/>
  <c r="AZ36" i="5"/>
  <c r="AY37" i="5"/>
  <c r="AZ17" i="5"/>
  <c r="AS15" i="6" s="1"/>
  <c r="BB12" i="5"/>
  <c r="AT10" i="6"/>
  <c r="AZ18" i="5"/>
  <c r="AS16" i="6" s="1"/>
  <c r="AZ19" i="5"/>
  <c r="AS17" i="6" s="1"/>
  <c r="AZ30" i="5"/>
  <c r="AS28" i="6" s="1"/>
  <c r="BA35" i="5"/>
  <c r="BA19" i="5" s="1"/>
  <c r="AT17" i="6" s="1"/>
  <c r="BB34" i="5"/>
  <c r="BA49" i="5" s="1"/>
  <c r="BB9" i="5"/>
  <c r="BB10" i="5" s="1"/>
  <c r="BC33" i="5"/>
  <c r="AS7" i="6" l="1"/>
  <c r="AS6" i="6" s="1"/>
  <c r="BA36" i="5"/>
  <c r="BA22" i="5"/>
  <c r="AT20" i="6" s="1"/>
  <c r="BA30" i="5"/>
  <c r="AT28" i="6" s="1"/>
  <c r="BA20" i="5"/>
  <c r="AT18" i="6" s="1"/>
  <c r="BA32" i="5"/>
  <c r="AT30" i="6" s="1"/>
  <c r="BA26" i="5"/>
  <c r="AT24" i="6" s="1"/>
  <c r="BA31" i="5"/>
  <c r="AT29" i="6" s="1"/>
  <c r="BA15" i="5"/>
  <c r="AT13" i="6" s="1"/>
  <c r="BC12" i="5"/>
  <c r="BC35" i="5" s="1"/>
  <c r="AU10" i="6"/>
  <c r="BA23" i="5"/>
  <c r="AT21" i="6" s="1"/>
  <c r="BB35" i="5"/>
  <c r="BB25" i="5" s="1"/>
  <c r="AU23" i="6" s="1"/>
  <c r="AZ37" i="5"/>
  <c r="BA21" i="5"/>
  <c r="AT19" i="6" s="1"/>
  <c r="BA27" i="5"/>
  <c r="AT25" i="6" s="1"/>
  <c r="BA24" i="5"/>
  <c r="AT22" i="6" s="1"/>
  <c r="BA17" i="5"/>
  <c r="AT15" i="6" s="1"/>
  <c r="BA29" i="5"/>
  <c r="AT27" i="6" s="1"/>
  <c r="BA25" i="5"/>
  <c r="AT23" i="6" s="1"/>
  <c r="BA16" i="5"/>
  <c r="AT14" i="6" s="1"/>
  <c r="BA18" i="5"/>
  <c r="AT16" i="6" s="1"/>
  <c r="BB17" i="5"/>
  <c r="AU15" i="6" s="1"/>
  <c r="BB18" i="5"/>
  <c r="AU16" i="6" s="1"/>
  <c r="BB23" i="5"/>
  <c r="AU21" i="6" s="1"/>
  <c r="BB36" i="5"/>
  <c r="BB21" i="5"/>
  <c r="AU19" i="6" s="1"/>
  <c r="BB15" i="5"/>
  <c r="AU13" i="6" s="1"/>
  <c r="BB27" i="5"/>
  <c r="AU25" i="6" s="1"/>
  <c r="BB32" i="5"/>
  <c r="AU30" i="6" s="1"/>
  <c r="BB16" i="5"/>
  <c r="AU14" i="6" s="1"/>
  <c r="BB30" i="5"/>
  <c r="AU28" i="6" s="1"/>
  <c r="BB24" i="5"/>
  <c r="AU22" i="6" s="1"/>
  <c r="BB31" i="5"/>
  <c r="AU29" i="6" s="1"/>
  <c r="BB20" i="5"/>
  <c r="AU18" i="6" s="1"/>
  <c r="BB22" i="5"/>
  <c r="AU20" i="6" s="1"/>
  <c r="BC34" i="5"/>
  <c r="BB49" i="5" s="1"/>
  <c r="BC9" i="5"/>
  <c r="BC10" i="5" s="1"/>
  <c r="BD33" i="5"/>
  <c r="BB29" i="5" l="1"/>
  <c r="AU27" i="6" s="1"/>
  <c r="AT7" i="6"/>
  <c r="AT6" i="6" s="1"/>
  <c r="BA37" i="5"/>
  <c r="BB26" i="5"/>
  <c r="AU24" i="6" s="1"/>
  <c r="BB19" i="5"/>
  <c r="AU17" i="6" s="1"/>
  <c r="BD12" i="5"/>
  <c r="BD35" i="5" s="1"/>
  <c r="AV10" i="6"/>
  <c r="BD34" i="5"/>
  <c r="BC49" i="5" s="1"/>
  <c r="BD9" i="5"/>
  <c r="BD10" i="5" s="1"/>
  <c r="BE33" i="5"/>
  <c r="BC31" i="5"/>
  <c r="AV29" i="6" s="1"/>
  <c r="BC18" i="5"/>
  <c r="AV16" i="6" s="1"/>
  <c r="BC22" i="5"/>
  <c r="AV20" i="6" s="1"/>
  <c r="BC20" i="5"/>
  <c r="AV18" i="6" s="1"/>
  <c r="BC27" i="5"/>
  <c r="AV25" i="6" s="1"/>
  <c r="BC23" i="5"/>
  <c r="AV21" i="6" s="1"/>
  <c r="BC19" i="5"/>
  <c r="AV17" i="6" s="1"/>
  <c r="BC15" i="5"/>
  <c r="AV13" i="6" s="1"/>
  <c r="BC21" i="5"/>
  <c r="AV19" i="6" s="1"/>
  <c r="BC29" i="5"/>
  <c r="AV27" i="6" s="1"/>
  <c r="BC32" i="5"/>
  <c r="AV30" i="6" s="1"/>
  <c r="BC16" i="5"/>
  <c r="AV14" i="6" s="1"/>
  <c r="BC26" i="5"/>
  <c r="AV24" i="6" s="1"/>
  <c r="BC30" i="5"/>
  <c r="AV28" i="6" s="1"/>
  <c r="BC36" i="5"/>
  <c r="BC17" i="5"/>
  <c r="AV15" i="6" s="1"/>
  <c r="BC25" i="5"/>
  <c r="AV23" i="6" s="1"/>
  <c r="BC24" i="5"/>
  <c r="AV22" i="6" s="1"/>
  <c r="BB37" i="5"/>
  <c r="AU7" i="6" l="1"/>
  <c r="AU6" i="6" s="1"/>
  <c r="AV7" i="6"/>
  <c r="AV6" i="6" s="1"/>
  <c r="BE12" i="5"/>
  <c r="AW10" i="6"/>
  <c r="BD36" i="5"/>
  <c r="BD29" i="5"/>
  <c r="AW27" i="6" s="1"/>
  <c r="BD15" i="5"/>
  <c r="AW13" i="6" s="1"/>
  <c r="BD19" i="5"/>
  <c r="AW17" i="6" s="1"/>
  <c r="BD18" i="5"/>
  <c r="AW16" i="6" s="1"/>
  <c r="BD16" i="5"/>
  <c r="AW14" i="6" s="1"/>
  <c r="BD22" i="5"/>
  <c r="AW20" i="6" s="1"/>
  <c r="BD21" i="5"/>
  <c r="AW19" i="6" s="1"/>
  <c r="BD27" i="5"/>
  <c r="AW25" i="6" s="1"/>
  <c r="BD31" i="5"/>
  <c r="AW29" i="6" s="1"/>
  <c r="BD32" i="5"/>
  <c r="AW30" i="6" s="1"/>
  <c r="BD20" i="5"/>
  <c r="AW18" i="6" s="1"/>
  <c r="BD30" i="5"/>
  <c r="AW28" i="6" s="1"/>
  <c r="BD25" i="5"/>
  <c r="AW23" i="6" s="1"/>
  <c r="BD23" i="5"/>
  <c r="AW21" i="6" s="1"/>
  <c r="BD24" i="5"/>
  <c r="AW22" i="6" s="1"/>
  <c r="BD17" i="5"/>
  <c r="AW15" i="6" s="1"/>
  <c r="BD26" i="5"/>
  <c r="AW24" i="6" s="1"/>
  <c r="BC37" i="5"/>
  <c r="BE35" i="5"/>
  <c r="BE34" i="5"/>
  <c r="BD49" i="5" s="1"/>
  <c r="BE9" i="5"/>
  <c r="BE10" i="5" s="1"/>
  <c r="BF33" i="5"/>
  <c r="AW7" i="6" l="1"/>
  <c r="AW6" i="6" s="1"/>
  <c r="BF12" i="5"/>
  <c r="AX10" i="6"/>
  <c r="BD37" i="5"/>
  <c r="BF35" i="5"/>
  <c r="BF34" i="5"/>
  <c r="BE49" i="5" s="1"/>
  <c r="BF9" i="5"/>
  <c r="BF10" i="5" s="1"/>
  <c r="BG33" i="5"/>
  <c r="BE31" i="5"/>
  <c r="AX29" i="6" s="1"/>
  <c r="BE36" i="5"/>
  <c r="BE24" i="5"/>
  <c r="AX22" i="6" s="1"/>
  <c r="BE18" i="5"/>
  <c r="AX16" i="6" s="1"/>
  <c r="BE16" i="5"/>
  <c r="AX14" i="6" s="1"/>
  <c r="BE19" i="5"/>
  <c r="AX17" i="6" s="1"/>
  <c r="BE26" i="5"/>
  <c r="AX24" i="6" s="1"/>
  <c r="BE27" i="5"/>
  <c r="AX25" i="6" s="1"/>
  <c r="BE30" i="5"/>
  <c r="AX28" i="6" s="1"/>
  <c r="BE29" i="5"/>
  <c r="AX27" i="6" s="1"/>
  <c r="BE23" i="5"/>
  <c r="AX21" i="6" s="1"/>
  <c r="BE32" i="5"/>
  <c r="AX30" i="6" s="1"/>
  <c r="BE15" i="5"/>
  <c r="AX13" i="6" s="1"/>
  <c r="BE17" i="5"/>
  <c r="AX15" i="6" s="1"/>
  <c r="BE20" i="5"/>
  <c r="AX18" i="6" s="1"/>
  <c r="BE22" i="5"/>
  <c r="AX20" i="6" s="1"/>
  <c r="BE25" i="5"/>
  <c r="AX23" i="6" s="1"/>
  <c r="BE21" i="5"/>
  <c r="AX19" i="6" s="1"/>
  <c r="AX7" i="6" l="1"/>
  <c r="AX6" i="6" s="1"/>
  <c r="BG12" i="5"/>
  <c r="AY10" i="6"/>
  <c r="BF15" i="5"/>
  <c r="AY13" i="6" s="1"/>
  <c r="BF36" i="5"/>
  <c r="BF25" i="5"/>
  <c r="AY23" i="6" s="1"/>
  <c r="BF17" i="5"/>
  <c r="AY15" i="6" s="1"/>
  <c r="BF30" i="5"/>
  <c r="AY28" i="6" s="1"/>
  <c r="BF21" i="5"/>
  <c r="AY19" i="6" s="1"/>
  <c r="BF27" i="5"/>
  <c r="AY25" i="6" s="1"/>
  <c r="BF32" i="5"/>
  <c r="AY30" i="6" s="1"/>
  <c r="BF20" i="5"/>
  <c r="AY18" i="6" s="1"/>
  <c r="BF29" i="5"/>
  <c r="AY27" i="6" s="1"/>
  <c r="BF22" i="5"/>
  <c r="AY20" i="6" s="1"/>
  <c r="BF26" i="5"/>
  <c r="AY24" i="6" s="1"/>
  <c r="BF31" i="5"/>
  <c r="AY29" i="6" s="1"/>
  <c r="BF23" i="5"/>
  <c r="AY21" i="6" s="1"/>
  <c r="BF16" i="5"/>
  <c r="AY14" i="6" s="1"/>
  <c r="BF24" i="5"/>
  <c r="AY22" i="6" s="1"/>
  <c r="BF18" i="5"/>
  <c r="AY16" i="6" s="1"/>
  <c r="BF19" i="5"/>
  <c r="AY17" i="6" s="1"/>
  <c r="BE37" i="5"/>
  <c r="BG35" i="5"/>
  <c r="BG34" i="5"/>
  <c r="BF49" i="5" s="1"/>
  <c r="BG9" i="5"/>
  <c r="BG10" i="5" s="1"/>
  <c r="BH33" i="5"/>
  <c r="AY7" i="6" l="1"/>
  <c r="AY6" i="6" s="1"/>
  <c r="BH12" i="5"/>
  <c r="BA10" i="6" s="1"/>
  <c r="AZ10" i="6"/>
  <c r="BG36" i="5"/>
  <c r="BG17" i="5"/>
  <c r="AZ15" i="6" s="1"/>
  <c r="BG24" i="5"/>
  <c r="AZ22" i="6" s="1"/>
  <c r="BG25" i="5"/>
  <c r="AZ23" i="6" s="1"/>
  <c r="BG22" i="5"/>
  <c r="AZ20" i="6" s="1"/>
  <c r="BG31" i="5"/>
  <c r="AZ29" i="6" s="1"/>
  <c r="BG30" i="5"/>
  <c r="AZ28" i="6" s="1"/>
  <c r="BG20" i="5"/>
  <c r="AZ18" i="6" s="1"/>
  <c r="BG21" i="5"/>
  <c r="AZ19" i="6" s="1"/>
  <c r="BG26" i="5"/>
  <c r="AZ24" i="6" s="1"/>
  <c r="BG15" i="5"/>
  <c r="AZ13" i="6" s="1"/>
  <c r="BG27" i="5"/>
  <c r="AZ25" i="6" s="1"/>
  <c r="BG29" i="5"/>
  <c r="AZ27" i="6" s="1"/>
  <c r="BG32" i="5"/>
  <c r="AZ30" i="6" s="1"/>
  <c r="BG19" i="5"/>
  <c r="AZ17" i="6" s="1"/>
  <c r="BG23" i="5"/>
  <c r="AZ21" i="6" s="1"/>
  <c r="BG16" i="5"/>
  <c r="AZ14" i="6" s="1"/>
  <c r="BG18" i="5"/>
  <c r="AZ16" i="6" s="1"/>
  <c r="BH9" i="5"/>
  <c r="BH10" i="5" s="1"/>
  <c r="BH34" i="5"/>
  <c r="BG49" i="5" s="1"/>
  <c r="BF37" i="5"/>
  <c r="AZ7" i="6" l="1"/>
  <c r="AZ6" i="6" s="1"/>
  <c r="BH35" i="5"/>
  <c r="BH29" i="5" s="1"/>
  <c r="BA27" i="6" s="1"/>
  <c r="BG37" i="5"/>
  <c r="BH16" i="5"/>
  <c r="BA14" i="6" s="1"/>
  <c r="BH21" i="5"/>
  <c r="BA19" i="6" s="1"/>
  <c r="BH23" i="5"/>
  <c r="BA21" i="6" s="1"/>
  <c r="BH32" i="5"/>
  <c r="BA30" i="6" s="1"/>
  <c r="BH19" i="5"/>
  <c r="BA17" i="6" s="1"/>
  <c r="BH26" i="5"/>
  <c r="BA24" i="6" s="1"/>
  <c r="BH18" i="5"/>
  <c r="BA16" i="6" s="1"/>
  <c r="BH30" i="5"/>
  <c r="BA28" i="6" s="1"/>
  <c r="BH17" i="5" l="1"/>
  <c r="BA15" i="6" s="1"/>
  <c r="BH27" i="5"/>
  <c r="BA25" i="6" s="1"/>
  <c r="BH15" i="5"/>
  <c r="BA13" i="6" s="1"/>
  <c r="BH24" i="5"/>
  <c r="BA22" i="6" s="1"/>
  <c r="BH22" i="5"/>
  <c r="BA20" i="6" s="1"/>
  <c r="BH20" i="5"/>
  <c r="BA18" i="6" s="1"/>
  <c r="BH25" i="5"/>
  <c r="BA23" i="6" s="1"/>
  <c r="BH31" i="5"/>
  <c r="BA29" i="6" s="1"/>
  <c r="BH36" i="5"/>
  <c r="BH37" i="5" l="1"/>
  <c r="BA7" i="6"/>
  <c r="BA6" i="6" s="1"/>
  <c r="E12" i="8" l="1"/>
  <c r="E13" i="8" s="1"/>
  <c r="L41" i="6"/>
  <c r="L42" i="6" s="1"/>
  <c r="G41" i="6"/>
  <c r="G42" i="6" s="1"/>
  <c r="E42" i="6" s="1"/>
  <c r="F42" i="6" s="1"/>
  <c r="C44" i="6" l="1"/>
  <c r="G44" i="6"/>
  <c r="L44" i="6"/>
  <c r="H42" i="6"/>
  <c r="H44" i="6" s="1"/>
  <c r="E14" i="8"/>
  <c r="Q41" i="6"/>
  <c r="Q42" i="6" s="1"/>
  <c r="D44" i="6" l="1"/>
  <c r="M42" i="6"/>
  <c r="M44" i="6" s="1"/>
  <c r="Q44" i="6"/>
  <c r="E15" i="8"/>
  <c r="V41" i="6"/>
  <c r="V42" i="6" s="1"/>
  <c r="I42" i="6"/>
  <c r="E16" i="8" l="1"/>
  <c r="AF41" i="6" s="1"/>
  <c r="AF42" i="6" s="1"/>
  <c r="AA41" i="6"/>
  <c r="AA42" i="6" s="1"/>
  <c r="R42" i="6"/>
  <c r="R44" i="6" s="1"/>
  <c r="V44" i="6"/>
  <c r="N42" i="6"/>
  <c r="E44" i="6"/>
  <c r="F44" i="6"/>
  <c r="I44" i="6"/>
  <c r="J42" i="6"/>
  <c r="N44" i="6" l="1"/>
  <c r="O42" i="6"/>
  <c r="J44" i="6"/>
  <c r="K42" i="6"/>
  <c r="K44" i="6" s="1"/>
  <c r="S42" i="6"/>
  <c r="AA44" i="6"/>
  <c r="W42" i="6"/>
  <c r="W44" i="6" s="1"/>
  <c r="AG42" i="6"/>
  <c r="AG44" i="6" s="1"/>
  <c r="AF44" i="6"/>
  <c r="AB42" i="6"/>
  <c r="AB44" i="6" s="1"/>
  <c r="AC42" i="6" l="1"/>
  <c r="AC44" i="6" s="1"/>
  <c r="AH42" i="6"/>
  <c r="X42" i="6"/>
  <c r="AD42" i="6"/>
  <c r="S44" i="6"/>
  <c r="T42" i="6"/>
  <c r="O44" i="6"/>
  <c r="P42" i="6"/>
  <c r="P44" i="6" s="1"/>
  <c r="AH44" i="6" l="1"/>
  <c r="AI42" i="6"/>
  <c r="T44" i="6"/>
  <c r="U42" i="6"/>
  <c r="U44" i="6" s="1"/>
  <c r="AD44" i="6"/>
  <c r="AE42" i="6"/>
  <c r="AE44" i="6" s="1"/>
  <c r="X44" i="6"/>
  <c r="Y42" i="6"/>
  <c r="AI44" i="6" l="1"/>
  <c r="AJ42" i="6"/>
  <c r="AJ44" i="6" s="1"/>
  <c r="Y44" i="6"/>
  <c r="Z42" i="6"/>
  <c r="Z44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tc={8207A284-AFCD-4F1F-A145-98CDC70A18BC}</author>
  </authors>
  <commentList>
    <comment ref="N44" authorId="0" shapeId="0" xr:uid="{8207A284-AFCD-4F1F-A145-98CDC70A18B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average growth for period 2021-2025, assigned to be growth for 2023.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tc={6BACE8B8-BAAD-487A-9DB4-F8AEB26E13D7}</author>
  </authors>
  <commentList>
    <comment ref="E11" authorId="0" shapeId="0" xr:uid="{6BACE8B8-BAAD-487A-9DB4-F8AEB26E13D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sure why it is half what UN says!!!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<sst xmlns="http://schemas.openxmlformats.org/spreadsheetml/2006/main" count="1125" uniqueCount="257">
  <si>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</si>
  <si>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</si>
  <si>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</si>
  <si>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</si>
  <si>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</si>
  <si>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</si>
  <si>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</si>
  <si>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</si>
  <si>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</si>
  <si>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</si>
  <si>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</si>
  <si>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</si>
  <si>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</si>
  <si>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</si>
  <si>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</si>
  <si>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</si>
  <si>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</si>
  <si>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</si>
  <si>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</si>
  <si>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</si>
  <si>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</si>
  <si>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</si>
  <si>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</si>
  <si>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</si>
  <si>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</si>
  <si>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</si>
  <si>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</si>
  <si>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</si>
  <si>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</si>
  <si>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</si>
  <si>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</si>
  <si>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</si>
  <si>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</si>
  <si>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</si>
  <si>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</si>
  <si>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</si>
  <si>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</si>
  <si>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</si>
  <si>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</si>
  <si>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Use CGE or Simple</t>
  </si>
  <si>
    <t>Overal GDP Growth</t>
  </si>
  <si>
    <t>Commerce Share of GDP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</si>
  <si>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</si>
  <si>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</si>
  <si>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</si>
  <si>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</si>
  <si>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</si>
  <si>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</si>
  <si>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</si>
  <si>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</si>
  <si>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From StatSA</t>
  </si>
  <si>
    <t>hhd-le</t>
  </si>
  <si>
    <t>hhd-me</t>
  </si>
  <si>
    <t>hhd-he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</si>
  <si>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</si>
  <si>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</si>
  <si>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</si>
  <si>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</si>
  <si>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</si>
  <si>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</si>
  <si>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</si>
  <si>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</si>
  <si>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</si>
  <si>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</si>
  <si>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</si>
  <si>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</si>
  <si>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</si>
  <si>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</si>
  <si>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</si>
  <si>
    <t>GDP check</t>
  </si>
  <si>
    <t>agr</t>
  </si>
  <si>
    <t>Population Growth</t>
  </si>
  <si>
    <t>Total</t>
  </si>
  <si>
    <t>Growth</t>
  </si>
  <si>
    <t>Reference Scenario</t>
  </si>
  <si>
    <t>Growth in coal</t>
  </si>
  <si>
    <t>Growth in Agri</t>
  </si>
  <si>
    <t>Growth in Other mining</t>
  </si>
  <si>
    <t>Share of Commerce</t>
  </si>
  <si>
    <t>Agriculture Growth</t>
  </si>
  <si>
    <t>Coal mining Growth</t>
  </si>
  <si>
    <t>Other Mining Growth</t>
  </si>
  <si>
    <t>Elastictity of Agri</t>
  </si>
  <si>
    <t>Elastictity of Other mining</t>
  </si>
  <si>
    <t>Non-Targetted Sectors</t>
  </si>
  <si>
    <t>Total Check</t>
  </si>
  <si>
    <t>Non-Targetted Sectors growth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</si>
  <si>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</si>
  <si>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</si>
  <si>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</si>
  <si>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</si>
  <si>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</si>
  <si>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</si>
  <si>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</si>
  <si>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</si>
  <si>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</si>
  <si>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</si>
  <si>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</si>
  <si>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</si>
  <si>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</si>
  <si>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</si>
  <si>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</si>
  <si>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</si>
  <si>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</si>
  <si>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</si>
  <si>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</si>
  <si>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</si>
  <si>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</si>
  <si>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</si>
  <si>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</si>
  <si>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</si>
  <si>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</si>
  <si>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</si>
  <si>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</si>
  <si>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</si>
  <si>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</si>
  <si>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</si>
  <si>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</si>
  <si>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</si>
  <si>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</si>
  <si>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</si>
  <si>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</si>
  <si>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</si>
  <si>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</si>
  <si>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</si>
  <si>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</si>
  <si>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National Treasury Growth</t>
  </si>
  <si>
    <t>Share of Households in NT Growth Scenario</t>
  </si>
  <si>
    <t>income of High income group in NT Growth Scenario</t>
  </si>
  <si>
    <t>Growth hhd-me</t>
  </si>
  <si>
    <t>Elasticity hhd-me</t>
  </si>
  <si>
    <t>Growth hhd-he</t>
  </si>
  <si>
    <t>Elasticity hhd-he</t>
  </si>
  <si>
    <t>Elasticity</t>
  </si>
  <si>
    <t>Selected</t>
  </si>
  <si>
    <t>National Treasury Scenario</t>
  </si>
  <si>
    <t>Reference</t>
  </si>
  <si>
    <t>GVA Reference Scenario</t>
  </si>
  <si>
    <t>Share of total population in each SATIM household group (TFHPOP) Reference</t>
  </si>
  <si>
    <t>Income of high income group in SATIM (YHE) Reference</t>
  </si>
  <si>
    <t>List of Scenarios</t>
  </si>
  <si>
    <t>GVA National Treasure Optimistic Scenario</t>
  </si>
  <si>
    <t>GVA Selected Scenario</t>
  </si>
  <si>
    <t>Check</t>
  </si>
  <si>
    <t>Error</t>
  </si>
  <si>
    <t>pgm</t>
  </si>
  <si>
    <t>Year</t>
  </si>
  <si>
    <t>Subsector</t>
  </si>
  <si>
    <t>Agriculture</t>
  </si>
  <si>
    <t>Aviation-Domestic</t>
  </si>
  <si>
    <t>Chemicals33</t>
  </si>
  <si>
    <t>ComExisting</t>
  </si>
  <si>
    <t>CTL</t>
  </si>
  <si>
    <t>ETrans</t>
  </si>
  <si>
    <t>Extraction-Coal</t>
  </si>
  <si>
    <t>Food_Bev_Tob30</t>
  </si>
  <si>
    <t>FreightRoad</t>
  </si>
  <si>
    <t>IndOther</t>
  </si>
  <si>
    <t>Iron_Steel351</t>
  </si>
  <si>
    <t>Mining2</t>
  </si>
  <si>
    <t>NMMProducts34</t>
  </si>
  <si>
    <t>PassPub</t>
  </si>
  <si>
    <t>PNFMetals352</t>
  </si>
  <si>
    <t>Pulp_Paper323</t>
  </si>
  <si>
    <t>TraOther</t>
  </si>
  <si>
    <t>GVA Reference Scenario - NDC Runs</t>
  </si>
  <si>
    <t>NoPAMS</t>
  </si>
  <si>
    <t>GVA Reference Scenario - P4C Runs</t>
  </si>
  <si>
    <t>GVA Reference Scenario - P4C Runs - Raw from Tableau</t>
  </si>
  <si>
    <t>NDC</t>
  </si>
  <si>
    <t>P4C</t>
  </si>
  <si>
    <t>PGM</t>
  </si>
  <si>
    <t>Scenario  /  Year</t>
  </si>
  <si>
    <t>TechDescription</t>
  </si>
  <si>
    <t>High Income (SATIM)</t>
  </si>
  <si>
    <t>Middle Income (SATIM)</t>
  </si>
  <si>
    <t>Low Income (SATIM)</t>
  </si>
  <si>
    <t>pg</t>
  </si>
  <si>
    <t>am</t>
  </si>
  <si>
    <t>Other Drivers (Growth domestic use)</t>
  </si>
  <si>
    <t>QD_FS</t>
  </si>
  <si>
    <t>DriversGams!A130</t>
  </si>
  <si>
    <t>fc</t>
  </si>
  <si>
    <t>et</t>
  </si>
  <si>
    <t>2022 release as suggested by Pr. Dorrington</t>
  </si>
  <si>
    <t>From Global model (median scenario - 1 July Value)</t>
  </si>
  <si>
    <t>Citation</t>
  </si>
  <si>
    <t>United Nations, Department of Economic and Social Affairs, Population Division (2022). World Population Prospects 2022, Online Edition.</t>
  </si>
  <si>
    <t>2023-50</t>
  </si>
  <si>
    <t>NDC Previous targets Reference</t>
  </si>
  <si>
    <t>NDC Previous targets Reforms</t>
  </si>
  <si>
    <t>NDC Previous targets High</t>
  </si>
  <si>
    <t>TSITICA Previous targets Reference</t>
  </si>
  <si>
    <t>Current targets Reference</t>
  </si>
  <si>
    <t>Current targets Reforms</t>
  </si>
  <si>
    <t>Current targets High</t>
  </si>
  <si>
    <t>SARB  May 2023</t>
  </si>
  <si>
    <t>NT Feb 2023</t>
  </si>
  <si>
    <t>IMF April 2023</t>
  </si>
  <si>
    <t>WB June 2023</t>
  </si>
  <si>
    <t>OECD June 2023</t>
  </si>
  <si>
    <t>GDP Growth Projections</t>
  </si>
  <si>
    <t>Population Projections</t>
  </si>
  <si>
    <t>Population</t>
  </si>
  <si>
    <t>GDP/capita</t>
  </si>
  <si>
    <t>GDP/capita growth</t>
  </si>
  <si>
    <t>000 people</t>
  </si>
  <si>
    <t>000 2019 ZAR/capita</t>
  </si>
  <si>
    <t>REX (from Eskom)</t>
  </si>
  <si>
    <t>IRP Low?</t>
  </si>
  <si>
    <t>IRP High?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</si>
  <si>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</si>
  <si>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</si>
  <si>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</si>
  <si>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</si>
  <si>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</si>
  <si>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</si>
  <si>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</si>
  <si>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</si>
  <si>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</si>
  <si>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</si>
  <si>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</si>
  <si>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</si>
  <si>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</si>
  <si>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</si>
  <si>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</si>
  <si>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</si>
  <si>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</si>
  <si>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</si>
  <si>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</si>
  <si>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</si>
  <si>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</si>
  <si>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</si>
  <si>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~USA poverty rate in 2014.</t>
  </si>
  <si>
    <t>~EU poverty rate in 2019</t>
  </si>
  <si>
    <t>QA_FS (used for intensity calcs in some places)</t>
  </si>
  <si>
    <t>QA_FS</t>
  </si>
  <si>
    <t>Active Population</t>
  </si>
  <si>
    <t>POPActive</t>
  </si>
  <si>
    <t>% 15-64</t>
  </si>
  <si>
    <t>World Population Prospects 2019</t>
  </si>
  <si>
    <t>File POP/7-1: Total population (both sexes combined) by five-year age group, region, subregion and country, 1950-2100 (thousands)</t>
  </si>
  <si>
    <t>Medium fertility variant, 2020 - 2100</t>
  </si>
  <si>
    <t>POP/DB/WPP/Rev.2019/POP/F07-1</t>
  </si>
  <si>
    <t>© August 2019 by United Nations, made available under a Creative Commons license CC BY 3.0 IGO: http://creativecommons.org/licenses/by/3.0/igo/</t>
  </si>
  <si>
    <t>Suggested citation: United Nations, Department of Economic and Social Affairs, Population Division (2019). World Population Prospects 2019, Online Edition. Rev. 1.</t>
  </si>
  <si>
    <t>Bruno: Noting that the 2022 version does not include the population by age group!</t>
  </si>
  <si>
    <t>% 15-64 years old</t>
  </si>
  <si>
    <t>POP_GR</t>
  </si>
  <si>
    <t>unemployment rate</t>
  </si>
  <si>
    <t>Active</t>
  </si>
  <si>
    <t>pop</t>
  </si>
  <si>
    <t>Actual</t>
  </si>
  <si>
    <t>employrate</t>
  </si>
  <si>
    <t>Employedcheck</t>
  </si>
  <si>
    <t>https://www.investec.com/en_za/focus/economy/making-sense-of-employment-and-unemployment-in-sa.html#:~:text=The%20SA%20labour%20force%20is,adult%20South%20Africans%20economically%20inactive.</t>
  </si>
  <si>
    <t>in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</si>
</sst>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%"/>
    <numFmt numFmtId="165" formatCode="0.000"/>
    <numFmt numFmtId="166" formatCode="0.0"/>
    <numFmt numFmtId="167" formatCode="_(* #,##0.0_);_(* \(#,##0.0\);_(* &quot;-&quot;??_);_(@_)"/>
    <numFmt numFmtId="168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i/>
      <sz val="8"/>
      <color theme="1"/>
      <name val="Arial"/>
      <family val="2"/>
    </font>
    <font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1"/>
        <bgColor indexed="64"/>
      </patternFill>
    </fill>
    <fill>
      <patternFill patternType="solid">
        <fgColor rgb="FFFFC7CE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10" fillId="5" borderId="0" applyNumberFormat="0" applyBorder="0" applyAlignment="0" applyProtection="0"/>
    <xf numFmtId="0" fontId="18" fillId="7" borderId="0" applyNumberFormat="0" applyBorder="0" applyAlignment="0" applyProtection="0"/>
  </cellStyleXfs>
  <cellXfs count="48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  <xf numFmtId="10" fontId="0" fillId="0" borderId="0" xfId="0" applyNumberFormat="1"/>
    <xf numFmtId="164" fontId="5" fillId="4" borderId="2" xfId="1" applyNumberFormat="1" applyFont="1" applyFill="1" applyBorder="1"/>
    <xf numFmtId="164" fontId="5" fillId="4" borderId="2" xfId="5" applyNumberFormat="1"/>
    <xf numFmtId="2" fontId="0" fillId="0" borderId="0" xfId="1" applyNumberFormat="1" applyFont="1"/>
    <xf numFmtId="2" fontId="0" fillId="0" borderId="0" xfId="0" applyNumberFormat="1"/>
    <xf numFmtId="164" fontId="8" fillId="4" borderId="2" xfId="5" applyNumberFormat="1" applyFont="1"/>
    <xf numFmtId="164" fontId="8" fillId="4" borderId="3" xfId="5" applyNumberFormat="1" applyFont="1" applyBorder="1"/>
    <xf numFmtId="0" fontId="7" fillId="0" borderId="0" xfId="0" applyFont="1"/>
    <xf numFmtId="165" fontId="5" fillId="4" borderId="2" xfId="5" applyNumberFormat="1"/>
    <xf numFmtId="4" fontId="0" fillId="0" borderId="0" xfId="0" applyNumberFormat="1"/>
    <xf numFmtId="0" fontId="9" fillId="0" borderId="1" xfId="2" applyFont="1"/>
    <xf numFmtId="1" fontId="0" fillId="0" borderId="0" xfId="0" applyNumberFormat="1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166" fontId="10" fillId="5" borderId="2" xfId="8" applyNumberFormat="1" applyBorder="1"/>
    <xf numFmtId="166" fontId="0" fillId="0" borderId="0" xfId="0" applyNumberFormat="1"/>
    <xf numFmtId="16" fontId="0" fillId="0" borderId="0" xfId="0" applyNumberFormat="1"/>
    <xf numFmtId="167" fontId="0" fillId="0" borderId="0" xfId="0" applyNumberFormat="1"/>
    <xf numFmtId="17" fontId="0" fillId="0" borderId="0" xfId="0" applyNumberFormat="1"/>
    <xf numFmtId="49" fontId="0" fillId="0" borderId="0" xfId="0" applyNumberFormat="1"/>
    <xf numFmtId="168" fontId="0" fillId="0" borderId="0" xfId="7" applyNumberFormat="1" applyFont="1"/>
    <xf numFmtId="43" fontId="0" fillId="0" borderId="0" xfId="0" applyNumberFormat="1"/>
    <xf numFmtId="164" fontId="0" fillId="0" borderId="0" xfId="0" applyNumberFormat="1"/>
    <xf numFmtId="164" fontId="5" fillId="4" borderId="3" xfId="5" applyNumberFormat="1" applyBorder="1"/>
    <xf numFmtId="2" fontId="7" fillId="0" borderId="0" xfId="0" applyNumberFormat="1" applyFont="1"/>
    <xf numFmtId="166" fontId="11" fillId="0" borderId="0" xfId="0" applyNumberFormat="1" applyFont="1"/>
    <xf numFmtId="0" fontId="13" fillId="6" borderId="0" xfId="0" applyFont="1" applyFill="1" applyAlignment="1">
      <alignment horizontal="left"/>
    </xf>
    <xf numFmtId="0" fontId="14" fillId="6" borderId="0" xfId="0" applyFont="1" applyFill="1" applyAlignment="1">
      <alignment horizontal="left"/>
    </xf>
    <xf numFmtId="0" fontId="15" fillId="6" borderId="0" xfId="0" applyFont="1" applyFill="1" applyAlignment="1">
      <alignment horizontal="left"/>
    </xf>
    <xf numFmtId="0" fontId="16" fillId="6" borderId="0" xfId="0" applyFont="1" applyFill="1" applyAlignment="1">
      <alignment horizontal="left"/>
    </xf>
    <xf numFmtId="0" fontId="16" fillId="6" borderId="0" xfId="0" quotePrefix="1" applyFont="1" applyFill="1" applyAlignment="1">
      <alignment horizontal="left"/>
    </xf>
    <xf numFmtId="0" fontId="17" fillId="6" borderId="0" xfId="0" applyFont="1" applyFill="1" applyAlignment="1">
      <alignment horizontal="left"/>
    </xf>
    <xf numFmtId="164" fontId="0" fillId="0" borderId="0" xfId="1" quotePrefix="1" applyNumberFormat="1" applyFont="1"/>
    <xf numFmtId="164" fontId="0" fillId="0" borderId="0" xfId="0" quotePrefix="1" applyNumberFormat="1"/>
    <xf numFmtId="164" fontId="18" fillId="7" borderId="0" xfId="9" applyNumberFormat="1"/>
  </cellXfs>
  <cellStyles count="10">
    <cellStyle name="20% - Accent1 2" xfId="8" xr:uid="{73DFC625-8C36-4ADA-9B76-94CC310F5E34}"/>
    <cellStyle name="Bad" xfId="9" builtinId="27"/>
    <cellStyle name="Comma" xfId="7" builtinId="3"/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Population Growth and Population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Population 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Drivers!$B$48:$BQ$48</c15:sqref>
                  </c15:fullRef>
                </c:ext>
              </c:extLst>
              <c:f>Drivers!$F$48:$BQ$48</c:f>
              <c:numCache>
                <c:formatCode>General</c:formatCode>
                <c:ptCount val="6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  <c:pt idx="34">
                  <c:v>2051</c:v>
                </c:pt>
                <c:pt idx="35">
                  <c:v>2052</c:v>
                </c:pt>
                <c:pt idx="36">
                  <c:v>2053</c:v>
                </c:pt>
                <c:pt idx="37">
                  <c:v>2054</c:v>
                </c:pt>
                <c:pt idx="38">
                  <c:v>2055</c:v>
                </c:pt>
                <c:pt idx="39">
                  <c:v>2056</c:v>
                </c:pt>
                <c:pt idx="40">
                  <c:v>2057</c:v>
                </c:pt>
                <c:pt idx="41">
                  <c:v>2058</c:v>
                </c:pt>
                <c:pt idx="42">
                  <c:v>2059</c:v>
                </c:pt>
                <c:pt idx="43">
                  <c:v>2060</c:v>
                </c:pt>
                <c:pt idx="44">
                  <c:v>2061</c:v>
                </c:pt>
                <c:pt idx="45">
                  <c:v>2062</c:v>
                </c:pt>
                <c:pt idx="46">
                  <c:v>2063</c:v>
                </c:pt>
                <c:pt idx="47">
                  <c:v>2064</c:v>
                </c:pt>
                <c:pt idx="48">
                  <c:v>2065</c:v>
                </c:pt>
                <c:pt idx="49">
                  <c:v>2066</c:v>
                </c:pt>
                <c:pt idx="50">
                  <c:v>2067</c:v>
                </c:pt>
                <c:pt idx="51">
                  <c:v>2068</c:v>
                </c:pt>
                <c:pt idx="52">
                  <c:v>2069</c:v>
                </c:pt>
                <c:pt idx="53">
                  <c:v>2070</c:v>
                </c:pt>
                <c:pt idx="54">
                  <c:v>2071</c:v>
                </c:pt>
                <c:pt idx="55">
                  <c:v>2072</c:v>
                </c:pt>
                <c:pt idx="56">
                  <c:v>2073</c:v>
                </c:pt>
                <c:pt idx="57">
                  <c:v>2074</c:v>
                </c:pt>
                <c:pt idx="58">
                  <c:v>2075</c:v>
                </c:pt>
                <c:pt idx="59">
                  <c:v>2076</c:v>
                </c:pt>
                <c:pt idx="60">
                  <c:v>2077</c:v>
                </c:pt>
                <c:pt idx="61">
                  <c:v>2078</c:v>
                </c:pt>
                <c:pt idx="62">
                  <c:v>2079</c:v>
                </c:pt>
                <c:pt idx="63">
                  <c:v>2080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Drivers!$B$50:$BQ$50</c15:sqref>
                  </c15:fullRef>
                </c:ext>
              </c:extLst>
              <c:f>Drivers!$F$50:$BQ$50</c:f>
              <c:numCache>
                <c:formatCode>0.00%</c:formatCode>
                <c:ptCount val="64"/>
                <c:pt idx="0">
                  <c:v>1.6217341554197295E-2</c:v>
                </c:pt>
                <c:pt idx="1">
                  <c:v>1.4466715792410323E-2</c:v>
                </c:pt>
                <c:pt idx="2">
                  <c:v>1.3034962639716818E-2</c:v>
                </c:pt>
                <c:pt idx="3">
                  <c:v>1.2306907279083124E-2</c:v>
                </c:pt>
                <c:pt idx="4">
                  <c:v>1.0039262828920537E-2</c:v>
                </c:pt>
                <c:pt idx="5">
                  <c:v>8.4460507519037442E-3</c:v>
                </c:pt>
                <c:pt idx="6">
                  <c:v>8.6922062243917075E-3</c:v>
                </c:pt>
                <c:pt idx="7">
                  <c:v>1.0026170044125982E-2</c:v>
                </c:pt>
                <c:pt idx="8">
                  <c:v>1.0699076294725218E-2</c:v>
                </c:pt>
                <c:pt idx="9">
                  <c:v>1.0246901723622415E-2</c:v>
                </c:pt>
                <c:pt idx="10">
                  <c:v>9.8527664833016892E-3</c:v>
                </c:pt>
                <c:pt idx="11">
                  <c:v>9.4659291332992446E-3</c:v>
                </c:pt>
                <c:pt idx="12">
                  <c:v>9.1196495565690761E-3</c:v>
                </c:pt>
                <c:pt idx="13">
                  <c:v>8.8237333410385865E-3</c:v>
                </c:pt>
                <c:pt idx="14">
                  <c:v>8.5408933888806438E-3</c:v>
                </c:pt>
                <c:pt idx="15">
                  <c:v>8.3021826540297106E-3</c:v>
                </c:pt>
                <c:pt idx="16">
                  <c:v>8.0797167286430494E-3</c:v>
                </c:pt>
                <c:pt idx="17">
                  <c:v>7.8446762017410077E-3</c:v>
                </c:pt>
                <c:pt idx="18">
                  <c:v>7.6337453620221041E-3</c:v>
                </c:pt>
                <c:pt idx="19">
                  <c:v>7.4546009528193569E-3</c:v>
                </c:pt>
                <c:pt idx="20">
                  <c:v>7.2595476936074821E-3</c:v>
                </c:pt>
                <c:pt idx="21">
                  <c:v>7.0306153081429734E-3</c:v>
                </c:pt>
                <c:pt idx="22">
                  <c:v>6.8082315218556122E-3</c:v>
                </c:pt>
                <c:pt idx="23">
                  <c:v>6.6002738820405416E-3</c:v>
                </c:pt>
                <c:pt idx="24">
                  <c:v>6.4078291834241963E-3</c:v>
                </c:pt>
                <c:pt idx="25">
                  <c:v>6.1926448460027927E-3</c:v>
                </c:pt>
                <c:pt idx="26">
                  <c:v>5.9640939548071259E-3</c:v>
                </c:pt>
                <c:pt idx="27">
                  <c:v>5.7381721863674073E-3</c:v>
                </c:pt>
                <c:pt idx="28">
                  <c:v>5.4957970446520843E-3</c:v>
                </c:pt>
                <c:pt idx="29">
                  <c:v>5.2349469167827234E-3</c:v>
                </c:pt>
                <c:pt idx="30">
                  <c:v>4.976136257464514E-3</c:v>
                </c:pt>
                <c:pt idx="31">
                  <c:v>4.7252848749574916E-3</c:v>
                </c:pt>
                <c:pt idx="32">
                  <c:v>4.481027500960133E-3</c:v>
                </c:pt>
                <c:pt idx="33">
                  <c:v>4.2186475274941238E-3</c:v>
                </c:pt>
                <c:pt idx="34">
                  <c:v>3.9369777292737052E-3</c:v>
                </c:pt>
                <c:pt idx="35">
                  <c:v>3.6638552134606872E-3</c:v>
                </c:pt>
                <c:pt idx="36">
                  <c:v>3.4185588088686547E-3</c:v>
                </c:pt>
                <c:pt idx="37">
                  <c:v>3.1896622493521321E-3</c:v>
                </c:pt>
                <c:pt idx="38">
                  <c:v>2.9356352518117301E-3</c:v>
                </c:pt>
                <c:pt idx="39">
                  <c:v>2.701504898792173E-3</c:v>
                </c:pt>
                <c:pt idx="40">
                  <c:v>2.5024692964585871E-3</c:v>
                </c:pt>
                <c:pt idx="41">
                  <c:v>2.3050106074298249E-3</c:v>
                </c:pt>
                <c:pt idx="42">
                  <c:v>2.0989988352104749E-3</c:v>
                </c:pt>
                <c:pt idx="43">
                  <c:v>1.8921269172857968E-3</c:v>
                </c:pt>
                <c:pt idx="44">
                  <c:v>1.716065451000226E-3</c:v>
                </c:pt>
                <c:pt idx="45">
                  <c:v>1.579722866641653E-3</c:v>
                </c:pt>
                <c:pt idx="46">
                  <c:v>1.444816144445138E-3</c:v>
                </c:pt>
                <c:pt idx="47">
                  <c:v>1.296274930776109E-3</c:v>
                </c:pt>
                <c:pt idx="48">
                  <c:v>1.1435215136890164E-3</c:v>
                </c:pt>
                <c:pt idx="49">
                  <c:v>9.9316286095518791E-4</c:v>
                </c:pt>
                <c:pt idx="50">
                  <c:v>8.9405693995137092E-4</c:v>
                </c:pt>
                <c:pt idx="51">
                  <c:v>7.9678400811711292E-4</c:v>
                </c:pt>
                <c:pt idx="52">
                  <c:v>6.4575593843807511E-4</c:v>
                </c:pt>
                <c:pt idx="53">
                  <c:v>5.2367110854389942E-4</c:v>
                </c:pt>
                <c:pt idx="54">
                  <c:v>4.4552993311097744E-4</c:v>
                </c:pt>
                <c:pt idx="55">
                  <c:v>3.5044836734132723E-4</c:v>
                </c:pt>
                <c:pt idx="56">
                  <c:v>2.0635277369596139E-4</c:v>
                </c:pt>
                <c:pt idx="57">
                  <c:v>6.8569837680998447E-5</c:v>
                </c:pt>
                <c:pt idx="58">
                  <c:v>-5.5220331538596845E-5</c:v>
                </c:pt>
                <c:pt idx="59">
                  <c:v>-1.6322824837988748E-4</c:v>
                </c:pt>
                <c:pt idx="60">
                  <c:v>-2.4825192534339013E-4</c:v>
                </c:pt>
                <c:pt idx="61">
                  <c:v>-3.3455968640172529E-4</c:v>
                </c:pt>
                <c:pt idx="62">
                  <c:v>-4.4901671351027517E-4</c:v>
                </c:pt>
                <c:pt idx="63">
                  <c:v>-5.6245127039122877E-4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5-41B6-8D39-7102AF8F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609487"/>
        <c:axId val="240128575"/>
      </c:lineChart>
      <c:lineChart>
        <c:grouping val="standard"/>
        <c:varyColors val="0"/>
        <c:ser>
          <c:idx val="1"/>
          <c:order val="1"/>
          <c:tx>
            <c:v>Population (Thousands)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64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  <c:pt idx="16">
                <c:v>21</c:v>
              </c:pt>
              <c:pt idx="17">
                <c:v>22</c:v>
              </c:pt>
              <c:pt idx="18">
                <c:v>23</c:v>
              </c:pt>
              <c:pt idx="19">
                <c:v>24</c:v>
              </c:pt>
              <c:pt idx="20">
                <c:v>25</c:v>
              </c:pt>
              <c:pt idx="21">
                <c:v>26</c:v>
              </c:pt>
              <c:pt idx="22">
                <c:v>27</c:v>
              </c:pt>
              <c:pt idx="23">
                <c:v>28</c:v>
              </c:pt>
              <c:pt idx="24">
                <c:v>29</c:v>
              </c:pt>
              <c:pt idx="25">
                <c:v>30</c:v>
              </c:pt>
              <c:pt idx="26">
                <c:v>31</c:v>
              </c:pt>
              <c:pt idx="27">
                <c:v>32</c:v>
              </c:pt>
              <c:pt idx="28">
                <c:v>33</c:v>
              </c:pt>
              <c:pt idx="29">
                <c:v>34</c:v>
              </c:pt>
              <c:pt idx="30">
                <c:v>35</c:v>
              </c:pt>
              <c:pt idx="31">
                <c:v>36</c:v>
              </c:pt>
              <c:pt idx="32">
                <c:v>37</c:v>
              </c:pt>
              <c:pt idx="33">
                <c:v>38</c:v>
              </c:pt>
              <c:pt idx="34">
                <c:v>39</c:v>
              </c:pt>
              <c:pt idx="35">
                <c:v>40</c:v>
              </c:pt>
              <c:pt idx="36">
                <c:v>41</c:v>
              </c:pt>
              <c:pt idx="37">
                <c:v>42</c:v>
              </c:pt>
              <c:pt idx="38">
                <c:v>43</c:v>
              </c:pt>
              <c:pt idx="39">
                <c:v>44</c:v>
              </c:pt>
              <c:pt idx="40">
                <c:v>45</c:v>
              </c:pt>
              <c:pt idx="41">
                <c:v>46</c:v>
              </c:pt>
              <c:pt idx="42">
                <c:v>47</c:v>
              </c:pt>
              <c:pt idx="43">
                <c:v>48</c:v>
              </c:pt>
              <c:pt idx="44">
                <c:v>49</c:v>
              </c:pt>
              <c:pt idx="45">
                <c:v>50</c:v>
              </c:pt>
              <c:pt idx="46">
                <c:v>51</c:v>
              </c:pt>
              <c:pt idx="47">
                <c:v>52</c:v>
              </c:pt>
              <c:pt idx="48">
                <c:v>53</c:v>
              </c:pt>
              <c:pt idx="49">
                <c:v>54</c:v>
              </c:pt>
              <c:pt idx="50">
                <c:v>55</c:v>
              </c:pt>
              <c:pt idx="51">
                <c:v>56</c:v>
              </c:pt>
              <c:pt idx="52">
                <c:v>57</c:v>
              </c:pt>
              <c:pt idx="53">
                <c:v>58</c:v>
              </c:pt>
              <c:pt idx="54">
                <c:v>59</c:v>
              </c:pt>
              <c:pt idx="55">
                <c:v>60</c:v>
              </c:pt>
              <c:pt idx="56">
                <c:v>61</c:v>
              </c:pt>
              <c:pt idx="57">
                <c:v>62</c:v>
              </c:pt>
              <c:pt idx="58">
                <c:v>63</c:v>
              </c:pt>
              <c:pt idx="59">
                <c:v>64</c:v>
              </c:pt>
              <c:pt idx="60">
                <c:v>65</c:v>
              </c:pt>
              <c:pt idx="61">
                <c:v>66</c:v>
              </c:pt>
              <c:pt idx="62">
                <c:v>67</c:v>
              </c:pt>
              <c:pt idx="63">
                <c:v>68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Drivers!$B$49:$BQ$49</c15:sqref>
                  </c15:fullRef>
                </c:ext>
              </c:extLst>
              <c:f>Drivers!$F$49:$BQ$49</c:f>
              <c:numCache>
                <c:formatCode>#,##0</c:formatCode>
                <c:ptCount val="64"/>
                <c:pt idx="0">
                  <c:v>56521.948041648095</c:v>
                </c:pt>
                <c:pt idx="1" formatCode="General">
                  <c:v>57339.635000000002</c:v>
                </c:pt>
                <c:pt idx="2" formatCode="General">
                  <c:v>58087.055</c:v>
                </c:pt>
                <c:pt idx="3">
                  <c:v>58801.927000000003</c:v>
                </c:pt>
                <c:pt idx="4">
                  <c:v>59392.254999999997</c:v>
                </c:pt>
                <c:pt idx="5">
                  <c:v>59893.885000000002</c:v>
                </c:pt>
                <c:pt idx="6">
                  <c:v>60414.495000000003</c:v>
                </c:pt>
                <c:pt idx="7">
                  <c:v>61020.220999999998</c:v>
                </c:pt>
                <c:pt idx="8">
                  <c:v>61673.080999999998</c:v>
                </c:pt>
                <c:pt idx="9">
                  <c:v>62305.038999999997</c:v>
                </c:pt>
                <c:pt idx="10">
                  <c:v>62918.915999999997</c:v>
                </c:pt>
                <c:pt idx="11">
                  <c:v>63514.502</c:v>
                </c:pt>
                <c:pt idx="12">
                  <c:v>64093.732000000004</c:v>
                </c:pt>
                <c:pt idx="13">
                  <c:v>64659.277999999998</c:v>
                </c:pt>
                <c:pt idx="14" formatCode="General">
                  <c:v>65211.525999999998</c:v>
                </c:pt>
                <c:pt idx="15" formatCode="General">
                  <c:v>65752.923999999999</c:v>
                </c:pt>
                <c:pt idx="16" formatCode="General">
                  <c:v>66284.188999999998</c:v>
                </c:pt>
                <c:pt idx="17" formatCode="General">
                  <c:v>66804.167000000001</c:v>
                </c:pt>
                <c:pt idx="18" formatCode="General">
                  <c:v>67314.133000000002</c:v>
                </c:pt>
                <c:pt idx="19" formatCode="General">
                  <c:v>67815.933000000005</c:v>
                </c:pt>
                <c:pt idx="20" formatCode="General">
                  <c:v>68308.245999999999</c:v>
                </c:pt>
                <c:pt idx="21" formatCode="General">
                  <c:v>68788.494999999995</c:v>
                </c:pt>
                <c:pt idx="22" formatCode="General">
                  <c:v>69256.823000000004</c:v>
                </c:pt>
                <c:pt idx="23" formatCode="General">
                  <c:v>69713.937000000005</c:v>
                </c:pt>
                <c:pt idx="24" formatCode="General">
                  <c:v>70160.652000000002</c:v>
                </c:pt>
                <c:pt idx="25" formatCode="General">
                  <c:v>70595.131999999998</c:v>
                </c:pt>
                <c:pt idx="26" formatCode="General">
                  <c:v>71016.168000000005</c:v>
                </c:pt>
                <c:pt idx="27" formatCode="General">
                  <c:v>71423.671000000002</c:v>
                </c:pt>
                <c:pt idx="28" formatCode="General">
                  <c:v>71816.201000000001</c:v>
                </c:pt>
                <c:pt idx="29" formatCode="General">
                  <c:v>72192.154999999999</c:v>
                </c:pt>
                <c:pt idx="30" formatCode="General">
                  <c:v>72551.392999999996</c:v>
                </c:pt>
                <c:pt idx="31" formatCode="General">
                  <c:v>72894.218999999997</c:v>
                </c:pt>
                <c:pt idx="32" formatCode="General">
                  <c:v>73220.86</c:v>
                </c:pt>
                <c:pt idx="33" formatCode="General">
                  <c:v>73529.752999999997</c:v>
                </c:pt>
                <c:pt idx="34" formatCode="General">
                  <c:v>73819.237999999998</c:v>
                </c:pt>
                <c:pt idx="35" formatCode="General">
                  <c:v>74089.701000000001</c:v>
                </c:pt>
                <c:pt idx="36" formatCode="General">
                  <c:v>74342.981</c:v>
                </c:pt>
                <c:pt idx="37" formatCode="General">
                  <c:v>74580.11</c:v>
                </c:pt>
                <c:pt idx="38" formatCode="General">
                  <c:v>74799.05</c:v>
                </c:pt>
                <c:pt idx="39" formatCode="General">
                  <c:v>75001.119999999995</c:v>
                </c:pt>
                <c:pt idx="40" formatCode="General">
                  <c:v>75188.808000000005</c:v>
                </c:pt>
                <c:pt idx="41" formatCode="General">
                  <c:v>75362.119000000006</c:v>
                </c:pt>
                <c:pt idx="42" formatCode="General">
                  <c:v>75520.304000000004</c:v>
                </c:pt>
                <c:pt idx="43" formatCode="General">
                  <c:v>75663.198000000004</c:v>
                </c:pt>
                <c:pt idx="44" formatCode="General">
                  <c:v>75793.040999999997</c:v>
                </c:pt>
                <c:pt idx="45" formatCode="General">
                  <c:v>75912.773000000001</c:v>
                </c:pt>
                <c:pt idx="46" formatCode="General">
                  <c:v>76022.452999999994</c:v>
                </c:pt>
                <c:pt idx="47" formatCode="General">
                  <c:v>76120.998999999996</c:v>
                </c:pt>
                <c:pt idx="48" formatCode="General">
                  <c:v>76208.044999999998</c:v>
                </c:pt>
                <c:pt idx="49" formatCode="General">
                  <c:v>76283.732000000004</c:v>
                </c:pt>
                <c:pt idx="50" formatCode="General">
                  <c:v>76351.933999999994</c:v>
                </c:pt>
                <c:pt idx="51" formatCode="General">
                  <c:v>76412.77</c:v>
                </c:pt>
                <c:pt idx="52" formatCode="General">
                  <c:v>76462.114000000001</c:v>
                </c:pt>
                <c:pt idx="53" formatCode="General">
                  <c:v>76502.154999999999</c:v>
                </c:pt>
                <c:pt idx="54" formatCode="General">
                  <c:v>76536.239000000001</c:v>
                </c:pt>
                <c:pt idx="55" formatCode="General">
                  <c:v>76563.061000000002</c:v>
                </c:pt>
                <c:pt idx="56" formatCode="General">
                  <c:v>76578.86</c:v>
                </c:pt>
                <c:pt idx="57" formatCode="General">
                  <c:v>76584.111000000004</c:v>
                </c:pt>
                <c:pt idx="58" formatCode="General">
                  <c:v>76579.881999999998</c:v>
                </c:pt>
                <c:pt idx="59" formatCode="General">
                  <c:v>76567.381999999998</c:v>
                </c:pt>
                <c:pt idx="60" formatCode="General">
                  <c:v>76548.373999999996</c:v>
                </c:pt>
                <c:pt idx="61" formatCode="General">
                  <c:v>76522.763999999996</c:v>
                </c:pt>
                <c:pt idx="62" formatCode="General">
                  <c:v>76488.403999999995</c:v>
                </c:pt>
                <c:pt idx="63" formatCode="General">
                  <c:v>76445.383000000002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E3-470B-9235-7C7754E8F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2383440"/>
        <c:axId val="932382480"/>
      </c:lineChart>
      <c:catAx>
        <c:axId val="323609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28575"/>
        <c:crosses val="autoZero"/>
        <c:auto val="1"/>
        <c:lblAlgn val="ctr"/>
        <c:lblOffset val="100"/>
        <c:noMultiLvlLbl val="0"/>
      </c:catAx>
      <c:valAx>
        <c:axId val="24012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09487"/>
        <c:crosses val="autoZero"/>
        <c:crossBetween val="between"/>
      </c:valAx>
      <c:valAx>
        <c:axId val="93238248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383440"/>
        <c:crosses val="max"/>
        <c:crossBetween val="between"/>
      </c:valAx>
      <c:catAx>
        <c:axId val="932383440"/>
        <c:scaling>
          <c:orientation val="minMax"/>
        </c:scaling>
        <c:delete val="1"/>
        <c:axPos val="b"/>
        <c:majorTickMark val="out"/>
        <c:minorTickMark val="none"/>
        <c:tickLblPos val="nextTo"/>
        <c:crossAx val="932382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GDP Growth Projections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GDP_Simple!$H$57</c:f>
              <c:strCache>
                <c:ptCount val="1"/>
                <c:pt idx="0">
                  <c:v>Current targets Reference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GDP_Simple!$I$57:$AN$57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0.2</c:v>
                </c:pt>
                <c:pt idx="5">
                  <c:v>1</c:v>
                </c:pt>
                <c:pt idx="6">
                  <c:v>1.1000000000000001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2.2031722197759951</c:v>
                </c:pt>
                <c:pt idx="11">
                  <c:v>2.6218354528799948</c:v>
                </c:pt>
                <c:pt idx="12">
                  <c:v>2.9378416318852185</c:v>
                </c:pt>
                <c:pt idx="13">
                  <c:v>3.0077539232383765</c:v>
                </c:pt>
                <c:pt idx="14">
                  <c:v>3.0977705255239574</c:v>
                </c:pt>
                <c:pt idx="15">
                  <c:v>3.4365925902850147</c:v>
                </c:pt>
                <c:pt idx="16">
                  <c:v>3.5204693916532803</c:v>
                </c:pt>
                <c:pt idx="17">
                  <c:v>3.6043461930215459</c:v>
                </c:pt>
                <c:pt idx="18">
                  <c:v>3.7007018273113035</c:v>
                </c:pt>
                <c:pt idx="19">
                  <c:v>3.7355943192743712</c:v>
                </c:pt>
                <c:pt idx="20">
                  <c:v>3.6565507425563748</c:v>
                </c:pt>
                <c:pt idx="21">
                  <c:v>3.540860429636461</c:v>
                </c:pt>
                <c:pt idx="22">
                  <c:v>3.5765875064506014</c:v>
                </c:pt>
                <c:pt idx="23">
                  <c:v>3.4029431747081063</c:v>
                </c:pt>
                <c:pt idx="24">
                  <c:v>3.4155415312099313</c:v>
                </c:pt>
                <c:pt idx="25">
                  <c:v>3.4658441664211281</c:v>
                </c:pt>
                <c:pt idx="26">
                  <c:v>3.5189897318865571</c:v>
                </c:pt>
                <c:pt idx="27">
                  <c:v>3.5737142539630007</c:v>
                </c:pt>
                <c:pt idx="28">
                  <c:v>3.3911850167972046</c:v>
                </c:pt>
                <c:pt idx="29">
                  <c:v>3.4442853691466047</c:v>
                </c:pt>
                <c:pt idx="30">
                  <c:v>3.572341352748154</c:v>
                </c:pt>
                <c:pt idx="31">
                  <c:v>3.6556928920228327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F-41CA-93F3-271F34B64B22}"/>
            </c:ext>
          </c:extLst>
        </c:ser>
        <c:ser>
          <c:idx val="1"/>
          <c:order val="1"/>
          <c:tx>
            <c:strRef>
              <c:f>GDP_Simple!$H$58</c:f>
              <c:strCache>
                <c:ptCount val="1"/>
                <c:pt idx="0">
                  <c:v>Current targets Reforms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GDP_Simple!$I$58:$AN$58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0.9</c:v>
                </c:pt>
                <c:pt idx="5">
                  <c:v>1.5</c:v>
                </c:pt>
                <c:pt idx="6">
                  <c:v>1.8</c:v>
                </c:pt>
                <c:pt idx="7">
                  <c:v>2.0404394542826303</c:v>
                </c:pt>
                <c:pt idx="8">
                  <c:v>2.1106061706687615</c:v>
                </c:pt>
                <c:pt idx="9">
                  <c:v>2.2415233455501835</c:v>
                </c:pt>
                <c:pt idx="10">
                  <c:v>2.7917771100771578</c:v>
                </c:pt>
                <c:pt idx="11">
                  <c:v>3.2133430145161763</c:v>
                </c:pt>
                <c:pt idx="12">
                  <c:v>3.3618923772298874</c:v>
                </c:pt>
                <c:pt idx="13">
                  <c:v>3.4979249789841216</c:v>
                </c:pt>
                <c:pt idx="14">
                  <c:v>3.616882876741641</c:v>
                </c:pt>
                <c:pt idx="15">
                  <c:v>3.7175290675305712</c:v>
                </c:pt>
                <c:pt idx="16">
                  <c:v>3.8</c:v>
                </c:pt>
                <c:pt idx="17">
                  <c:v>3.8</c:v>
                </c:pt>
                <c:pt idx="18">
                  <c:v>3.8</c:v>
                </c:pt>
                <c:pt idx="19">
                  <c:v>3.8</c:v>
                </c:pt>
                <c:pt idx="20">
                  <c:v>3.8</c:v>
                </c:pt>
                <c:pt idx="21">
                  <c:v>3.8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3.8</c:v>
                </c:pt>
                <c:pt idx="26">
                  <c:v>3.8</c:v>
                </c:pt>
                <c:pt idx="27">
                  <c:v>3.8</c:v>
                </c:pt>
                <c:pt idx="28">
                  <c:v>3.8</c:v>
                </c:pt>
                <c:pt idx="29">
                  <c:v>3.8</c:v>
                </c:pt>
                <c:pt idx="30">
                  <c:v>3.8</c:v>
                </c:pt>
                <c:pt idx="31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3F-41CA-93F3-271F34B64B22}"/>
            </c:ext>
          </c:extLst>
        </c:ser>
        <c:ser>
          <c:idx val="2"/>
          <c:order val="2"/>
          <c:tx>
            <c:strRef>
              <c:f>GDP_Simple!$H$59</c:f>
              <c:strCache>
                <c:ptCount val="1"/>
                <c:pt idx="0">
                  <c:v>Current targets High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GDP_Simple!$I$59:$AN$59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0.9</c:v>
                </c:pt>
                <c:pt idx="5">
                  <c:v>1.5</c:v>
                </c:pt>
                <c:pt idx="6">
                  <c:v>1.8</c:v>
                </c:pt>
                <c:pt idx="7">
                  <c:v>2.0404394542826303</c:v>
                </c:pt>
                <c:pt idx="8">
                  <c:v>2.1106061706687615</c:v>
                </c:pt>
                <c:pt idx="9">
                  <c:v>2.2415233455501835</c:v>
                </c:pt>
                <c:pt idx="10">
                  <c:v>3.1517771100771577</c:v>
                </c:pt>
                <c:pt idx="11">
                  <c:v>3.6633430145161765</c:v>
                </c:pt>
                <c:pt idx="12">
                  <c:v>3.8452257105632208</c:v>
                </c:pt>
                <c:pt idx="13">
                  <c:v>4.0145916456507882</c:v>
                </c:pt>
                <c:pt idx="14">
                  <c:v>4.1668828767416404</c:v>
                </c:pt>
                <c:pt idx="15">
                  <c:v>4.3008624008639043</c:v>
                </c:pt>
                <c:pt idx="16">
                  <c:v>4.3938506028723179</c:v>
                </c:pt>
                <c:pt idx="17">
                  <c:v>4.2895596815515136</c:v>
                </c:pt>
                <c:pt idx="18">
                  <c:v>4.3042186254831805</c:v>
                </c:pt>
                <c:pt idx="19">
                  <c:v>4.3737923286395031</c:v>
                </c:pt>
                <c:pt idx="20">
                  <c:v>3.8309527099893437</c:v>
                </c:pt>
                <c:pt idx="21">
                  <c:v>3.8363524864999166</c:v>
                </c:pt>
                <c:pt idx="22">
                  <c:v>3.8322000917882626</c:v>
                </c:pt>
                <c:pt idx="23">
                  <c:v>3.7685174179419523</c:v>
                </c:pt>
                <c:pt idx="24">
                  <c:v>3.5608525224531284</c:v>
                </c:pt>
                <c:pt idx="25">
                  <c:v>3.5188632583520896</c:v>
                </c:pt>
                <c:pt idx="26">
                  <c:v>3.4740227839703097</c:v>
                </c:pt>
                <c:pt idx="27">
                  <c:v>3.4886325094667159</c:v>
                </c:pt>
                <c:pt idx="28">
                  <c:v>3.4385814557919447</c:v>
                </c:pt>
                <c:pt idx="29">
                  <c:v>3.4431703217855159</c:v>
                </c:pt>
                <c:pt idx="30">
                  <c:v>3.4577367001389803</c:v>
                </c:pt>
                <c:pt idx="31">
                  <c:v>3.4888803024206938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3F-41CA-93F3-271F34B64B22}"/>
            </c:ext>
          </c:extLst>
        </c:ser>
        <c:ser>
          <c:idx val="3"/>
          <c:order val="3"/>
          <c:tx>
            <c:strRef>
              <c:f>GDP_Simple!$H$62</c:f>
              <c:strCache>
                <c:ptCount val="1"/>
                <c:pt idx="0">
                  <c:v>REX (from Eskom)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GDP_Simple!$I$62:$AN$62</c:f>
              <c:numCache>
                <c:formatCode>0.0</c:formatCode>
                <c:ptCount val="32"/>
                <c:pt idx="0">
                  <c:v>0.25993557707082399</c:v>
                </c:pt>
                <c:pt idx="1">
                  <c:v>-5.96335818283971</c:v>
                </c:pt>
                <c:pt idx="2">
                  <c:v>4.7030620638948601</c:v>
                </c:pt>
                <c:pt idx="3">
                  <c:v>1.9104061693808498</c:v>
                </c:pt>
                <c:pt idx="4">
                  <c:v>0.39791846996841701</c:v>
                </c:pt>
                <c:pt idx="5">
                  <c:v>1.39621384908586</c:v>
                </c:pt>
                <c:pt idx="6">
                  <c:v>2.5013097388619601</c:v>
                </c:pt>
                <c:pt idx="7">
                  <c:v>2.2102455509561199</c:v>
                </c:pt>
                <c:pt idx="8">
                  <c:v>2.2729971327419598</c:v>
                </c:pt>
                <c:pt idx="9">
                  <c:v>2.3212583448272199</c:v>
                </c:pt>
                <c:pt idx="10">
                  <c:v>2.4232438681064599</c:v>
                </c:pt>
                <c:pt idx="11">
                  <c:v>2.7416925964130399</c:v>
                </c:pt>
                <c:pt idx="12">
                  <c:v>2.8485238703067899</c:v>
                </c:pt>
                <c:pt idx="13">
                  <c:v>2.70591941432092</c:v>
                </c:pt>
                <c:pt idx="14">
                  <c:v>2.6551660590269099</c:v>
                </c:pt>
                <c:pt idx="15">
                  <c:v>2.4908927260187901</c:v>
                </c:pt>
                <c:pt idx="16">
                  <c:v>2.3921559508944599</c:v>
                </c:pt>
                <c:pt idx="17">
                  <c:v>2.4632400771388103</c:v>
                </c:pt>
                <c:pt idx="18">
                  <c:v>2.3980912189260501</c:v>
                </c:pt>
                <c:pt idx="19">
                  <c:v>2.2524284740647897</c:v>
                </c:pt>
                <c:pt idx="20">
                  <c:v>2.1606045223633501</c:v>
                </c:pt>
                <c:pt idx="21">
                  <c:v>1.9875718169076702</c:v>
                </c:pt>
                <c:pt idx="22">
                  <c:v>1.8827062029697972</c:v>
                </c:pt>
                <c:pt idx="23">
                  <c:v>1.8653718590666557</c:v>
                </c:pt>
                <c:pt idx="24">
                  <c:v>1.8941671080589861</c:v>
                </c:pt>
                <c:pt idx="25">
                  <c:v>1.8792096196824204</c:v>
                </c:pt>
                <c:pt idx="26">
                  <c:v>1.9038321527751867</c:v>
                </c:pt>
                <c:pt idx="27">
                  <c:v>1.9023032187649891</c:v>
                </c:pt>
                <c:pt idx="28">
                  <c:v>1.8559085633529371</c:v>
                </c:pt>
                <c:pt idx="29">
                  <c:v>1.8234640762962773</c:v>
                </c:pt>
                <c:pt idx="30">
                  <c:v>1.8030670694847428</c:v>
                </c:pt>
                <c:pt idx="31">
                  <c:v>1.8194457826854693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3F-41CA-93F3-271F34B64B22}"/>
            </c:ext>
          </c:extLst>
        </c:ser>
        <c:ser>
          <c:idx val="4"/>
          <c:order val="4"/>
          <c:tx>
            <c:strRef>
              <c:f>GDP_Simple!$H$63</c:f>
              <c:strCache>
                <c:ptCount val="1"/>
                <c:pt idx="0">
                  <c:v>SARB  May 2023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GDP_Simple!$I$63:$AN$63</c:f>
              <c:numCache>
                <c:formatCode>_(* #,##0.0_);_(* \(#,##0.0\);_(* "-"??_);_(@_)</c:formatCode>
                <c:ptCount val="32"/>
                <c:pt idx="0">
                  <c:v>0.3</c:v>
                </c:pt>
                <c:pt idx="1">
                  <c:v>-6.3</c:v>
                </c:pt>
                <c:pt idx="2">
                  <c:v>4.9000000000000004</c:v>
                </c:pt>
                <c:pt idx="3">
                  <c:v>2</c:v>
                </c:pt>
                <c:pt idx="4">
                  <c:v>0.2</c:v>
                </c:pt>
                <c:pt idx="5">
                  <c:v>1</c:v>
                </c:pt>
                <c:pt idx="6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F-41CA-93F3-271F34B64B22}"/>
            </c:ext>
          </c:extLst>
        </c:ser>
        <c:ser>
          <c:idx val="5"/>
          <c:order val="5"/>
          <c:tx>
            <c:strRef>
              <c:f>GDP_Simple!$H$64</c:f>
              <c:strCache>
                <c:ptCount val="1"/>
                <c:pt idx="0">
                  <c:v>NT Feb 2023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GDP_Simple!$I$64:$AN$64</c:f>
              <c:numCache>
                <c:formatCode>_(* #,##0.0_);_(* \(#,##0.0\);_(* "-"??_);_(@_)</c:formatCode>
                <c:ptCount val="32"/>
                <c:pt idx="3" formatCode="0.0">
                  <c:v>2.5</c:v>
                </c:pt>
                <c:pt idx="4" formatCode="0.0">
                  <c:v>0.9</c:v>
                </c:pt>
                <c:pt idx="5" formatCode="0.0">
                  <c:v>1.5</c:v>
                </c:pt>
                <c:pt idx="6" formatCode="0.0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F-41CA-93F3-271F34B64B22}"/>
            </c:ext>
          </c:extLst>
        </c:ser>
        <c:ser>
          <c:idx val="6"/>
          <c:order val="6"/>
          <c:tx>
            <c:strRef>
              <c:f>GDP_Simple!$H$65</c:f>
              <c:strCache>
                <c:ptCount val="1"/>
                <c:pt idx="0">
                  <c:v>IMF April 2023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GDP_Simple!$I$65:$AN$65</c:f>
              <c:numCache>
                <c:formatCode>General</c:formatCode>
                <c:ptCount val="32"/>
                <c:pt idx="3" formatCode="0.0">
                  <c:v>2</c:v>
                </c:pt>
                <c:pt idx="4" formatCode="0.0">
                  <c:v>0.1</c:v>
                </c:pt>
                <c:pt idx="5" formatCode="0.0">
                  <c:v>1.8</c:v>
                </c:pt>
                <c:pt idx="6" formatCode="0.0">
                  <c:v>1.6</c:v>
                </c:pt>
                <c:pt idx="7" formatCode="0.0">
                  <c:v>1.4</c:v>
                </c:pt>
                <c:pt idx="8" formatCode="0.0">
                  <c:v>1.4</c:v>
                </c:pt>
                <c:pt idx="9" formatCode="0.0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3F-41CA-93F3-271F34B64B22}"/>
            </c:ext>
          </c:extLst>
        </c:ser>
        <c:ser>
          <c:idx val="7"/>
          <c:order val="7"/>
          <c:tx>
            <c:strRef>
              <c:f>GDP_Simple!$H$66</c:f>
              <c:strCache>
                <c:ptCount val="1"/>
                <c:pt idx="0">
                  <c:v>WB June 2023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GDP_Simple!$I$66:$AN$66</c:f>
              <c:numCache>
                <c:formatCode>General</c:formatCode>
                <c:ptCount val="32"/>
                <c:pt idx="3" formatCode="0.0">
                  <c:v>2</c:v>
                </c:pt>
                <c:pt idx="4" formatCode="0.0">
                  <c:v>0.3</c:v>
                </c:pt>
                <c:pt idx="5" formatCode="0.0">
                  <c:v>1.5</c:v>
                </c:pt>
                <c:pt idx="6" formatCode="0.0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B3F-41CA-93F3-271F34B64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8236288"/>
        <c:axId val="1797317552"/>
      </c:lineChart>
      <c:catAx>
        <c:axId val="180823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7317552"/>
        <c:crosses val="autoZero"/>
        <c:auto val="1"/>
        <c:lblAlgn val="ctr"/>
        <c:lblOffset val="100"/>
        <c:noMultiLvlLbl val="0"/>
      </c:catAx>
      <c:valAx>
        <c:axId val="179731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23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GDP_Simple!$A$42</c:f>
              <c:strCache>
                <c:ptCount val="1"/>
                <c:pt idx="0">
                  <c:v>hhd-le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GDP_Simple!$B$41:$BH$41</c:f>
              <c:numCache>
                <c:formatCode>General</c:formatCode>
                <c:ptCount val="5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  <c:pt idx="39">
                  <c:v>2051</c:v>
                </c:pt>
                <c:pt idx="40">
                  <c:v>2052</c:v>
                </c:pt>
                <c:pt idx="41">
                  <c:v>2053</c:v>
                </c:pt>
                <c:pt idx="42">
                  <c:v>2054</c:v>
                </c:pt>
                <c:pt idx="43">
                  <c:v>2055</c:v>
                </c:pt>
                <c:pt idx="44">
                  <c:v>2056</c:v>
                </c:pt>
                <c:pt idx="45">
                  <c:v>2057</c:v>
                </c:pt>
                <c:pt idx="46">
                  <c:v>2058</c:v>
                </c:pt>
                <c:pt idx="47">
                  <c:v>2059</c:v>
                </c:pt>
                <c:pt idx="48">
                  <c:v>2060</c:v>
                </c:pt>
                <c:pt idx="49">
                  <c:v>2061</c:v>
                </c:pt>
                <c:pt idx="50">
                  <c:v>2062</c:v>
                </c:pt>
                <c:pt idx="51">
                  <c:v>2063</c:v>
                </c:pt>
                <c:pt idx="52">
                  <c:v>2064</c:v>
                </c:pt>
                <c:pt idx="53">
                  <c:v>2065</c:v>
                </c:pt>
                <c:pt idx="54">
                  <c:v>2066</c:v>
                </c:pt>
                <c:pt idx="55">
                  <c:v>2067</c:v>
                </c:pt>
                <c:pt idx="56">
                  <c:v>2068</c:v>
                </c:pt>
                <c:pt idx="57">
                  <c:v>2069</c:v>
                </c:pt>
                <c:pt idx="58">
                  <c:v>2070</c:v>
                </c:pt>
              </c:numCache>
            </c:numRef>
          </c:cat>
          <c:val>
            <c:numRef>
              <c:f>GDP_Simple!$B$42:$BH$42</c:f>
              <c:numCache>
                <c:formatCode>0.000</c:formatCode>
                <c:ptCount val="59"/>
                <c:pt idx="0">
                  <c:v>0.5</c:v>
                </c:pt>
                <c:pt idx="1">
                  <c:v>0.49195171026156947</c:v>
                </c:pt>
                <c:pt idx="2">
                  <c:v>0.47874493927125505</c:v>
                </c:pt>
                <c:pt idx="3">
                  <c:v>0.46897253306205494</c:v>
                </c:pt>
                <c:pt idx="4">
                  <c:v>0.46311475409836067</c:v>
                </c:pt>
                <c:pt idx="5">
                  <c:v>0.4556701030927835</c:v>
                </c:pt>
                <c:pt idx="6">
                  <c:v>0.44755970924195226</c:v>
                </c:pt>
                <c:pt idx="7">
                  <c:v>0.44456066945606693</c:v>
                </c:pt>
                <c:pt idx="8">
                  <c:v>0.45521601685985247</c:v>
                </c:pt>
                <c:pt idx="9">
                  <c:v>0.46227119237511022</c:v>
                </c:pt>
                <c:pt idx="10">
                  <c:v>0.45384023967034137</c:v>
                </c:pt>
                <c:pt idx="11">
                  <c:v>0.4530506193635141</c:v>
                </c:pt>
                <c:pt idx="12">
                  <c:v>0.4492123756297739</c:v>
                </c:pt>
                <c:pt idx="13">
                  <c:v>0.44506077484649087</c:v>
                </c:pt>
                <c:pt idx="14">
                  <c:v>0.44048019500661473</c:v>
                </c:pt>
                <c:pt idx="15">
                  <c:v>0.43534996792463587</c:v>
                </c:pt>
                <c:pt idx="16">
                  <c:v>0.42993618539113665</c:v>
                </c:pt>
                <c:pt idx="17">
                  <c:v>0.42371952259311868</c:v>
                </c:pt>
                <c:pt idx="18">
                  <c:v>0.41657241965867214</c:v>
                </c:pt>
                <c:pt idx="19">
                  <c:v>0.40909885956028302</c:v>
                </c:pt>
                <c:pt idx="20">
                  <c:v>0.40185565007277846</c:v>
                </c:pt>
                <c:pt idx="21">
                  <c:v>0.39482416004663062</c:v>
                </c:pt>
                <c:pt idx="22">
                  <c:v>0.38744915622957621</c:v>
                </c:pt>
                <c:pt idx="23">
                  <c:v>0.3800592435396562</c:v>
                </c:pt>
                <c:pt idx="24">
                  <c:v>0.37316446554873905</c:v>
                </c:pt>
                <c:pt idx="25">
                  <c:v>0.36622575390923512</c:v>
                </c:pt>
                <c:pt idx="26">
                  <c:v>0.35954615135165829</c:v>
                </c:pt>
                <c:pt idx="27">
                  <c:v>0.35352413753940537</c:v>
                </c:pt>
                <c:pt idx="28">
                  <c:v>0.34790997115201444</c:v>
                </c:pt>
                <c:pt idx="29">
                  <c:v>0.33949990116716933</c:v>
                </c:pt>
                <c:pt idx="30">
                  <c:v>0.3328157209201148</c:v>
                </c:pt>
                <c:pt idx="31">
                  <c:v>0.32616627660377695</c:v>
                </c:pt>
                <c:pt idx="32">
                  <c:v>0.31958465249744172</c:v>
                </c:pt>
                <c:pt idx="33">
                  <c:v>0.31298090329354977</c:v>
                </c:pt>
                <c:pt idx="34">
                  <c:v>0.3062893112729288</c:v>
                </c:pt>
                <c:pt idx="35">
                  <c:v>0.29955436432955906</c:v>
                </c:pt>
                <c:pt idx="36">
                  <c:v>0.29273345912335991</c:v>
                </c:pt>
                <c:pt idx="37">
                  <c:v>0.28584772379130463</c:v>
                </c:pt>
                <c:pt idx="38">
                  <c:v>0.27905600345837911</c:v>
                </c:pt>
                <c:pt idx="39">
                  <c:v>0.27256224487218716</c:v>
                </c:pt>
                <c:pt idx="40">
                  <c:v>0.2658185620351361</c:v>
                </c:pt>
                <c:pt idx="41">
                  <c:v>0.25905746841704591</c:v>
                </c:pt>
                <c:pt idx="42">
                  <c:v>0.252285229459698</c:v>
                </c:pt>
                <c:pt idx="43">
                  <c:v>0.24552291570350171</c:v>
                </c:pt>
                <c:pt idx="44">
                  <c:v>0.238781304859641</c:v>
                </c:pt>
                <c:pt idx="45">
                  <c:v>0.23205582431207006</c:v>
                </c:pt>
                <c:pt idx="46">
                  <c:v>0.22534469945479252</c:v>
                </c:pt>
                <c:pt idx="47">
                  <c:v>0.21863011926745202</c:v>
                </c:pt>
                <c:pt idx="48">
                  <c:v>0.21188609489452759</c:v>
                </c:pt>
                <c:pt idx="49">
                  <c:v>0.20511450898524863</c:v>
                </c:pt>
                <c:pt idx="50">
                  <c:v>0.19838061366019311</c:v>
                </c:pt>
                <c:pt idx="51">
                  <c:v>0.1916513605076986</c:v>
                </c:pt>
                <c:pt idx="52">
                  <c:v>0.18492331102104487</c:v>
                </c:pt>
                <c:pt idx="53">
                  <c:v>0.17819185187839537</c:v>
                </c:pt>
                <c:pt idx="54">
                  <c:v>0.17145531997294228</c:v>
                </c:pt>
                <c:pt idx="55">
                  <c:v>0.16471515000195325</c:v>
                </c:pt>
                <c:pt idx="56">
                  <c:v>0.15797384955566152</c:v>
                </c:pt>
                <c:pt idx="57">
                  <c:v>0.15123577392292198</c:v>
                </c:pt>
                <c:pt idx="58">
                  <c:v>0.14450330331373529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CD-4F3A-B0E1-5D3B6CBC211A}"/>
            </c:ext>
          </c:extLst>
        </c:ser>
        <c:ser>
          <c:idx val="1"/>
          <c:order val="1"/>
          <c:tx>
            <c:strRef>
              <c:f>GDP_Simple!$A$43</c:f>
              <c:strCache>
                <c:ptCount val="1"/>
                <c:pt idx="0">
                  <c:v>hhd-me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GDP_Simple!$B$41:$BH$41</c:f>
              <c:numCache>
                <c:formatCode>General</c:formatCode>
                <c:ptCount val="5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  <c:pt idx="39">
                  <c:v>2051</c:v>
                </c:pt>
                <c:pt idx="40">
                  <c:v>2052</c:v>
                </c:pt>
                <c:pt idx="41">
                  <c:v>2053</c:v>
                </c:pt>
                <c:pt idx="42">
                  <c:v>2054</c:v>
                </c:pt>
                <c:pt idx="43">
                  <c:v>2055</c:v>
                </c:pt>
                <c:pt idx="44">
                  <c:v>2056</c:v>
                </c:pt>
                <c:pt idx="45">
                  <c:v>2057</c:v>
                </c:pt>
                <c:pt idx="46">
                  <c:v>2058</c:v>
                </c:pt>
                <c:pt idx="47">
                  <c:v>2059</c:v>
                </c:pt>
                <c:pt idx="48">
                  <c:v>2060</c:v>
                </c:pt>
                <c:pt idx="49">
                  <c:v>2061</c:v>
                </c:pt>
                <c:pt idx="50">
                  <c:v>2062</c:v>
                </c:pt>
                <c:pt idx="51">
                  <c:v>2063</c:v>
                </c:pt>
                <c:pt idx="52">
                  <c:v>2064</c:v>
                </c:pt>
                <c:pt idx="53">
                  <c:v>2065</c:v>
                </c:pt>
                <c:pt idx="54">
                  <c:v>2066</c:v>
                </c:pt>
                <c:pt idx="55">
                  <c:v>2067</c:v>
                </c:pt>
                <c:pt idx="56">
                  <c:v>2068</c:v>
                </c:pt>
                <c:pt idx="57">
                  <c:v>2069</c:v>
                </c:pt>
                <c:pt idx="58">
                  <c:v>2070</c:v>
                </c:pt>
              </c:numCache>
            </c:numRef>
          </c:cat>
          <c:val>
            <c:numRef>
              <c:f>GDP_Simple!$B$43:$BH$43</c:f>
              <c:numCache>
                <c:formatCode>0.000</c:formatCode>
                <c:ptCount val="59"/>
                <c:pt idx="0">
                  <c:v>0.3</c:v>
                </c:pt>
                <c:pt idx="1">
                  <c:v>0.29577464788732394</c:v>
                </c:pt>
                <c:pt idx="2">
                  <c:v>0.30060728744939269</c:v>
                </c:pt>
                <c:pt idx="3">
                  <c:v>0.3041709053916582</c:v>
                </c:pt>
                <c:pt idx="4">
                  <c:v>0.30737704918032788</c:v>
                </c:pt>
                <c:pt idx="5">
                  <c:v>0.30824742268041239</c:v>
                </c:pt>
                <c:pt idx="6">
                  <c:v>0.3115264797507788</c:v>
                </c:pt>
                <c:pt idx="7">
                  <c:v>0.31485355648535562</c:v>
                </c:pt>
                <c:pt idx="8">
                  <c:v>0.32560590094836672</c:v>
                </c:pt>
                <c:pt idx="9">
                  <c:v>0.30936026689417673</c:v>
                </c:pt>
                <c:pt idx="10">
                  <c:v>0.31355024567841444</c:v>
                </c:pt>
                <c:pt idx="11">
                  <c:v>0.31388781690524703</c:v>
                </c:pt>
                <c:pt idx="12">
                  <c:v>0.31543894410094331</c:v>
                </c:pt>
                <c:pt idx="13">
                  <c:v>0.31721983743486931</c:v>
                </c:pt>
                <c:pt idx="14">
                  <c:v>0.31883263902169873</c:v>
                </c:pt>
                <c:pt idx="15">
                  <c:v>0.32078866718521404</c:v>
                </c:pt>
                <c:pt idx="16">
                  <c:v>0.32280939346620441</c:v>
                </c:pt>
                <c:pt idx="17">
                  <c:v>0.32497598023764895</c:v>
                </c:pt>
                <c:pt idx="18">
                  <c:v>0.32775482993460558</c:v>
                </c:pt>
                <c:pt idx="19">
                  <c:v>0.33022222974356419</c:v>
                </c:pt>
                <c:pt idx="20">
                  <c:v>0.332708026046104</c:v>
                </c:pt>
                <c:pt idx="21">
                  <c:v>0.33507942725265366</c:v>
                </c:pt>
                <c:pt idx="22">
                  <c:v>0.33755833542625679</c:v>
                </c:pt>
                <c:pt idx="23">
                  <c:v>0.34023069208670387</c:v>
                </c:pt>
                <c:pt idx="24">
                  <c:v>0.34209365651908852</c:v>
                </c:pt>
                <c:pt idx="25">
                  <c:v>0.34372879918296723</c:v>
                </c:pt>
                <c:pt idx="26">
                  <c:v>0.34562071119418153</c:v>
                </c:pt>
                <c:pt idx="27">
                  <c:v>0.34714667279971562</c:v>
                </c:pt>
                <c:pt idx="28">
                  <c:v>0.34858040550949743</c:v>
                </c:pt>
                <c:pt idx="29">
                  <c:v>0.35270038692008504</c:v>
                </c:pt>
                <c:pt idx="30">
                  <c:v>0.35545402987661523</c:v>
                </c:pt>
                <c:pt idx="31">
                  <c:v>0.35829684379142396</c:v>
                </c:pt>
                <c:pt idx="32">
                  <c:v>0.36115445831596726</c:v>
                </c:pt>
                <c:pt idx="33">
                  <c:v>0.36410706909886797</c:v>
                </c:pt>
                <c:pt idx="34">
                  <c:v>0.36699187756046936</c:v>
                </c:pt>
                <c:pt idx="35">
                  <c:v>0.37022436051526397</c:v>
                </c:pt>
                <c:pt idx="36">
                  <c:v>0.37358485092968469</c:v>
                </c:pt>
                <c:pt idx="37">
                  <c:v>0.37697190484087623</c:v>
                </c:pt>
                <c:pt idx="38">
                  <c:v>0.38027781250126996</c:v>
                </c:pt>
                <c:pt idx="39">
                  <c:v>0.38282157629276181</c:v>
                </c:pt>
                <c:pt idx="40">
                  <c:v>0.38601940369852006</c:v>
                </c:pt>
                <c:pt idx="41">
                  <c:v>0.38922258756347983</c:v>
                </c:pt>
                <c:pt idx="42">
                  <c:v>0.3924274370969103</c:v>
                </c:pt>
                <c:pt idx="43">
                  <c:v>0.39561454073212232</c:v>
                </c:pt>
                <c:pt idx="44">
                  <c:v>0.39877898344479412</c:v>
                </c:pt>
                <c:pt idx="45">
                  <c:v>0.40187798739007974</c:v>
                </c:pt>
                <c:pt idx="46">
                  <c:v>0.40495944797580563</c:v>
                </c:pt>
                <c:pt idx="47">
                  <c:v>0.40805938178134138</c:v>
                </c:pt>
                <c:pt idx="48">
                  <c:v>0.4112108636823395</c:v>
                </c:pt>
                <c:pt idx="49">
                  <c:v>0.41443201525713924</c:v>
                </c:pt>
                <c:pt idx="50">
                  <c:v>0.41755776106085651</c:v>
                </c:pt>
                <c:pt idx="51">
                  <c:v>0.42067919656330144</c:v>
                </c:pt>
                <c:pt idx="52">
                  <c:v>0.42380083147322711</c:v>
                </c:pt>
                <c:pt idx="53">
                  <c:v>0.42692863962271321</c:v>
                </c:pt>
                <c:pt idx="54">
                  <c:v>0.43006590570963166</c:v>
                </c:pt>
                <c:pt idx="55">
                  <c:v>0.43321432302865492</c:v>
                </c:pt>
                <c:pt idx="56">
                  <c:v>0.43636271350971079</c:v>
                </c:pt>
                <c:pt idx="57">
                  <c:v>0.43950309396347365</c:v>
                </c:pt>
                <c:pt idx="58">
                  <c:v>0.44263272457796088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CD-4F3A-B0E1-5D3B6CBC211A}"/>
            </c:ext>
          </c:extLst>
        </c:ser>
        <c:ser>
          <c:idx val="2"/>
          <c:order val="2"/>
          <c:tx>
            <c:strRef>
              <c:f>GDP_Simple!$A$44</c:f>
              <c:strCache>
                <c:ptCount val="1"/>
                <c:pt idx="0">
                  <c:v>hhd-he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GDP_Simple!$B$41:$BH$41</c:f>
              <c:numCache>
                <c:formatCode>General</c:formatCode>
                <c:ptCount val="59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2022</c:v>
                </c:pt>
                <c:pt idx="11">
                  <c:v>2023</c:v>
                </c:pt>
                <c:pt idx="12">
                  <c:v>2024</c:v>
                </c:pt>
                <c:pt idx="13">
                  <c:v>2025</c:v>
                </c:pt>
                <c:pt idx="14">
                  <c:v>2026</c:v>
                </c:pt>
                <c:pt idx="15">
                  <c:v>2027</c:v>
                </c:pt>
                <c:pt idx="16">
                  <c:v>2028</c:v>
                </c:pt>
                <c:pt idx="17">
                  <c:v>2029</c:v>
                </c:pt>
                <c:pt idx="18">
                  <c:v>2030</c:v>
                </c:pt>
                <c:pt idx="19">
                  <c:v>2031</c:v>
                </c:pt>
                <c:pt idx="20">
                  <c:v>2032</c:v>
                </c:pt>
                <c:pt idx="21">
                  <c:v>2033</c:v>
                </c:pt>
                <c:pt idx="22">
                  <c:v>2034</c:v>
                </c:pt>
                <c:pt idx="23">
                  <c:v>2035</c:v>
                </c:pt>
                <c:pt idx="24">
                  <c:v>2036</c:v>
                </c:pt>
                <c:pt idx="25">
                  <c:v>2037</c:v>
                </c:pt>
                <c:pt idx="26">
                  <c:v>2038</c:v>
                </c:pt>
                <c:pt idx="27">
                  <c:v>2039</c:v>
                </c:pt>
                <c:pt idx="28">
                  <c:v>2040</c:v>
                </c:pt>
                <c:pt idx="29">
                  <c:v>2041</c:v>
                </c:pt>
                <c:pt idx="30">
                  <c:v>2042</c:v>
                </c:pt>
                <c:pt idx="31">
                  <c:v>2043</c:v>
                </c:pt>
                <c:pt idx="32">
                  <c:v>2044</c:v>
                </c:pt>
                <c:pt idx="33">
                  <c:v>2045</c:v>
                </c:pt>
                <c:pt idx="34">
                  <c:v>2046</c:v>
                </c:pt>
                <c:pt idx="35">
                  <c:v>2047</c:v>
                </c:pt>
                <c:pt idx="36">
                  <c:v>2048</c:v>
                </c:pt>
                <c:pt idx="37">
                  <c:v>2049</c:v>
                </c:pt>
                <c:pt idx="38">
                  <c:v>2050</c:v>
                </c:pt>
                <c:pt idx="39">
                  <c:v>2051</c:v>
                </c:pt>
                <c:pt idx="40">
                  <c:v>2052</c:v>
                </c:pt>
                <c:pt idx="41">
                  <c:v>2053</c:v>
                </c:pt>
                <c:pt idx="42">
                  <c:v>2054</c:v>
                </c:pt>
                <c:pt idx="43">
                  <c:v>2055</c:v>
                </c:pt>
                <c:pt idx="44">
                  <c:v>2056</c:v>
                </c:pt>
                <c:pt idx="45">
                  <c:v>2057</c:v>
                </c:pt>
                <c:pt idx="46">
                  <c:v>2058</c:v>
                </c:pt>
                <c:pt idx="47">
                  <c:v>2059</c:v>
                </c:pt>
                <c:pt idx="48">
                  <c:v>2060</c:v>
                </c:pt>
                <c:pt idx="49">
                  <c:v>2061</c:v>
                </c:pt>
                <c:pt idx="50">
                  <c:v>2062</c:v>
                </c:pt>
                <c:pt idx="51">
                  <c:v>2063</c:v>
                </c:pt>
                <c:pt idx="52">
                  <c:v>2064</c:v>
                </c:pt>
                <c:pt idx="53">
                  <c:v>2065</c:v>
                </c:pt>
                <c:pt idx="54">
                  <c:v>2066</c:v>
                </c:pt>
                <c:pt idx="55">
                  <c:v>2067</c:v>
                </c:pt>
                <c:pt idx="56">
                  <c:v>2068</c:v>
                </c:pt>
                <c:pt idx="57">
                  <c:v>2069</c:v>
                </c:pt>
                <c:pt idx="58">
                  <c:v>2070</c:v>
                </c:pt>
              </c:numCache>
            </c:numRef>
          </c:cat>
          <c:val>
            <c:numRef>
              <c:f>GDP_Simple!$B$44:$BH$44</c:f>
              <c:numCache>
                <c:formatCode>0.000</c:formatCode>
                <c:ptCount val="59"/>
                <c:pt idx="0">
                  <c:v>0.2</c:v>
                </c:pt>
                <c:pt idx="1">
                  <c:v>0.21227364185110667</c:v>
                </c:pt>
                <c:pt idx="2">
                  <c:v>0.22064777327935223</c:v>
                </c:pt>
                <c:pt idx="3">
                  <c:v>0.22685656154628689</c:v>
                </c:pt>
                <c:pt idx="4">
                  <c:v>0.22950819672131148</c:v>
                </c:pt>
                <c:pt idx="5">
                  <c:v>0.23608247422680415</c:v>
                </c:pt>
                <c:pt idx="6">
                  <c:v>0.24091381100726897</c:v>
                </c:pt>
                <c:pt idx="7">
                  <c:v>0.24058577405857742</c:v>
                </c:pt>
                <c:pt idx="8">
                  <c:v>0.21917808219178081</c:v>
                </c:pt>
                <c:pt idx="9">
                  <c:v>0.22836854073071305</c:v>
                </c:pt>
                <c:pt idx="10">
                  <c:v>0.23260951465124413</c:v>
                </c:pt>
                <c:pt idx="11">
                  <c:v>0.23306156373123887</c:v>
                </c:pt>
                <c:pt idx="12">
                  <c:v>0.23534868026928282</c:v>
                </c:pt>
                <c:pt idx="13">
                  <c:v>0.23771938771863979</c:v>
                </c:pt>
                <c:pt idx="14">
                  <c:v>0.2406871659716866</c:v>
                </c:pt>
                <c:pt idx="15">
                  <c:v>0.24386136489015012</c:v>
                </c:pt>
                <c:pt idx="16">
                  <c:v>0.24725442114265897</c:v>
                </c:pt>
                <c:pt idx="17">
                  <c:v>0.25130449716923237</c:v>
                </c:pt>
                <c:pt idx="18">
                  <c:v>0.25567275040672227</c:v>
                </c:pt>
                <c:pt idx="19">
                  <c:v>0.26067891069615279</c:v>
                </c:pt>
                <c:pt idx="20">
                  <c:v>0.2654363238811176</c:v>
                </c:pt>
                <c:pt idx="21">
                  <c:v>0.27009641270071577</c:v>
                </c:pt>
                <c:pt idx="22">
                  <c:v>0.274992508344167</c:v>
                </c:pt>
                <c:pt idx="23">
                  <c:v>0.27971006437363993</c:v>
                </c:pt>
                <c:pt idx="24">
                  <c:v>0.28474187793217243</c:v>
                </c:pt>
                <c:pt idx="25">
                  <c:v>0.29004544690779771</c:v>
                </c:pt>
                <c:pt idx="26">
                  <c:v>0.29483313745416012</c:v>
                </c:pt>
                <c:pt idx="27">
                  <c:v>0.29932918966087896</c:v>
                </c:pt>
                <c:pt idx="28">
                  <c:v>0.30350962333848813</c:v>
                </c:pt>
                <c:pt idx="29">
                  <c:v>0.30779971191274563</c:v>
                </c:pt>
                <c:pt idx="30">
                  <c:v>0.31173024920326997</c:v>
                </c:pt>
                <c:pt idx="31">
                  <c:v>0.31553687960479909</c:v>
                </c:pt>
                <c:pt idx="32">
                  <c:v>0.31926088918659101</c:v>
                </c:pt>
                <c:pt idx="33">
                  <c:v>0.32291202760758225</c:v>
                </c:pt>
                <c:pt idx="34">
                  <c:v>0.32671881116660184</c:v>
                </c:pt>
                <c:pt idx="35">
                  <c:v>0.33022127515517696</c:v>
                </c:pt>
                <c:pt idx="36">
                  <c:v>0.33368168994695541</c:v>
                </c:pt>
                <c:pt idx="37">
                  <c:v>0.33718037136781914</c:v>
                </c:pt>
                <c:pt idx="38">
                  <c:v>0.34066618404035093</c:v>
                </c:pt>
                <c:pt idx="39">
                  <c:v>0.34461617883505102</c:v>
                </c:pt>
                <c:pt idx="40">
                  <c:v>0.34816203426634384</c:v>
                </c:pt>
                <c:pt idx="41">
                  <c:v>0.35171994401947426</c:v>
                </c:pt>
                <c:pt idx="42">
                  <c:v>0.3552873334433917</c:v>
                </c:pt>
                <c:pt idx="43">
                  <c:v>0.35886254356437597</c:v>
                </c:pt>
                <c:pt idx="44">
                  <c:v>0.36243971169556488</c:v>
                </c:pt>
                <c:pt idx="45">
                  <c:v>0.3660661882978502</c:v>
                </c:pt>
                <c:pt idx="46">
                  <c:v>0.36969585256940185</c:v>
                </c:pt>
                <c:pt idx="47">
                  <c:v>0.3733104989512066</c:v>
                </c:pt>
                <c:pt idx="48">
                  <c:v>0.37690304142313291</c:v>
                </c:pt>
                <c:pt idx="49">
                  <c:v>0.38045347575761213</c:v>
                </c:pt>
                <c:pt idx="50">
                  <c:v>0.38406162527895038</c:v>
                </c:pt>
                <c:pt idx="51">
                  <c:v>0.38766944292899996</c:v>
                </c:pt>
                <c:pt idx="52">
                  <c:v>0.39127585750572802</c:v>
                </c:pt>
                <c:pt idx="53">
                  <c:v>0.39487950849889142</c:v>
                </c:pt>
                <c:pt idx="54">
                  <c:v>0.39847877431742607</c:v>
                </c:pt>
                <c:pt idx="55">
                  <c:v>0.40207052696939183</c:v>
                </c:pt>
                <c:pt idx="56">
                  <c:v>0.4056634369346277</c:v>
                </c:pt>
                <c:pt idx="57">
                  <c:v>0.40926113211360438</c:v>
                </c:pt>
                <c:pt idx="58">
                  <c:v>0.41286397210830383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CD-4F3A-B0E1-5D3B6CBC2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5716672"/>
        <c:axId val="1366130864"/>
      </c:areaChart>
      <c:catAx>
        <c:axId val="139571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130864"/>
        <c:crosses val="autoZero"/>
        <c:auto val="1"/>
        <c:lblAlgn val="ctr"/>
        <c:lblOffset val="100"/>
        <c:noMultiLvlLbl val="0"/>
      </c:catAx>
      <c:valAx>
        <c:axId val="136613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5716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552450</xdr:colOff>
      <xdr:row>47</xdr:row>
      <xdr:rowOff>109537</xdr:rowOff>
    </xdr:from>
    <xdr:to>
      <xdr:col>24</xdr:col>
      <xdr:colOff>247650</xdr:colOff>
      <xdr:row>61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D230F1-15D0-4F9F-BC28-3A8E6FEC10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495299</xdr:colOff>
      <xdr:row>72</xdr:row>
      <xdr:rowOff>170921</xdr:rowOff>
    </xdr:from>
    <xdr:to>
      <xdr:col>14</xdr:col>
      <xdr:colOff>533399</xdr:colOff>
      <xdr:row>99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1F06FC-726E-75F4-1042-337D1AAC10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214312</xdr:colOff>
      <xdr:row>44</xdr:row>
      <xdr:rowOff>57150</xdr:rowOff>
    </xdr:from>
    <xdr:to>
      <xdr:col>48</xdr:col>
      <xdr:colOff>95250</xdr:colOff>
      <xdr:row>65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B37EF0-C2E1-A471-A507-0D5F4BB081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0</xdr:colOff>
      <xdr:row>8</xdr:row>
      <xdr:rowOff>0</xdr:rowOff>
    </xdr:from>
    <xdr:to>
      <xdr:col>40</xdr:col>
      <xdr:colOff>551009</xdr:colOff>
      <xdr:row>32</xdr:row>
      <xdr:rowOff>132762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9623EE7-B5DD-5CC3-010E-46867D6F57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82700" y="1524000"/>
          <a:ext cx="11523809" cy="4704762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F57B30B9-09AC-4252-9D42-F9BAA336C9C2}" userId="Bruno Merven" providerId="None"/>
  <person displayName="Bruno Merven" id="{878ABE06-FDD5-459C-B89F-C6D2AB66E29F}" userId="S::01405439@wf.uct.ac.za::c7f06137-2c3b-4c5c-8f38-fe1abbc9686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44" dT="2020-12-11T09:26:27.55" personId="{F57B30B9-09AC-4252-9D42-F9BAA336C9C2}" id="{8207A284-AFCD-4F1F-A145-98CDC70A18BC}">
    <text>This is average growth for period 2021-2025, assigned to be growth for 2023.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11" dT="2023-12-01T07:53:56.61" personId="{878ABE06-FDD5-459C-B89F-C6D2AB66E29F}" id="{6BACE8B8-BAAD-487A-9DB4-F8AEB26E13D7}">
    <text>Not sure why it is half what UN says!!!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sheetPr codeName="Sheet2"/>
  <dimension ref="A3:CK115"/>
  <sheetViews>
    <sheetView tabSelected="1" topLeftCell="A20" workbookViewId="0">
      <pane xSplit="1" topLeftCell="B1" activePane="topRight" state="frozen"/>
      <selection pane="topRight" activeCell="D44" sqref="D44"/>
    </sheetView>
  </sheetViews>
  <sheetFormatPr defaultRowHeight="15" x14ac:dyDescent="0.25"/>
  <cols>
    <col min="3" max="3" width="7.140625" customWidth="1"/>
    <col min="7" max="7" width="7.7109375" customWidth="1"/>
  </cols>
  <sheetData>
    <row r="3" spans="1:53" x14ac:dyDescent="0.25">
      <c r="A3" t="s">
        <v>39</v>
      </c>
      <c r="C3" s="2" t="s">
        <v>44</v>
      </c>
    </row>
    <row r="4" spans="1:53" x14ac:dyDescent="0.25">
      <c r="A4" t="s">
        <v>43</v>
      </c>
    </row>
    <row r="5" spans="1:53" x14ac:dyDescent="0.25">
      <c r="A5" t="s">
        <v>44</v>
      </c>
    </row>
    <row r="6" spans="1:53" x14ac:dyDescent="0.25">
      <c r="C6" s="1">
        <f>C7/B7-1</f>
        <v>-6.4235382325673274E-2</v>
      </c>
      <c r="D6" s="1">
        <f t="shared" ref="D6:AG6" si="0">D7/C7-1</f>
        <v>4.703062063895036E-2</v>
      </c>
      <c r="E6" s="1">
        <f t="shared" si="0"/>
        <v>1.910406169380785E-2</v>
      </c>
      <c r="F6" s="1">
        <f t="shared" si="0"/>
        <v>1.9999999999997797E-3</v>
      </c>
      <c r="G6" s="1">
        <f t="shared" si="0"/>
        <v>1.0000000000000009E-2</v>
      </c>
      <c r="H6" s="1">
        <f t="shared" si="0"/>
        <v>1.0999999999999899E-2</v>
      </c>
      <c r="I6" s="1">
        <f t="shared" si="0"/>
        <v>1.4000000000000012E-2</v>
      </c>
      <c r="J6" s="1">
        <f t="shared" si="0"/>
        <v>1.6000000000000014E-2</v>
      </c>
      <c r="K6" s="1">
        <f t="shared" si="0"/>
        <v>1.8000000000000016E-2</v>
      </c>
      <c r="L6" s="1">
        <f t="shared" si="0"/>
        <v>2.2031722197759951E-2</v>
      </c>
      <c r="M6" s="1">
        <f t="shared" si="0"/>
        <v>2.6218354528799503E-2</v>
      </c>
      <c r="N6" s="1">
        <f t="shared" si="0"/>
        <v>2.9378416318852629E-2</v>
      </c>
      <c r="O6" s="1">
        <f t="shared" si="0"/>
        <v>3.0077539232383987E-2</v>
      </c>
      <c r="P6" s="1">
        <f t="shared" si="0"/>
        <v>3.0977705255239574E-2</v>
      </c>
      <c r="Q6" s="1">
        <f t="shared" si="0"/>
        <v>3.4365925902849925E-2</v>
      </c>
      <c r="R6" s="1">
        <f t="shared" si="0"/>
        <v>3.5204693916533136E-2</v>
      </c>
      <c r="S6" s="1">
        <f t="shared" si="0"/>
        <v>3.6043461930215459E-2</v>
      </c>
      <c r="T6" s="1">
        <f t="shared" si="0"/>
        <v>3.7007018273112813E-2</v>
      </c>
      <c r="U6" s="1">
        <f t="shared" si="0"/>
        <v>3.7355943192743934E-2</v>
      </c>
      <c r="V6" s="1">
        <f t="shared" si="0"/>
        <v>3.656550742556397E-2</v>
      </c>
      <c r="W6" s="1">
        <f t="shared" si="0"/>
        <v>3.5408604296364388E-2</v>
      </c>
      <c r="X6" s="1">
        <f t="shared" si="0"/>
        <v>3.5765875064506236E-2</v>
      </c>
      <c r="Y6" s="1">
        <f t="shared" si="0"/>
        <v>3.4029431747081063E-2</v>
      </c>
      <c r="Z6" s="1">
        <f t="shared" si="0"/>
        <v>3.4155415312099091E-2</v>
      </c>
      <c r="AA6" s="1">
        <f t="shared" si="0"/>
        <v>3.4658441664211725E-2</v>
      </c>
      <c r="AB6" s="1">
        <f t="shared" si="0"/>
        <v>3.5189897318865571E-2</v>
      </c>
      <c r="AC6" s="1">
        <f t="shared" si="0"/>
        <v>3.5737142539630007E-2</v>
      </c>
      <c r="AD6" s="1">
        <f t="shared" si="0"/>
        <v>3.391185016797138E-2</v>
      </c>
      <c r="AE6" s="1">
        <f t="shared" si="0"/>
        <v>3.4442853691466491E-2</v>
      </c>
      <c r="AF6" s="1">
        <f t="shared" si="0"/>
        <v>3.5723413527480874E-2</v>
      </c>
      <c r="AG6" s="1">
        <f t="shared" si="0"/>
        <v>3.6556928920228771E-2</v>
      </c>
      <c r="AH6" s="1">
        <f t="shared" ref="AH6" si="1">AH7/AG7-1</f>
        <v>3.4755266029644183E-2</v>
      </c>
      <c r="AI6" s="1">
        <f t="shared" ref="AI6" si="2">AI7/AH7-1</f>
        <v>3.2953603139059817E-2</v>
      </c>
      <c r="AJ6" s="1">
        <f t="shared" ref="AJ6" si="3">AJ7/AI7-1</f>
        <v>3.1151940248475674E-2</v>
      </c>
      <c r="AK6" s="1">
        <f t="shared" ref="AK6" si="4">AK7/AJ7-1</f>
        <v>2.9350277357891974E-2</v>
      </c>
      <c r="AL6" s="1">
        <f t="shared" ref="AL6" si="5">AL7/AK7-1</f>
        <v>2.7548614467306498E-2</v>
      </c>
      <c r="AM6" s="1">
        <f t="shared" ref="AM6" si="6">AM7/AL7-1</f>
        <v>2.5746951576723687E-2</v>
      </c>
      <c r="AN6" s="1">
        <f t="shared" ref="AN6" si="7">AN7/AM7-1</f>
        <v>2.3945288686139099E-2</v>
      </c>
      <c r="AO6" s="1">
        <f t="shared" ref="AO6" si="8">AO7/AN7-1</f>
        <v>2.2143625795554289E-2</v>
      </c>
      <c r="AP6" s="1">
        <f t="shared" ref="AP6" si="9">AP7/AO7-1</f>
        <v>2.0341962904970368E-2</v>
      </c>
      <c r="AQ6" s="1">
        <f t="shared" ref="AQ6" si="10">AQ7/AP7-1</f>
        <v>1.8540300014386446E-2</v>
      </c>
      <c r="AR6" s="1">
        <f t="shared" ref="AR6" si="11">AR7/AQ7-1</f>
        <v>1.6738637123801414E-2</v>
      </c>
      <c r="AS6" s="1">
        <f t="shared" ref="AS6" si="12">AS7/AR7-1</f>
        <v>1.4936974233218159E-2</v>
      </c>
      <c r="AT6" s="1">
        <f t="shared" ref="AT6" si="13">AT7/AS7-1</f>
        <v>1.3135311342633349E-2</v>
      </c>
      <c r="AU6" s="1">
        <f t="shared" ref="AU6" si="14">AU7/AT7-1</f>
        <v>1.1333648452048983E-2</v>
      </c>
      <c r="AV6" s="1">
        <f t="shared" ref="AV6" si="15">AV7/AU7-1</f>
        <v>9.5319855614648397E-3</v>
      </c>
      <c r="AW6" s="1">
        <f t="shared" ref="AW6" si="16">AW7/AV7-1</f>
        <v>7.7303226708809181E-3</v>
      </c>
      <c r="AX6" s="1">
        <f t="shared" ref="AX6" si="17">AX7/AW7-1</f>
        <v>5.9286597802965524E-3</v>
      </c>
      <c r="AY6" s="1">
        <f t="shared" ref="AY6" si="18">AY7/AX7-1</f>
        <v>4.1269968897126308E-3</v>
      </c>
      <c r="AZ6" s="1">
        <f t="shared" ref="AZ6:BA6" si="19">AZ7/AY7-1</f>
        <v>2.325333999127821E-3</v>
      </c>
      <c r="BA6" s="1">
        <f t="shared" si="19"/>
        <v>5.2367110854367738E-4</v>
      </c>
    </row>
    <row r="7" spans="1:53" x14ac:dyDescent="0.25">
      <c r="A7" t="s">
        <v>69</v>
      </c>
      <c r="B7">
        <f>SUM(B10:B30)</f>
        <v>4454.7099999999982</v>
      </c>
      <c r="C7">
        <f t="shared" ref="C7:AG7" si="20">SUM(C10:C30)</f>
        <v>4168.5599999999986</v>
      </c>
      <c r="D7">
        <f t="shared" si="20"/>
        <v>4364.6099639707018</v>
      </c>
      <c r="E7">
        <f t="shared" si="20"/>
        <v>4447.9917419918065</v>
      </c>
      <c r="F7">
        <f t="shared" si="20"/>
        <v>4456.887725475789</v>
      </c>
      <c r="G7">
        <f t="shared" si="20"/>
        <v>4501.4566027305473</v>
      </c>
      <c r="H7">
        <f t="shared" si="20"/>
        <v>4550.9726253605832</v>
      </c>
      <c r="I7">
        <f t="shared" si="20"/>
        <v>4614.6862421156311</v>
      </c>
      <c r="J7">
        <f t="shared" si="20"/>
        <v>4688.5212219894811</v>
      </c>
      <c r="K7">
        <f t="shared" si="20"/>
        <v>4772.9146039852922</v>
      </c>
      <c r="L7">
        <f t="shared" si="20"/>
        <v>4878.0701326139279</v>
      </c>
      <c r="M7">
        <f t="shared" si="20"/>
        <v>5005.9651047671477</v>
      </c>
      <c r="N7">
        <f t="shared" si="20"/>
        <v>5153.0324316926453</v>
      </c>
      <c r="O7">
        <f t="shared" si="20"/>
        <v>5308.0229668226275</v>
      </c>
      <c r="P7">
        <f t="shared" si="20"/>
        <v>5472.4533377769012</v>
      </c>
      <c r="Q7">
        <f t="shared" si="20"/>
        <v>5660.5192636897464</v>
      </c>
      <c r="R7">
        <f t="shared" si="20"/>
        <v>5859.7961117765835</v>
      </c>
      <c r="S7">
        <f t="shared" si="20"/>
        <v>6071.0034498502273</v>
      </c>
      <c r="T7">
        <f t="shared" si="20"/>
        <v>6295.6731854549653</v>
      </c>
      <c r="U7">
        <f t="shared" si="20"/>
        <v>6530.8539953309019</v>
      </c>
      <c r="V7">
        <f t="shared" si="20"/>
        <v>6769.6579855924483</v>
      </c>
      <c r="W7">
        <f t="shared" si="20"/>
        <v>7009.3621264260146</v>
      </c>
      <c r="X7">
        <f t="shared" si="20"/>
        <v>7260.0580965216486</v>
      </c>
      <c r="Y7">
        <f t="shared" si="20"/>
        <v>7507.1137479970748</v>
      </c>
      <c r="Z7">
        <f t="shared" si="20"/>
        <v>7763.5223358550838</v>
      </c>
      <c r="AA7">
        <f t="shared" si="20"/>
        <v>8032.5939218411213</v>
      </c>
      <c r="AB7">
        <f t="shared" si="20"/>
        <v>8315.2600771548532</v>
      </c>
      <c r="AC7">
        <f t="shared" si="20"/>
        <v>8612.4237117862303</v>
      </c>
      <c r="AD7">
        <f t="shared" si="20"/>
        <v>8904.4869342834081</v>
      </c>
      <c r="AE7">
        <f t="shared" si="20"/>
        <v>9211.1828749585075</v>
      </c>
      <c r="AF7">
        <f t="shared" si="20"/>
        <v>9540.2377698779001</v>
      </c>
      <c r="AG7">
        <f t="shared" si="20"/>
        <v>9888.9995639134086</v>
      </c>
      <c r="AH7">
        <f t="shared" ref="AH7:BA7" si="21">SUM(AH10:AH30)</f>
        <v>10232.694374524253</v>
      </c>
      <c r="AI7">
        <f t="shared" si="21"/>
        <v>10569.898523985616</v>
      </c>
      <c r="AJ7">
        <f t="shared" si="21"/>
        <v>10899.171371237266</v>
      </c>
      <c r="AK7">
        <f t="shared" si="21"/>
        <v>11219.065073954274</v>
      </c>
      <c r="AL7">
        <f t="shared" si="21"/>
        <v>11528.134772360265</v>
      </c>
      <c r="AM7">
        <f t="shared" si="21"/>
        <v>11824.949100114169</v>
      </c>
      <c r="AN7">
        <f t="shared" si="21"/>
        <v>12108.100920015302</v>
      </c>
      <c r="AO7">
        <f t="shared" si="21"/>
        <v>12376.218175882928</v>
      </c>
      <c r="AP7">
        <f t="shared" si="21"/>
        <v>12627.974746920558</v>
      </c>
      <c r="AQ7">
        <f t="shared" si="21"/>
        <v>12862.10118730256</v>
      </c>
      <c r="AR7">
        <f t="shared" si="21"/>
        <v>13077.395231726434</v>
      </c>
      <c r="AS7">
        <f t="shared" si="21"/>
        <v>13272.731947340342</v>
      </c>
      <c r="AT7">
        <f t="shared" si="21"/>
        <v>13447.073413835973</v>
      </c>
      <c r="AU7">
        <f t="shared" si="21"/>
        <v>13599.477816617285</v>
      </c>
      <c r="AV7">
        <f t="shared" si="21"/>
        <v>13729.107842808744</v>
      </c>
      <c r="AW7">
        <f t="shared" si="21"/>
        <v>13835.238276416978</v>
      </c>
      <c r="AX7">
        <f t="shared" si="21"/>
        <v>13917.262697137192</v>
      </c>
      <c r="AY7">
        <f t="shared" si="21"/>
        <v>13974.69919700159</v>
      </c>
      <c r="AZ7">
        <f t="shared" si="21"/>
        <v>14007.195040171962</v>
      </c>
      <c r="BA7">
        <f t="shared" si="21"/>
        <v>14014.530203526238</v>
      </c>
    </row>
    <row r="8" spans="1:53" ht="18" thickBot="1" x14ac:dyDescent="0.35">
      <c r="A8" s="4" t="s">
        <v>42</v>
      </c>
      <c r="B8" s="4"/>
    </row>
    <row r="9" spans="1:53" ht="15.75" thickTop="1" x14ac:dyDescent="0.25">
      <c r="B9">
        <v>2019</v>
      </c>
      <c r="C9">
        <v>2020</v>
      </c>
      <c r="D9">
        <v>2021</v>
      </c>
      <c r="E9">
        <v>2022</v>
      </c>
      <c r="F9">
        <v>2023</v>
      </c>
      <c r="G9">
        <v>2024</v>
      </c>
      <c r="H9">
        <v>2025</v>
      </c>
      <c r="I9">
        <v>2026</v>
      </c>
      <c r="J9">
        <v>2027</v>
      </c>
      <c r="K9">
        <v>2028</v>
      </c>
      <c r="L9">
        <v>2029</v>
      </c>
      <c r="M9">
        <v>2030</v>
      </c>
      <c r="N9">
        <v>2031</v>
      </c>
      <c r="O9">
        <v>2032</v>
      </c>
      <c r="P9">
        <v>2033</v>
      </c>
      <c r="Q9">
        <v>2034</v>
      </c>
      <c r="R9">
        <v>2035</v>
      </c>
      <c r="S9">
        <v>2036</v>
      </c>
      <c r="T9">
        <v>2037</v>
      </c>
      <c r="U9">
        <v>2038</v>
      </c>
      <c r="V9">
        <v>2039</v>
      </c>
      <c r="W9">
        <v>2040</v>
      </c>
      <c r="X9">
        <v>2041</v>
      </c>
      <c r="Y9">
        <v>2042</v>
      </c>
      <c r="Z9">
        <v>2043</v>
      </c>
      <c r="AA9">
        <v>2044</v>
      </c>
      <c r="AB9">
        <v>2045</v>
      </c>
      <c r="AC9">
        <v>2046</v>
      </c>
      <c r="AD9">
        <v>2047</v>
      </c>
      <c r="AE9">
        <v>2048</v>
      </c>
      <c r="AF9">
        <v>2049</v>
      </c>
      <c r="AG9">
        <v>2050</v>
      </c>
      <c r="AH9">
        <v>2051</v>
      </c>
      <c r="AI9">
        <v>2052</v>
      </c>
      <c r="AJ9">
        <v>2053</v>
      </c>
      <c r="AK9">
        <v>2054</v>
      </c>
      <c r="AL9">
        <v>2055</v>
      </c>
      <c r="AM9">
        <v>2056</v>
      </c>
      <c r="AN9">
        <v>2057</v>
      </c>
      <c r="AO9">
        <v>2058</v>
      </c>
      <c r="AP9">
        <v>2059</v>
      </c>
      <c r="AQ9">
        <v>2060</v>
      </c>
      <c r="AR9">
        <v>2061</v>
      </c>
      <c r="AS9">
        <v>2062</v>
      </c>
      <c r="AT9">
        <v>2063</v>
      </c>
      <c r="AU9">
        <v>2064</v>
      </c>
      <c r="AV9">
        <v>2065</v>
      </c>
      <c r="AW9">
        <v>2066</v>
      </c>
      <c r="AX9">
        <v>2067</v>
      </c>
      <c r="AY9">
        <v>2068</v>
      </c>
      <c r="AZ9">
        <v>2069</v>
      </c>
      <c r="BA9">
        <v>2070</v>
      </c>
    </row>
    <row r="10" spans="1:53" x14ac:dyDescent="0.25">
      <c r="A10" s="3" t="s">
        <v>21</v>
      </c>
      <c r="B10">
        <f>IF($C$3="CGE",INDEX(GDP_CGE!$A$3:$AN$24,MATCH($A10,GDP_CGE!$A$3:$A$24,0),MATCH(B$9,GDP_CGE!$A$3:$AN$3,0)),GDP_Simple!I12)</f>
        <v>2746.44</v>
      </c>
      <c r="C10">
        <f>IF($C$3="CGE",INDEX(GDP_CGE!$A$3:$AN$24,MATCH($A10,GDP_CGE!$A$3:$A$24,0),MATCH(C$9,GDP_CGE!$A$3:$AN$3,0)),GDP_Simple!J12)</f>
        <v>2570.58</v>
      </c>
      <c r="D10">
        <f>IF($C$3="CGE",INDEX(GDP_CGE!$A$3:$AN$24,MATCH($A10,GDP_CGE!$A$3:$A$24,0),MATCH(D$9,GDP_CGE!$A$3:$AN$3,0)),GDP_Simple!K12)</f>
        <v>2701.6634132159884</v>
      </c>
      <c r="E10">
        <f>IF($C$3="CGE",INDEX(GDP_CGE!$A$3:$AN$24,MATCH($A10,GDP_CGE!$A$3:$A$24,0),MATCH(E$9,GDP_CGE!$A$3:$AN$3,0)),GDP_Simple!L12)</f>
        <v>2753.2761577379706</v>
      </c>
      <c r="F10">
        <f>IF($C$3="CGE",INDEX(GDP_CGE!$A$3:$AN$24,MATCH($A10,GDP_CGE!$A$3:$A$24,0),MATCH(F$9,GDP_CGE!$A$3:$AN$3,0)),GDP_Simple!M12)</f>
        <v>2758.7827100534464</v>
      </c>
      <c r="G10">
        <f>IF($C$3="CGE",INDEX(GDP_CGE!$A$3:$AN$24,MATCH($A10,GDP_CGE!$A$3:$A$24,0),MATCH(G$9,GDP_CGE!$A$3:$AN$3,0)),GDP_Simple!N12)</f>
        <v>2786.3705371539809</v>
      </c>
      <c r="H10">
        <f>IF($C$3="CGE",INDEX(GDP_CGE!$A$3:$AN$24,MATCH($A10,GDP_CGE!$A$3:$A$24,0),MATCH(H$9,GDP_CGE!$A$3:$AN$3,0)),GDP_Simple!O12)</f>
        <v>2817.0206130626743</v>
      </c>
      <c r="I10">
        <f>IF($C$3="CGE",INDEX(GDP_CGE!$A$3:$AN$24,MATCH($A10,GDP_CGE!$A$3:$A$24,0),MATCH(I$9,GDP_CGE!$A$3:$AN$3,0)),GDP_Simple!P12)</f>
        <v>2856.4589016455516</v>
      </c>
      <c r="J10">
        <f>IF($C$3="CGE",INDEX(GDP_CGE!$A$3:$AN$24,MATCH($A10,GDP_CGE!$A$3:$A$24,0),MATCH(J$9,GDP_CGE!$A$3:$AN$3,0)),GDP_Simple!Q12)</f>
        <v>2902.1622440718807</v>
      </c>
      <c r="K10">
        <f>IF($C$3="CGE",INDEX(GDP_CGE!$A$3:$AN$24,MATCH($A10,GDP_CGE!$A$3:$A$24,0),MATCH(K$9,GDP_CGE!$A$3:$AN$3,0)),GDP_Simple!R12)</f>
        <v>2954.4011644651746</v>
      </c>
      <c r="L10">
        <f>IF($C$3="CGE",INDEX(GDP_CGE!$A$3:$AN$24,MATCH($A10,GDP_CGE!$A$3:$A$24,0),MATCH(L$9,GDP_CGE!$A$3:$AN$3,0)),GDP_Simple!S12)</f>
        <v>3019.4917101814099</v>
      </c>
      <c r="M10">
        <f>IF($C$3="CGE",INDEX(GDP_CGE!$A$3:$AN$24,MATCH($A10,GDP_CGE!$A$3:$A$24,0),MATCH(M$9,GDP_CGE!$A$3:$AN$3,0)),GDP_Simple!T12)</f>
        <v>3098.6578143357187</v>
      </c>
      <c r="N10">
        <f>IF($C$3="CGE",INDEX(GDP_CGE!$A$3:$AN$24,MATCH($A10,GDP_CGE!$A$3:$A$24,0),MATCH(N$9,GDP_CGE!$A$3:$AN$3,0)),GDP_Simple!U12)</f>
        <v>3189.6914736349381</v>
      </c>
      <c r="O10">
        <f>IF($C$3="CGE",INDEX(GDP_CGE!$A$3:$AN$24,MATCH($A10,GDP_CGE!$A$3:$A$24,0),MATCH(O$9,GDP_CGE!$A$3:$AN$3,0)),GDP_Simple!V12)</f>
        <v>3285.6295440723929</v>
      </c>
      <c r="P10">
        <f>IF($C$3="CGE",INDEX(GDP_CGE!$A$3:$AN$24,MATCH($A10,GDP_CGE!$A$3:$A$24,0),MATCH(P$9,GDP_CGE!$A$3:$AN$3,0)),GDP_Simple!W12)</f>
        <v>3387.4108076665748</v>
      </c>
      <c r="Q10">
        <f>IF($C$3="CGE",INDEX(GDP_CGE!$A$3:$AN$24,MATCH($A10,GDP_CGE!$A$3:$A$24,0),MATCH(Q$9,GDP_CGE!$A$3:$AN$3,0)),GDP_Simple!X12)</f>
        <v>3503.822316485358</v>
      </c>
      <c r="R10">
        <f>IF($C$3="CGE",INDEX(GDP_CGE!$A$3:$AN$24,MATCH($A10,GDP_CGE!$A$3:$A$24,0),MATCH(R$9,GDP_CGE!$A$3:$AN$3,0)),GDP_Simple!Y12)</f>
        <v>3627.1733086751424</v>
      </c>
      <c r="S10">
        <f>IF($C$3="CGE",INDEX(GDP_CGE!$A$3:$AN$24,MATCH($A10,GDP_CGE!$A$3:$A$24,0),MATCH(S$9,GDP_CGE!$A$3:$AN$3,0)),GDP_Simple!Z12)</f>
        <v>3757.9091917406686</v>
      </c>
      <c r="T10">
        <f>IF($C$3="CGE",INDEX(GDP_CGE!$A$3:$AN$24,MATCH($A10,GDP_CGE!$A$3:$A$24,0),MATCH(T$9,GDP_CGE!$A$3:$AN$3,0)),GDP_Simple!AA12)</f>
        <v>3896.9782058681149</v>
      </c>
      <c r="U10">
        <f>IF($C$3="CGE",INDEX(GDP_CGE!$A$3:$AN$24,MATCH($A10,GDP_CGE!$A$3:$A$24,0),MATCH(U$9,GDP_CGE!$A$3:$AN$3,0)),GDP_Simple!AB12)</f>
        <v>4042.5535023498846</v>
      </c>
      <c r="V10">
        <f>IF($C$3="CGE",INDEX(GDP_CGE!$A$3:$AN$24,MATCH($A10,GDP_CGE!$A$3:$A$24,0),MATCH(V$9,GDP_CGE!$A$3:$AN$3,0)),GDP_Simple!AC12)</f>
        <v>4190.3715224582984</v>
      </c>
      <c r="W10">
        <f>IF($C$3="CGE",INDEX(GDP_CGE!$A$3:$AN$24,MATCH($A10,GDP_CGE!$A$3:$A$24,0),MATCH(W$9,GDP_CGE!$A$3:$AN$3,0)),GDP_Simple!AD12)</f>
        <v>4338.746729551779</v>
      </c>
      <c r="X10">
        <f>IF($C$3="CGE",INDEX(GDP_CGE!$A$3:$AN$24,MATCH($A10,GDP_CGE!$A$3:$A$24,0),MATCH(X$9,GDP_CGE!$A$3:$AN$3,0)),GDP_Simple!AE12)</f>
        <v>4493.9258030174624</v>
      </c>
      <c r="Y10">
        <f>IF($C$3="CGE",INDEX(GDP_CGE!$A$3:$AN$24,MATCH($A10,GDP_CGE!$A$3:$A$24,0),MATCH(Y$9,GDP_CGE!$A$3:$AN$3,0)),GDP_Simple!AF12)</f>
        <v>4646.851544407692</v>
      </c>
      <c r="Z10">
        <f>IF($C$3="CGE",INDEX(GDP_CGE!$A$3:$AN$24,MATCH($A10,GDP_CGE!$A$3:$A$24,0),MATCH(Z$9,GDP_CGE!$A$3:$AN$3,0)),GDP_Simple!AG12)</f>
        <v>4805.5666888006072</v>
      </c>
      <c r="AA10">
        <f>IF($C$3="CGE",INDEX(GDP_CGE!$A$3:$AN$24,MATCH($A10,GDP_CGE!$A$3:$A$24,0),MATCH(AA$9,GDP_CGE!$A$3:$AN$3,0)),GDP_Simple!AH12)</f>
        <v>4972.1201415478799</v>
      </c>
      <c r="AB10">
        <f>IF($C$3="CGE",INDEX(GDP_CGE!$A$3:$AN$24,MATCH($A10,GDP_CGE!$A$3:$A$24,0),MATCH(AB$9,GDP_CGE!$A$3:$AN$3,0)),GDP_Simple!AI12)</f>
        <v>5147.0885387860135</v>
      </c>
      <c r="AC10">
        <f>IF($C$3="CGE",INDEX(GDP_CGE!$A$3:$AN$24,MATCH($A10,GDP_CGE!$A$3:$A$24,0),MATCH(AC$9,GDP_CGE!$A$3:$AN$3,0)),GDP_Simple!AJ12)</f>
        <v>5331.0307755607055</v>
      </c>
      <c r="AD10">
        <f>IF($C$3="CGE",INDEX(GDP_CGE!$A$3:$AN$24,MATCH($A10,GDP_CGE!$A$3:$A$24,0),MATCH(AD$9,GDP_CGE!$A$3:$AN$3,0)),GDP_Simple!AK12)</f>
        <v>5511.8158924623676</v>
      </c>
      <c r="AE10">
        <f>IF($C$3="CGE",INDEX(GDP_CGE!$A$3:$AN$24,MATCH($A10,GDP_CGE!$A$3:$A$24,0),MATCH(AE$9,GDP_CGE!$A$3:$AN$3,0)),GDP_Simple!AL12)</f>
        <v>5701.6585608207461</v>
      </c>
      <c r="AF10">
        <f>IF($C$3="CGE",INDEX(GDP_CGE!$A$3:$AN$24,MATCH($A10,GDP_CGE!$A$3:$A$24,0),MATCH(AF$9,GDP_CGE!$A$3:$AN$3,0)),GDP_Simple!AM12)</f>
        <v>5905.341267381451</v>
      </c>
      <c r="AG10">
        <f>IF($C$3="CGE",INDEX(GDP_CGE!$A$3:$AN$24,MATCH($A10,GDP_CGE!$A$3:$A$24,0),MATCH(AG$9,GDP_CGE!$A$3:$AN$3,0)),GDP_Simple!AN12)</f>
        <v>6121.2224083428055</v>
      </c>
      <c r="AH10">
        <f>IF($C$3="CGE",INDEX(GDP_CGE!$A$3:$AN$24,MATCH($A10,GDP_CGE!$A$3:$A$24,0),MATCH(AH$9,GDP_CGE!$A$3:$AN$3,0)),GDP_Simple!AO12)</f>
        <v>6333.9671215713788</v>
      </c>
      <c r="AI10">
        <f>IF($C$3="CGE",INDEX(GDP_CGE!$A$3:$AN$24,MATCH($A10,GDP_CGE!$A$3:$A$24,0),MATCH(AI$9,GDP_CGE!$A$3:$AN$3,0)),GDP_Simple!AP12)</f>
        <v>6542.6941603914947</v>
      </c>
      <c r="AJ10">
        <f>IF($C$3="CGE",INDEX(GDP_CGE!$A$3:$AN$24,MATCH($A10,GDP_CGE!$A$3:$A$24,0),MATCH(AJ$9,GDP_CGE!$A$3:$AN$3,0)),GDP_Simple!AQ12)</f>
        <v>6746.5117779400616</v>
      </c>
      <c r="AK10">
        <f>IF($C$3="CGE",INDEX(GDP_CGE!$A$3:$AN$24,MATCH($A10,GDP_CGE!$A$3:$A$24,0),MATCH(AK$9,GDP_CGE!$A$3:$AN$3,0)),GDP_Simple!AR12)</f>
        <v>6944.5237698208839</v>
      </c>
      <c r="AL10">
        <f>IF($C$3="CGE",INDEX(GDP_CGE!$A$3:$AN$24,MATCH($A10,GDP_CGE!$A$3:$A$24,0),MATCH(AL$9,GDP_CGE!$A$3:$AN$3,0)),GDP_Simple!AS12)</f>
        <v>7135.8357778147301</v>
      </c>
      <c r="AM10">
        <f>IF($C$3="CGE",INDEX(GDP_CGE!$A$3:$AN$24,MATCH($A10,GDP_CGE!$A$3:$A$24,0),MATCH(AM$9,GDP_CGE!$A$3:$AN$3,0)),GDP_Simple!AT12)</f>
        <v>7319.5617960455738</v>
      </c>
      <c r="AN10">
        <f>IF($C$3="CGE",INDEX(GDP_CGE!$A$3:$AN$24,MATCH($A10,GDP_CGE!$A$3:$A$24,0),MATCH(AN$9,GDP_CGE!$A$3:$AN$3,0)),GDP_Simple!AU12)</f>
        <v>7494.8308163079182</v>
      </c>
      <c r="AO10">
        <f>IF($C$3="CGE",INDEX(GDP_CGE!$A$3:$AN$24,MATCH($A10,GDP_CGE!$A$3:$A$24,0),MATCH(AO$9,GDP_CGE!$A$3:$AN$3,0)),GDP_Simple!AV12)</f>
        <v>7660.7935453052314</v>
      </c>
      <c r="AP10">
        <f>IF($C$3="CGE",INDEX(GDP_CGE!$A$3:$AN$24,MATCH($A10,GDP_CGE!$A$3:$A$24,0),MATCH(AP$9,GDP_CGE!$A$3:$AN$3,0)),GDP_Simple!AW12)</f>
        <v>7816.6291234264672</v>
      </c>
      <c r="AQ10">
        <f>IF($C$3="CGE",INDEX(GDP_CGE!$A$3:$AN$24,MATCH($A10,GDP_CGE!$A$3:$A$24,0),MATCH(AQ$9,GDP_CGE!$A$3:$AN$3,0)),GDP_Simple!AX12)</f>
        <v>7961.5517724759829</v>
      </c>
      <c r="AR10">
        <f>IF($C$3="CGE",INDEX(GDP_CGE!$A$3:$AN$24,MATCH($A10,GDP_CGE!$A$3:$A$24,0),MATCH(AR$9,GDP_CGE!$A$3:$AN$3,0)),GDP_Simple!AY12)</f>
        <v>8094.8172985378196</v>
      </c>
      <c r="AS10">
        <f>IF($C$3="CGE",INDEX(GDP_CGE!$A$3:$AN$24,MATCH($A10,GDP_CGE!$A$3:$A$24,0),MATCH(AS$9,GDP_CGE!$A$3:$AN$3,0)),GDP_Simple!AZ12)</f>
        <v>8215.7293759486838</v>
      </c>
      <c r="AT10">
        <f>IF($C$3="CGE",INDEX(GDP_CGE!$A$3:$AN$24,MATCH($A10,GDP_CGE!$A$3:$A$24,0),MATCH(AT$9,GDP_CGE!$A$3:$AN$3,0)),GDP_Simple!BA12)</f>
        <v>8323.64553920859</v>
      </c>
      <c r="AU10">
        <f>IF($C$3="CGE",INDEX(GDP_CGE!$A$3:$AN$24,MATCH($A10,GDP_CGE!$A$3:$A$24,0),MATCH(AU$9,GDP_CGE!$A$3:$AN$3,0)),GDP_Simple!BB12)</f>
        <v>8417.982811589447</v>
      </c>
      <c r="AV10">
        <f>IF($C$3="CGE",INDEX(GDP_CGE!$A$3:$AN$24,MATCH($A10,GDP_CGE!$A$3:$A$24,0),MATCH(AV$9,GDP_CGE!$A$3:$AN$3,0)),GDP_Simple!BC12)</f>
        <v>8498.2229022061783</v>
      </c>
      <c r="AW10">
        <f>IF($C$3="CGE",INDEX(GDP_CGE!$A$3:$AN$24,MATCH($A10,GDP_CGE!$A$3:$A$24,0),MATCH(AW$9,GDP_CGE!$A$3:$AN$3,0)),GDP_Simple!BD12)</f>
        <v>8563.916907369301</v>
      </c>
      <c r="AX10">
        <f>IF($C$3="CGE",INDEX(GDP_CGE!$A$3:$AN$24,MATCH($A10,GDP_CGE!$A$3:$A$24,0),MATCH(AX$9,GDP_CGE!$A$3:$AN$3,0)),GDP_Simple!BE12)</f>
        <v>8614.6894570998229</v>
      </c>
      <c r="AY10">
        <f>IF($C$3="CGE",INDEX(GDP_CGE!$A$3:$AN$24,MATCH($A10,GDP_CGE!$A$3:$A$24,0),MATCH(AY$9,GDP_CGE!$A$3:$AN$3,0)),GDP_Simple!BF12)</f>
        <v>8650.2422536951126</v>
      </c>
      <c r="AZ10">
        <f>IF($C$3="CGE",INDEX(GDP_CGE!$A$3:$AN$24,MATCH($A10,GDP_CGE!$A$3:$A$24,0),MATCH(AZ$9,GDP_CGE!$A$3:$AN$3,0)),GDP_Simple!BG12)</f>
        <v>8670.3569561083241</v>
      </c>
      <c r="BA10">
        <f>IF($C$3="CGE",INDEX(GDP_CGE!$A$3:$AN$24,MATCH($A10,GDP_CGE!$A$3:$A$24,0),MATCH(BA$9,GDP_CGE!$A$3:$AN$3,0)),GDP_Simple!BH12)</f>
        <v>8674.8973715470001</v>
      </c>
    </row>
    <row r="11" spans="1:53" x14ac:dyDescent="0.25">
      <c r="A11" s="3" t="s">
        <v>70</v>
      </c>
      <c r="B11">
        <f>IF($C$3="CGE",INDEX(GDP_CGE!$A$3:$AN$24,MATCH($A11,GDP_CGE!$A$3:$A$24,0),MATCH(B$9,GDP_CGE!$A$3:$AN$3,0)),GDP_Simple!I13)</f>
        <v>103.19</v>
      </c>
      <c r="C11">
        <f>IF($C$3="CGE",INDEX(GDP_CGE!$A$3:$AN$24,MATCH($A11,GDP_CGE!$A$3:$A$24,0),MATCH(C$9,GDP_CGE!$A$3:$AN$3,0)),GDP_Simple!J13)</f>
        <v>101.98</v>
      </c>
      <c r="D11">
        <f>IF($C$3="CGE",INDEX(GDP_CGE!$A$3:$AN$24,MATCH($A11,GDP_CGE!$A$3:$A$24,0),MATCH(D$9,GDP_CGE!$A$3:$AN$3,0)),GDP_Simple!K13)</f>
        <v>106.77618269276007</v>
      </c>
      <c r="E11">
        <f>IF($C$3="CGE",INDEX(GDP_CGE!$A$3:$AN$24,MATCH($A11,GDP_CGE!$A$3:$A$24,0),MATCH(E$9,GDP_CGE!$A$3:$AN$3,0)),GDP_Simple!L13)</f>
        <v>108.81604147435188</v>
      </c>
      <c r="F11">
        <f>IF($C$3="CGE",INDEX(GDP_CGE!$A$3:$AN$24,MATCH($A11,GDP_CGE!$A$3:$A$24,0),MATCH(F$9,GDP_CGE!$A$3:$AN$3,0)),GDP_Simple!M13)</f>
        <v>109.03367355730057</v>
      </c>
      <c r="G11">
        <f>IF($C$3="CGE",INDEX(GDP_CGE!$A$3:$AN$24,MATCH($A11,GDP_CGE!$A$3:$A$24,0),MATCH(G$9,GDP_CGE!$A$3:$AN$3,0)),GDP_Simple!N13)</f>
        <v>110.12401029287358</v>
      </c>
      <c r="H11">
        <f>IF($C$3="CGE",INDEX(GDP_CGE!$A$3:$AN$24,MATCH($A11,GDP_CGE!$A$3:$A$24,0),MATCH(H$9,GDP_CGE!$A$3:$AN$3,0)),GDP_Simple!O13)</f>
        <v>111.33537440609517</v>
      </c>
      <c r="I11">
        <f>IF($C$3="CGE",INDEX(GDP_CGE!$A$3:$AN$24,MATCH($A11,GDP_CGE!$A$3:$A$24,0),MATCH(I$9,GDP_CGE!$A$3:$AN$3,0)),GDP_Simple!P13)</f>
        <v>112.8940696477805</v>
      </c>
      <c r="J11">
        <f>IF($C$3="CGE",INDEX(GDP_CGE!$A$3:$AN$24,MATCH($A11,GDP_CGE!$A$3:$A$24,0),MATCH(J$9,GDP_CGE!$A$3:$AN$3,0)),GDP_Simple!Q13)</f>
        <v>114.70037476214499</v>
      </c>
      <c r="K11">
        <f>IF($C$3="CGE",INDEX(GDP_CGE!$A$3:$AN$24,MATCH($A11,GDP_CGE!$A$3:$A$24,0),MATCH(K$9,GDP_CGE!$A$3:$AN$3,0)),GDP_Simple!R13)</f>
        <v>116.7649815078636</v>
      </c>
      <c r="L11">
        <f>IF($C$3="CGE",INDEX(GDP_CGE!$A$3:$AN$24,MATCH($A11,GDP_CGE!$A$3:$A$24,0),MATCH(L$9,GDP_CGE!$A$3:$AN$3,0)),GDP_Simple!S13)</f>
        <v>119.33751514287142</v>
      </c>
      <c r="M11">
        <f>IF($C$3="CGE",INDEX(GDP_CGE!$A$3:$AN$24,MATCH($A11,GDP_CGE!$A$3:$A$24,0),MATCH(M$9,GDP_CGE!$A$3:$AN$3,0)),GDP_Simple!T13)</f>
        <v>122.46634842347326</v>
      </c>
      <c r="N11">
        <f>IF($C$3="CGE",INDEX(GDP_CGE!$A$3:$AN$24,MATCH($A11,GDP_CGE!$A$3:$A$24,0),MATCH(N$9,GDP_CGE!$A$3:$AN$3,0)),GDP_Simple!U13)</f>
        <v>126.06421579250767</v>
      </c>
      <c r="O11">
        <f>IF($C$3="CGE",INDEX(GDP_CGE!$A$3:$AN$24,MATCH($A11,GDP_CGE!$A$3:$A$24,0),MATCH(O$9,GDP_CGE!$A$3:$AN$3,0)),GDP_Simple!V13)</f>
        <v>129.8559171888065</v>
      </c>
      <c r="P11">
        <f>IF($C$3="CGE",INDEX(GDP_CGE!$A$3:$AN$24,MATCH($A11,GDP_CGE!$A$3:$A$24,0),MATCH(P$9,GDP_CGE!$A$3:$AN$3,0)),GDP_Simple!W13)</f>
        <v>133.87855551713014</v>
      </c>
      <c r="Q11">
        <f>IF($C$3="CGE",INDEX(GDP_CGE!$A$3:$AN$24,MATCH($A11,GDP_CGE!$A$3:$A$24,0),MATCH(Q$9,GDP_CGE!$A$3:$AN$3,0)),GDP_Simple!X13)</f>
        <v>138.47941603601245</v>
      </c>
      <c r="R11">
        <f>IF($C$3="CGE",INDEX(GDP_CGE!$A$3:$AN$24,MATCH($A11,GDP_CGE!$A$3:$A$24,0),MATCH(R$9,GDP_CGE!$A$3:$AN$3,0)),GDP_Simple!Y13)</f>
        <v>143.35454149130049</v>
      </c>
      <c r="S11">
        <f>IF($C$3="CGE",INDEX(GDP_CGE!$A$3:$AN$24,MATCH($A11,GDP_CGE!$A$3:$A$24,0),MATCH(S$9,GDP_CGE!$A$3:$AN$3,0)),GDP_Simple!Z13)</f>
        <v>148.52153545006567</v>
      </c>
      <c r="T11">
        <f>IF($C$3="CGE",INDEX(GDP_CGE!$A$3:$AN$24,MATCH($A11,GDP_CGE!$A$3:$A$24,0),MATCH(T$9,GDP_CGE!$A$3:$AN$3,0)),GDP_Simple!AA13)</f>
        <v>154.01787462641707</v>
      </c>
      <c r="U11">
        <f>IF($C$3="CGE",INDEX(GDP_CGE!$A$3:$AN$24,MATCH($A11,GDP_CGE!$A$3:$A$24,0),MATCH(U$9,GDP_CGE!$A$3:$AN$3,0)),GDP_Simple!AB13)</f>
        <v>159.77135760162864</v>
      </c>
      <c r="V11">
        <f>IF($C$3="CGE",INDEX(GDP_CGE!$A$3:$AN$24,MATCH($A11,GDP_CGE!$A$3:$A$24,0),MATCH(V$9,GDP_CGE!$A$3:$AN$3,0)),GDP_Simple!AC13)</f>
        <v>165.61347836440339</v>
      </c>
      <c r="W11">
        <f>IF($C$3="CGE",INDEX(GDP_CGE!$A$3:$AN$24,MATCH($A11,GDP_CGE!$A$3:$A$24,0),MATCH(W$9,GDP_CGE!$A$3:$AN$3,0)),GDP_Simple!AD13)</f>
        <v>171.47762048595308</v>
      </c>
      <c r="X11">
        <f>IF($C$3="CGE",INDEX(GDP_CGE!$A$3:$AN$24,MATCH($A11,GDP_CGE!$A$3:$A$24,0),MATCH(X$9,GDP_CGE!$A$3:$AN$3,0)),GDP_Simple!AE13)</f>
        <v>177.61066763661245</v>
      </c>
      <c r="Y11">
        <f>IF($C$3="CGE",INDEX(GDP_CGE!$A$3:$AN$24,MATCH($A11,GDP_CGE!$A$3:$A$24,0),MATCH(Y$9,GDP_CGE!$A$3:$AN$3,0)),GDP_Simple!AF13)</f>
        <v>183.65465772850604</v>
      </c>
      <c r="Z11">
        <f>IF($C$3="CGE",INDEX(GDP_CGE!$A$3:$AN$24,MATCH($A11,GDP_CGE!$A$3:$A$24,0),MATCH(Z$9,GDP_CGE!$A$3:$AN$3,0)),GDP_Simple!AG13)</f>
        <v>189.92745883722461</v>
      </c>
      <c r="AA11">
        <f>IF($C$3="CGE",INDEX(GDP_CGE!$A$3:$AN$24,MATCH($A11,GDP_CGE!$A$3:$A$24,0),MATCH(AA$9,GDP_CGE!$A$3:$AN$3,0)),GDP_Simple!AH13)</f>
        <v>196.51004858976646</v>
      </c>
      <c r="AB11">
        <f>IF($C$3="CGE",INDEX(GDP_CGE!$A$3:$AN$24,MATCH($A11,GDP_CGE!$A$3:$A$24,0),MATCH(AB$9,GDP_CGE!$A$3:$AN$3,0)),GDP_Simple!AI13)</f>
        <v>203.42521702176563</v>
      </c>
      <c r="AC11">
        <f>IF($C$3="CGE",INDEX(GDP_CGE!$A$3:$AN$24,MATCH($A11,GDP_CGE!$A$3:$A$24,0),MATCH(AC$9,GDP_CGE!$A$3:$AN$3,0)),GDP_Simple!AJ13)</f>
        <v>210.69505299862763</v>
      </c>
      <c r="AD11">
        <f>IF($C$3="CGE",INDEX(GDP_CGE!$A$3:$AN$24,MATCH($A11,GDP_CGE!$A$3:$A$24,0),MATCH(AD$9,GDP_CGE!$A$3:$AN$3,0)),GDP_Simple!AK13)</f>
        <v>217.84011206705003</v>
      </c>
      <c r="AE11">
        <f>IF($C$3="CGE",INDEX(GDP_CGE!$A$3:$AN$24,MATCH($A11,GDP_CGE!$A$3:$A$24,0),MATCH(AE$9,GDP_CGE!$A$3:$AN$3,0)),GDP_Simple!AL13)</f>
        <v>225.34314717510799</v>
      </c>
      <c r="AF11">
        <f>IF($C$3="CGE",INDEX(GDP_CGE!$A$3:$AN$24,MATCH($A11,GDP_CGE!$A$3:$A$24,0),MATCH(AF$9,GDP_CGE!$A$3:$AN$3,0)),GDP_Simple!AM13)</f>
        <v>233.3931736072285</v>
      </c>
      <c r="AG11">
        <f>IF($C$3="CGE",INDEX(GDP_CGE!$A$3:$AN$24,MATCH($A11,GDP_CGE!$A$3:$A$24,0),MATCH(AG$9,GDP_CGE!$A$3:$AN$3,0)),GDP_Simple!AN13)</f>
        <v>241.92531126525446</v>
      </c>
      <c r="AH11">
        <f>IF($C$3="CGE",INDEX(GDP_CGE!$A$3:$AN$24,MATCH($A11,GDP_CGE!$A$3:$A$24,0),MATCH(AH$9,GDP_CGE!$A$3:$AN$3,0)),GDP_Simple!AO13)</f>
        <v>250.33348981758286</v>
      </c>
      <c r="AI11">
        <f>IF($C$3="CGE",INDEX(GDP_CGE!$A$3:$AN$24,MATCH($A11,GDP_CGE!$A$3:$A$24,0),MATCH(AI$9,GDP_CGE!$A$3:$AN$3,0)),GDP_Simple!AP13)</f>
        <v>258.58288029344737</v>
      </c>
      <c r="AJ11">
        <f>IF($C$3="CGE",INDEX(GDP_CGE!$A$3:$AN$24,MATCH($A11,GDP_CGE!$A$3:$A$24,0),MATCH(AJ$9,GDP_CGE!$A$3:$AN$3,0)),GDP_Simple!AQ13)</f>
        <v>266.63823872962757</v>
      </c>
      <c r="AK11">
        <f>IF($C$3="CGE",INDEX(GDP_CGE!$A$3:$AN$24,MATCH($A11,GDP_CGE!$A$3:$A$24,0),MATCH(AK$9,GDP_CGE!$A$3:$AN$3,0)),GDP_Simple!AR13)</f>
        <v>274.46414499056186</v>
      </c>
      <c r="AL11">
        <f>IF($C$3="CGE",INDEX(GDP_CGE!$A$3:$AN$24,MATCH($A11,GDP_CGE!$A$3:$A$24,0),MATCH(AL$9,GDP_CGE!$A$3:$AN$3,0)),GDP_Simple!AS13)</f>
        <v>282.02525190600596</v>
      </c>
      <c r="AM11">
        <f>IF($C$3="CGE",INDEX(GDP_CGE!$A$3:$AN$24,MATCH($A11,GDP_CGE!$A$3:$A$24,0),MATCH(AM$9,GDP_CGE!$A$3:$AN$3,0)),GDP_Simple!AT13)</f>
        <v>289.28654241024299</v>
      </c>
      <c r="AN11">
        <f>IF($C$3="CGE",INDEX(GDP_CGE!$A$3:$AN$24,MATCH($A11,GDP_CGE!$A$3:$A$24,0),MATCH(AN$9,GDP_CGE!$A$3:$AN$3,0)),GDP_Simple!AU13)</f>
        <v>296.21359218127122</v>
      </c>
      <c r="AO11">
        <f>IF($C$3="CGE",INDEX(GDP_CGE!$A$3:$AN$24,MATCH($A11,GDP_CGE!$A$3:$A$24,0),MATCH(AO$9,GDP_CGE!$A$3:$AN$3,0)),GDP_Simple!AV13)</f>
        <v>302.77283512209027</v>
      </c>
      <c r="AP11">
        <f>IF($C$3="CGE",INDEX(GDP_CGE!$A$3:$AN$24,MATCH($A11,GDP_CGE!$A$3:$A$24,0),MATCH(AP$9,GDP_CGE!$A$3:$AN$3,0)),GDP_Simple!AW13)</f>
        <v>308.93182890277654</v>
      </c>
      <c r="AQ11">
        <f>IF($C$3="CGE",INDEX(GDP_CGE!$A$3:$AN$24,MATCH($A11,GDP_CGE!$A$3:$A$24,0),MATCH(AQ$9,GDP_CGE!$A$3:$AN$3,0)),GDP_Simple!AX13)</f>
        <v>314.65951769462703</v>
      </c>
      <c r="AR11">
        <f>IF($C$3="CGE",INDEX(GDP_CGE!$A$3:$AN$24,MATCH($A11,GDP_CGE!$A$3:$A$24,0),MATCH(AR$9,GDP_CGE!$A$3:$AN$3,0)),GDP_Simple!AY13)</f>
        <v>319.92648917886788</v>
      </c>
      <c r="AS11">
        <f>IF($C$3="CGE",INDEX(GDP_CGE!$A$3:$AN$24,MATCH($A11,GDP_CGE!$A$3:$A$24,0),MATCH(AS$9,GDP_CGE!$A$3:$AN$3,0)),GDP_Simple!AZ13)</f>
        <v>324.70522290425646</v>
      </c>
      <c r="AT11">
        <f>IF($C$3="CGE",INDEX(GDP_CGE!$A$3:$AN$24,MATCH($A11,GDP_CGE!$A$3:$A$24,0),MATCH(AT$9,GDP_CGE!$A$3:$AN$3,0)),GDP_Simple!BA13)</f>
        <v>328.9703271016831</v>
      </c>
      <c r="AU11">
        <f>IF($C$3="CGE",INDEX(GDP_CGE!$A$3:$AN$24,MATCH($A11,GDP_CGE!$A$3:$A$24,0),MATCH(AU$9,GDP_CGE!$A$3:$AN$3,0)),GDP_Simple!BB13)</f>
        <v>332.69876114020923</v>
      </c>
      <c r="AV11">
        <f>IF($C$3="CGE",INDEX(GDP_CGE!$A$3:$AN$24,MATCH($A11,GDP_CGE!$A$3:$A$24,0),MATCH(AV$9,GDP_CGE!$A$3:$AN$3,0)),GDP_Simple!BC13)</f>
        <v>335.87004092771502</v>
      </c>
      <c r="AW11">
        <f>IF($C$3="CGE",INDEX(GDP_CGE!$A$3:$AN$24,MATCH($A11,GDP_CGE!$A$3:$A$24,0),MATCH(AW$9,GDP_CGE!$A$3:$AN$3,0)),GDP_Simple!BD13)</f>
        <v>338.46642471956818</v>
      </c>
      <c r="AX11">
        <f>IF($C$3="CGE",INDEX(GDP_CGE!$A$3:$AN$24,MATCH($A11,GDP_CGE!$A$3:$A$24,0),MATCH(AX$9,GDP_CGE!$A$3:$AN$3,0)),GDP_Simple!BE13)</f>
        <v>340.47307699878388</v>
      </c>
      <c r="AY11">
        <f>IF($C$3="CGE",INDEX(GDP_CGE!$A$3:$AN$24,MATCH($A11,GDP_CGE!$A$3:$A$24,0),MATCH(AY$9,GDP_CGE!$A$3:$AN$3,0)),GDP_Simple!BF13)</f>
        <v>341.8782083285887</v>
      </c>
      <c r="AZ11">
        <f>IF($C$3="CGE",INDEX(GDP_CGE!$A$3:$AN$24,MATCH($A11,GDP_CGE!$A$3:$A$24,0),MATCH(AZ$9,GDP_CGE!$A$3:$AN$3,0)),GDP_Simple!BG13)</f>
        <v>342.67318934997616</v>
      </c>
      <c r="BA11">
        <f>IF($C$3="CGE",INDEX(GDP_CGE!$A$3:$AN$24,MATCH($A11,GDP_CGE!$A$3:$A$24,0),MATCH(BA$9,GDP_CGE!$A$3:$AN$3,0)),GDP_Simple!BH13)</f>
        <v>342.85263739891133</v>
      </c>
    </row>
    <row r="12" spans="1:53" x14ac:dyDescent="0.25">
      <c r="A12" s="3" t="s">
        <v>23</v>
      </c>
      <c r="B12">
        <f>IF($C$3="CGE",INDEX(GDP_CGE!$A$3:$AN$24,MATCH($A12,GDP_CGE!$A$3:$A$24,0),MATCH(B$9,GDP_CGE!$A$3:$AN$3,0)),GDP_Simple!I14)</f>
        <v>198.05</v>
      </c>
      <c r="C12">
        <f>IF($C$3="CGE",INDEX(GDP_CGE!$A$3:$AN$24,MATCH($A12,GDP_CGE!$A$3:$A$24,0),MATCH(C$9,GDP_CGE!$A$3:$AN$3,0)),GDP_Simple!J14)</f>
        <v>190.12</v>
      </c>
      <c r="D12">
        <f>IF($C$3="CGE",INDEX(GDP_CGE!$A$3:$AN$24,MATCH($A12,GDP_CGE!$A$3:$A$24,0),MATCH(D$9,GDP_CGE!$A$3:$AN$3,0)),GDP_Simple!K14)</f>
        <v>199.06146159587709</v>
      </c>
      <c r="E12">
        <f>IF($C$3="CGE",INDEX(GDP_CGE!$A$3:$AN$24,MATCH($A12,GDP_CGE!$A$3:$A$24,0),MATCH(E$9,GDP_CGE!$A$3:$AN$3,0)),GDP_Simple!L14)</f>
        <v>202.86434403906432</v>
      </c>
      <c r="F12">
        <f>IF($C$3="CGE",INDEX(GDP_CGE!$A$3:$AN$24,MATCH($A12,GDP_CGE!$A$3:$A$24,0),MATCH(F$9,GDP_CGE!$A$3:$AN$3,0)),GDP_Simple!M14)</f>
        <v>203.27007272714246</v>
      </c>
      <c r="G12">
        <f>IF($C$3="CGE",INDEX(GDP_CGE!$A$3:$AN$24,MATCH($A12,GDP_CGE!$A$3:$A$24,0),MATCH(G$9,GDP_CGE!$A$3:$AN$3,0)),GDP_Simple!N14)</f>
        <v>205.30277345441388</v>
      </c>
      <c r="H12">
        <f>IF($C$3="CGE",INDEX(GDP_CGE!$A$3:$AN$24,MATCH($A12,GDP_CGE!$A$3:$A$24,0),MATCH(H$9,GDP_CGE!$A$3:$AN$3,0)),GDP_Simple!O14)</f>
        <v>207.5611039624124</v>
      </c>
      <c r="I12">
        <f>IF($C$3="CGE",INDEX(GDP_CGE!$A$3:$AN$24,MATCH($A12,GDP_CGE!$A$3:$A$24,0),MATCH(I$9,GDP_CGE!$A$3:$AN$3,0)),GDP_Simple!P14)</f>
        <v>210.46695941788619</v>
      </c>
      <c r="J12">
        <f>IF($C$3="CGE",INDEX(GDP_CGE!$A$3:$AN$24,MATCH($A12,GDP_CGE!$A$3:$A$24,0),MATCH(J$9,GDP_CGE!$A$3:$AN$3,0)),GDP_Simple!Q14)</f>
        <v>213.83443076857236</v>
      </c>
      <c r="K12">
        <f>IF($C$3="CGE",INDEX(GDP_CGE!$A$3:$AN$24,MATCH($A12,GDP_CGE!$A$3:$A$24,0),MATCH(K$9,GDP_CGE!$A$3:$AN$3,0)),GDP_Simple!R14)</f>
        <v>217.68345052240667</v>
      </c>
      <c r="L12">
        <f>IF($C$3="CGE",INDEX(GDP_CGE!$A$3:$AN$24,MATCH($A12,GDP_CGE!$A$3:$A$24,0),MATCH(L$9,GDP_CGE!$A$3:$AN$3,0)),GDP_Simple!S14)</f>
        <v>222.47939183136617</v>
      </c>
      <c r="M12">
        <f>IF($C$3="CGE",INDEX(GDP_CGE!$A$3:$AN$24,MATCH($A12,GDP_CGE!$A$3:$A$24,0),MATCH(M$9,GDP_CGE!$A$3:$AN$3,0)),GDP_Simple!T14)</f>
        <v>228.31243540175274</v>
      </c>
      <c r="N12">
        <f>IF($C$3="CGE",INDEX(GDP_CGE!$A$3:$AN$24,MATCH($A12,GDP_CGE!$A$3:$A$24,0),MATCH(N$9,GDP_CGE!$A$3:$AN$3,0)),GDP_Simple!U14)</f>
        <v>235.01989317975648</v>
      </c>
      <c r="O12">
        <f>IF($C$3="CGE",INDEX(GDP_CGE!$A$3:$AN$24,MATCH($A12,GDP_CGE!$A$3:$A$24,0),MATCH(O$9,GDP_CGE!$A$3:$AN$3,0)),GDP_Simple!V14)</f>
        <v>242.08871323726126</v>
      </c>
      <c r="P12">
        <f>IF($C$3="CGE",INDEX(GDP_CGE!$A$3:$AN$24,MATCH($A12,GDP_CGE!$A$3:$A$24,0),MATCH(P$9,GDP_CGE!$A$3:$AN$3,0)),GDP_Simple!W14)</f>
        <v>249.58806604154535</v>
      </c>
      <c r="Q12">
        <f>IF($C$3="CGE",INDEX(GDP_CGE!$A$3:$AN$24,MATCH($A12,GDP_CGE!$A$3:$A$24,0),MATCH(Q$9,GDP_CGE!$A$3:$AN$3,0)),GDP_Simple!X14)</f>
        <v>258.16539102536478</v>
      </c>
      <c r="R12">
        <f>IF($C$3="CGE",INDEX(GDP_CGE!$A$3:$AN$24,MATCH($A12,GDP_CGE!$A$3:$A$24,0),MATCH(R$9,GDP_CGE!$A$3:$AN$3,0)),GDP_Simple!Y14)</f>
        <v>267.25402459625479</v>
      </c>
      <c r="S12">
        <f>IF($C$3="CGE",INDEX(GDP_CGE!$A$3:$AN$24,MATCH($A12,GDP_CGE!$A$3:$A$24,0),MATCH(S$9,GDP_CGE!$A$3:$AN$3,0)),GDP_Simple!Z14)</f>
        <v>276.88678485748676</v>
      </c>
      <c r="T12">
        <f>IF($C$3="CGE",INDEX(GDP_CGE!$A$3:$AN$24,MATCH($A12,GDP_CGE!$A$3:$A$24,0),MATCH(T$9,GDP_CGE!$A$3:$AN$3,0)),GDP_Simple!AA14)</f>
        <v>287.13353916429128</v>
      </c>
      <c r="U12">
        <f>IF($C$3="CGE",INDEX(GDP_CGE!$A$3:$AN$24,MATCH($A12,GDP_CGE!$A$3:$A$24,0),MATCH(U$9,GDP_CGE!$A$3:$AN$3,0)),GDP_Simple!AB14)</f>
        <v>297.85968334204398</v>
      </c>
      <c r="V12">
        <f>IF($C$3="CGE",INDEX(GDP_CGE!$A$3:$AN$24,MATCH($A12,GDP_CGE!$A$3:$A$24,0),MATCH(V$9,GDP_CGE!$A$3:$AN$3,0)),GDP_Simple!AC14)</f>
        <v>308.75107380506353</v>
      </c>
      <c r="W12">
        <f>IF($C$3="CGE",INDEX(GDP_CGE!$A$3:$AN$24,MATCH($A12,GDP_CGE!$A$3:$A$24,0),MATCH(W$9,GDP_CGE!$A$3:$AN$3,0)),GDP_Simple!AD14)</f>
        <v>319.68351840350471</v>
      </c>
      <c r="X12">
        <f>IF($C$3="CGE",INDEX(GDP_CGE!$A$3:$AN$24,MATCH($A12,GDP_CGE!$A$3:$A$24,0),MATCH(X$9,GDP_CGE!$A$3:$AN$3,0)),GDP_Simple!AE14)</f>
        <v>331.11727918290615</v>
      </c>
      <c r="Y12">
        <f>IF($C$3="CGE",INDEX(GDP_CGE!$A$3:$AN$24,MATCH($A12,GDP_CGE!$A$3:$A$24,0),MATCH(Y$9,GDP_CGE!$A$3:$AN$3,0)),GDP_Simple!AF14)</f>
        <v>342.38501203514005</v>
      </c>
      <c r="Z12">
        <f>IF($C$3="CGE",INDEX(GDP_CGE!$A$3:$AN$24,MATCH($A12,GDP_CGE!$A$3:$A$24,0),MATCH(Z$9,GDP_CGE!$A$3:$AN$3,0)),GDP_Simple!AG14)</f>
        <v>354.0793143178384</v>
      </c>
      <c r="AA12">
        <f>IF($C$3="CGE",INDEX(GDP_CGE!$A$3:$AN$24,MATCH($A12,GDP_CGE!$A$3:$A$24,0),MATCH(AA$9,GDP_CGE!$A$3:$AN$3,0)),GDP_Simple!AH14)</f>
        <v>366.35115157762715</v>
      </c>
      <c r="AB12">
        <f>IF($C$3="CGE",INDEX(GDP_CGE!$A$3:$AN$24,MATCH($A12,GDP_CGE!$A$3:$A$24,0),MATCH(AB$9,GDP_CGE!$A$3:$AN$3,0)),GDP_Simple!AI14)</f>
        <v>379.24301098429203</v>
      </c>
      <c r="AC12">
        <f>IF($C$3="CGE",INDEX(GDP_CGE!$A$3:$AN$24,MATCH($A12,GDP_CGE!$A$3:$A$24,0),MATCH(AC$9,GDP_CGE!$A$3:$AN$3,0)),GDP_Simple!AJ14)</f>
        <v>392.79607252499613</v>
      </c>
      <c r="AD12">
        <f>IF($C$3="CGE",INDEX(GDP_CGE!$A$3:$AN$24,MATCH($A12,GDP_CGE!$A$3:$A$24,0),MATCH(AD$9,GDP_CGE!$A$3:$AN$3,0)),GDP_Simple!AK14)</f>
        <v>406.11651408303169</v>
      </c>
      <c r="AE12">
        <f>IF($C$3="CGE",INDEX(GDP_CGE!$A$3:$AN$24,MATCH($A12,GDP_CGE!$A$3:$A$24,0),MATCH(AE$9,GDP_CGE!$A$3:$AN$3,0)),GDP_Simple!AL14)</f>
        <v>420.10432575928178</v>
      </c>
      <c r="AF12">
        <f>IF($C$3="CGE",INDEX(GDP_CGE!$A$3:$AN$24,MATCH($A12,GDP_CGE!$A$3:$A$24,0),MATCH(AF$9,GDP_CGE!$A$3:$AN$3,0)),GDP_Simple!AM14)</f>
        <v>435.11188631306442</v>
      </c>
      <c r="AG12">
        <f>IF($C$3="CGE",INDEX(GDP_CGE!$A$3:$AN$24,MATCH($A12,GDP_CGE!$A$3:$A$24,0),MATCH(AG$9,GDP_CGE!$A$3:$AN$3,0)),GDP_Simple!AN14)</f>
        <v>451.01824061335759</v>
      </c>
      <c r="AH12">
        <f>IF($C$3="CGE",INDEX(GDP_CGE!$A$3:$AN$24,MATCH($A12,GDP_CGE!$A$3:$A$24,0),MATCH(AH$9,GDP_CGE!$A$3:$AN$3,0)),GDP_Simple!AO14)</f>
        <v>466.69349955009693</v>
      </c>
      <c r="AI12">
        <f>IF($C$3="CGE",INDEX(GDP_CGE!$A$3:$AN$24,MATCH($A12,GDP_CGE!$A$3:$A$24,0),MATCH(AI$9,GDP_CGE!$A$3:$AN$3,0)),GDP_Simple!AP14)</f>
        <v>482.07273192184982</v>
      </c>
      <c r="AJ12">
        <f>IF($C$3="CGE",INDEX(GDP_CGE!$A$3:$AN$24,MATCH($A12,GDP_CGE!$A$3:$A$24,0),MATCH(AJ$9,GDP_CGE!$A$3:$AN$3,0)),GDP_Simple!AQ14)</f>
        <v>497.09023286209873</v>
      </c>
      <c r="AK12">
        <f>IF($C$3="CGE",INDEX(GDP_CGE!$A$3:$AN$24,MATCH($A12,GDP_CGE!$A$3:$A$24,0),MATCH(AK$9,GDP_CGE!$A$3:$AN$3,0)),GDP_Simple!AR14)</f>
        <v>511.67996906850021</v>
      </c>
      <c r="AL12">
        <f>IF($C$3="CGE",INDEX(GDP_CGE!$A$3:$AN$24,MATCH($A12,GDP_CGE!$A$3:$A$24,0),MATCH(AL$9,GDP_CGE!$A$3:$AN$3,0)),GDP_Simple!AS14)</f>
        <v>525.77604326701203</v>
      </c>
      <c r="AM12">
        <f>IF($C$3="CGE",INDEX(GDP_CGE!$A$3:$AN$24,MATCH($A12,GDP_CGE!$A$3:$A$24,0),MATCH(AM$9,GDP_CGE!$A$3:$AN$3,0)),GDP_Simple!AT14)</f>
        <v>539.31317359320883</v>
      </c>
      <c r="AN12">
        <f>IF($C$3="CGE",INDEX(GDP_CGE!$A$3:$AN$24,MATCH($A12,GDP_CGE!$A$3:$A$24,0),MATCH(AN$9,GDP_CGE!$A$3:$AN$3,0)),GDP_Simple!AU14)</f>
        <v>552.22718322713592</v>
      </c>
      <c r="AO12">
        <f>IF($C$3="CGE",INDEX(GDP_CGE!$A$3:$AN$24,MATCH($A12,GDP_CGE!$A$3:$A$24,0),MATCH(AO$9,GDP_CGE!$A$3:$AN$3,0)),GDP_Simple!AV14)</f>
        <v>564.45549532665075</v>
      </c>
      <c r="AP12">
        <f>IF($C$3="CGE",INDEX(GDP_CGE!$A$3:$AN$24,MATCH($A12,GDP_CGE!$A$3:$A$24,0),MATCH(AP$9,GDP_CGE!$A$3:$AN$3,0)),GDP_Simple!AW14)</f>
        <v>575.93762807409212</v>
      </c>
      <c r="AQ12">
        <f>IF($C$3="CGE",INDEX(GDP_CGE!$A$3:$AN$24,MATCH($A12,GDP_CGE!$A$3:$A$24,0),MATCH(AQ$9,GDP_CGE!$A$3:$AN$3,0)),GDP_Simple!AX14)</f>
        <v>586.61568448815979</v>
      </c>
      <c r="AR12">
        <f>IF($C$3="CGE",INDEX(GDP_CGE!$A$3:$AN$24,MATCH($A12,GDP_CGE!$A$3:$A$24,0),MATCH(AR$9,GDP_CGE!$A$3:$AN$3,0)),GDP_Simple!AY14)</f>
        <v>596.4348315619377</v>
      </c>
      <c r="AS12">
        <f>IF($C$3="CGE",INDEX(GDP_CGE!$A$3:$AN$24,MATCH($A12,GDP_CGE!$A$3:$A$24,0),MATCH(AS$9,GDP_CGE!$A$3:$AN$3,0)),GDP_Simple!AZ14)</f>
        <v>605.34376327277187</v>
      </c>
      <c r="AT12">
        <f>IF($C$3="CGE",INDEX(GDP_CGE!$A$3:$AN$24,MATCH($A12,GDP_CGE!$A$3:$A$24,0),MATCH(AT$9,GDP_CGE!$A$3:$AN$3,0)),GDP_Simple!BA14)</f>
        <v>613.29514207268119</v>
      </c>
      <c r="AU12">
        <f>IF($C$3="CGE",INDEX(GDP_CGE!$A$3:$AN$24,MATCH($A12,GDP_CGE!$A$3:$A$24,0),MATCH(AU$9,GDP_CGE!$A$3:$AN$3,0)),GDP_Simple!BB14)</f>
        <v>620.24601361028249</v>
      </c>
      <c r="AV12">
        <f>IF($C$3="CGE",INDEX(GDP_CGE!$A$3:$AN$24,MATCH($A12,GDP_CGE!$A$3:$A$24,0),MATCH(AV$9,GDP_CGE!$A$3:$AN$3,0)),GDP_Simple!BC14)</f>
        <v>626.15818965657195</v>
      </c>
      <c r="AW12">
        <f>IF($C$3="CGE",INDEX(GDP_CGE!$A$3:$AN$24,MATCH($A12,GDP_CGE!$A$3:$A$24,0),MATCH(AW$9,GDP_CGE!$A$3:$AN$3,0)),GDP_Simple!BD14)</f>
        <v>630.99859450563179</v>
      </c>
      <c r="AX12">
        <f>IF($C$3="CGE",INDEX(GDP_CGE!$A$3:$AN$24,MATCH($A12,GDP_CGE!$A$3:$A$24,0),MATCH(AX$9,GDP_CGE!$A$3:$AN$3,0)),GDP_Simple!BE14)</f>
        <v>634.73957049430101</v>
      </c>
      <c r="AY12">
        <f>IF($C$3="CGE",INDEX(GDP_CGE!$A$3:$AN$24,MATCH($A12,GDP_CGE!$A$3:$A$24,0),MATCH(AY$9,GDP_CGE!$A$3:$AN$3,0)),GDP_Simple!BF14)</f>
        <v>637.35913872750837</v>
      </c>
      <c r="AZ12">
        <f>IF($C$3="CGE",INDEX(GDP_CGE!$A$3:$AN$24,MATCH($A12,GDP_CGE!$A$3:$A$24,0),MATCH(AZ$9,GDP_CGE!$A$3:$AN$3,0)),GDP_Simple!BG14)</f>
        <v>638.84121160244638</v>
      </c>
      <c r="BA12">
        <f>IF($C$3="CGE",INDEX(GDP_CGE!$A$3:$AN$24,MATCH($A12,GDP_CGE!$A$3:$A$24,0),MATCH(BA$9,GDP_CGE!$A$3:$AN$3,0)),GDP_Simple!BH14)</f>
        <v>639.17575428790974</v>
      </c>
    </row>
    <row r="13" spans="1:53" x14ac:dyDescent="0.25">
      <c r="A13" s="3" t="s">
        <v>24</v>
      </c>
      <c r="B13">
        <f>IF($C$3="CGE",INDEX(GDP_CGE!$A$3:$AN$24,MATCH($A13,GDP_CGE!$A$3:$A$24,0),MATCH(B$9,GDP_CGE!$A$3:$AN$3,0)),GDP_Simple!I15)</f>
        <v>155.24</v>
      </c>
      <c r="C13">
        <f>IF($C$3="CGE",INDEX(GDP_CGE!$A$3:$AN$24,MATCH($A13,GDP_CGE!$A$3:$A$24,0),MATCH(C$9,GDP_CGE!$A$3:$AN$3,0)),GDP_Simple!J15)</f>
        <v>152.88999999999999</v>
      </c>
      <c r="D13">
        <f>IF($C$3="CGE",INDEX(GDP_CGE!$A$3:$AN$24,MATCH($A13,GDP_CGE!$A$3:$A$24,0),MATCH(D$9,GDP_CGE!$A$3:$AN$3,0)),GDP_Simple!K15)</f>
        <v>149.89510886468165</v>
      </c>
      <c r="E13">
        <f>IF($C$3="CGE",INDEX(GDP_CGE!$A$3:$AN$24,MATCH($A13,GDP_CGE!$A$3:$A$24,0),MATCH(E$9,GDP_CGE!$A$3:$AN$3,0)),GDP_Simple!L15)</f>
        <v>153.05903116134692</v>
      </c>
      <c r="F13">
        <f>IF($C$3="CGE",INDEX(GDP_CGE!$A$3:$AN$24,MATCH($A13,GDP_CGE!$A$3:$A$24,0),MATCH(F$9,GDP_CGE!$A$3:$AN$3,0)),GDP_Simple!M15)</f>
        <v>153.32655627042456</v>
      </c>
      <c r="G13">
        <f>IF($C$3="CGE",INDEX(GDP_CGE!$A$3:$AN$24,MATCH($A13,GDP_CGE!$A$3:$A$24,0),MATCH(G$9,GDP_CGE!$A$3:$AN$3,0)),GDP_Simple!N15)</f>
        <v>154.89162019025139</v>
      </c>
      <c r="H13">
        <f>IF($C$3="CGE",INDEX(GDP_CGE!$A$3:$AN$24,MATCH($A13,GDP_CGE!$A$3:$A$24,0),MATCH(H$9,GDP_CGE!$A$3:$AN$3,0)),GDP_Simple!O15)</f>
        <v>156.56135961246716</v>
      </c>
      <c r="I13">
        <f>IF($C$3="CGE",INDEX(GDP_CGE!$A$3:$AN$24,MATCH($A13,GDP_CGE!$A$3:$A$24,0),MATCH(I$9,GDP_CGE!$A$3:$AN$3,0)),GDP_Simple!P15)</f>
        <v>159.0292585636183</v>
      </c>
      <c r="J13">
        <f>IF($C$3="CGE",INDEX(GDP_CGE!$A$3:$AN$24,MATCH($A13,GDP_CGE!$A$3:$A$24,0),MATCH(J$9,GDP_CGE!$A$3:$AN$3,0)),GDP_Simple!Q15)</f>
        <v>161.81927303587736</v>
      </c>
      <c r="K13">
        <f>IF($C$3="CGE",INDEX(GDP_CGE!$A$3:$AN$24,MATCH($A13,GDP_CGE!$A$3:$A$24,0),MATCH(K$9,GDP_CGE!$A$3:$AN$3,0)),GDP_Simple!R15)</f>
        <v>164.87448014005415</v>
      </c>
      <c r="L13">
        <f>IF($C$3="CGE",INDEX(GDP_CGE!$A$3:$AN$24,MATCH($A13,GDP_CGE!$A$3:$A$24,0),MATCH(L$9,GDP_CGE!$A$3:$AN$3,0)),GDP_Simple!S15)</f>
        <v>168.72421730058949</v>
      </c>
      <c r="M13">
        <f>IF($C$3="CGE",INDEX(GDP_CGE!$A$3:$AN$24,MATCH($A13,GDP_CGE!$A$3:$A$24,0),MATCH(M$9,GDP_CGE!$A$3:$AN$3,0)),GDP_Simple!T15)</f>
        <v>173.40896507001955</v>
      </c>
      <c r="N13">
        <f>IF($C$3="CGE",INDEX(GDP_CGE!$A$3:$AN$24,MATCH($A13,GDP_CGE!$A$3:$A$24,0),MATCH(N$9,GDP_CGE!$A$3:$AN$3,0)),GDP_Simple!U15)</f>
        <v>178.95541697933879</v>
      </c>
      <c r="O13">
        <f>IF($C$3="CGE",INDEX(GDP_CGE!$A$3:$AN$24,MATCH($A13,GDP_CGE!$A$3:$A$24,0),MATCH(O$9,GDP_CGE!$A$3:$AN$3,0)),GDP_Simple!V15)</f>
        <v>184.75085539349249</v>
      </c>
      <c r="P13">
        <f>IF($C$3="CGE",INDEX(GDP_CGE!$A$3:$AN$24,MATCH($A13,GDP_CGE!$A$3:$A$24,0),MATCH(P$9,GDP_CGE!$A$3:$AN$3,0)),GDP_Simple!W15)</f>
        <v>191.05600864487914</v>
      </c>
      <c r="Q13">
        <f>IF($C$3="CGE",INDEX(GDP_CGE!$A$3:$AN$24,MATCH($A13,GDP_CGE!$A$3:$A$24,0),MATCH(Q$9,GDP_CGE!$A$3:$AN$3,0)),GDP_Simple!X15)</f>
        <v>198.12309082173635</v>
      </c>
      <c r="R13">
        <f>IF($C$3="CGE",INDEX(GDP_CGE!$A$3:$AN$24,MATCH($A13,GDP_CGE!$A$3:$A$24,0),MATCH(R$9,GDP_CGE!$A$3:$AN$3,0)),GDP_Simple!Y15)</f>
        <v>205.79924561662574</v>
      </c>
      <c r="S13">
        <f>IF($C$3="CGE",INDEX(GDP_CGE!$A$3:$AN$24,MATCH($A13,GDP_CGE!$A$3:$A$24,0),MATCH(S$9,GDP_CGE!$A$3:$AN$3,0)),GDP_Simple!Z15)</f>
        <v>213.91826391923422</v>
      </c>
      <c r="T13">
        <f>IF($C$3="CGE",INDEX(GDP_CGE!$A$3:$AN$24,MATCH($A13,GDP_CGE!$A$3:$A$24,0),MATCH(T$9,GDP_CGE!$A$3:$AN$3,0)),GDP_Simple!AA15)</f>
        <v>222.43078325058318</v>
      </c>
      <c r="U13">
        <f>IF($C$3="CGE",INDEX(GDP_CGE!$A$3:$AN$24,MATCH($A13,GDP_CGE!$A$3:$A$24,0),MATCH(U$9,GDP_CGE!$A$3:$AN$3,0)),GDP_Simple!AB15)</f>
        <v>231.45082025356473</v>
      </c>
      <c r="V13">
        <f>IF($C$3="CGE",INDEX(GDP_CGE!$A$3:$AN$24,MATCH($A13,GDP_CGE!$A$3:$A$24,0),MATCH(V$9,GDP_CGE!$A$3:$AN$3,0)),GDP_Simple!AC15)</f>
        <v>240.60602473379652</v>
      </c>
      <c r="W13">
        <f>IF($C$3="CGE",INDEX(GDP_CGE!$A$3:$AN$24,MATCH($A13,GDP_CGE!$A$3:$A$24,0),MATCH(W$9,GDP_CGE!$A$3:$AN$3,0)),GDP_Simple!AD15)</f>
        <v>249.79924851910897</v>
      </c>
      <c r="X13">
        <f>IF($C$3="CGE",INDEX(GDP_CGE!$A$3:$AN$24,MATCH($A13,GDP_CGE!$A$3:$A$24,0),MATCH(X$9,GDP_CGE!$A$3:$AN$3,0)),GDP_Simple!AE15)</f>
        <v>259.28271052626644</v>
      </c>
      <c r="Y13">
        <f>IF($C$3="CGE",INDEX(GDP_CGE!$A$3:$AN$24,MATCH($A13,GDP_CGE!$A$3:$A$24,0),MATCH(Y$9,GDP_CGE!$A$3:$AN$3,0)),GDP_Simple!AF15)</f>
        <v>268.62814668587379</v>
      </c>
      <c r="Z13">
        <f>IF($C$3="CGE",INDEX(GDP_CGE!$A$3:$AN$24,MATCH($A13,GDP_CGE!$A$3:$A$24,0),MATCH(Z$9,GDP_CGE!$A$3:$AN$3,0)),GDP_Simple!AG15)</f>
        <v>278.32250635499526</v>
      </c>
      <c r="AA13">
        <f>IF($C$3="CGE",INDEX(GDP_CGE!$A$3:$AN$24,MATCH($A13,GDP_CGE!$A$3:$A$24,0),MATCH(AA$9,GDP_CGE!$A$3:$AN$3,0)),GDP_Simple!AH15)</f>
        <v>288.48705670492302</v>
      </c>
      <c r="AB13">
        <f>IF($C$3="CGE",INDEX(GDP_CGE!$A$3:$AN$24,MATCH($A13,GDP_CGE!$A$3:$A$24,0),MATCH(AB$9,GDP_CGE!$A$3:$AN$3,0)),GDP_Simple!AI15)</f>
        <v>299.16098922830128</v>
      </c>
      <c r="AC13">
        <f>IF($C$3="CGE",INDEX(GDP_CGE!$A$3:$AN$24,MATCH($A13,GDP_CGE!$A$3:$A$24,0),MATCH(AC$9,GDP_CGE!$A$3:$AN$3,0)),GDP_Simple!AJ15)</f>
        <v>310.37355014965215</v>
      </c>
      <c r="AD13">
        <f>IF($C$3="CGE",INDEX(GDP_CGE!$A$3:$AN$24,MATCH($A13,GDP_CGE!$A$3:$A$24,0),MATCH(AD$9,GDP_CGE!$A$3:$AN$3,0)),GDP_Simple!AK15)</f>
        <v>321.39583353365316</v>
      </c>
      <c r="AE13">
        <f>IF($C$3="CGE",INDEX(GDP_CGE!$A$3:$AN$24,MATCH($A13,GDP_CGE!$A$3:$A$24,0),MATCH(AE$9,GDP_CGE!$A$3:$AN$3,0)),GDP_Simple!AL15)</f>
        <v>332.96622859009818</v>
      </c>
      <c r="AF13">
        <f>IF($C$3="CGE",INDEX(GDP_CGE!$A$3:$AN$24,MATCH($A13,GDP_CGE!$A$3:$A$24,0),MATCH(AF$9,GDP_CGE!$A$3:$AN$3,0)),GDP_Simple!AM15)</f>
        <v>345.36853463611919</v>
      </c>
      <c r="AG13">
        <f>IF($C$3="CGE",INDEX(GDP_CGE!$A$3:$AN$24,MATCH($A13,GDP_CGE!$A$3:$A$24,0),MATCH(AG$9,GDP_CGE!$A$3:$AN$3,0)),GDP_Simple!AN15)</f>
        <v>358.50603229683588</v>
      </c>
      <c r="AH13">
        <f>IF($C$3="CGE",INDEX(GDP_CGE!$A$3:$AN$24,MATCH($A13,GDP_CGE!$A$3:$A$24,0),MATCH(AH$9,GDP_CGE!$A$3:$AN$3,0)),GDP_Simple!AO15)</f>
        <v>371.45300834958601</v>
      </c>
      <c r="AI13">
        <f>IF($C$3="CGE",INDEX(GDP_CGE!$A$3:$AN$24,MATCH($A13,GDP_CGE!$A$3:$A$24,0),MATCH(AI$9,GDP_CGE!$A$3:$AN$3,0)),GDP_Simple!AP15)</f>
        <v>384.15634190330559</v>
      </c>
      <c r="AJ13">
        <f>IF($C$3="CGE",INDEX(GDP_CGE!$A$3:$AN$24,MATCH($A13,GDP_CGE!$A$3:$A$24,0),MATCH(AJ$9,GDP_CGE!$A$3:$AN$3,0)),GDP_Simple!AQ15)</f>
        <v>396.56230596020259</v>
      </c>
      <c r="AK13">
        <f>IF($C$3="CGE",INDEX(GDP_CGE!$A$3:$AN$24,MATCH($A13,GDP_CGE!$A$3:$A$24,0),MATCH(AK$9,GDP_CGE!$A$3:$AN$3,0)),GDP_Simple!AR15)</f>
        <v>408.616904653912</v>
      </c>
      <c r="AL13">
        <f>IF($C$3="CGE",INDEX(GDP_CGE!$A$3:$AN$24,MATCH($A13,GDP_CGE!$A$3:$A$24,0),MATCH(AL$9,GDP_CGE!$A$3:$AN$3,0)),GDP_Simple!AS15)</f>
        <v>420.26625317254434</v>
      </c>
      <c r="AM13">
        <f>IF($C$3="CGE",INDEX(GDP_CGE!$A$3:$AN$24,MATCH($A13,GDP_CGE!$A$3:$A$24,0),MATCH(AM$9,GDP_CGE!$A$3:$AN$3,0)),GDP_Simple!AT15)</f>
        <v>431.45696988360572</v>
      </c>
      <c r="AN13">
        <f>IF($C$3="CGE",INDEX(GDP_CGE!$A$3:$AN$24,MATCH($A13,GDP_CGE!$A$3:$A$24,0),MATCH(AN$9,GDP_CGE!$A$3:$AN$3,0)),GDP_Simple!AU15)</f>
        <v>442.1365768460326</v>
      </c>
      <c r="AO13">
        <f>IF($C$3="CGE",INDEX(GDP_CGE!$A$3:$AN$24,MATCH($A13,GDP_CGE!$A$3:$A$24,0),MATCH(AO$9,GDP_CGE!$A$3:$AN$3,0)),GDP_Simple!AV15)</f>
        <v>452.2539046562319</v>
      </c>
      <c r="AP13">
        <f>IF($C$3="CGE",INDEX(GDP_CGE!$A$3:$AN$24,MATCH($A13,GDP_CGE!$A$3:$A$24,0),MATCH(AP$9,GDP_CGE!$A$3:$AN$3,0)),GDP_Simple!AW15)</f>
        <v>461.75949738679077</v>
      </c>
      <c r="AQ13">
        <f>IF($C$3="CGE",INDEX(GDP_CGE!$A$3:$AN$24,MATCH($A13,GDP_CGE!$A$3:$A$24,0),MATCH(AQ$9,GDP_CGE!$A$3:$AN$3,0)),GDP_Simple!AX15)</f>
        <v>470.60601324322437</v>
      </c>
      <c r="AR13">
        <f>IF($C$3="CGE",INDEX(GDP_CGE!$A$3:$AN$24,MATCH($A13,GDP_CGE!$A$3:$A$24,0),MATCH(AR$9,GDP_CGE!$A$3:$AN$3,0)),GDP_Simple!AY15)</f>
        <v>478.7486164897378</v>
      </c>
      <c r="AS13">
        <f>IF($C$3="CGE",INDEX(GDP_CGE!$A$3:$AN$24,MATCH($A13,GDP_CGE!$A$3:$A$24,0),MATCH(AS$9,GDP_CGE!$A$3:$AN$3,0)),GDP_Simple!AZ15)</f>
        <v>486.14535618252467</v>
      </c>
      <c r="AT13">
        <f>IF($C$3="CGE",INDEX(GDP_CGE!$A$3:$AN$24,MATCH($A13,GDP_CGE!$A$3:$A$24,0),MATCH(AT$9,GDP_CGE!$A$3:$AN$3,0)),GDP_Simple!BA15)</f>
        <v>492.75752730063232</v>
      </c>
      <c r="AU13">
        <f>IF($C$3="CGE",INDEX(GDP_CGE!$A$3:$AN$24,MATCH($A13,GDP_CGE!$A$3:$A$24,0),MATCH(AU$9,GDP_CGE!$A$3:$AN$3,0)),GDP_Simple!BB15)</f>
        <v>498.55000998082255</v>
      </c>
      <c r="AV13">
        <f>IF($C$3="CGE",INDEX(GDP_CGE!$A$3:$AN$24,MATCH($A13,GDP_CGE!$A$3:$A$24,0),MATCH(AV$9,GDP_CGE!$A$3:$AN$3,0)),GDP_Simple!BC15)</f>
        <v>503.49158274392465</v>
      </c>
      <c r="AW13">
        <f>IF($C$3="CGE",INDEX(GDP_CGE!$A$3:$AN$24,MATCH($A13,GDP_CGE!$A$3:$A$24,0),MATCH(AW$9,GDP_CGE!$A$3:$AN$3,0)),GDP_Simple!BD15)</f>
        <v>507.55520584453268</v>
      </c>
      <c r="AX13">
        <f>IF($C$3="CGE",INDEX(GDP_CGE!$A$3:$AN$24,MATCH($A13,GDP_CGE!$A$3:$A$24,0),MATCH(AX$9,GDP_CGE!$A$3:$AN$3,0)),GDP_Simple!BE15)</f>
        <v>510.71827118097099</v>
      </c>
      <c r="AY13">
        <f>IF($C$3="CGE",INDEX(GDP_CGE!$A$3:$AN$24,MATCH($A13,GDP_CGE!$A$3:$A$24,0),MATCH(AY$9,GDP_CGE!$A$3:$AN$3,0)),GDP_Simple!BF15)</f>
        <v>512.96281556454733</v>
      </c>
      <c r="AZ13">
        <f>IF($C$3="CGE",INDEX(GDP_CGE!$A$3:$AN$24,MATCH($A13,GDP_CGE!$A$3:$A$24,0),MATCH(AZ$9,GDP_CGE!$A$3:$AN$3,0)),GDP_Simple!BG15)</f>
        <v>514.27569456139031</v>
      </c>
      <c r="BA13">
        <f>IF($C$3="CGE",INDEX(GDP_CGE!$A$3:$AN$24,MATCH($A13,GDP_CGE!$A$3:$A$24,0),MATCH(BA$9,GDP_CGE!$A$3:$AN$3,0)),GDP_Simple!BH15)</f>
        <v>514.64871458081916</v>
      </c>
    </row>
    <row r="14" spans="1:53" x14ac:dyDescent="0.25">
      <c r="A14" s="3" t="s">
        <v>25</v>
      </c>
      <c r="B14">
        <f>IF($C$3="CGE",INDEX(GDP_CGE!$A$3:$AN$24,MATCH($A14,GDP_CGE!$A$3:$A$24,0),MATCH(B$9,GDP_CGE!$A$3:$AN$3,0)),GDP_Simple!I16)</f>
        <v>366.87</v>
      </c>
      <c r="C14">
        <f>IF($C$3="CGE",INDEX(GDP_CGE!$A$3:$AN$24,MATCH($A14,GDP_CGE!$A$3:$A$24,0),MATCH(C$9,GDP_CGE!$A$3:$AN$3,0)),GDP_Simple!J16)</f>
        <v>340.31</v>
      </c>
      <c r="D14">
        <f>IF($C$3="CGE",INDEX(GDP_CGE!$A$3:$AN$24,MATCH($A14,GDP_CGE!$A$3:$A$24,0),MATCH(D$9,GDP_CGE!$A$3:$AN$3,0)),GDP_Simple!K16)</f>
        <v>354.2387180442268</v>
      </c>
      <c r="E14">
        <f>IF($C$3="CGE",INDEX(GDP_CGE!$A$3:$AN$24,MATCH($A14,GDP_CGE!$A$3:$A$24,0),MATCH(E$9,GDP_CGE!$A$3:$AN$3,0)),GDP_Simple!L16)</f>
        <v>361.71583845763558</v>
      </c>
      <c r="F14">
        <f>IF($C$3="CGE",INDEX(GDP_CGE!$A$3:$AN$24,MATCH($A14,GDP_CGE!$A$3:$A$24,0),MATCH(F$9,GDP_CGE!$A$3:$AN$3,0)),GDP_Simple!M16)</f>
        <v>362.34806556899423</v>
      </c>
      <c r="G14">
        <f>IF($C$3="CGE",INDEX(GDP_CGE!$A$3:$AN$24,MATCH($A14,GDP_CGE!$A$3:$A$24,0),MATCH(G$9,GDP_CGE!$A$3:$AN$3,0)),GDP_Simple!N16)</f>
        <v>366.04669350165892</v>
      </c>
      <c r="H14">
        <f>IF($C$3="CGE",INDEX(GDP_CGE!$A$3:$AN$24,MATCH($A14,GDP_CGE!$A$3:$A$24,0),MATCH(H$9,GDP_CGE!$A$3:$AN$3,0)),GDP_Simple!O16)</f>
        <v>369.99269518826225</v>
      </c>
      <c r="I14">
        <f>IF($C$3="CGE",INDEX(GDP_CGE!$A$3:$AN$24,MATCH($A14,GDP_CGE!$A$3:$A$24,0),MATCH(I$9,GDP_CGE!$A$3:$AN$3,0)),GDP_Simple!P16)</f>
        <v>375.82494260006865</v>
      </c>
      <c r="J14">
        <f>IF($C$3="CGE",INDEX(GDP_CGE!$A$3:$AN$24,MATCH($A14,GDP_CGE!$A$3:$A$24,0),MATCH(J$9,GDP_CGE!$A$3:$AN$3,0)),GDP_Simple!Q16)</f>
        <v>382.41842758742808</v>
      </c>
      <c r="K14">
        <f>IF($C$3="CGE",INDEX(GDP_CGE!$A$3:$AN$24,MATCH($A14,GDP_CGE!$A$3:$A$24,0),MATCH(K$9,GDP_CGE!$A$3:$AN$3,0)),GDP_Simple!R16)</f>
        <v>389.63862747347122</v>
      </c>
      <c r="L14">
        <f>IF($C$3="CGE",INDEX(GDP_CGE!$A$3:$AN$24,MATCH($A14,GDP_CGE!$A$3:$A$24,0),MATCH(L$9,GDP_CGE!$A$3:$AN$3,0)),GDP_Simple!S16)</f>
        <v>398.73649575539338</v>
      </c>
      <c r="M14">
        <f>IF($C$3="CGE",INDEX(GDP_CGE!$A$3:$AN$24,MATCH($A14,GDP_CGE!$A$3:$A$24,0),MATCH(M$9,GDP_CGE!$A$3:$AN$3,0)),GDP_Simple!T16)</f>
        <v>409.80769785646794</v>
      </c>
      <c r="N14">
        <f>IF($C$3="CGE",INDEX(GDP_CGE!$A$3:$AN$24,MATCH($A14,GDP_CGE!$A$3:$A$24,0),MATCH(N$9,GDP_CGE!$A$3:$AN$3,0)),GDP_Simple!U16)</f>
        <v>422.91531710390387</v>
      </c>
      <c r="O14">
        <f>IF($C$3="CGE",INDEX(GDP_CGE!$A$3:$AN$24,MATCH($A14,GDP_CGE!$A$3:$A$24,0),MATCH(O$9,GDP_CGE!$A$3:$AN$3,0)),GDP_Simple!V16)</f>
        <v>436.61135221728028</v>
      </c>
      <c r="P14">
        <f>IF($C$3="CGE",INDEX(GDP_CGE!$A$3:$AN$24,MATCH($A14,GDP_CGE!$A$3:$A$24,0),MATCH(P$9,GDP_CGE!$A$3:$AN$3,0)),GDP_Simple!W16)</f>
        <v>451.51196786618669</v>
      </c>
      <c r="Q14">
        <f>IF($C$3="CGE",INDEX(GDP_CGE!$A$3:$AN$24,MATCH($A14,GDP_CGE!$A$3:$A$24,0),MATCH(Q$9,GDP_CGE!$A$3:$AN$3,0)),GDP_Simple!X16)</f>
        <v>468.21320748370539</v>
      </c>
      <c r="R14">
        <f>IF($C$3="CGE",INDEX(GDP_CGE!$A$3:$AN$24,MATCH($A14,GDP_CGE!$A$3:$A$24,0),MATCH(R$9,GDP_CGE!$A$3:$AN$3,0)),GDP_Simple!Y16)</f>
        <v>486.35383431700268</v>
      </c>
      <c r="S14">
        <f>IF($C$3="CGE",INDEX(GDP_CGE!$A$3:$AN$24,MATCH($A14,GDP_CGE!$A$3:$A$24,0),MATCH(S$9,GDP_CGE!$A$3:$AN$3,0)),GDP_Simple!Z16)</f>
        <v>505.541055681844</v>
      </c>
      <c r="T14">
        <f>IF($C$3="CGE",INDEX(GDP_CGE!$A$3:$AN$24,MATCH($A14,GDP_CGE!$A$3:$A$24,0),MATCH(T$9,GDP_CGE!$A$3:$AN$3,0)),GDP_Simple!AA16)</f>
        <v>525.65821599550031</v>
      </c>
      <c r="U14">
        <f>IF($C$3="CGE",INDEX(GDP_CGE!$A$3:$AN$24,MATCH($A14,GDP_CGE!$A$3:$A$24,0),MATCH(U$9,GDP_CGE!$A$3:$AN$3,0)),GDP_Simple!AB16)</f>
        <v>546.97476440624382</v>
      </c>
      <c r="V14">
        <f>IF($C$3="CGE",INDEX(GDP_CGE!$A$3:$AN$24,MATCH($A14,GDP_CGE!$A$3:$A$24,0),MATCH(V$9,GDP_CGE!$A$3:$AN$3,0)),GDP_Simple!AC16)</f>
        <v>568.61074654784807</v>
      </c>
      <c r="W14">
        <f>IF($C$3="CGE",INDEX(GDP_CGE!$A$3:$AN$24,MATCH($A14,GDP_CGE!$A$3:$A$24,0),MATCH(W$9,GDP_CGE!$A$3:$AN$3,0)),GDP_Simple!AD16)</f>
        <v>590.33657758442098</v>
      </c>
      <c r="X14">
        <f>IF($C$3="CGE",INDEX(GDP_CGE!$A$3:$AN$24,MATCH($A14,GDP_CGE!$A$3:$A$24,0),MATCH(X$9,GDP_CGE!$A$3:$AN$3,0)),GDP_Simple!AE16)</f>
        <v>612.74831236003206</v>
      </c>
      <c r="Y14">
        <f>IF($C$3="CGE",INDEX(GDP_CGE!$A$3:$AN$24,MATCH($A14,GDP_CGE!$A$3:$A$24,0),MATCH(Y$9,GDP_CGE!$A$3:$AN$3,0)),GDP_Simple!AF16)</f>
        <v>634.83385837829496</v>
      </c>
      <c r="Z14">
        <f>IF($C$3="CGE",INDEX(GDP_CGE!$A$3:$AN$24,MATCH($A14,GDP_CGE!$A$3:$A$24,0),MATCH(Z$9,GDP_CGE!$A$3:$AN$3,0)),GDP_Simple!AG16)</f>
        <v>657.74399579011276</v>
      </c>
      <c r="AA14">
        <f>IF($C$3="CGE",INDEX(GDP_CGE!$A$3:$AN$24,MATCH($A14,GDP_CGE!$A$3:$A$24,0),MATCH(AA$9,GDP_CGE!$A$3:$AN$3,0)),GDP_Simple!AH16)</f>
        <v>681.76530851156349</v>
      </c>
      <c r="AB14">
        <f>IF($C$3="CGE",INDEX(GDP_CGE!$A$3:$AN$24,MATCH($A14,GDP_CGE!$A$3:$A$24,0),MATCH(AB$9,GDP_CGE!$A$3:$AN$3,0)),GDP_Simple!AI16)</f>
        <v>706.99041560285298</v>
      </c>
      <c r="AC14">
        <f>IF($C$3="CGE",INDEX(GDP_CGE!$A$3:$AN$24,MATCH($A14,GDP_CGE!$A$3:$A$24,0),MATCH(AC$9,GDP_CGE!$A$3:$AN$3,0)),GDP_Simple!AJ16)</f>
        <v>733.48843302887724</v>
      </c>
      <c r="AD14">
        <f>IF($C$3="CGE",INDEX(GDP_CGE!$A$3:$AN$24,MATCH($A14,GDP_CGE!$A$3:$A$24,0),MATCH(AD$9,GDP_CGE!$A$3:$AN$3,0)),GDP_Simple!AK16)</f>
        <v>759.53677820465953</v>
      </c>
      <c r="AE14">
        <f>IF($C$3="CGE",INDEX(GDP_CGE!$A$3:$AN$24,MATCH($A14,GDP_CGE!$A$3:$A$24,0),MATCH(AE$9,GDP_CGE!$A$3:$AN$3,0)),GDP_Simple!AL16)</f>
        <v>786.88044500675937</v>
      </c>
      <c r="AF14">
        <f>IF($C$3="CGE",INDEX(GDP_CGE!$A$3:$AN$24,MATCH($A14,GDP_CGE!$A$3:$A$24,0),MATCH(AF$9,GDP_CGE!$A$3:$AN$3,0)),GDP_Simple!AM16)</f>
        <v>816.19012047122555</v>
      </c>
      <c r="AG14">
        <f>IF($C$3="CGE",INDEX(GDP_CGE!$A$3:$AN$24,MATCH($A14,GDP_CGE!$A$3:$A$24,0),MATCH(AG$9,GDP_CGE!$A$3:$AN$3,0)),GDP_Simple!AN16)</f>
        <v>847.23723311479125</v>
      </c>
      <c r="AH14">
        <f>IF($C$3="CGE",INDEX(GDP_CGE!$A$3:$AN$24,MATCH($A14,GDP_CGE!$A$3:$A$24,0),MATCH(AH$9,GDP_CGE!$A$3:$AN$3,0)),GDP_Simple!AO16)</f>
        <v>877.83409670969229</v>
      </c>
      <c r="AI14">
        <f>IF($C$3="CGE",INDEX(GDP_CGE!$A$3:$AN$24,MATCH($A14,GDP_CGE!$A$3:$A$24,0),MATCH(AI$9,GDP_CGE!$A$3:$AN$3,0)),GDP_Simple!AP16)</f>
        <v>907.85517362835446</v>
      </c>
      <c r="AJ14">
        <f>IF($C$3="CGE",INDEX(GDP_CGE!$A$3:$AN$24,MATCH($A14,GDP_CGE!$A$3:$A$24,0),MATCH(AJ$9,GDP_CGE!$A$3:$AN$3,0)),GDP_Simple!AQ16)</f>
        <v>937.17349386510909</v>
      </c>
      <c r="AK14">
        <f>IF($C$3="CGE",INDEX(GDP_CGE!$A$3:$AN$24,MATCH($A14,GDP_CGE!$A$3:$A$24,0),MATCH(AK$9,GDP_CGE!$A$3:$AN$3,0)),GDP_Simple!AR16)</f>
        <v>965.66145201224367</v>
      </c>
      <c r="AL14">
        <f>IF($C$3="CGE",INDEX(GDP_CGE!$A$3:$AN$24,MATCH($A14,GDP_CGE!$A$3:$A$24,0),MATCH(AL$9,GDP_CGE!$A$3:$AN$3,0)),GDP_Simple!AS16)</f>
        <v>993.19170511086941</v>
      </c>
      <c r="AM14">
        <f>IF($C$3="CGE",INDEX(GDP_CGE!$A$3:$AN$24,MATCH($A14,GDP_CGE!$A$3:$A$24,0),MATCH(AM$9,GDP_CGE!$A$3:$AN$3,0)),GDP_Simple!AT16)</f>
        <v>1019.6380993377895</v>
      </c>
      <c r="AN14">
        <f>IF($C$3="CGE",INDEX(GDP_CGE!$A$3:$AN$24,MATCH($A14,GDP_CGE!$A$3:$A$24,0),MATCH(AN$9,GDP_CGE!$A$3:$AN$3,0)),GDP_Simple!AU16)</f>
        <v>1044.8766165131667</v>
      </c>
      <c r="AO14">
        <f>IF($C$3="CGE",INDEX(GDP_CGE!$A$3:$AN$24,MATCH($A14,GDP_CGE!$A$3:$A$24,0),MATCH(AO$9,GDP_CGE!$A$3:$AN$3,0)),GDP_Simple!AV16)</f>
        <v>1068.7863308505011</v>
      </c>
      <c r="AP14">
        <f>IF($C$3="CGE",INDEX(GDP_CGE!$A$3:$AN$24,MATCH($A14,GDP_CGE!$A$3:$A$24,0),MATCH(AP$9,GDP_CGE!$A$3:$AN$3,0)),GDP_Simple!AW16)</f>
        <v>1091.2503659256115</v>
      </c>
      <c r="AQ14">
        <f>IF($C$3="CGE",INDEX(GDP_CGE!$A$3:$AN$24,MATCH($A14,GDP_CGE!$A$3:$A$24,0),MATCH(AQ$9,GDP_CGE!$A$3:$AN$3,0)),GDP_Simple!AX16)</f>
        <v>1112.156841526293</v>
      </c>
      <c r="AR14">
        <f>IF($C$3="CGE",INDEX(GDP_CGE!$A$3:$AN$24,MATCH($A14,GDP_CGE!$A$3:$A$24,0),MATCH(AR$9,GDP_CGE!$A$3:$AN$3,0)),GDP_Simple!AY16)</f>
        <v>1131.399799868527</v>
      </c>
      <c r="AS14">
        <f>IF($C$3="CGE",INDEX(GDP_CGE!$A$3:$AN$24,MATCH($A14,GDP_CGE!$A$3:$A$24,0),MATCH(AS$9,GDP_CGE!$A$3:$AN$3,0)),GDP_Simple!AZ16)</f>
        <v>1148.8801006356791</v>
      </c>
      <c r="AT14">
        <f>IF($C$3="CGE",INDEX(GDP_CGE!$A$3:$AN$24,MATCH($A14,GDP_CGE!$A$3:$A$24,0),MATCH(AT$9,GDP_CGE!$A$3:$AN$3,0)),GDP_Simple!BA16)</f>
        <v>1164.5062744188547</v>
      </c>
      <c r="AU14">
        <f>IF($C$3="CGE",INDEX(GDP_CGE!$A$3:$AN$24,MATCH($A14,GDP_CGE!$A$3:$A$24,0),MATCH(AU$9,GDP_CGE!$A$3:$AN$3,0)),GDP_Simple!BB16)</f>
        <v>1178.1953244116489</v>
      </c>
      <c r="AV14">
        <f>IF($C$3="CGE",INDEX(GDP_CGE!$A$3:$AN$24,MATCH($A14,GDP_CGE!$A$3:$A$24,0),MATCH(AV$9,GDP_CGE!$A$3:$AN$3,0)),GDP_Simple!BC16)</f>
        <v>1189.8734666404512</v>
      </c>
      <c r="AW14">
        <f>IF($C$3="CGE",INDEX(GDP_CGE!$A$3:$AN$24,MATCH($A14,GDP_CGE!$A$3:$A$24,0),MATCH(AW$9,GDP_CGE!$A$3:$AN$3,0)),GDP_Simple!BD16)</f>
        <v>1199.4767995889185</v>
      </c>
      <c r="AX14">
        <f>IF($C$3="CGE",INDEX(GDP_CGE!$A$3:$AN$24,MATCH($A14,GDP_CGE!$A$3:$A$24,0),MATCH(AX$9,GDP_CGE!$A$3:$AN$3,0)),GDP_Simple!BE16)</f>
        <v>1206.9518947962049</v>
      </c>
      <c r="AY14">
        <f>IF($C$3="CGE",INDEX(GDP_CGE!$A$3:$AN$24,MATCH($A14,GDP_CGE!$A$3:$A$24,0),MATCH(AY$9,GDP_CGE!$A$3:$AN$3,0)),GDP_Simple!BF16)</f>
        <v>1212.2563008642458</v>
      </c>
      <c r="AZ14">
        <f>IF($C$3="CGE",INDEX(GDP_CGE!$A$3:$AN$24,MATCH($A14,GDP_CGE!$A$3:$A$24,0),MATCH(AZ$9,GDP_CGE!$A$3:$AN$3,0)),GDP_Simple!BG16)</f>
        <v>1215.358954288439</v>
      </c>
      <c r="BA14">
        <f>IF($C$3="CGE",INDEX(GDP_CGE!$A$3:$AN$24,MATCH($A14,GDP_CGE!$A$3:$A$24,0),MATCH(BA$9,GDP_CGE!$A$3:$AN$3,0)),GDP_Simple!BH16)</f>
        <v>1216.2404916146943</v>
      </c>
    </row>
    <row r="15" spans="1:53" x14ac:dyDescent="0.25">
      <c r="A15" s="3" t="s">
        <v>26</v>
      </c>
      <c r="B15">
        <f>IF($C$3="CGE",INDEX(GDP_CGE!$A$3:$AN$24,MATCH($A15,GDP_CGE!$A$3:$A$24,0),MATCH(B$9,GDP_CGE!$A$3:$AN$3,0)),GDP_Simple!I17)</f>
        <v>24.03</v>
      </c>
      <c r="C15">
        <f>IF($C$3="CGE",INDEX(GDP_CGE!$A$3:$AN$24,MATCH($A15,GDP_CGE!$A$3:$A$24,0),MATCH(C$9,GDP_CGE!$A$3:$AN$3,0)),GDP_Simple!J17)</f>
        <v>22.95</v>
      </c>
      <c r="D15">
        <f>IF($C$3="CGE",INDEX(GDP_CGE!$A$3:$AN$24,MATCH($A15,GDP_CGE!$A$3:$A$24,0),MATCH(D$9,GDP_CGE!$A$3:$AN$3,0)),GDP_Simple!K17)</f>
        <v>23.202650515448983</v>
      </c>
      <c r="E15">
        <f>IF($C$3="CGE",INDEX(GDP_CGE!$A$3:$AN$24,MATCH($A15,GDP_CGE!$A$3:$A$24,0),MATCH(E$9,GDP_CGE!$A$3:$AN$3,0)),GDP_Simple!L17)</f>
        <v>23.692402208239926</v>
      </c>
      <c r="F15">
        <f>IF($C$3="CGE",INDEX(GDP_CGE!$A$3:$AN$24,MATCH($A15,GDP_CGE!$A$3:$A$24,0),MATCH(F$9,GDP_CGE!$A$3:$AN$3,0)),GDP_Simple!M17)</f>
        <v>23.733813109883421</v>
      </c>
      <c r="G15">
        <f>IF($C$3="CGE",INDEX(GDP_CGE!$A$3:$AN$24,MATCH($A15,GDP_CGE!$A$3:$A$24,0),MATCH(G$9,GDP_CGE!$A$3:$AN$3,0)),GDP_Simple!N17)</f>
        <v>23.976073390696605</v>
      </c>
      <c r="H15">
        <f>IF($C$3="CGE",INDEX(GDP_CGE!$A$3:$AN$24,MATCH($A15,GDP_CGE!$A$3:$A$24,0),MATCH(H$9,GDP_CGE!$A$3:$AN$3,0)),GDP_Simple!O17)</f>
        <v>24.234536662506997</v>
      </c>
      <c r="I15">
        <f>IF($C$3="CGE",INDEX(GDP_CGE!$A$3:$AN$24,MATCH($A15,GDP_CGE!$A$3:$A$24,0),MATCH(I$9,GDP_CGE!$A$3:$AN$3,0)),GDP_Simple!P17)</f>
        <v>24.616549106440015</v>
      </c>
      <c r="J15">
        <f>IF($C$3="CGE",INDEX(GDP_CGE!$A$3:$AN$24,MATCH($A15,GDP_CGE!$A$3:$A$24,0),MATCH(J$9,GDP_CGE!$A$3:$AN$3,0)),GDP_Simple!Q17)</f>
        <v>25.048422642696039</v>
      </c>
      <c r="K15">
        <f>IF($C$3="CGE",INDEX(GDP_CGE!$A$3:$AN$24,MATCH($A15,GDP_CGE!$A$3:$A$24,0),MATCH(K$9,GDP_CGE!$A$3:$AN$3,0)),GDP_Simple!R17)</f>
        <v>25.521346030439972</v>
      </c>
      <c r="L15">
        <f>IF($C$3="CGE",INDEX(GDP_CGE!$A$3:$AN$24,MATCH($A15,GDP_CGE!$A$3:$A$24,0),MATCH(L$9,GDP_CGE!$A$3:$AN$3,0)),GDP_Simple!S17)</f>
        <v>26.117256774885117</v>
      </c>
      <c r="M15">
        <f>IF($C$3="CGE",INDEX(GDP_CGE!$A$3:$AN$24,MATCH($A15,GDP_CGE!$A$3:$A$24,0),MATCH(M$9,GDP_CGE!$A$3:$AN$3,0)),GDP_Simple!T17)</f>
        <v>26.842420965167289</v>
      </c>
      <c r="N15">
        <f>IF($C$3="CGE",INDEX(GDP_CGE!$A$3:$AN$24,MATCH($A15,GDP_CGE!$A$3:$A$24,0),MATCH(N$9,GDP_CGE!$A$3:$AN$3,0)),GDP_Simple!U17)</f>
        <v>27.700970561797934</v>
      </c>
      <c r="O15">
        <f>IF($C$3="CGE",INDEX(GDP_CGE!$A$3:$AN$24,MATCH($A15,GDP_CGE!$A$3:$A$24,0),MATCH(O$9,GDP_CGE!$A$3:$AN$3,0)),GDP_Simple!V17)</f>
        <v>28.598061421705903</v>
      </c>
      <c r="P15">
        <f>IF($C$3="CGE",INDEX(GDP_CGE!$A$3:$AN$24,MATCH($A15,GDP_CGE!$A$3:$A$24,0),MATCH(P$9,GDP_CGE!$A$3:$AN$3,0)),GDP_Simple!W17)</f>
        <v>29.574052355942065</v>
      </c>
      <c r="Q15">
        <f>IF($C$3="CGE",INDEX(GDP_CGE!$A$3:$AN$24,MATCH($A15,GDP_CGE!$A$3:$A$24,0),MATCH(Q$9,GDP_CGE!$A$3:$AN$3,0)),GDP_Simple!X17)</f>
        <v>30.667984233743397</v>
      </c>
      <c r="R15">
        <f>IF($C$3="CGE",INDEX(GDP_CGE!$A$3:$AN$24,MATCH($A15,GDP_CGE!$A$3:$A$24,0),MATCH(R$9,GDP_CGE!$A$3:$AN$3,0)),GDP_Simple!Y17)</f>
        <v>31.856196033029612</v>
      </c>
      <c r="S15">
        <f>IF($C$3="CGE",INDEX(GDP_CGE!$A$3:$AN$24,MATCH($A15,GDP_CGE!$A$3:$A$24,0),MATCH(S$9,GDP_CGE!$A$3:$AN$3,0)),GDP_Simple!Z17)</f>
        <v>33.112959816923464</v>
      </c>
      <c r="T15">
        <f>IF($C$3="CGE",INDEX(GDP_CGE!$A$3:$AN$24,MATCH($A15,GDP_CGE!$A$3:$A$24,0),MATCH(T$9,GDP_CGE!$A$3:$AN$3,0)),GDP_Simple!AA17)</f>
        <v>34.430634639986565</v>
      </c>
      <c r="U15">
        <f>IF($C$3="CGE",INDEX(GDP_CGE!$A$3:$AN$24,MATCH($A15,GDP_CGE!$A$3:$A$24,0),MATCH(U$9,GDP_CGE!$A$3:$AN$3,0)),GDP_Simple!AB17)</f>
        <v>35.826869432447566</v>
      </c>
      <c r="V15">
        <f>IF($C$3="CGE",INDEX(GDP_CGE!$A$3:$AN$24,MATCH($A15,GDP_CGE!$A$3:$A$24,0),MATCH(V$9,GDP_CGE!$A$3:$AN$3,0)),GDP_Simple!AC17)</f>
        <v>37.244027147340439</v>
      </c>
      <c r="W15">
        <f>IF($C$3="CGE",INDEX(GDP_CGE!$A$3:$AN$24,MATCH($A15,GDP_CGE!$A$3:$A$24,0),MATCH(W$9,GDP_CGE!$A$3:$AN$3,0)),GDP_Simple!AD17)</f>
        <v>38.667069968527365</v>
      </c>
      <c r="X15">
        <f>IF($C$3="CGE",INDEX(GDP_CGE!$A$3:$AN$24,MATCH($A15,GDP_CGE!$A$3:$A$24,0),MATCH(X$9,GDP_CGE!$A$3:$AN$3,0)),GDP_Simple!AE17)</f>
        <v>40.135039512665436</v>
      </c>
      <c r="Y15">
        <f>IF($C$3="CGE",INDEX(GDP_CGE!$A$3:$AN$24,MATCH($A15,GDP_CGE!$A$3:$A$24,0),MATCH(Y$9,GDP_CGE!$A$3:$AN$3,0)),GDP_Simple!AF17)</f>
        <v>41.58164367986052</v>
      </c>
      <c r="Z15">
        <f>IF($C$3="CGE",INDEX(GDP_CGE!$A$3:$AN$24,MATCH($A15,GDP_CGE!$A$3:$A$24,0),MATCH(Z$9,GDP_CGE!$A$3:$AN$3,0)),GDP_Simple!AG17)</f>
        <v>43.082258617048026</v>
      </c>
      <c r="AA15">
        <f>IF($C$3="CGE",INDEX(GDP_CGE!$A$3:$AN$24,MATCH($A15,GDP_CGE!$A$3:$A$24,0),MATCH(AA$9,GDP_CGE!$A$3:$AN$3,0)),GDP_Simple!AH17)</f>
        <v>44.655655582448468</v>
      </c>
      <c r="AB15">
        <f>IF($C$3="CGE",INDEX(GDP_CGE!$A$3:$AN$24,MATCH($A15,GDP_CGE!$A$3:$A$24,0),MATCH(AB$9,GDP_CGE!$A$3:$AN$3,0)),GDP_Simple!AI17)</f>
        <v>46.307901128292194</v>
      </c>
      <c r="AC15">
        <f>IF($C$3="CGE",INDEX(GDP_CGE!$A$3:$AN$24,MATCH($A15,GDP_CGE!$A$3:$A$24,0),MATCH(AC$9,GDP_CGE!$A$3:$AN$3,0)),GDP_Simple!AJ17)</f>
        <v>48.043522353105779</v>
      </c>
      <c r="AD15">
        <f>IF($C$3="CGE",INDEX(GDP_CGE!$A$3:$AN$24,MATCH($A15,GDP_CGE!$A$3:$A$24,0),MATCH(AD$9,GDP_CGE!$A$3:$AN$3,0)),GDP_Simple!AK17)</f>
        <v>49.749690027143039</v>
      </c>
      <c r="AE15">
        <f>IF($C$3="CGE",INDEX(GDP_CGE!$A$3:$AN$24,MATCH($A15,GDP_CGE!$A$3:$A$24,0),MATCH(AE$9,GDP_CGE!$A$3:$AN$3,0)),GDP_Simple!AL17)</f>
        <v>51.540701320665157</v>
      </c>
      <c r="AF15">
        <f>IF($C$3="CGE",INDEX(GDP_CGE!$A$3:$AN$24,MATCH($A15,GDP_CGE!$A$3:$A$24,0),MATCH(AF$9,GDP_CGE!$A$3:$AN$3,0)),GDP_Simple!AM17)</f>
        <v>53.460486261955317</v>
      </c>
      <c r="AG15">
        <f>IF($C$3="CGE",INDEX(GDP_CGE!$A$3:$AN$24,MATCH($A15,GDP_CGE!$A$3:$A$24,0),MATCH(AG$9,GDP_CGE!$A$3:$AN$3,0)),GDP_Simple!AN17)</f>
        <v>55.49407340951408</v>
      </c>
      <c r="AH15">
        <f>IF($C$3="CGE",INDEX(GDP_CGE!$A$3:$AN$24,MATCH($A15,GDP_CGE!$A$3:$A$24,0),MATCH(AH$9,GDP_CGE!$A$3:$AN$3,0)),GDP_Simple!AO17)</f>
        <v>57.498169225976241</v>
      </c>
      <c r="AI15">
        <f>IF($C$3="CGE",INDEX(GDP_CGE!$A$3:$AN$24,MATCH($A15,GDP_CGE!$A$3:$A$24,0),MATCH(AI$9,GDP_CGE!$A$3:$AN$3,0)),GDP_Simple!AP17)</f>
        <v>59.464550991602898</v>
      </c>
      <c r="AJ15">
        <f>IF($C$3="CGE",INDEX(GDP_CGE!$A$3:$AN$24,MATCH($A15,GDP_CGE!$A$3:$A$24,0),MATCH(AJ$9,GDP_CGE!$A$3:$AN$3,0)),GDP_Simple!AQ17)</f>
        <v>61.384902165831406</v>
      </c>
      <c r="AK15">
        <f>IF($C$3="CGE",INDEX(GDP_CGE!$A$3:$AN$24,MATCH($A15,GDP_CGE!$A$3:$A$24,0),MATCH(AK$9,GDP_CGE!$A$3:$AN$3,0)),GDP_Simple!AR17)</f>
        <v>63.250864589239271</v>
      </c>
      <c r="AL15">
        <f>IF($C$3="CGE",INDEX(GDP_CGE!$A$3:$AN$24,MATCH($A15,GDP_CGE!$A$3:$A$24,0),MATCH(AL$9,GDP_CGE!$A$3:$AN$3,0)),GDP_Simple!AS17)</f>
        <v>65.054097292812685</v>
      </c>
      <c r="AM15">
        <f>IF($C$3="CGE",INDEX(GDP_CGE!$A$3:$AN$24,MATCH($A15,GDP_CGE!$A$3:$A$24,0),MATCH(AM$9,GDP_CGE!$A$3:$AN$3,0)),GDP_Simple!AT17)</f>
        <v>66.786337195974269</v>
      </c>
      <c r="AN15">
        <f>IF($C$3="CGE",INDEX(GDP_CGE!$A$3:$AN$24,MATCH($A15,GDP_CGE!$A$3:$A$24,0),MATCH(AN$9,GDP_CGE!$A$3:$AN$3,0)),GDP_Simple!AU17)</f>
        <v>68.43946110287402</v>
      </c>
      <c r="AO15">
        <f>IF($C$3="CGE",INDEX(GDP_CGE!$A$3:$AN$24,MATCH($A15,GDP_CGE!$A$3:$A$24,0),MATCH(AO$9,GDP_CGE!$A$3:$AN$3,0)),GDP_Simple!AV17)</f>
        <v>70.005548369552002</v>
      </c>
      <c r="AP15">
        <f>IF($C$3="CGE",INDEX(GDP_CGE!$A$3:$AN$24,MATCH($A15,GDP_CGE!$A$3:$A$24,0),MATCH(AP$9,GDP_CGE!$A$3:$AN$3,0)),GDP_Simple!AW17)</f>
        <v>71.476943585445639</v>
      </c>
      <c r="AQ15">
        <f>IF($C$3="CGE",INDEX(GDP_CGE!$A$3:$AN$24,MATCH($A15,GDP_CGE!$A$3:$A$24,0),MATCH(AQ$9,GDP_CGE!$A$3:$AN$3,0)),GDP_Simple!AX17)</f>
        <v>72.846318592081175</v>
      </c>
      <c r="AR15">
        <f>IF($C$3="CGE",INDEX(GDP_CGE!$A$3:$AN$24,MATCH($A15,GDP_CGE!$A$3:$A$24,0),MATCH(AR$9,GDP_CGE!$A$3:$AN$3,0)),GDP_Simple!AY17)</f>
        <v>74.106733150273129</v>
      </c>
      <c r="AS15">
        <f>IF($C$3="CGE",INDEX(GDP_CGE!$A$3:$AN$24,MATCH($A15,GDP_CGE!$A$3:$A$24,0),MATCH(AS$9,GDP_CGE!$A$3:$AN$3,0)),GDP_Simple!AZ17)</f>
        <v>75.251693565228464</v>
      </c>
      <c r="AT15">
        <f>IF($C$3="CGE",INDEX(GDP_CGE!$A$3:$AN$24,MATCH($A15,GDP_CGE!$A$3:$A$24,0),MATCH(AT$9,GDP_CGE!$A$3:$AN$3,0)),GDP_Simple!BA17)</f>
        <v>76.275208586924734</v>
      </c>
      <c r="AU15">
        <f>IF($C$3="CGE",INDEX(GDP_CGE!$A$3:$AN$24,MATCH($A15,GDP_CGE!$A$3:$A$24,0),MATCH(AU$9,GDP_CGE!$A$3:$AN$3,0)),GDP_Simple!BB17)</f>
        <v>77.171841921148967</v>
      </c>
      <c r="AV15">
        <f>IF($C$3="CGE",INDEX(GDP_CGE!$A$3:$AN$24,MATCH($A15,GDP_CGE!$A$3:$A$24,0),MATCH(AV$9,GDP_CGE!$A$3:$AN$3,0)),GDP_Simple!BC17)</f>
        <v>77.936760714612916</v>
      </c>
      <c r="AW15">
        <f>IF($C$3="CGE",INDEX(GDP_CGE!$A$3:$AN$24,MATCH($A15,GDP_CGE!$A$3:$A$24,0),MATCH(AW$9,GDP_CGE!$A$3:$AN$3,0)),GDP_Simple!BD17)</f>
        <v>78.565779415383403</v>
      </c>
      <c r="AX15">
        <f>IF($C$3="CGE",INDEX(GDP_CGE!$A$3:$AN$24,MATCH($A15,GDP_CGE!$A$3:$A$24,0),MATCH(AX$9,GDP_CGE!$A$3:$AN$3,0)),GDP_Simple!BE17)</f>
        <v>79.055398457090519</v>
      </c>
      <c r="AY15">
        <f>IF($C$3="CGE",INDEX(GDP_CGE!$A$3:$AN$24,MATCH($A15,GDP_CGE!$A$3:$A$24,0),MATCH(AY$9,GDP_CGE!$A$3:$AN$3,0)),GDP_Simple!BF17)</f>
        <v>79.402837271425355</v>
      </c>
      <c r="AZ15">
        <f>IF($C$3="CGE",INDEX(GDP_CGE!$A$3:$AN$24,MATCH($A15,GDP_CGE!$A$3:$A$24,0),MATCH(AZ$9,GDP_CGE!$A$3:$AN$3,0)),GDP_Simple!BG17)</f>
        <v>79.606061197566405</v>
      </c>
      <c r="BA15">
        <f>IF($C$3="CGE",INDEX(GDP_CGE!$A$3:$AN$24,MATCH($A15,GDP_CGE!$A$3:$A$24,0),MATCH(BA$9,GDP_CGE!$A$3:$AN$3,0)),GDP_Simple!BH17)</f>
        <v>79.663801928479032</v>
      </c>
    </row>
    <row r="16" spans="1:53" x14ac:dyDescent="0.25">
      <c r="A16" s="3" t="s">
        <v>27</v>
      </c>
      <c r="B16">
        <f>IF($C$3="CGE",INDEX(GDP_CGE!$A$3:$AN$24,MATCH($A16,GDP_CGE!$A$3:$A$24,0),MATCH(B$9,GDP_CGE!$A$3:$AN$3,0)),GDP_Simple!I18)</f>
        <v>78.849999999999994</v>
      </c>
      <c r="C16">
        <f>IF($C$3="CGE",INDEX(GDP_CGE!$A$3:$AN$24,MATCH($A16,GDP_CGE!$A$3:$A$24,0),MATCH(C$9,GDP_CGE!$A$3:$AN$3,0)),GDP_Simple!J18)</f>
        <v>77.7</v>
      </c>
      <c r="D16">
        <f>IF($C$3="CGE",INDEX(GDP_CGE!$A$3:$AN$24,MATCH($A16,GDP_CGE!$A$3:$A$24,0),MATCH(D$9,GDP_CGE!$A$3:$AN$3,0)),GDP_Simple!K18)</f>
        <v>76.135205707164062</v>
      </c>
      <c r="E16">
        <f>IF($C$3="CGE",INDEX(GDP_CGE!$A$3:$AN$24,MATCH($A16,GDP_CGE!$A$3:$A$24,0),MATCH(E$9,GDP_CGE!$A$3:$AN$3,0)),GDP_Simple!L18)</f>
        <v>77.742235294203837</v>
      </c>
      <c r="F16">
        <f>IF($C$3="CGE",INDEX(GDP_CGE!$A$3:$AN$24,MATCH($A16,GDP_CGE!$A$3:$A$24,0),MATCH(F$9,GDP_CGE!$A$3:$AN$3,0)),GDP_Simple!M18)</f>
        <v>77.878117507877974</v>
      </c>
      <c r="G16">
        <f>IF($C$3="CGE",INDEX(GDP_CGE!$A$3:$AN$24,MATCH($A16,GDP_CGE!$A$3:$A$24,0),MATCH(G$9,GDP_CGE!$A$3:$AN$3,0)),GDP_Simple!N18)</f>
        <v>78.673049806759352</v>
      </c>
      <c r="H16">
        <f>IF($C$3="CGE",INDEX(GDP_CGE!$A$3:$AN$24,MATCH($A16,GDP_CGE!$A$3:$A$24,0),MATCH(H$9,GDP_CGE!$A$3:$AN$3,0)),GDP_Simple!O18)</f>
        <v>79.521149223415577</v>
      </c>
      <c r="I16">
        <f>IF($C$3="CGE",INDEX(GDP_CGE!$A$3:$AN$24,MATCH($A16,GDP_CGE!$A$3:$A$24,0),MATCH(I$9,GDP_CGE!$A$3:$AN$3,0)),GDP_Simple!P18)</f>
        <v>80.774652394623189</v>
      </c>
      <c r="J16">
        <f>IF($C$3="CGE",INDEX(GDP_CGE!$A$3:$AN$24,MATCH($A16,GDP_CGE!$A$3:$A$24,0),MATCH(J$9,GDP_CGE!$A$3:$AN$3,0)),GDP_Simple!Q18)</f>
        <v>82.191765517127862</v>
      </c>
      <c r="K16">
        <f>IF($C$3="CGE",INDEX(GDP_CGE!$A$3:$AN$24,MATCH($A16,GDP_CGE!$A$3:$A$24,0),MATCH(K$9,GDP_CGE!$A$3:$AN$3,0)),GDP_Simple!R18)</f>
        <v>83.743576134007142</v>
      </c>
      <c r="L16">
        <f>IF($C$3="CGE",INDEX(GDP_CGE!$A$3:$AN$24,MATCH($A16,GDP_CGE!$A$3:$A$24,0),MATCH(L$9,GDP_CGE!$A$3:$AN$3,0)),GDP_Simple!S18)</f>
        <v>85.698947012055399</v>
      </c>
      <c r="M16">
        <f>IF($C$3="CGE",INDEX(GDP_CGE!$A$3:$AN$24,MATCH($A16,GDP_CGE!$A$3:$A$24,0),MATCH(M$9,GDP_CGE!$A$3:$AN$3,0)),GDP_Simple!T18)</f>
        <v>88.078439163688742</v>
      </c>
      <c r="N16">
        <f>IF($C$3="CGE",INDEX(GDP_CGE!$A$3:$AN$24,MATCH($A16,GDP_CGE!$A$3:$A$24,0),MATCH(N$9,GDP_CGE!$A$3:$AN$3,0)),GDP_Simple!U18)</f>
        <v>90.895610853007369</v>
      </c>
      <c r="O16">
        <f>IF($C$3="CGE",INDEX(GDP_CGE!$A$3:$AN$24,MATCH($A16,GDP_CGE!$A$3:$A$24,0),MATCH(O$9,GDP_CGE!$A$3:$AN$3,0)),GDP_Simple!V18)</f>
        <v>93.83924856851894</v>
      </c>
      <c r="P16">
        <f>IF($C$3="CGE",INDEX(GDP_CGE!$A$3:$AN$24,MATCH($A16,GDP_CGE!$A$3:$A$24,0),MATCH(P$9,GDP_CGE!$A$3:$AN$3,0)),GDP_Simple!W18)</f>
        <v>97.041782283230617</v>
      </c>
      <c r="Q16">
        <f>IF($C$3="CGE",INDEX(GDP_CGE!$A$3:$AN$24,MATCH($A16,GDP_CGE!$A$3:$A$24,0),MATCH(Q$9,GDP_CGE!$A$3:$AN$3,0)),GDP_Simple!X18)</f>
        <v>100.63131738787627</v>
      </c>
      <c r="R16">
        <f>IF($C$3="CGE",INDEX(GDP_CGE!$A$3:$AN$24,MATCH($A16,GDP_CGE!$A$3:$A$24,0),MATCH(R$9,GDP_CGE!$A$3:$AN$3,0)),GDP_Simple!Y18)</f>
        <v>104.53021461524696</v>
      </c>
      <c r="S16">
        <f>IF($C$3="CGE",INDEX(GDP_CGE!$A$3:$AN$24,MATCH($A16,GDP_CGE!$A$3:$A$24,0),MATCH(S$9,GDP_CGE!$A$3:$AN$3,0)),GDP_Simple!Z18)</f>
        <v>108.65405249955951</v>
      </c>
      <c r="T16">
        <f>IF($C$3="CGE",INDEX(GDP_CGE!$A$3:$AN$24,MATCH($A16,GDP_CGE!$A$3:$A$24,0),MATCH(T$9,GDP_CGE!$A$3:$AN$3,0)),GDP_Simple!AA18)</f>
        <v>112.97775869175781</v>
      </c>
      <c r="U16">
        <f>IF($C$3="CGE",INDEX(GDP_CGE!$A$3:$AN$24,MATCH($A16,GDP_CGE!$A$3:$A$24,0),MATCH(U$9,GDP_CGE!$A$3:$AN$3,0)),GDP_Simple!AB18)</f>
        <v>117.5592448917391</v>
      </c>
      <c r="V16">
        <f>IF($C$3="CGE",INDEX(GDP_CGE!$A$3:$AN$24,MATCH($A16,GDP_CGE!$A$3:$A$24,0),MATCH(V$9,GDP_CGE!$A$3:$AN$3,0)),GDP_Simple!AC18)</f>
        <v>122.2093857914188</v>
      </c>
      <c r="W16">
        <f>IF($C$3="CGE",INDEX(GDP_CGE!$A$3:$AN$24,MATCH($A16,GDP_CGE!$A$3:$A$24,0),MATCH(W$9,GDP_CGE!$A$3:$AN$3,0)),GDP_Simple!AD18)</f>
        <v>126.87883757879246</v>
      </c>
      <c r="X16">
        <f>IF($C$3="CGE",INDEX(GDP_CGE!$A$3:$AN$24,MATCH($A16,GDP_CGE!$A$3:$A$24,0),MATCH(X$9,GDP_CGE!$A$3:$AN$3,0)),GDP_Simple!AE18)</f>
        <v>131.69570809711485</v>
      </c>
      <c r="Y16">
        <f>IF($C$3="CGE",INDEX(GDP_CGE!$A$3:$AN$24,MATCH($A16,GDP_CGE!$A$3:$A$24,0),MATCH(Y$9,GDP_CGE!$A$3:$AN$3,0)),GDP_Simple!AF18)</f>
        <v>136.44247208310452</v>
      </c>
      <c r="Z16">
        <f>IF($C$3="CGE",INDEX(GDP_CGE!$A$3:$AN$24,MATCH($A16,GDP_CGE!$A$3:$A$24,0),MATCH(Z$9,GDP_CGE!$A$3:$AN$3,0)),GDP_Simple!AG18)</f>
        <v>141.3664624200681</v>
      </c>
      <c r="AA16">
        <f>IF($C$3="CGE",INDEX(GDP_CGE!$A$3:$AN$24,MATCH($A16,GDP_CGE!$A$3:$A$24,0),MATCH(AA$9,GDP_CGE!$A$3:$AN$3,0)),GDP_Simple!AH18)</f>
        <v>146.52927351960307</v>
      </c>
      <c r="AB16">
        <f>IF($C$3="CGE",INDEX(GDP_CGE!$A$3:$AN$24,MATCH($A16,GDP_CGE!$A$3:$A$24,0),MATCH(AB$9,GDP_CGE!$A$3:$AN$3,0)),GDP_Simple!AI18)</f>
        <v>151.95081165067995</v>
      </c>
      <c r="AC16">
        <f>IF($C$3="CGE",INDEX(GDP_CGE!$A$3:$AN$24,MATCH($A16,GDP_CGE!$A$3:$A$24,0),MATCH(AC$9,GDP_CGE!$A$3:$AN$3,0)),GDP_Simple!AJ18)</f>
        <v>157.64593164970415</v>
      </c>
      <c r="AD16">
        <f>IF($C$3="CGE",INDEX(GDP_CGE!$A$3:$AN$24,MATCH($A16,GDP_CGE!$A$3:$A$24,0),MATCH(AD$9,GDP_CGE!$A$3:$AN$3,0)),GDP_Simple!AK18)</f>
        <v>163.24440527008858</v>
      </c>
      <c r="AE16">
        <f>IF($C$3="CGE",INDEX(GDP_CGE!$A$3:$AN$24,MATCH($A16,GDP_CGE!$A$3:$A$24,0),MATCH(AE$9,GDP_CGE!$A$3:$AN$3,0)),GDP_Simple!AL18)</f>
        <v>169.12127753368486</v>
      </c>
      <c r="AF16">
        <f>IF($C$3="CGE",INDEX(GDP_CGE!$A$3:$AN$24,MATCH($A16,GDP_CGE!$A$3:$A$24,0),MATCH(AF$9,GDP_CGE!$A$3:$AN$3,0)),GDP_Simple!AM18)</f>
        <v>175.42069670225453</v>
      </c>
      <c r="AG16">
        <f>IF($C$3="CGE",INDEX(GDP_CGE!$A$3:$AN$24,MATCH($A16,GDP_CGE!$A$3:$A$24,0),MATCH(AG$9,GDP_CGE!$A$3:$AN$3,0)),GDP_Simple!AN18)</f>
        <v>182.09353675989118</v>
      </c>
      <c r="AH16">
        <f>IF($C$3="CGE",INDEX(GDP_CGE!$A$3:$AN$24,MATCH($A16,GDP_CGE!$A$3:$A$24,0),MATCH(AH$9,GDP_CGE!$A$3:$AN$3,0)),GDP_Simple!AO18)</f>
        <v>188.66960646975556</v>
      </c>
      <c r="AI16">
        <f>IF($C$3="CGE",INDEX(GDP_CGE!$A$3:$AN$24,MATCH($A16,GDP_CGE!$A$3:$A$24,0),MATCH(AI$9,GDP_CGE!$A$3:$AN$3,0)),GDP_Simple!AP18)</f>
        <v>195.12192449803945</v>
      </c>
      <c r="AJ16">
        <f>IF($C$3="CGE",INDEX(GDP_CGE!$A$3:$AN$24,MATCH($A16,GDP_CGE!$A$3:$A$24,0),MATCH(AJ$9,GDP_CGE!$A$3:$AN$3,0)),GDP_Simple!AQ18)</f>
        <v>201.42320165525618</v>
      </c>
      <c r="AK16">
        <f>IF($C$3="CGE",INDEX(GDP_CGE!$A$3:$AN$24,MATCH($A16,GDP_CGE!$A$3:$A$24,0),MATCH(AK$9,GDP_CGE!$A$3:$AN$3,0)),GDP_Simple!AR18)</f>
        <v>207.54601218732901</v>
      </c>
      <c r="AL16">
        <f>IF($C$3="CGE",INDEX(GDP_CGE!$A$3:$AN$24,MATCH($A16,GDP_CGE!$A$3:$A$24,0),MATCH(AL$9,GDP_CGE!$A$3:$AN$3,0)),GDP_Simple!AS18)</f>
        <v>213.46298674732751</v>
      </c>
      <c r="AM16">
        <f>IF($C$3="CGE",INDEX(GDP_CGE!$A$3:$AN$24,MATCH($A16,GDP_CGE!$A$3:$A$24,0),MATCH(AM$9,GDP_CGE!$A$3:$AN$3,0)),GDP_Simple!AT18)</f>
        <v>219.14701156481777</v>
      </c>
      <c r="AN16">
        <f>IF($C$3="CGE",INDEX(GDP_CGE!$A$3:$AN$24,MATCH($A16,GDP_CGE!$A$3:$A$24,0),MATCH(AN$9,GDP_CGE!$A$3:$AN$3,0)),GDP_Simple!AU18)</f>
        <v>224.57143187522334</v>
      </c>
      <c r="AO16">
        <f>IF($C$3="CGE",INDEX(GDP_CGE!$A$3:$AN$24,MATCH($A16,GDP_CGE!$A$3:$A$24,0),MATCH(AO$9,GDP_CGE!$A$3:$AN$3,0)),GDP_Simple!AV18)</f>
        <v>229.71025755052744</v>
      </c>
      <c r="AP16">
        <f>IF($C$3="CGE",INDEX(GDP_CGE!$A$3:$AN$24,MATCH($A16,GDP_CGE!$A$3:$A$24,0),MATCH(AP$9,GDP_CGE!$A$3:$AN$3,0)),GDP_Simple!AW18)</f>
        <v>234.53836877704489</v>
      </c>
      <c r="AQ16">
        <f>IF($C$3="CGE",INDEX(GDP_CGE!$A$3:$AN$24,MATCH($A16,GDP_CGE!$A$3:$A$24,0),MATCH(AQ$9,GDP_CGE!$A$3:$AN$3,0)),GDP_Simple!AX18)</f>
        <v>239.03171955828549</v>
      </c>
      <c r="AR16">
        <f>IF($C$3="CGE",INDEX(GDP_CGE!$A$3:$AN$24,MATCH($A16,GDP_CGE!$A$3:$A$24,0),MATCH(AR$9,GDP_CGE!$A$3:$AN$3,0)),GDP_Simple!AY18)</f>
        <v>243.16753678314754</v>
      </c>
      <c r="AS16">
        <f>IF($C$3="CGE",INDEX(GDP_CGE!$A$3:$AN$24,MATCH($A16,GDP_CGE!$A$3:$A$24,0),MATCH(AS$9,GDP_CGE!$A$3:$AN$3,0)),GDP_Simple!AZ18)</f>
        <v>246.92451259335266</v>
      </c>
      <c r="AT16">
        <f>IF($C$3="CGE",INDEX(GDP_CGE!$A$3:$AN$24,MATCH($A16,GDP_CGE!$A$3:$A$24,0),MATCH(AT$9,GDP_CGE!$A$3:$AN$3,0)),GDP_Simple!BA18)</f>
        <v>250.2829878101962</v>
      </c>
      <c r="AU16">
        <f>IF($C$3="CGE",INDEX(GDP_CGE!$A$3:$AN$24,MATCH($A16,GDP_CGE!$A$3:$A$24,0),MATCH(AU$9,GDP_CGE!$A$3:$AN$3,0)),GDP_Simple!BB18)</f>
        <v>253.22512423980839</v>
      </c>
      <c r="AV16">
        <f>IF($C$3="CGE",INDEX(GDP_CGE!$A$3:$AN$24,MATCH($A16,GDP_CGE!$A$3:$A$24,0),MATCH(AV$9,GDP_CGE!$A$3:$AN$3,0)),GDP_Simple!BC18)</f>
        <v>255.73506376809107</v>
      </c>
      <c r="AW16">
        <f>IF($C$3="CGE",INDEX(GDP_CGE!$A$3:$AN$24,MATCH($A16,GDP_CGE!$A$3:$A$24,0),MATCH(AW$9,GDP_CGE!$A$3:$AN$3,0)),GDP_Simple!BD18)</f>
        <v>257.79907228060677</v>
      </c>
      <c r="AX16">
        <f>IF($C$3="CGE",INDEX(GDP_CGE!$A$3:$AN$24,MATCH($A16,GDP_CGE!$A$3:$A$24,0),MATCH(AX$9,GDP_CGE!$A$3:$AN$3,0)),GDP_Simple!BE18)</f>
        <v>259.40566659765238</v>
      </c>
      <c r="AY16">
        <f>IF($C$3="CGE",INDEX(GDP_CGE!$A$3:$AN$24,MATCH($A16,GDP_CGE!$A$3:$A$24,0),MATCH(AY$9,GDP_CGE!$A$3:$AN$3,0)),GDP_Simple!BF18)</f>
        <v>260.54572279866369</v>
      </c>
      <c r="AZ16">
        <f>IF($C$3="CGE",INDEX(GDP_CGE!$A$3:$AN$24,MATCH($A16,GDP_CGE!$A$3:$A$24,0),MATCH(AZ$9,GDP_CGE!$A$3:$AN$3,0)),GDP_Simple!BG18)</f>
        <v>261.21256452052063</v>
      </c>
      <c r="BA16">
        <f>IF($C$3="CGE",INDEX(GDP_CGE!$A$3:$AN$24,MATCH($A16,GDP_CGE!$A$3:$A$24,0),MATCH(BA$9,GDP_CGE!$A$3:$AN$3,0)),GDP_Simple!BH18)</f>
        <v>261.40203004829675</v>
      </c>
    </row>
    <row r="17" spans="1:53" x14ac:dyDescent="0.25">
      <c r="A17" s="3" t="s">
        <v>28</v>
      </c>
      <c r="B17">
        <f>IF($C$3="CGE",INDEX(GDP_CGE!$A$3:$AN$24,MATCH($A17,GDP_CGE!$A$3:$A$24,0),MATCH(B$9,GDP_CGE!$A$3:$AN$3,0)),GDP_Simple!I19)</f>
        <v>17.63</v>
      </c>
      <c r="C17">
        <f>IF($C$3="CGE",INDEX(GDP_CGE!$A$3:$AN$24,MATCH($A17,GDP_CGE!$A$3:$A$24,0),MATCH(C$9,GDP_CGE!$A$3:$AN$3,0)),GDP_Simple!J19)</f>
        <v>16.46</v>
      </c>
      <c r="D17">
        <f>IF($C$3="CGE",INDEX(GDP_CGE!$A$3:$AN$24,MATCH($A17,GDP_CGE!$A$3:$A$24,0),MATCH(D$9,GDP_CGE!$A$3:$AN$3,0)),GDP_Simple!K19)</f>
        <v>17.023001605799649</v>
      </c>
      <c r="E17">
        <f>IF($C$3="CGE",INDEX(GDP_CGE!$A$3:$AN$24,MATCH($A17,GDP_CGE!$A$3:$A$24,0),MATCH(E$9,GDP_CGE!$A$3:$AN$3,0)),GDP_Simple!L19)</f>
        <v>17.382315893935495</v>
      </c>
      <c r="F17">
        <f>IF($C$3="CGE",INDEX(GDP_CGE!$A$3:$AN$24,MATCH($A17,GDP_CGE!$A$3:$A$24,0),MATCH(F$9,GDP_CGE!$A$3:$AN$3,0)),GDP_Simple!M19)</f>
        <v>17.412697674874938</v>
      </c>
      <c r="G17">
        <f>IF($C$3="CGE",INDEX(GDP_CGE!$A$3:$AN$24,MATCH($A17,GDP_CGE!$A$3:$A$24,0),MATCH(G$9,GDP_CGE!$A$3:$AN$3,0)),GDP_Simple!N19)</f>
        <v>17.590435866749111</v>
      </c>
      <c r="H17">
        <f>IF($C$3="CGE",INDEX(GDP_CGE!$A$3:$AN$24,MATCH($A17,GDP_CGE!$A$3:$A$24,0),MATCH(H$9,GDP_CGE!$A$3:$AN$3,0)),GDP_Simple!O19)</f>
        <v>17.780061646275421</v>
      </c>
      <c r="I17">
        <f>IF($C$3="CGE",INDEX(GDP_CGE!$A$3:$AN$24,MATCH($A17,GDP_CGE!$A$3:$A$24,0),MATCH(I$9,GDP_CGE!$A$3:$AN$3,0)),GDP_Simple!P19)</f>
        <v>18.060331283667811</v>
      </c>
      <c r="J17">
        <f>IF($C$3="CGE",INDEX(GDP_CGE!$A$3:$AN$24,MATCH($A17,GDP_CGE!$A$3:$A$24,0),MATCH(J$9,GDP_CGE!$A$3:$AN$3,0)),GDP_Simple!Q19)</f>
        <v>18.377182321711658</v>
      </c>
      <c r="K17">
        <f>IF($C$3="CGE",INDEX(GDP_CGE!$A$3:$AN$24,MATCH($A17,GDP_CGE!$A$3:$A$24,0),MATCH(K$9,GDP_CGE!$A$3:$AN$3,0)),GDP_Simple!R19)</f>
        <v>18.724150250381051</v>
      </c>
      <c r="L17">
        <f>IF($C$3="CGE",INDEX(GDP_CGE!$A$3:$AN$24,MATCH($A17,GDP_CGE!$A$3:$A$24,0),MATCH(L$9,GDP_CGE!$A$3:$AN$3,0)),GDP_Simple!S19)</f>
        <v>19.161349851902813</v>
      </c>
      <c r="M17">
        <f>IF($C$3="CGE",INDEX(GDP_CGE!$A$3:$AN$24,MATCH($A17,GDP_CGE!$A$3:$A$24,0),MATCH(M$9,GDP_CGE!$A$3:$AN$3,0)),GDP_Simple!T19)</f>
        <v>19.693378344398639</v>
      </c>
      <c r="N17">
        <f>IF($C$3="CGE",INDEX(GDP_CGE!$A$3:$AN$24,MATCH($A17,GDP_CGE!$A$3:$A$24,0),MATCH(N$9,GDP_CGE!$A$3:$AN$3,0)),GDP_Simple!U19)</f>
        <v>20.32326720784426</v>
      </c>
      <c r="O17">
        <f>IF($C$3="CGE",INDEX(GDP_CGE!$A$3:$AN$24,MATCH($A17,GDP_CGE!$A$3:$A$24,0),MATCH(O$9,GDP_CGE!$A$3:$AN$3,0)),GDP_Simple!V19)</f>
        <v>20.981432495408864</v>
      </c>
      <c r="P17">
        <f>IF($C$3="CGE",INDEX(GDP_CGE!$A$3:$AN$24,MATCH($A17,GDP_CGE!$A$3:$A$24,0),MATCH(P$9,GDP_CGE!$A$3:$AN$3,0)),GDP_Simple!W19)</f>
        <v>21.697484104671602</v>
      </c>
      <c r="Q17">
        <f>IF($C$3="CGE",INDEX(GDP_CGE!$A$3:$AN$24,MATCH($A17,GDP_CGE!$A$3:$A$24,0),MATCH(Q$9,GDP_CGE!$A$3:$AN$3,0)),GDP_Simple!X19)</f>
        <v>22.500065003782609</v>
      </c>
      <c r="R17">
        <f>IF($C$3="CGE",INDEX(GDP_CGE!$A$3:$AN$24,MATCH($A17,GDP_CGE!$A$3:$A$24,0),MATCH(R$9,GDP_CGE!$A$3:$AN$3,0)),GDP_Simple!Y19)</f>
        <v>23.371815899388764</v>
      </c>
      <c r="S17">
        <f>IF($C$3="CGE",INDEX(GDP_CGE!$A$3:$AN$24,MATCH($A17,GDP_CGE!$A$3:$A$24,0),MATCH(S$9,GDP_CGE!$A$3:$AN$3,0)),GDP_Simple!Z19)</f>
        <v>24.293861072507724</v>
      </c>
      <c r="T17">
        <f>IF($C$3="CGE",INDEX(GDP_CGE!$A$3:$AN$24,MATCH($A17,GDP_CGE!$A$3:$A$24,0),MATCH(T$9,GDP_CGE!$A$3:$AN$3,0)),GDP_Simple!AA19)</f>
        <v>25.260594619349277</v>
      </c>
      <c r="U17">
        <f>IF($C$3="CGE",INDEX(GDP_CGE!$A$3:$AN$24,MATCH($A17,GDP_CGE!$A$3:$A$24,0),MATCH(U$9,GDP_CGE!$A$3:$AN$3,0)),GDP_Simple!AB19)</f>
        <v>26.284964964379967</v>
      </c>
      <c r="V17">
        <f>IF($C$3="CGE",INDEX(GDP_CGE!$A$3:$AN$24,MATCH($A17,GDP_CGE!$A$3:$A$24,0),MATCH(V$9,GDP_CGE!$A$3:$AN$3,0)),GDP_Simple!AC19)</f>
        <v>27.324685751461171</v>
      </c>
      <c r="W17">
        <f>IF($C$3="CGE",INDEX(GDP_CGE!$A$3:$AN$24,MATCH($A17,GDP_CGE!$A$3:$A$24,0),MATCH(W$9,GDP_CGE!$A$3:$AN$3,0)),GDP_Simple!AD19)</f>
        <v>28.368724242411048</v>
      </c>
      <c r="X17">
        <f>IF($C$3="CGE",INDEX(GDP_CGE!$A$3:$AN$24,MATCH($A17,GDP_CGE!$A$3:$A$24,0),MATCH(X$9,GDP_CGE!$A$3:$AN$3,0)),GDP_Simple!AE19)</f>
        <v>29.445723953736646</v>
      </c>
      <c r="Y17">
        <f>IF($C$3="CGE",INDEX(GDP_CGE!$A$3:$AN$24,MATCH($A17,GDP_CGE!$A$3:$A$24,0),MATCH(Y$9,GDP_CGE!$A$3:$AN$3,0)),GDP_Simple!AF19)</f>
        <v>30.507048609069535</v>
      </c>
      <c r="Z17">
        <f>IF($C$3="CGE",INDEX(GDP_CGE!$A$3:$AN$24,MATCH($A17,GDP_CGE!$A$3:$A$24,0),MATCH(Z$9,GDP_CGE!$A$3:$AN$3,0)),GDP_Simple!AG19)</f>
        <v>31.607999143510472</v>
      </c>
      <c r="AA17">
        <f>IF($C$3="CGE",INDEX(GDP_CGE!$A$3:$AN$24,MATCH($A17,GDP_CGE!$A$3:$A$24,0),MATCH(AA$9,GDP_CGE!$A$3:$AN$3,0)),GDP_Simple!AH19)</f>
        <v>32.762347395695649</v>
      </c>
      <c r="AB17">
        <f>IF($C$3="CGE",INDEX(GDP_CGE!$A$3:$AN$24,MATCH($A17,GDP_CGE!$A$3:$A$24,0),MATCH(AB$9,GDP_CGE!$A$3:$AN$3,0)),GDP_Simple!AI19)</f>
        <v>33.974544190253489</v>
      </c>
      <c r="AC17">
        <f>IF($C$3="CGE",INDEX(GDP_CGE!$A$3:$AN$24,MATCH($A17,GDP_CGE!$A$3:$A$24,0),MATCH(AC$9,GDP_CGE!$A$3:$AN$3,0)),GDP_Simple!AJ19)</f>
        <v>35.247910906585723</v>
      </c>
      <c r="AD17">
        <f>IF($C$3="CGE",INDEX(GDP_CGE!$A$3:$AN$24,MATCH($A17,GDP_CGE!$A$3:$A$24,0),MATCH(AD$9,GDP_CGE!$A$3:$AN$3,0)),GDP_Simple!AK19)</f>
        <v>36.49966854675538</v>
      </c>
      <c r="AE17">
        <f>IF($C$3="CGE",INDEX(GDP_CGE!$A$3:$AN$24,MATCH($A17,GDP_CGE!$A$3:$A$24,0),MATCH(AE$9,GDP_CGE!$A$3:$AN$3,0)),GDP_Simple!AL19)</f>
        <v>37.813673087113052</v>
      </c>
      <c r="AF17">
        <f>IF($C$3="CGE",INDEX(GDP_CGE!$A$3:$AN$24,MATCH($A17,GDP_CGE!$A$3:$A$24,0),MATCH(AF$9,GDP_CGE!$A$3:$AN$3,0)),GDP_Simple!AM19)</f>
        <v>39.222154506794517</v>
      </c>
      <c r="AG17">
        <f>IF($C$3="CGE",INDEX(GDP_CGE!$A$3:$AN$24,MATCH($A17,GDP_CGE!$A$3:$A$24,0),MATCH(AG$9,GDP_CGE!$A$3:$AN$3,0)),GDP_Simple!AN19)</f>
        <v>40.714128764449988</v>
      </c>
      <c r="AH17">
        <f>IF($C$3="CGE",INDEX(GDP_CGE!$A$3:$AN$24,MATCH($A17,GDP_CGE!$A$3:$A$24,0),MATCH(AH$9,GDP_CGE!$A$3:$AN$3,0)),GDP_Simple!AO19)</f>
        <v>42.184466227796968</v>
      </c>
      <c r="AI17">
        <f>IF($C$3="CGE",INDEX(GDP_CGE!$A$3:$AN$24,MATCH($A17,GDP_CGE!$A$3:$A$24,0),MATCH(AI$9,GDP_CGE!$A$3:$AN$3,0)),GDP_Simple!AP19)</f>
        <v>43.627134164875535</v>
      </c>
      <c r="AJ17">
        <f>IF($C$3="CGE",INDEX(GDP_CGE!$A$3:$AN$24,MATCH($A17,GDP_CGE!$A$3:$A$24,0),MATCH(AJ$9,GDP_CGE!$A$3:$AN$3,0)),GDP_Simple!AQ19)</f>
        <v>45.036031010553799</v>
      </c>
      <c r="AK17">
        <f>IF($C$3="CGE",INDEX(GDP_CGE!$A$3:$AN$24,MATCH($A17,GDP_CGE!$A$3:$A$24,0),MATCH(AK$9,GDP_CGE!$A$3:$AN$3,0)),GDP_Simple!AR19)</f>
        <v>46.405024665347</v>
      </c>
      <c r="AL17">
        <f>IF($C$3="CGE",INDEX(GDP_CGE!$A$3:$AN$24,MATCH($A17,GDP_CGE!$A$3:$A$24,0),MATCH(AL$9,GDP_CGE!$A$3:$AN$3,0)),GDP_Simple!AS19)</f>
        <v>47.727995641793072</v>
      </c>
      <c r="AM17">
        <f>IF($C$3="CGE",INDEX(GDP_CGE!$A$3:$AN$24,MATCH($A17,GDP_CGE!$A$3:$A$24,0),MATCH(AM$9,GDP_CGE!$A$3:$AN$3,0)),GDP_Simple!AT19)</f>
        <v>48.998881596547079</v>
      </c>
      <c r="AN17">
        <f>IF($C$3="CGE",INDEX(GDP_CGE!$A$3:$AN$24,MATCH($A17,GDP_CGE!$A$3:$A$24,0),MATCH(AN$9,GDP_CGE!$A$3:$AN$3,0)),GDP_Simple!AU19)</f>
        <v>50.211722814967501</v>
      </c>
      <c r="AO17">
        <f>IF($C$3="CGE",INDEX(GDP_CGE!$A$3:$AN$24,MATCH($A17,GDP_CGE!$A$3:$A$24,0),MATCH(AO$9,GDP_CGE!$A$3:$AN$3,0)),GDP_Simple!AV19)</f>
        <v>51.360708187898531</v>
      </c>
      <c r="AP17">
        <f>IF($C$3="CGE",INDEX(GDP_CGE!$A$3:$AN$24,MATCH($A17,GDP_CGE!$A$3:$A$24,0),MATCH(AP$9,GDP_CGE!$A$3:$AN$3,0)),GDP_Simple!AW19)</f>
        <v>52.440221198976559</v>
      </c>
      <c r="AQ17">
        <f>IF($C$3="CGE",INDEX(GDP_CGE!$A$3:$AN$24,MATCH($A17,GDP_CGE!$A$3:$A$24,0),MATCH(AQ$9,GDP_CGE!$A$3:$AN$3,0)),GDP_Simple!AX19)</f>
        <v>53.444885425650895</v>
      </c>
      <c r="AR17">
        <f>IF($C$3="CGE",INDEX(GDP_CGE!$A$3:$AN$24,MATCH($A17,GDP_CGE!$A$3:$A$24,0),MATCH(AR$9,GDP_CGE!$A$3:$AN$3,0)),GDP_Simple!AY19)</f>
        <v>54.369609048660635</v>
      </c>
      <c r="AS17">
        <f>IF($C$3="CGE",INDEX(GDP_CGE!$A$3:$AN$24,MATCH($A17,GDP_CGE!$A$3:$A$24,0),MATCH(AS$9,GDP_CGE!$A$3:$AN$3,0)),GDP_Simple!AZ19)</f>
        <v>55.209627863294962</v>
      </c>
      <c r="AT17">
        <f>IF($C$3="CGE",INDEX(GDP_CGE!$A$3:$AN$24,MATCH($A17,GDP_CGE!$A$3:$A$24,0),MATCH(AT$9,GDP_CGE!$A$3:$AN$3,0)),GDP_Simple!BA19)</f>
        <v>55.960546291613937</v>
      </c>
      <c r="AU17">
        <f>IF($C$3="CGE",INDEX(GDP_CGE!$A$3:$AN$24,MATCH($A17,GDP_CGE!$A$3:$A$24,0),MATCH(AU$9,GDP_CGE!$A$3:$AN$3,0)),GDP_Simple!BB19)</f>
        <v>56.618375908025648</v>
      </c>
      <c r="AV17">
        <f>IF($C$3="CGE",INDEX(GDP_CGE!$A$3:$AN$24,MATCH($A17,GDP_CGE!$A$3:$A$24,0),MATCH(AV$9,GDP_CGE!$A$3:$AN$3,0)),GDP_Simple!BC19)</f>
        <v>57.179571011178766</v>
      </c>
      <c r="AW17">
        <f>IF($C$3="CGE",INDEX(GDP_CGE!$A$3:$AN$24,MATCH($A17,GDP_CGE!$A$3:$A$24,0),MATCH(AW$9,GDP_CGE!$A$3:$AN$3,0)),GDP_Simple!BD19)</f>
        <v>57.641060802880126</v>
      </c>
      <c r="AX17">
        <f>IF($C$3="CGE",INDEX(GDP_CGE!$A$3:$AN$24,MATCH($A17,GDP_CGE!$A$3:$A$24,0),MATCH(AX$9,GDP_CGE!$A$3:$AN$3,0)),GDP_Simple!BE19)</f>
        <v>58.000277769392667</v>
      </c>
      <c r="AY17">
        <f>IF($C$3="CGE",INDEX(GDP_CGE!$A$3:$AN$24,MATCH($A17,GDP_CGE!$A$3:$A$24,0),MATCH(AY$9,GDP_CGE!$A$3:$AN$3,0)),GDP_Simple!BF19)</f>
        <v>58.255181901590888</v>
      </c>
      <c r="AZ17">
        <f>IF($C$3="CGE",INDEX(GDP_CGE!$A$3:$AN$24,MATCH($A17,GDP_CGE!$A$3:$A$24,0),MATCH(AZ$9,GDP_CGE!$A$3:$AN$3,0)),GDP_Simple!BG19)</f>
        <v>58.404280437498784</v>
      </c>
      <c r="BA17">
        <f>IF($C$3="CGE",INDEX(GDP_CGE!$A$3:$AN$24,MATCH($A17,GDP_CGE!$A$3:$A$24,0),MATCH(BA$9,GDP_CGE!$A$3:$AN$3,0)),GDP_Simple!BH19)</f>
        <v>58.446642863049739</v>
      </c>
    </row>
    <row r="18" spans="1:53" x14ac:dyDescent="0.25">
      <c r="A18" s="3" t="s">
        <v>29</v>
      </c>
      <c r="B18">
        <f>IF($C$3="CGE",INDEX(GDP_CGE!$A$3:$AN$24,MATCH($A18,GDP_CGE!$A$3:$A$24,0),MATCH(B$9,GDP_CGE!$A$3:$AN$3,0)),GDP_Simple!I20)</f>
        <v>20.85</v>
      </c>
      <c r="C18">
        <f>IF($C$3="CGE",INDEX(GDP_CGE!$A$3:$AN$24,MATCH($A18,GDP_CGE!$A$3:$A$24,0),MATCH(C$9,GDP_CGE!$A$3:$AN$3,0)),GDP_Simple!J20)</f>
        <v>19.82</v>
      </c>
      <c r="D18">
        <f>IF($C$3="CGE",INDEX(GDP_CGE!$A$3:$AN$24,MATCH($A18,GDP_CGE!$A$3:$A$24,0),MATCH(D$9,GDP_CGE!$A$3:$AN$3,0)),GDP_Simple!K20)</f>
        <v>20.132137463466972</v>
      </c>
      <c r="E18">
        <f>IF($C$3="CGE",INDEX(GDP_CGE!$A$3:$AN$24,MATCH($A18,GDP_CGE!$A$3:$A$24,0),MATCH(E$9,GDP_CGE!$A$3:$AN$3,0)),GDP_Simple!L20)</f>
        <v>20.557078070819912</v>
      </c>
      <c r="F18">
        <f>IF($C$3="CGE",INDEX(GDP_CGE!$A$3:$AN$24,MATCH($A18,GDP_CGE!$A$3:$A$24,0),MATCH(F$9,GDP_CGE!$A$3:$AN$3,0)),GDP_Simple!M20)</f>
        <v>20.593008878113583</v>
      </c>
      <c r="G18">
        <f>IF($C$3="CGE",INDEX(GDP_CGE!$A$3:$AN$24,MATCH($A18,GDP_CGE!$A$3:$A$24,0),MATCH(G$9,GDP_CGE!$A$3:$AN$3,0)),GDP_Simple!N20)</f>
        <v>20.803209745985196</v>
      </c>
      <c r="H18">
        <f>IF($C$3="CGE",INDEX(GDP_CGE!$A$3:$AN$24,MATCH($A18,GDP_CGE!$A$3:$A$24,0),MATCH(H$9,GDP_CGE!$A$3:$AN$3,0)),GDP_Simple!O20)</f>
        <v>21.027469388816932</v>
      </c>
      <c r="I18">
        <f>IF($C$3="CGE",INDEX(GDP_CGE!$A$3:$AN$24,MATCH($A18,GDP_CGE!$A$3:$A$24,0),MATCH(I$9,GDP_CGE!$A$3:$AN$3,0)),GDP_Simple!P20)</f>
        <v>21.358928375750075</v>
      </c>
      <c r="J18">
        <f>IF($C$3="CGE",INDEX(GDP_CGE!$A$3:$AN$24,MATCH($A18,GDP_CGE!$A$3:$A$24,0),MATCH(J$9,GDP_CGE!$A$3:$AN$3,0)),GDP_Simple!Q20)</f>
        <v>21.733650108206927</v>
      </c>
      <c r="K18">
        <f>IF($C$3="CGE",INDEX(GDP_CGE!$A$3:$AN$24,MATCH($A18,GDP_CGE!$A$3:$A$24,0),MATCH(K$9,GDP_CGE!$A$3:$AN$3,0)),GDP_Simple!R20)</f>
        <v>22.143989377223196</v>
      </c>
      <c r="L18">
        <f>IF($C$3="CGE",INDEX(GDP_CGE!$A$3:$AN$24,MATCH($A18,GDP_CGE!$A$3:$A$24,0),MATCH(L$9,GDP_CGE!$A$3:$AN$3,0)),GDP_Simple!S20)</f>
        <v>22.661040522528285</v>
      </c>
      <c r="M18">
        <f>IF($C$3="CGE",INDEX(GDP_CGE!$A$3:$AN$24,MATCH($A18,GDP_CGE!$A$3:$A$24,0),MATCH(M$9,GDP_CGE!$A$3:$AN$3,0)),GDP_Simple!T20)</f>
        <v>23.290240412972867</v>
      </c>
      <c r="N18">
        <f>IF($C$3="CGE",INDEX(GDP_CGE!$A$3:$AN$24,MATCH($A18,GDP_CGE!$A$3:$A$24,0),MATCH(N$9,GDP_CGE!$A$3:$AN$3,0)),GDP_Simple!U20)</f>
        <v>24.035174207802203</v>
      </c>
      <c r="O18">
        <f>IF($C$3="CGE",INDEX(GDP_CGE!$A$3:$AN$24,MATCH($A18,GDP_CGE!$A$3:$A$24,0),MATCH(O$9,GDP_CGE!$A$3:$AN$3,0)),GDP_Simple!V20)</f>
        <v>24.813548923952062</v>
      </c>
      <c r="P18">
        <f>IF($C$3="CGE",INDEX(GDP_CGE!$A$3:$AN$24,MATCH($A18,GDP_CGE!$A$3:$A$24,0),MATCH(P$9,GDP_CGE!$A$3:$AN$3,0)),GDP_Simple!W20)</f>
        <v>25.660382506092056</v>
      </c>
      <c r="Q18">
        <f>IF($C$3="CGE",INDEX(GDP_CGE!$A$3:$AN$24,MATCH($A18,GDP_CGE!$A$3:$A$24,0),MATCH(Q$9,GDP_CGE!$A$3:$AN$3,0)),GDP_Simple!X20)</f>
        <v>26.609549366356628</v>
      </c>
      <c r="R18">
        <f>IF($C$3="CGE",INDEX(GDP_CGE!$A$3:$AN$24,MATCH($A18,GDP_CGE!$A$3:$A$24,0),MATCH(R$9,GDP_CGE!$A$3:$AN$3,0)),GDP_Simple!Y20)</f>
        <v>27.640519654126816</v>
      </c>
      <c r="S18">
        <f>IF($C$3="CGE",INDEX(GDP_CGE!$A$3:$AN$24,MATCH($A18,GDP_CGE!$A$3:$A$24,0),MATCH(S$9,GDP_CGE!$A$3:$AN$3,0)),GDP_Simple!Z20)</f>
        <v>28.730970128291894</v>
      </c>
      <c r="T18">
        <f>IF($C$3="CGE",INDEX(GDP_CGE!$A$3:$AN$24,MATCH($A18,GDP_CGE!$A$3:$A$24,0),MATCH(T$9,GDP_CGE!$A$3:$AN$3,0)),GDP_Simple!AA20)</f>
        <v>29.87427100473241</v>
      </c>
      <c r="U18">
        <f>IF($C$3="CGE",INDEX(GDP_CGE!$A$3:$AN$24,MATCH($A18,GDP_CGE!$A$3:$A$24,0),MATCH(U$9,GDP_CGE!$A$3:$AN$3,0)),GDP_Simple!AB20)</f>
        <v>31.085735649876479</v>
      </c>
      <c r="V18">
        <f>IF($C$3="CGE",INDEX(GDP_CGE!$A$3:$AN$24,MATCH($A18,GDP_CGE!$A$3:$A$24,0),MATCH(V$9,GDP_CGE!$A$3:$AN$3,0)),GDP_Simple!AC20)</f>
        <v>32.315354391262929</v>
      </c>
      <c r="W18">
        <f>IF($C$3="CGE",INDEX(GDP_CGE!$A$3:$AN$24,MATCH($A18,GDP_CGE!$A$3:$A$24,0),MATCH(W$9,GDP_CGE!$A$3:$AN$3,0)),GDP_Simple!AD20)</f>
        <v>33.550079435863324</v>
      </c>
      <c r="X18">
        <f>IF($C$3="CGE",INDEX(GDP_CGE!$A$3:$AN$24,MATCH($A18,GDP_CGE!$A$3:$A$24,0),MATCH(X$9,GDP_CGE!$A$3:$AN$3,0)),GDP_Simple!AE20)</f>
        <v>34.823785844322693</v>
      </c>
      <c r="Y18">
        <f>IF($C$3="CGE",INDEX(GDP_CGE!$A$3:$AN$24,MATCH($A18,GDP_CGE!$A$3:$A$24,0),MATCH(Y$9,GDP_CGE!$A$3:$AN$3,0)),GDP_Simple!AF20)</f>
        <v>36.078954254061244</v>
      </c>
      <c r="Z18">
        <f>IF($C$3="CGE",INDEX(GDP_CGE!$A$3:$AN$24,MATCH($A18,GDP_CGE!$A$3:$A$24,0),MATCH(Z$9,GDP_CGE!$A$3:$AN$3,0)),GDP_Simple!AG20)</f>
        <v>37.380985941134057</v>
      </c>
      <c r="AA18">
        <f>IF($C$3="CGE",INDEX(GDP_CGE!$A$3:$AN$24,MATCH($A18,GDP_CGE!$A$3:$A$24,0),MATCH(AA$9,GDP_CGE!$A$3:$AN$3,0)),GDP_Simple!AH20)</f>
        <v>38.746168077155666</v>
      </c>
      <c r="AB18">
        <f>IF($C$3="CGE",INDEX(GDP_CGE!$A$3:$AN$24,MATCH($A18,GDP_CGE!$A$3:$A$24,0),MATCH(AB$9,GDP_CGE!$A$3:$AN$3,0)),GDP_Simple!AI20)</f>
        <v>40.179764399704212</v>
      </c>
      <c r="AC18">
        <f>IF($C$3="CGE",INDEX(GDP_CGE!$A$3:$AN$24,MATCH($A18,GDP_CGE!$A$3:$A$24,0),MATCH(AC$9,GDP_CGE!$A$3:$AN$3,0)),GDP_Simple!AJ20)</f>
        <v>41.685702915616126</v>
      </c>
      <c r="AD18">
        <f>IF($C$3="CGE",INDEX(GDP_CGE!$A$3:$AN$24,MATCH($A18,GDP_CGE!$A$3:$A$24,0),MATCH(AD$9,GDP_CGE!$A$3:$AN$3,0)),GDP_Simple!AK20)</f>
        <v>43.16608560407542</v>
      </c>
      <c r="AE18">
        <f>IF($C$3="CGE",INDEX(GDP_CGE!$A$3:$AN$24,MATCH($A18,GDP_CGE!$A$3:$A$24,0),MATCH(AE$9,GDP_CGE!$A$3:$AN$3,0)),GDP_Simple!AL20)</f>
        <v>44.720084167118962</v>
      </c>
      <c r="AF18">
        <f>IF($C$3="CGE",INDEX(GDP_CGE!$A$3:$AN$24,MATCH($A18,GDP_CGE!$A$3:$A$24,0),MATCH(AF$9,GDP_CGE!$A$3:$AN$3,0)),GDP_Simple!AM20)</f>
        <v>46.385815171109797</v>
      </c>
      <c r="AG18">
        <f>IF($C$3="CGE",INDEX(GDP_CGE!$A$3:$AN$24,MATCH($A18,GDP_CGE!$A$3:$A$24,0),MATCH(AG$9,GDP_CGE!$A$3:$AN$3,0)),GDP_Simple!AN20)</f>
        <v>48.150288413997863</v>
      </c>
      <c r="AH18">
        <f>IF($C$3="CGE",INDEX(GDP_CGE!$A$3:$AN$24,MATCH($A18,GDP_CGE!$A$3:$A$24,0),MATCH(AH$9,GDP_CGE!$A$3:$AN$3,0)),GDP_Simple!AO20)</f>
        <v>49.889173048755914</v>
      </c>
      <c r="AI18">
        <f>IF($C$3="CGE",INDEX(GDP_CGE!$A$3:$AN$24,MATCH($A18,GDP_CGE!$A$3:$A$24,0),MATCH(AI$9,GDP_CGE!$A$3:$AN$3,0)),GDP_Simple!AP20)</f>
        <v>51.595334505822741</v>
      </c>
      <c r="AJ18">
        <f>IF($C$3="CGE",INDEX(GDP_CGE!$A$3:$AN$24,MATCH($A18,GDP_CGE!$A$3:$A$24,0),MATCH(AJ$9,GDP_CGE!$A$3:$AN$3,0)),GDP_Simple!AQ20)</f>
        <v>53.261556810552847</v>
      </c>
      <c r="AK18">
        <f>IF($C$3="CGE",INDEX(GDP_CGE!$A$3:$AN$24,MATCH($A18,GDP_CGE!$A$3:$A$24,0),MATCH(AK$9,GDP_CGE!$A$3:$AN$3,0)),GDP_Simple!AR20)</f>
        <v>54.880587877055298</v>
      </c>
      <c r="AL18">
        <f>IF($C$3="CGE",INDEX(GDP_CGE!$A$3:$AN$24,MATCH($A18,GDP_CGE!$A$3:$A$24,0),MATCH(AL$9,GDP_CGE!$A$3:$AN$3,0)),GDP_Simple!AS20)</f>
        <v>56.445190534962315</v>
      </c>
      <c r="AM18">
        <f>IF($C$3="CGE",INDEX(GDP_CGE!$A$3:$AN$24,MATCH($A18,GDP_CGE!$A$3:$A$24,0),MATCH(AM$9,GDP_CGE!$A$3:$AN$3,0)),GDP_Simple!AT20)</f>
        <v>57.948195195008886</v>
      </c>
      <c r="AN18">
        <f>IF($C$3="CGE",INDEX(GDP_CGE!$A$3:$AN$24,MATCH($A18,GDP_CGE!$A$3:$A$24,0),MATCH(AN$9,GDP_CGE!$A$3:$AN$3,0)),GDP_Simple!AU20)</f>
        <v>59.382553641070473</v>
      </c>
      <c r="AO18">
        <f>IF($C$3="CGE",INDEX(GDP_CGE!$A$3:$AN$24,MATCH($A18,GDP_CGE!$A$3:$A$24,0),MATCH(AO$9,GDP_CGE!$A$3:$AN$3,0)),GDP_Simple!AV20)</f>
        <v>60.741393404292936</v>
      </c>
      <c r="AP18">
        <f>IF($C$3="CGE",INDEX(GDP_CGE!$A$3:$AN$24,MATCH($A18,GDP_CGE!$A$3:$A$24,0),MATCH(AP$9,GDP_CGE!$A$3:$AN$3,0)),GDP_Simple!AW20)</f>
        <v>62.018072149668818</v>
      </c>
      <c r="AQ18">
        <f>IF($C$3="CGE",INDEX(GDP_CGE!$A$3:$AN$24,MATCH($A18,GDP_CGE!$A$3:$A$24,0),MATCH(AQ$9,GDP_CGE!$A$3:$AN$3,0)),GDP_Simple!AX20)</f>
        <v>63.206231487511133</v>
      </c>
      <c r="AR18">
        <f>IF($C$3="CGE",INDEX(GDP_CGE!$A$3:$AN$24,MATCH($A18,GDP_CGE!$A$3:$A$24,0),MATCH(AR$9,GDP_CGE!$A$3:$AN$3,0)),GDP_Simple!AY20)</f>
        <v>64.299849612284419</v>
      </c>
      <c r="AS18">
        <f>IF($C$3="CGE",INDEX(GDP_CGE!$A$3:$AN$24,MATCH($A18,GDP_CGE!$A$3:$A$24,0),MATCH(AS$9,GDP_CGE!$A$3:$AN$3,0)),GDP_Simple!AZ20)</f>
        <v>65.293292169580255</v>
      </c>
      <c r="AT18">
        <f>IF($C$3="CGE",INDEX(GDP_CGE!$A$3:$AN$24,MATCH($A18,GDP_CGE!$A$3:$A$24,0),MATCH(AT$9,GDP_CGE!$A$3:$AN$3,0)),GDP_Simple!BA20)</f>
        <v>66.181360758942191</v>
      </c>
      <c r="AU18">
        <f>IF($C$3="CGE",INDEX(GDP_CGE!$A$3:$AN$24,MATCH($A18,GDP_CGE!$A$3:$A$24,0),MATCH(AU$9,GDP_CGE!$A$3:$AN$3,0)),GDP_Simple!BB20)</f>
        <v>66.959338495878328</v>
      </c>
      <c r="AV18">
        <f>IF($C$3="CGE",INDEX(GDP_CGE!$A$3:$AN$24,MATCH($A18,GDP_CGE!$A$3:$A$24,0),MATCH(AV$9,GDP_CGE!$A$3:$AN$3,0)),GDP_Simple!BC20)</f>
        <v>67.623032080719071</v>
      </c>
      <c r="AW18">
        <f>IF($C$3="CGE",INDEX(GDP_CGE!$A$3:$AN$24,MATCH($A18,GDP_CGE!$A$3:$A$24,0),MATCH(AW$9,GDP_CGE!$A$3:$AN$3,0)),GDP_Simple!BD20)</f>
        <v>68.168809854795839</v>
      </c>
      <c r="AX18">
        <f>IF($C$3="CGE",INDEX(GDP_CGE!$A$3:$AN$24,MATCH($A18,GDP_CGE!$A$3:$A$24,0),MATCH(AX$9,GDP_CGE!$A$3:$AN$3,0)),GDP_Simple!BE20)</f>
        <v>68.593635365390654</v>
      </c>
      <c r="AY18">
        <f>IF($C$3="CGE",INDEX(GDP_CGE!$A$3:$AN$24,MATCH($A18,GDP_CGE!$A$3:$A$24,0),MATCH(AY$9,GDP_CGE!$A$3:$AN$3,0)),GDP_Simple!BF20)</f>
        <v>68.895096009538861</v>
      </c>
      <c r="AZ18">
        <f>IF($C$3="CGE",INDEX(GDP_CGE!$A$3:$AN$24,MATCH($A18,GDP_CGE!$A$3:$A$24,0),MATCH(AZ$9,GDP_CGE!$A$3:$AN$3,0)),GDP_Simple!BG20)</f>
        <v>69.071426382407807</v>
      </c>
      <c r="BA18">
        <f>IF($C$3="CGE",INDEX(GDP_CGE!$A$3:$AN$24,MATCH($A18,GDP_CGE!$A$3:$A$24,0),MATCH(BA$9,GDP_CGE!$A$3:$AN$3,0)),GDP_Simple!BH20)</f>
        <v>69.121526017843848</v>
      </c>
    </row>
    <row r="19" spans="1:53" x14ac:dyDescent="0.25">
      <c r="A19" s="3" t="s">
        <v>30</v>
      </c>
      <c r="B19">
        <f>IF($C$3="CGE",INDEX(GDP_CGE!$A$3:$AN$24,MATCH($A19,GDP_CGE!$A$3:$A$24,0),MATCH(B$9,GDP_CGE!$A$3:$AN$3,0)),GDP_Simple!I21)</f>
        <v>13.08</v>
      </c>
      <c r="C19">
        <f>IF($C$3="CGE",INDEX(GDP_CGE!$A$3:$AN$24,MATCH($A19,GDP_CGE!$A$3:$A$24,0),MATCH(C$9,GDP_CGE!$A$3:$AN$3,0)),GDP_Simple!J21)</f>
        <v>12.33</v>
      </c>
      <c r="D19">
        <f>IF($C$3="CGE",INDEX(GDP_CGE!$A$3:$AN$24,MATCH($A19,GDP_CGE!$A$3:$A$24,0),MATCH(D$9,GDP_CGE!$A$3:$AN$3,0)),GDP_Simple!K21)</f>
        <v>12.629657459095826</v>
      </c>
      <c r="E19">
        <f>IF($C$3="CGE",INDEX(GDP_CGE!$A$3:$AN$24,MATCH($A19,GDP_CGE!$A$3:$A$24,0),MATCH(E$9,GDP_CGE!$A$3:$AN$3,0)),GDP_Simple!L21)</f>
        <v>12.896238904859686</v>
      </c>
      <c r="F19">
        <f>IF($C$3="CGE",INDEX(GDP_CGE!$A$3:$AN$24,MATCH($A19,GDP_CGE!$A$3:$A$24,0),MATCH(F$9,GDP_CGE!$A$3:$AN$3,0)),GDP_Simple!M21)</f>
        <v>12.918779670298592</v>
      </c>
      <c r="G19">
        <f>IF($C$3="CGE",INDEX(GDP_CGE!$A$3:$AN$24,MATCH($A19,GDP_CGE!$A$3:$A$24,0),MATCH(G$9,GDP_CGE!$A$3:$AN$3,0)),GDP_Simple!N21)</f>
        <v>13.05064668956769</v>
      </c>
      <c r="H19">
        <f>IF($C$3="CGE",INDEX(GDP_CGE!$A$3:$AN$24,MATCH($A19,GDP_CGE!$A$3:$A$24,0),MATCH(H$9,GDP_CGE!$A$3:$AN$3,0)),GDP_Simple!O21)</f>
        <v>13.191333314423284</v>
      </c>
      <c r="I19">
        <f>IF($C$3="CGE",INDEX(GDP_CGE!$A$3:$AN$24,MATCH($A19,GDP_CGE!$A$3:$A$24,0),MATCH(I$9,GDP_CGE!$A$3:$AN$3,0)),GDP_Simple!P21)</f>
        <v>13.399270175290695</v>
      </c>
      <c r="J19">
        <f>IF($C$3="CGE",INDEX(GDP_CGE!$A$3:$AN$24,MATCH($A19,GDP_CGE!$A$3:$A$24,0),MATCH(J$9,GDP_CGE!$A$3:$AN$3,0)),GDP_Simple!Q21)</f>
        <v>13.634347406011827</v>
      </c>
      <c r="K19">
        <f>IF($C$3="CGE",INDEX(GDP_CGE!$A$3:$AN$24,MATCH($A19,GDP_CGE!$A$3:$A$24,0),MATCH(K$9,GDP_CGE!$A$3:$AN$3,0)),GDP_Simple!R21)</f>
        <v>13.891768875495416</v>
      </c>
      <c r="L19">
        <f>IF($C$3="CGE",INDEX(GDP_CGE!$A$3:$AN$24,MATCH($A19,GDP_CGE!$A$3:$A$24,0),MATCH(L$9,GDP_CGE!$A$3:$AN$3,0)),GDP_Simple!S21)</f>
        <v>14.216134773845083</v>
      </c>
      <c r="M19">
        <f>IF($C$3="CGE",INDEX(GDP_CGE!$A$3:$AN$24,MATCH($A19,GDP_CGE!$A$3:$A$24,0),MATCH(M$9,GDP_CGE!$A$3:$AN$3,0)),GDP_Simple!T21)</f>
        <v>14.610855856195927</v>
      </c>
      <c r="N19">
        <f>IF($C$3="CGE",INDEX(GDP_CGE!$A$3:$AN$24,MATCH($A19,GDP_CGE!$A$3:$A$24,0),MATCH(N$9,GDP_CGE!$A$3:$AN$3,0)),GDP_Simple!U21)</f>
        <v>15.078181229642823</v>
      </c>
      <c r="O19">
        <f>IF($C$3="CGE",INDEX(GDP_CGE!$A$3:$AN$24,MATCH($A19,GDP_CGE!$A$3:$A$24,0),MATCH(O$9,GDP_CGE!$A$3:$AN$3,0)),GDP_Simple!V21)</f>
        <v>15.566485368119569</v>
      </c>
      <c r="P19">
        <f>IF($C$3="CGE",INDEX(GDP_CGE!$A$3:$AN$24,MATCH($A19,GDP_CGE!$A$3:$A$24,0),MATCH(P$9,GDP_CGE!$A$3:$AN$3,0)),GDP_Simple!W21)</f>
        <v>16.097736363534008</v>
      </c>
      <c r="Q19">
        <f>IF($C$3="CGE",INDEX(GDP_CGE!$A$3:$AN$24,MATCH($A19,GDP_CGE!$A$3:$A$24,0),MATCH(Q$9,GDP_CGE!$A$3:$AN$3,0)),GDP_Simple!X21)</f>
        <v>16.693184926232362</v>
      </c>
      <c r="R19">
        <f>IF($C$3="CGE",INDEX(GDP_CGE!$A$3:$AN$24,MATCH($A19,GDP_CGE!$A$3:$A$24,0),MATCH(R$9,GDP_CGE!$A$3:$AN$3,0)),GDP_Simple!Y21)</f>
        <v>17.339951898128479</v>
      </c>
      <c r="S19">
        <f>IF($C$3="CGE",INDEX(GDP_CGE!$A$3:$AN$24,MATCH($A19,GDP_CGE!$A$3:$A$24,0),MATCH(S$9,GDP_CGE!$A$3:$AN$3,0)),GDP_Simple!Z21)</f>
        <v>18.024033058899665</v>
      </c>
      <c r="T19">
        <f>IF($C$3="CGE",INDEX(GDP_CGE!$A$3:$AN$24,MATCH($A19,GDP_CGE!$A$3:$A$24,0),MATCH(T$9,GDP_CGE!$A$3:$AN$3,0)),GDP_Simple!AA21)</f>
        <v>18.741269292177456</v>
      </c>
      <c r="U19">
        <f>IF($C$3="CGE",INDEX(GDP_CGE!$A$3:$AN$24,MATCH($A19,GDP_CGE!$A$3:$A$24,0),MATCH(U$9,GDP_CGE!$A$3:$AN$3,0)),GDP_Simple!AB21)</f>
        <v>19.501267256613158</v>
      </c>
      <c r="V19">
        <f>IF($C$3="CGE",INDEX(GDP_CGE!$A$3:$AN$24,MATCH($A19,GDP_CGE!$A$3:$A$24,0),MATCH(V$9,GDP_CGE!$A$3:$AN$3,0)),GDP_Simple!AC21)</f>
        <v>20.272653977828256</v>
      </c>
      <c r="W19">
        <f>IF($C$3="CGE",INDEX(GDP_CGE!$A$3:$AN$24,MATCH($A19,GDP_CGE!$A$3:$A$24,0),MATCH(W$9,GDP_CGE!$A$3:$AN$3,0)),GDP_Simple!AD21)</f>
        <v>21.047244077750229</v>
      </c>
      <c r="X19">
        <f>IF($C$3="CGE",INDEX(GDP_CGE!$A$3:$AN$24,MATCH($A19,GDP_CGE!$A$3:$A$24,0),MATCH(X$9,GDP_CGE!$A$3:$AN$3,0)),GDP_Simple!AE21)</f>
        <v>21.846288673560714</v>
      </c>
      <c r="Y19">
        <f>IF($C$3="CGE",INDEX(GDP_CGE!$A$3:$AN$24,MATCH($A19,GDP_CGE!$A$3:$A$24,0),MATCH(Y$9,GDP_CGE!$A$3:$AN$3,0)),GDP_Simple!AF21)</f>
        <v>22.63370367592907</v>
      </c>
      <c r="Z19">
        <f>IF($C$3="CGE",INDEX(GDP_CGE!$A$3:$AN$24,MATCH($A19,GDP_CGE!$A$3:$A$24,0),MATCH(Z$9,GDP_CGE!$A$3:$AN$3,0)),GDP_Simple!AG21)</f>
        <v>23.450517799042373</v>
      </c>
      <c r="AA19">
        <f>IF($C$3="CGE",INDEX(GDP_CGE!$A$3:$AN$24,MATCH($A19,GDP_CGE!$A$3:$A$24,0),MATCH(AA$9,GDP_CGE!$A$3:$AN$3,0)),GDP_Simple!AH21)</f>
        <v>24.306948606676073</v>
      </c>
      <c r="AB19">
        <f>IF($C$3="CGE",INDEX(GDP_CGE!$A$3:$AN$24,MATCH($A19,GDP_CGE!$A$3:$A$24,0),MATCH(AB$9,GDP_CGE!$A$3:$AN$3,0)),GDP_Simple!AI21)</f>
        <v>25.206298242116599</v>
      </c>
      <c r="AC19">
        <f>IF($C$3="CGE",INDEX(GDP_CGE!$A$3:$AN$24,MATCH($A19,GDP_CGE!$A$3:$A$24,0),MATCH(AC$9,GDP_CGE!$A$3:$AN$3,0)),GDP_Simple!AJ21)</f>
        <v>26.151030893825368</v>
      </c>
      <c r="AD19">
        <f>IF($C$3="CGE",INDEX(GDP_CGE!$A$3:$AN$24,MATCH($A19,GDP_CGE!$A$3:$A$24,0),MATCH(AD$9,GDP_CGE!$A$3:$AN$3,0)),GDP_Simple!AK21)</f>
        <v>27.079731400542279</v>
      </c>
      <c r="AE19">
        <f>IF($C$3="CGE",INDEX(GDP_CGE!$A$3:$AN$24,MATCH($A19,GDP_CGE!$A$3:$A$24,0),MATCH(AE$9,GDP_CGE!$A$3:$AN$3,0)),GDP_Simple!AL21)</f>
        <v>28.054613952322111</v>
      </c>
      <c r="AF19">
        <f>IF($C$3="CGE",INDEX(GDP_CGE!$A$3:$AN$24,MATCH($A19,GDP_CGE!$A$3:$A$24,0),MATCH(AF$9,GDP_CGE!$A$3:$AN$3,0)),GDP_Simple!AM21)</f>
        <v>29.099590524609887</v>
      </c>
      <c r="AG19">
        <f>IF($C$3="CGE",INDEX(GDP_CGE!$A$3:$AN$24,MATCH($A19,GDP_CGE!$A$3:$A$24,0),MATCH(AG$9,GDP_CGE!$A$3:$AN$3,0)),GDP_Simple!AN21)</f>
        <v>30.20651186834974</v>
      </c>
      <c r="AH19">
        <f>IF($C$3="CGE",INDEX(GDP_CGE!$A$3:$AN$24,MATCH($A19,GDP_CGE!$A$3:$A$24,0),MATCH(AH$9,GDP_CGE!$A$3:$AN$3,0)),GDP_Simple!AO21)</f>
        <v>31.297380502528892</v>
      </c>
      <c r="AI19">
        <f>IF($C$3="CGE",INDEX(GDP_CGE!$A$3:$AN$24,MATCH($A19,GDP_CGE!$A$3:$A$24,0),MATCH(AI$9,GDP_CGE!$A$3:$AN$3,0)),GDP_Simple!AP21)</f>
        <v>32.367720639624054</v>
      </c>
      <c r="AJ19">
        <f>IF($C$3="CGE",INDEX(GDP_CGE!$A$3:$AN$24,MATCH($A19,GDP_CGE!$A$3:$A$24,0),MATCH(AJ$9,GDP_CGE!$A$3:$AN$3,0)),GDP_Simple!AQ21)</f>
        <v>33.413005423598619</v>
      </c>
      <c r="AK19">
        <f>IF($C$3="CGE",INDEX(GDP_CGE!$A$3:$AN$24,MATCH($A19,GDP_CGE!$A$3:$A$24,0),MATCH(AK$9,GDP_CGE!$A$3:$AN$3,0)),GDP_Simple!AR21)</f>
        <v>34.428685344454834</v>
      </c>
      <c r="AL19">
        <f>IF($C$3="CGE",INDEX(GDP_CGE!$A$3:$AN$24,MATCH($A19,GDP_CGE!$A$3:$A$24,0),MATCH(AL$9,GDP_CGE!$A$3:$AN$3,0)),GDP_Simple!AS21)</f>
        <v>35.410220249271326</v>
      </c>
      <c r="AM19">
        <f>IF($C$3="CGE",INDEX(GDP_CGE!$A$3:$AN$24,MATCH($A19,GDP_CGE!$A$3:$A$24,0),MATCH(AM$9,GDP_CGE!$A$3:$AN$3,0)),GDP_Simple!AT21)</f>
        <v>36.353112381329318</v>
      </c>
      <c r="AN19">
        <f>IF($C$3="CGE",INDEX(GDP_CGE!$A$3:$AN$24,MATCH($A19,GDP_CGE!$A$3:$A$24,0),MATCH(AN$9,GDP_CGE!$A$3:$AN$3,0)),GDP_Simple!AU21)</f>
        <v>37.252940125908957</v>
      </c>
      <c r="AO19">
        <f>IF($C$3="CGE",INDEX(GDP_CGE!$A$3:$AN$24,MATCH($A19,GDP_CGE!$A$3:$A$24,0),MATCH(AO$9,GDP_CGE!$A$3:$AN$3,0)),GDP_Simple!AV21)</f>
        <v>38.105392121254276</v>
      </c>
      <c r="AP19">
        <f>IF($C$3="CGE",INDEX(GDP_CGE!$A$3:$AN$24,MATCH($A19,GDP_CGE!$A$3:$A$24,0),MATCH(AP$9,GDP_CGE!$A$3:$AN$3,0)),GDP_Simple!AW21)</f>
        <v>38.906301377346196</v>
      </c>
      <c r="AQ19">
        <f>IF($C$3="CGE",INDEX(GDP_CGE!$A$3:$AN$24,MATCH($A19,GDP_CGE!$A$3:$A$24,0),MATCH(AQ$9,GDP_CGE!$A$3:$AN$3,0)),GDP_Simple!AX21)</f>
        <v>39.651679033891874</v>
      </c>
      <c r="AR19">
        <f>IF($C$3="CGE",INDEX(GDP_CGE!$A$3:$AN$24,MATCH($A19,GDP_CGE!$A$3:$A$24,0),MATCH(AR$9,GDP_CGE!$A$3:$AN$3,0)),GDP_Simple!AY21)</f>
        <v>40.337747382670514</v>
      </c>
      <c r="AS19">
        <f>IF($C$3="CGE",INDEX(GDP_CGE!$A$3:$AN$24,MATCH($A19,GDP_CGE!$A$3:$A$24,0),MATCH(AS$9,GDP_CGE!$A$3:$AN$3,0)),GDP_Simple!AZ21)</f>
        <v>40.960971778326609</v>
      </c>
      <c r="AT19">
        <f>IF($C$3="CGE",INDEX(GDP_CGE!$A$3:$AN$24,MATCH($A19,GDP_CGE!$A$3:$A$24,0),MATCH(AT$9,GDP_CGE!$A$3:$AN$3,0)),GDP_Simple!BA21)</f>
        <v>41.518091066041428</v>
      </c>
      <c r="AU19">
        <f>IF($C$3="CGE",INDEX(GDP_CGE!$A$3:$AN$24,MATCH($A19,GDP_CGE!$A$3:$A$24,0),MATCH(AU$9,GDP_CGE!$A$3:$AN$3,0)),GDP_Simple!BB21)</f>
        <v>42.006146164320789</v>
      </c>
      <c r="AV19">
        <f>IF($C$3="CGE",INDEX(GDP_CGE!$A$3:$AN$24,MATCH($A19,GDP_CGE!$A$3:$A$24,0),MATCH(AV$9,GDP_CGE!$A$3:$AN$3,0)),GDP_Simple!BC21)</f>
        <v>42.422506456393549</v>
      </c>
      <c r="AW19">
        <f>IF($C$3="CGE",INDEX(GDP_CGE!$A$3:$AN$24,MATCH($A19,GDP_CGE!$A$3:$A$24,0),MATCH(AW$9,GDP_CGE!$A$3:$AN$3,0)),GDP_Simple!BD21)</f>
        <v>42.764893664303578</v>
      </c>
      <c r="AX19">
        <f>IF($C$3="CGE",INDEX(GDP_CGE!$A$3:$AN$24,MATCH($A19,GDP_CGE!$A$3:$A$24,0),MATCH(AX$9,GDP_CGE!$A$3:$AN$3,0)),GDP_Simple!BE21)</f>
        <v>43.03140290548248</v>
      </c>
      <c r="AY19">
        <f>IF($C$3="CGE",INDEX(GDP_CGE!$A$3:$AN$24,MATCH($A19,GDP_CGE!$A$3:$A$24,0),MATCH(AY$9,GDP_CGE!$A$3:$AN$3,0)),GDP_Simple!BF21)</f>
        <v>43.220520662099197</v>
      </c>
      <c r="AZ19">
        <f>IF($C$3="CGE",INDEX(GDP_CGE!$A$3:$AN$24,MATCH($A19,GDP_CGE!$A$3:$A$24,0),MATCH(AZ$9,GDP_CGE!$A$3:$AN$3,0)),GDP_Simple!BG21)</f>
        <v>43.331139428388205</v>
      </c>
      <c r="BA19">
        <f>IF($C$3="CGE",INDEX(GDP_CGE!$A$3:$AN$24,MATCH($A19,GDP_CGE!$A$3:$A$24,0),MATCH(BA$9,GDP_CGE!$A$3:$AN$3,0)),GDP_Simple!BH21)</f>
        <v>43.362568839971111</v>
      </c>
    </row>
    <row r="20" spans="1:53" x14ac:dyDescent="0.25">
      <c r="A20" s="3" t="s">
        <v>31</v>
      </c>
      <c r="B20">
        <f>IF($C$3="CGE",INDEX(GDP_CGE!$A$3:$AN$24,MATCH($A20,GDP_CGE!$A$3:$A$24,0),MATCH(B$9,GDP_CGE!$A$3:$AN$3,0)),GDP_Simple!I22)</f>
        <v>0.12</v>
      </c>
      <c r="C20">
        <f>IF($C$3="CGE",INDEX(GDP_CGE!$A$3:$AN$24,MATCH($A20,GDP_CGE!$A$3:$A$24,0),MATCH(C$9,GDP_CGE!$A$3:$AN$3,0)),GDP_Simple!J22)</f>
        <v>0.12</v>
      </c>
      <c r="D20">
        <f>IF($C$3="CGE",INDEX(GDP_CGE!$A$3:$AN$24,MATCH($A20,GDP_CGE!$A$3:$A$24,0),MATCH(D$9,GDP_CGE!$A$3:$AN$3,0)),GDP_Simple!K22)</f>
        <v>0.11586841705592502</v>
      </c>
      <c r="E20">
        <f>IF($C$3="CGE",INDEX(GDP_CGE!$A$3:$AN$24,MATCH($A20,GDP_CGE!$A$3:$A$24,0),MATCH(E$9,GDP_CGE!$A$3:$AN$3,0)),GDP_Simple!L22)</f>
        <v>0.11831411839320813</v>
      </c>
      <c r="F20">
        <f>IF($C$3="CGE",INDEX(GDP_CGE!$A$3:$AN$24,MATCH($A20,GDP_CGE!$A$3:$A$24,0),MATCH(F$9,GDP_CGE!$A$3:$AN$3,0)),GDP_Simple!M22)</f>
        <v>0.11852091440640911</v>
      </c>
      <c r="G20">
        <f>IF($C$3="CGE",INDEX(GDP_CGE!$A$3:$AN$24,MATCH($A20,GDP_CGE!$A$3:$A$24,0),MATCH(G$9,GDP_CGE!$A$3:$AN$3,0)),GDP_Simple!N22)</f>
        <v>0.11973070357401551</v>
      </c>
      <c r="H20">
        <f>IF($C$3="CGE",INDEX(GDP_CGE!$A$3:$AN$24,MATCH($A20,GDP_CGE!$A$3:$A$24,0),MATCH(H$9,GDP_CGE!$A$3:$AN$3,0)),GDP_Simple!O22)</f>
        <v>0.12102140655434204</v>
      </c>
      <c r="I20">
        <f>IF($C$3="CGE",INDEX(GDP_CGE!$A$3:$AN$24,MATCH($A20,GDP_CGE!$A$3:$A$24,0),MATCH(I$9,GDP_CGE!$A$3:$AN$3,0)),GDP_Simple!P22)</f>
        <v>0.12292908417697886</v>
      </c>
      <c r="J20">
        <f>IF($C$3="CGE",INDEX(GDP_CGE!$A$3:$AN$24,MATCH($A20,GDP_CGE!$A$3:$A$24,0),MATCH(J$9,GDP_CGE!$A$3:$AN$3,0)),GDP_Simple!Q22)</f>
        <v>0.12508575601845712</v>
      </c>
      <c r="K20">
        <f>IF($C$3="CGE",INDEX(GDP_CGE!$A$3:$AN$24,MATCH($A20,GDP_CGE!$A$3:$A$24,0),MATCH(K$9,GDP_CGE!$A$3:$AN$3,0)),GDP_Simple!R22)</f>
        <v>0.12744742087610472</v>
      </c>
      <c r="L20">
        <f>IF($C$3="CGE",INDEX(GDP_CGE!$A$3:$AN$24,MATCH($A20,GDP_CGE!$A$3:$A$24,0),MATCH(L$9,GDP_CGE!$A$3:$AN$3,0)),GDP_Simple!S22)</f>
        <v>0.13042325480591818</v>
      </c>
      <c r="M20">
        <f>IF($C$3="CGE",INDEX(GDP_CGE!$A$3:$AN$24,MATCH($A20,GDP_CGE!$A$3:$A$24,0),MATCH(M$9,GDP_CGE!$A$3:$AN$3,0)),GDP_Simple!T22)</f>
        <v>0.13404454913941219</v>
      </c>
      <c r="N20">
        <f>IF($C$3="CGE",INDEX(GDP_CGE!$A$3:$AN$24,MATCH($A20,GDP_CGE!$A$3:$A$24,0),MATCH(N$9,GDP_CGE!$A$3:$AN$3,0)),GDP_Simple!U22)</f>
        <v>0.1383319378866314</v>
      </c>
      <c r="O20">
        <f>IF($C$3="CGE",INDEX(GDP_CGE!$A$3:$AN$24,MATCH($A20,GDP_CGE!$A$3:$A$24,0),MATCH(O$9,GDP_CGE!$A$3:$AN$3,0)),GDP_Simple!V22)</f>
        <v>0.14281179236806943</v>
      </c>
      <c r="P20">
        <f>IF($C$3="CGE",INDEX(GDP_CGE!$A$3:$AN$24,MATCH($A20,GDP_CGE!$A$3:$A$24,0),MATCH(P$9,GDP_CGE!$A$3:$AN$3,0)),GDP_Simple!W22)</f>
        <v>0.14768565471132117</v>
      </c>
      <c r="Q20">
        <f>IF($C$3="CGE",INDEX(GDP_CGE!$A$3:$AN$24,MATCH($A20,GDP_CGE!$A$3:$A$24,0),MATCH(Q$9,GDP_CGE!$A$3:$AN$3,0)),GDP_Simple!X22)</f>
        <v>0.15314848556176477</v>
      </c>
      <c r="R20">
        <f>IF($C$3="CGE",INDEX(GDP_CGE!$A$3:$AN$24,MATCH($A20,GDP_CGE!$A$3:$A$24,0),MATCH(R$9,GDP_CGE!$A$3:$AN$3,0)),GDP_Simple!Y22)</f>
        <v>0.15908212750576584</v>
      </c>
      <c r="S20">
        <f>IF($C$3="CGE",INDEX(GDP_CGE!$A$3:$AN$24,MATCH($A20,GDP_CGE!$A$3:$A$24,0),MATCH(S$9,GDP_CGE!$A$3:$AN$3,0)),GDP_Simple!Z22)</f>
        <v>0.16535810145779506</v>
      </c>
      <c r="T20">
        <f>IF($C$3="CGE",INDEX(GDP_CGE!$A$3:$AN$24,MATCH($A20,GDP_CGE!$A$3:$A$24,0),MATCH(T$9,GDP_CGE!$A$3:$AN$3,0)),GDP_Simple!AA22)</f>
        <v>0.17193825038694913</v>
      </c>
      <c r="U20">
        <f>IF($C$3="CGE",INDEX(GDP_CGE!$A$3:$AN$24,MATCH($A20,GDP_CGE!$A$3:$A$24,0),MATCH(U$9,GDP_CGE!$A$3:$AN$3,0)),GDP_Simple!AB22)</f>
        <v>0.1789107087762675</v>
      </c>
      <c r="V20">
        <f>IF($C$3="CGE",INDEX(GDP_CGE!$A$3:$AN$24,MATCH($A20,GDP_CGE!$A$3:$A$24,0),MATCH(V$9,GDP_CGE!$A$3:$AN$3,0)),GDP_Simple!AC22)</f>
        <v>0.18598765117273627</v>
      </c>
      <c r="W20">
        <f>IF($C$3="CGE",INDEX(GDP_CGE!$A$3:$AN$24,MATCH($A20,GDP_CGE!$A$3:$A$24,0),MATCH(W$9,GDP_CGE!$A$3:$AN$3,0)),GDP_Simple!AD22)</f>
        <v>0.19309398236468098</v>
      </c>
      <c r="X20">
        <f>IF($C$3="CGE",INDEX(GDP_CGE!$A$3:$AN$24,MATCH($A20,GDP_CGE!$A$3:$A$24,0),MATCH(X$9,GDP_CGE!$A$3:$AN$3,0)),GDP_Simple!AE22)</f>
        <v>0.2004246667299148</v>
      </c>
      <c r="Y20">
        <f>IF($C$3="CGE",INDEX(GDP_CGE!$A$3:$AN$24,MATCH($A20,GDP_CGE!$A$3:$A$24,0),MATCH(Y$9,GDP_CGE!$A$3:$AN$3,0)),GDP_Simple!AF22)</f>
        <v>0.20764865757733092</v>
      </c>
      <c r="Z20">
        <f>IF($C$3="CGE",INDEX(GDP_CGE!$A$3:$AN$24,MATCH($A20,GDP_CGE!$A$3:$A$24,0),MATCH(Z$9,GDP_CGE!$A$3:$AN$3,0)),GDP_Simple!AG22)</f>
        <v>0.21514236512882909</v>
      </c>
      <c r="AA20">
        <f>IF($C$3="CGE",INDEX(GDP_CGE!$A$3:$AN$24,MATCH($A20,GDP_CGE!$A$3:$A$24,0),MATCH(AA$9,GDP_CGE!$A$3:$AN$3,0)),GDP_Simple!AH22)</f>
        <v>0.22299952850161534</v>
      </c>
      <c r="AB20">
        <f>IF($C$3="CGE",INDEX(GDP_CGE!$A$3:$AN$24,MATCH($A20,GDP_CGE!$A$3:$A$24,0),MATCH(AB$9,GDP_CGE!$A$3:$AN$3,0)),GDP_Simple!AI22)</f>
        <v>0.23125044258822566</v>
      </c>
      <c r="AC20">
        <f>IF($C$3="CGE",INDEX(GDP_CGE!$A$3:$AN$24,MATCH($A20,GDP_CGE!$A$3:$A$24,0),MATCH(AC$9,GDP_CGE!$A$3:$AN$3,0)),GDP_Simple!AJ22)</f>
        <v>0.23991771462225109</v>
      </c>
      <c r="AD20">
        <f>IF($C$3="CGE",INDEX(GDP_CGE!$A$3:$AN$24,MATCH($A20,GDP_CGE!$A$3:$A$24,0),MATCH(AD$9,GDP_CGE!$A$3:$AN$3,0)),GDP_Simple!AK22)</f>
        <v>0.2484379027572686</v>
      </c>
      <c r="AE20">
        <f>IF($C$3="CGE",INDEX(GDP_CGE!$A$3:$AN$24,MATCH($A20,GDP_CGE!$A$3:$A$24,0),MATCH(AE$9,GDP_CGE!$A$3:$AN$3,0)),GDP_Simple!AL22)</f>
        <v>0.25738177937910189</v>
      </c>
      <c r="AF20">
        <f>IF($C$3="CGE",INDEX(GDP_CGE!$A$3:$AN$24,MATCH($A20,GDP_CGE!$A$3:$A$24,0),MATCH(AF$9,GDP_CGE!$A$3:$AN$3,0)),GDP_Simple!AM22)</f>
        <v>0.266968720409265</v>
      </c>
      <c r="AG20">
        <f>IF($C$3="CGE",INDEX(GDP_CGE!$A$3:$AN$24,MATCH($A20,GDP_CGE!$A$3:$A$24,0),MATCH(AG$9,GDP_CGE!$A$3:$AN$3,0)),GDP_Simple!AN22)</f>
        <v>0.27712396209495171</v>
      </c>
      <c r="AH20">
        <f>IF($C$3="CGE",INDEX(GDP_CGE!$A$3:$AN$24,MATCH($A20,GDP_CGE!$A$3:$A$24,0),MATCH(AH$9,GDP_CGE!$A$3:$AN$3,0)),GDP_Simple!AO22)</f>
        <v>0.28713193121586139</v>
      </c>
      <c r="AI20">
        <f>IF($C$3="CGE",INDEX(GDP_CGE!$A$3:$AN$24,MATCH($A20,GDP_CGE!$A$3:$A$24,0),MATCH(AI$9,GDP_CGE!$A$3:$AN$3,0)),GDP_Simple!AP22)</f>
        <v>0.29695156550113805</v>
      </c>
      <c r="AJ20">
        <f>IF($C$3="CGE",INDEX(GDP_CGE!$A$3:$AN$24,MATCH($A20,GDP_CGE!$A$3:$A$24,0),MATCH(AJ$9,GDP_CGE!$A$3:$AN$3,0)),GDP_Simple!AQ22)</f>
        <v>0.30654133416145524</v>
      </c>
      <c r="AK20">
        <f>IF($C$3="CGE",INDEX(GDP_CGE!$A$3:$AN$24,MATCH($A20,GDP_CGE!$A$3:$A$24,0),MATCH(AK$9,GDP_CGE!$A$3:$AN$3,0)),GDP_Simple!AR22)</f>
        <v>0.31585949857298012</v>
      </c>
      <c r="AL20">
        <f>IF($C$3="CGE",INDEX(GDP_CGE!$A$3:$AN$24,MATCH($A20,GDP_CGE!$A$3:$A$24,0),MATCH(AL$9,GDP_CGE!$A$3:$AN$3,0)),GDP_Simple!AS22)</f>
        <v>0.32486440595661764</v>
      </c>
      <c r="AM20">
        <f>IF($C$3="CGE",INDEX(GDP_CGE!$A$3:$AN$24,MATCH($A20,GDP_CGE!$A$3:$A$24,0),MATCH(AM$9,GDP_CGE!$A$3:$AN$3,0)),GDP_Simple!AT22)</f>
        <v>0.33351479248925975</v>
      </c>
      <c r="AN20">
        <f>IF($C$3="CGE",INDEX(GDP_CGE!$A$3:$AN$24,MATCH($A20,GDP_CGE!$A$3:$A$24,0),MATCH(AN$9,GDP_CGE!$A$3:$AN$3,0)),GDP_Simple!AU22)</f>
        <v>0.34177009289824734</v>
      </c>
      <c r="AO20">
        <f>IF($C$3="CGE",INDEX(GDP_CGE!$A$3:$AN$24,MATCH($A20,GDP_CGE!$A$3:$A$24,0),MATCH(AO$9,GDP_CGE!$A$3:$AN$3,0)),GDP_Simple!AV22)</f>
        <v>0.34959075340600249</v>
      </c>
      <c r="AP20">
        <f>IF($C$3="CGE",INDEX(GDP_CGE!$A$3:$AN$24,MATCH($A20,GDP_CGE!$A$3:$A$24,0),MATCH(AP$9,GDP_CGE!$A$3:$AN$3,0)),GDP_Simple!AW22)</f>
        <v>0.35693854474629533</v>
      </c>
      <c r="AQ20">
        <f>IF($C$3="CGE",INDEX(GDP_CGE!$A$3:$AN$24,MATCH($A20,GDP_CGE!$A$3:$A$24,0),MATCH(AQ$9,GDP_CGE!$A$3:$AN$3,0)),GDP_Simple!AX22)</f>
        <v>0.36377687187056762</v>
      </c>
      <c r="AR20">
        <f>IF($C$3="CGE",INDEX(GDP_CGE!$A$3:$AN$24,MATCH($A20,GDP_CGE!$A$3:$A$24,0),MATCH(AR$9,GDP_CGE!$A$3:$AN$3,0)),GDP_Simple!AY22)</f>
        <v>0.37007107690523405</v>
      </c>
      <c r="AS20">
        <f>IF($C$3="CGE",INDEX(GDP_CGE!$A$3:$AN$24,MATCH($A20,GDP_CGE!$A$3:$A$24,0),MATCH(AS$9,GDP_CGE!$A$3:$AN$3,0)),GDP_Simple!AZ22)</f>
        <v>0.37578873191125328</v>
      </c>
      <c r="AT20">
        <f>IF($C$3="CGE",INDEX(GDP_CGE!$A$3:$AN$24,MATCH($A20,GDP_CGE!$A$3:$A$24,0),MATCH(AT$9,GDP_CGE!$A$3:$AN$3,0)),GDP_Simple!BA22)</f>
        <v>0.38089991803707729</v>
      </c>
      <c r="AU20">
        <f>IF($C$3="CGE",INDEX(GDP_CGE!$A$3:$AN$24,MATCH($A20,GDP_CGE!$A$3:$A$24,0),MATCH(AU$9,GDP_CGE!$A$3:$AN$3,0)),GDP_Simple!BB22)</f>
        <v>0.38537748774606229</v>
      </c>
      <c r="AV20">
        <f>IF($C$3="CGE",INDEX(GDP_CGE!$A$3:$AN$24,MATCH($A20,GDP_CGE!$A$3:$A$24,0),MATCH(AV$9,GDP_CGE!$A$3:$AN$3,0)),GDP_Simple!BC22)</f>
        <v>0.38919730693939036</v>
      </c>
      <c r="AW20">
        <f>IF($C$3="CGE",INDEX(GDP_CGE!$A$3:$AN$24,MATCH($A20,GDP_CGE!$A$3:$A$24,0),MATCH(AW$9,GDP_CGE!$A$3:$AN$3,0)),GDP_Simple!BD22)</f>
        <v>0.3923384739844365</v>
      </c>
      <c r="AX20">
        <f>IF($C$3="CGE",INDEX(GDP_CGE!$A$3:$AN$24,MATCH($A20,GDP_CGE!$A$3:$A$24,0),MATCH(AX$9,GDP_CGE!$A$3:$AN$3,0)),GDP_Simple!BE22)</f>
        <v>0.39478351289433466</v>
      </c>
      <c r="AY20">
        <f>IF($C$3="CGE",INDEX(GDP_CGE!$A$3:$AN$24,MATCH($A20,GDP_CGE!$A$3:$A$24,0),MATCH(AY$9,GDP_CGE!$A$3:$AN$3,0)),GDP_Simple!BF22)</f>
        <v>0.39651853818439625</v>
      </c>
      <c r="AZ20">
        <f>IF($C$3="CGE",INDEX(GDP_CGE!$A$3:$AN$24,MATCH($A20,GDP_CGE!$A$3:$A$24,0),MATCH(AZ$9,GDP_CGE!$A$3:$AN$3,0)),GDP_Simple!BG22)</f>
        <v>0.39753338925126791</v>
      </c>
      <c r="BA20">
        <f>IF($C$3="CGE",INDEX(GDP_CGE!$A$3:$AN$24,MATCH($A20,GDP_CGE!$A$3:$A$24,0),MATCH(BA$9,GDP_CGE!$A$3:$AN$3,0)),GDP_Simple!BH22)</f>
        <v>0.39782173247679914</v>
      </c>
    </row>
    <row r="21" spans="1:53" x14ac:dyDescent="0.25">
      <c r="A21" s="3" t="s">
        <v>32</v>
      </c>
      <c r="B21">
        <f>IF($C$3="CGE",INDEX(GDP_CGE!$A$3:$AN$24,MATCH($A21,GDP_CGE!$A$3:$A$24,0),MATCH(B$9,GDP_CGE!$A$3:$AN$3,0)),GDP_Simple!I23)</f>
        <v>142.18</v>
      </c>
      <c r="C21">
        <f>IF($C$3="CGE",INDEX(GDP_CGE!$A$3:$AN$24,MATCH($A21,GDP_CGE!$A$3:$A$24,0),MATCH(C$9,GDP_CGE!$A$3:$AN$3,0)),GDP_Simple!J23)</f>
        <v>135.41</v>
      </c>
      <c r="D21">
        <f>IF($C$3="CGE",INDEX(GDP_CGE!$A$3:$AN$24,MATCH($A21,GDP_CGE!$A$3:$A$24,0),MATCH(D$9,GDP_CGE!$A$3:$AN$3,0)),GDP_Simple!K23)</f>
        <v>137.2847628084285</v>
      </c>
      <c r="E21">
        <f>IF($C$3="CGE",INDEX(GDP_CGE!$A$3:$AN$24,MATCH($A21,GDP_CGE!$A$3:$A$24,0),MATCH(E$9,GDP_CGE!$A$3:$AN$3,0)),GDP_Simple!L23)</f>
        <v>140.18251127621943</v>
      </c>
      <c r="F21">
        <f>IF($C$3="CGE",INDEX(GDP_CGE!$A$3:$AN$24,MATCH($A21,GDP_CGE!$A$3:$A$24,0),MATCH(F$9,GDP_CGE!$A$3:$AN$3,0)),GDP_Simple!M23)</f>
        <v>140.42753008586038</v>
      </c>
      <c r="G21">
        <f>IF($C$3="CGE",INDEX(GDP_CGE!$A$3:$AN$24,MATCH($A21,GDP_CGE!$A$3:$A$24,0),MATCH(G$9,GDP_CGE!$A$3:$AN$3,0)),GDP_Simple!N23)</f>
        <v>141.86092861794606</v>
      </c>
      <c r="H21">
        <f>IF($C$3="CGE",INDEX(GDP_CGE!$A$3:$AN$24,MATCH($A21,GDP_CGE!$A$3:$A$24,0),MATCH(H$9,GDP_CGE!$A$3:$AN$3,0)),GDP_Simple!O23)</f>
        <v>143.39019653246962</v>
      </c>
      <c r="I21">
        <f>IF($C$3="CGE",INDEX(GDP_CGE!$A$3:$AN$24,MATCH($A21,GDP_CGE!$A$3:$A$24,0),MATCH(I$9,GDP_CGE!$A$3:$AN$3,0)),GDP_Simple!P23)</f>
        <v>145.65047656902379</v>
      </c>
      <c r="J21">
        <f>IF($C$3="CGE",INDEX(GDP_CGE!$A$3:$AN$24,MATCH($A21,GDP_CGE!$A$3:$A$24,0),MATCH(J$9,GDP_CGE!$A$3:$AN$3,0)),GDP_Simple!Q23)</f>
        <v>148.20577325586862</v>
      </c>
      <c r="K21">
        <f>IF($C$3="CGE",INDEX(GDP_CGE!$A$3:$AN$24,MATCH($A21,GDP_CGE!$A$3:$A$24,0),MATCH(K$9,GDP_CGE!$A$3:$AN$3,0)),GDP_Simple!R23)</f>
        <v>151.00395250137143</v>
      </c>
      <c r="L21">
        <f>IF($C$3="CGE",INDEX(GDP_CGE!$A$3:$AN$24,MATCH($A21,GDP_CGE!$A$3:$A$24,0),MATCH(L$9,GDP_CGE!$A$3:$AN$3,0)),GDP_Simple!S23)</f>
        <v>154.52981973587873</v>
      </c>
      <c r="M21">
        <f>IF($C$3="CGE",INDEX(GDP_CGE!$A$3:$AN$24,MATCH($A21,GDP_CGE!$A$3:$A$24,0),MATCH(M$9,GDP_CGE!$A$3:$AN$3,0)),GDP_Simple!T23)</f>
        <v>158.82044997201353</v>
      </c>
      <c r="N21">
        <f>IF($C$3="CGE",INDEX(GDP_CGE!$A$3:$AN$24,MATCH($A21,GDP_CGE!$A$3:$A$24,0),MATCH(N$9,GDP_CGE!$A$3:$AN$3,0)),GDP_Simple!U23)</f>
        <v>163.90029107267711</v>
      </c>
      <c r="O21">
        <f>IF($C$3="CGE",INDEX(GDP_CGE!$A$3:$AN$24,MATCH($A21,GDP_CGE!$A$3:$A$24,0),MATCH(O$9,GDP_CGE!$A$3:$AN$3,0)),GDP_Simple!V23)</f>
        <v>169.2081719907676</v>
      </c>
      <c r="P21">
        <f>IF($C$3="CGE",INDEX(GDP_CGE!$A$3:$AN$24,MATCH($A21,GDP_CGE!$A$3:$A$24,0),MATCH(P$9,GDP_CGE!$A$3:$AN$3,0)),GDP_Simple!W23)</f>
        <v>174.98288655713037</v>
      </c>
      <c r="Q21">
        <f>IF($C$3="CGE",INDEX(GDP_CGE!$A$3:$AN$24,MATCH($A21,GDP_CGE!$A$3:$A$24,0),MATCH(Q$9,GDP_CGE!$A$3:$AN$3,0)),GDP_Simple!X23)</f>
        <v>181.45543064309763</v>
      </c>
      <c r="R21">
        <f>IF($C$3="CGE",INDEX(GDP_CGE!$A$3:$AN$24,MATCH($A21,GDP_CGE!$A$3:$A$24,0),MATCH(R$9,GDP_CGE!$A$3:$AN$3,0)),GDP_Simple!Y23)</f>
        <v>188.48580740641492</v>
      </c>
      <c r="S21">
        <f>IF($C$3="CGE",INDEX(GDP_CGE!$A$3:$AN$24,MATCH($A21,GDP_CGE!$A$3:$A$24,0),MATCH(S$9,GDP_CGE!$A$3:$AN$3,0)),GDP_Simple!Z23)</f>
        <v>195.92179054391087</v>
      </c>
      <c r="T21">
        <f>IF($C$3="CGE",INDEX(GDP_CGE!$A$3:$AN$24,MATCH($A21,GDP_CGE!$A$3:$A$24,0),MATCH(T$9,GDP_CGE!$A$3:$AN$3,0)),GDP_Simple!AA23)</f>
        <v>203.71817033347023</v>
      </c>
      <c r="U21">
        <f>IF($C$3="CGE",INDEX(GDP_CGE!$A$3:$AN$24,MATCH($A21,GDP_CGE!$A$3:$A$24,0),MATCH(U$9,GDP_CGE!$A$3:$AN$3,0)),GDP_Simple!AB23)</f>
        <v>211.9793714484143</v>
      </c>
      <c r="V21">
        <f>IF($C$3="CGE",INDEX(GDP_CGE!$A$3:$AN$24,MATCH($A21,GDP_CGE!$A$3:$A$24,0),MATCH(V$9,GDP_CGE!$A$3:$AN$3,0)),GDP_Simple!AC23)</f>
        <v>220.36436869783037</v>
      </c>
      <c r="W21">
        <f>IF($C$3="CGE",INDEX(GDP_CGE!$A$3:$AN$24,MATCH($A21,GDP_CGE!$A$3:$A$24,0),MATCH(W$9,GDP_CGE!$A$3:$AN$3,0)),GDP_Simple!AD23)</f>
        <v>228.78418677175287</v>
      </c>
      <c r="X21">
        <f>IF($C$3="CGE",INDEX(GDP_CGE!$A$3:$AN$24,MATCH($A21,GDP_CGE!$A$3:$A$24,0),MATCH(X$9,GDP_CGE!$A$3:$AN$3,0)),GDP_Simple!AE23)</f>
        <v>237.46982596382739</v>
      </c>
      <c r="Y21">
        <f>IF($C$3="CGE",INDEX(GDP_CGE!$A$3:$AN$24,MATCH($A21,GDP_CGE!$A$3:$A$24,0),MATCH(Y$9,GDP_CGE!$A$3:$AN$3,0)),GDP_Simple!AF23)</f>
        <v>246.02905111954092</v>
      </c>
      <c r="Z21">
        <f>IF($C$3="CGE",INDEX(GDP_CGE!$A$3:$AN$24,MATCH($A21,GDP_CGE!$A$3:$A$24,0),MATCH(Z$9,GDP_CGE!$A$3:$AN$3,0)),GDP_Simple!AG23)</f>
        <v>254.90784561680769</v>
      </c>
      <c r="AA21">
        <f>IF($C$3="CGE",INDEX(GDP_CGE!$A$3:$AN$24,MATCH($A21,GDP_CGE!$A$3:$A$24,0),MATCH(AA$9,GDP_CGE!$A$3:$AN$3,0)),GDP_Simple!AH23)</f>
        <v>264.2172746863306</v>
      </c>
      <c r="AB21">
        <f>IF($C$3="CGE",INDEX(GDP_CGE!$A$3:$AN$24,MATCH($A21,GDP_CGE!$A$3:$A$24,0),MATCH(AB$9,GDP_CGE!$A$3:$AN$3,0)),GDP_Simple!AI23)</f>
        <v>273.9932327266161</v>
      </c>
      <c r="AC21">
        <f>IF($C$3="CGE",INDEX(GDP_CGE!$A$3:$AN$24,MATCH($A21,GDP_CGE!$A$3:$A$24,0),MATCH(AC$9,GDP_CGE!$A$3:$AN$3,0)),GDP_Simple!AJ23)</f>
        <v>284.26250554159719</v>
      </c>
      <c r="AD21">
        <f>IF($C$3="CGE",INDEX(GDP_CGE!$A$3:$AN$24,MATCH($A21,GDP_CGE!$A$3:$A$24,0),MATCH(AD$9,GDP_CGE!$A$3:$AN$3,0)),GDP_Simple!AK23)</f>
        <v>294.35750845023711</v>
      </c>
      <c r="AE21">
        <f>IF($C$3="CGE",INDEX(GDP_CGE!$A$3:$AN$24,MATCH($A21,GDP_CGE!$A$3:$A$24,0),MATCH(AE$9,GDP_CGE!$A$3:$AN$3,0)),GDP_Simple!AL23)</f>
        <v>304.95451160100595</v>
      </c>
      <c r="AF21">
        <f>IF($C$3="CGE",INDEX(GDP_CGE!$A$3:$AN$24,MATCH($A21,GDP_CGE!$A$3:$A$24,0),MATCH(AF$9,GDP_CGE!$A$3:$AN$3,0)),GDP_Simple!AM23)</f>
        <v>316.31343889824416</v>
      </c>
      <c r="AG21">
        <f>IF($C$3="CGE",INDEX(GDP_CGE!$A$3:$AN$24,MATCH($A21,GDP_CGE!$A$3:$A$24,0),MATCH(AG$9,GDP_CGE!$A$3:$AN$3,0)),GDP_Simple!AN23)</f>
        <v>328.34570775550196</v>
      </c>
      <c r="AH21">
        <f>IF($C$3="CGE",INDEX(GDP_CGE!$A$3:$AN$24,MATCH($A21,GDP_CGE!$A$3:$A$24,0),MATCH(AH$9,GDP_CGE!$A$3:$AN$3,0)),GDP_Simple!AO23)</f>
        <v>340.20348316892648</v>
      </c>
      <c r="AI21">
        <f>IF($C$3="CGE",INDEX(GDP_CGE!$A$3:$AN$24,MATCH($A21,GDP_CGE!$A$3:$A$24,0),MATCH(AI$9,GDP_CGE!$A$3:$AN$3,0)),GDP_Simple!AP23)</f>
        <v>351.83811319126511</v>
      </c>
      <c r="AJ21">
        <f>IF($C$3="CGE",INDEX(GDP_CGE!$A$3:$AN$24,MATCH($A21,GDP_CGE!$A$3:$A$24,0),MATCH(AJ$9,GDP_CGE!$A$3:$AN$3,0)),GDP_Simple!AQ23)</f>
        <v>363.2003907589642</v>
      </c>
      <c r="AK21">
        <f>IF($C$3="CGE",INDEX(GDP_CGE!$A$3:$AN$24,MATCH($A21,GDP_CGE!$A$3:$A$24,0),MATCH(AK$9,GDP_CGE!$A$3:$AN$3,0)),GDP_Simple!AR23)</f>
        <v>374.24086255921935</v>
      </c>
      <c r="AL21">
        <f>IF($C$3="CGE",INDEX(GDP_CGE!$A$3:$AN$24,MATCH($A21,GDP_CGE!$A$3:$A$24,0),MATCH(AL$9,GDP_CGE!$A$3:$AN$3,0)),GDP_Simple!AS23)</f>
        <v>384.91017699093248</v>
      </c>
      <c r="AM21">
        <f>IF($C$3="CGE",INDEX(GDP_CGE!$A$3:$AN$24,MATCH($A21,GDP_CGE!$A$3:$A$24,0),MATCH(AM$9,GDP_CGE!$A$3:$AN$3,0)),GDP_Simple!AT23)</f>
        <v>395.15944330102462</v>
      </c>
      <c r="AN21">
        <f>IF($C$3="CGE",INDEX(GDP_CGE!$A$3:$AN$24,MATCH($A21,GDP_CGE!$A$3:$A$24,0),MATCH(AN$9,GDP_CGE!$A$3:$AN$3,0)),GDP_Simple!AU23)</f>
        <v>404.94059840227339</v>
      </c>
      <c r="AO21">
        <f>IF($C$3="CGE",INDEX(GDP_CGE!$A$3:$AN$24,MATCH($A21,GDP_CGE!$A$3:$A$24,0),MATCH(AO$9,GDP_CGE!$A$3:$AN$3,0)),GDP_Simple!AV23)</f>
        <v>414.2067776605453</v>
      </c>
      <c r="AP21">
        <f>IF($C$3="CGE",INDEX(GDP_CGE!$A$3:$AN$24,MATCH($A21,GDP_CGE!$A$3:$A$24,0),MATCH(AP$9,GDP_CGE!$A$3:$AN$3,0)),GDP_Simple!AW23)</f>
        <v>422.91268576690231</v>
      </c>
      <c r="AQ21">
        <f>IF($C$3="CGE",INDEX(GDP_CGE!$A$3:$AN$24,MATCH($A21,GDP_CGE!$A$3:$A$24,0),MATCH(AQ$9,GDP_CGE!$A$3:$AN$3,0)),GDP_Simple!AX23)</f>
        <v>431.01496368797757</v>
      </c>
      <c r="AR21">
        <f>IF($C$3="CGE",INDEX(GDP_CGE!$A$3:$AN$24,MATCH($A21,GDP_CGE!$A$3:$A$24,0),MATCH(AR$9,GDP_CGE!$A$3:$AN$3,0)),GDP_Simple!AY23)</f>
        <v>438.47254761988484</v>
      </c>
      <c r="AS21">
        <f>IF($C$3="CGE",INDEX(GDP_CGE!$A$3:$AN$24,MATCH($A21,GDP_CGE!$A$3:$A$24,0),MATCH(AS$9,GDP_CGE!$A$3:$AN$3,0)),GDP_Simple!AZ23)</f>
        <v>445.24701585951664</v>
      </c>
      <c r="AT21">
        <f>IF($C$3="CGE",INDEX(GDP_CGE!$A$3:$AN$24,MATCH($A21,GDP_CGE!$A$3:$A$24,0),MATCH(AT$9,GDP_CGE!$A$3:$AN$3,0)),GDP_Simple!BA23)</f>
        <v>451.30291955426378</v>
      </c>
      <c r="AU21">
        <f>IF($C$3="CGE",INDEX(GDP_CGE!$A$3:$AN$24,MATCH($A21,GDP_CGE!$A$3:$A$24,0),MATCH(AU$9,GDP_CGE!$A$3:$AN$3,0)),GDP_Simple!BB23)</f>
        <v>456.6080933977928</v>
      </c>
      <c r="AV21">
        <f>IF($C$3="CGE",INDEX(GDP_CGE!$A$3:$AN$24,MATCH($A21,GDP_CGE!$A$3:$A$24,0),MATCH(AV$9,GDP_CGE!$A$3:$AN$3,0)),GDP_Simple!BC23)</f>
        <v>461.13394250535436</v>
      </c>
      <c r="AW21">
        <f>IF($C$3="CGE",INDEX(GDP_CGE!$A$3:$AN$24,MATCH($A21,GDP_CGE!$A$3:$A$24,0),MATCH(AW$9,GDP_CGE!$A$3:$AN$3,0)),GDP_Simple!BD23)</f>
        <v>464.85570192589319</v>
      </c>
      <c r="AX21">
        <f>IF($C$3="CGE",INDEX(GDP_CGE!$A$3:$AN$24,MATCH($A21,GDP_CGE!$A$3:$A$24,0),MATCH(AX$9,GDP_CGE!$A$3:$AN$3,0)),GDP_Simple!BE23)</f>
        <v>467.75266552763759</v>
      </c>
      <c r="AY21">
        <f>IF($C$3="CGE",INDEX(GDP_CGE!$A$3:$AN$24,MATCH($A21,GDP_CGE!$A$3:$A$24,0),MATCH(AY$9,GDP_CGE!$A$3:$AN$3,0)),GDP_Simple!BF23)</f>
        <v>469.80838132547888</v>
      </c>
      <c r="AZ21">
        <f>IF($C$3="CGE",INDEX(GDP_CGE!$A$3:$AN$24,MATCH($A21,GDP_CGE!$A$3:$A$24,0),MATCH(AZ$9,GDP_CGE!$A$3:$AN$3,0)),GDP_Simple!BG23)</f>
        <v>471.01081069787733</v>
      </c>
      <c r="BA21">
        <f>IF($C$3="CGE",INDEX(GDP_CGE!$A$3:$AN$24,MATCH($A21,GDP_CGE!$A$3:$A$24,0),MATCH(BA$9,GDP_CGE!$A$3:$AN$3,0)),GDP_Simple!BH23)</f>
        <v>471.35244936292753</v>
      </c>
    </row>
    <row r="22" spans="1:53" x14ac:dyDescent="0.25">
      <c r="A22" s="3" t="s">
        <v>33</v>
      </c>
      <c r="B22">
        <f>IF($C$3="CGE",INDEX(GDP_CGE!$A$3:$AN$24,MATCH($A22,GDP_CGE!$A$3:$A$24,0),MATCH(B$9,GDP_CGE!$A$3:$AN$3,0)),GDP_Simple!I24)</f>
        <v>60.61</v>
      </c>
      <c r="C22">
        <f>IF($C$3="CGE",INDEX(GDP_CGE!$A$3:$AN$24,MATCH($A22,GDP_CGE!$A$3:$A$24,0),MATCH(C$9,GDP_CGE!$A$3:$AN$3,0)),GDP_Simple!J24)</f>
        <v>58.58</v>
      </c>
      <c r="D22">
        <f>IF($C$3="CGE",INDEX(GDP_CGE!$A$3:$AN$24,MATCH($A22,GDP_CGE!$A$3:$A$24,0),MATCH(D$9,GDP_CGE!$A$3:$AN$3,0)),GDP_Simple!K24)</f>
        <v>58.523206314663462</v>
      </c>
      <c r="E22">
        <f>IF($C$3="CGE",INDEX(GDP_CGE!$A$3:$AN$24,MATCH($A22,GDP_CGE!$A$3:$A$24,0),MATCH(E$9,GDP_CGE!$A$3:$AN$3,0)),GDP_Simple!L24)</f>
        <v>59.75848929843621</v>
      </c>
      <c r="F22">
        <f>IF($C$3="CGE",INDEX(GDP_CGE!$A$3:$AN$24,MATCH($A22,GDP_CGE!$A$3:$A$24,0),MATCH(F$9,GDP_CGE!$A$3:$AN$3,0)),GDP_Simple!M24)</f>
        <v>59.862938518103803</v>
      </c>
      <c r="G22">
        <f>IF($C$3="CGE",INDEX(GDP_CGE!$A$3:$AN$24,MATCH($A22,GDP_CGE!$A$3:$A$24,0),MATCH(G$9,GDP_CGE!$A$3:$AN$3,0)),GDP_Simple!N24)</f>
        <v>60.473982863509001</v>
      </c>
      <c r="H22">
        <f>IF($C$3="CGE",INDEX(GDP_CGE!$A$3:$AN$24,MATCH($A22,GDP_CGE!$A$3:$A$24,0),MATCH(H$9,GDP_CGE!$A$3:$AN$3,0)),GDP_Simple!O24)</f>
        <v>61.125895427155598</v>
      </c>
      <c r="I22">
        <f>IF($C$3="CGE",INDEX(GDP_CGE!$A$3:$AN$24,MATCH($A22,GDP_CGE!$A$3:$A$24,0),MATCH(I$9,GDP_CGE!$A$3:$AN$3,0)),GDP_Simple!P24)</f>
        <v>62.089431599722403</v>
      </c>
      <c r="J22">
        <f>IF($C$3="CGE",INDEX(GDP_CGE!$A$3:$AN$24,MATCH($A22,GDP_CGE!$A$3:$A$24,0),MATCH(J$9,GDP_CGE!$A$3:$AN$3,0)),GDP_Simple!Q24)</f>
        <v>63.178730602322389</v>
      </c>
      <c r="K22">
        <f>IF($C$3="CGE",INDEX(GDP_CGE!$A$3:$AN$24,MATCH($A22,GDP_CGE!$A$3:$A$24,0),MATCH(K$9,GDP_CGE!$A$3:$AN$3,0)),GDP_Simple!R24)</f>
        <v>64.371568160839232</v>
      </c>
      <c r="L22">
        <f>IF($C$3="CGE",INDEX(GDP_CGE!$A$3:$AN$24,MATCH($A22,GDP_CGE!$A$3:$A$24,0),MATCH(L$9,GDP_CGE!$A$3:$AN$3,0)),GDP_Simple!S24)</f>
        <v>65.874612281555841</v>
      </c>
      <c r="M22">
        <f>IF($C$3="CGE",INDEX(GDP_CGE!$A$3:$AN$24,MATCH($A22,GDP_CGE!$A$3:$A$24,0),MATCH(M$9,GDP_CGE!$A$3:$AN$3,0)),GDP_Simple!T24)</f>
        <v>67.703667694498108</v>
      </c>
      <c r="N22">
        <f>IF($C$3="CGE",INDEX(GDP_CGE!$A$3:$AN$24,MATCH($A22,GDP_CGE!$A$3:$A$24,0),MATCH(N$9,GDP_CGE!$A$3:$AN$3,0)),GDP_Simple!U24)</f>
        <v>69.869156294239403</v>
      </c>
      <c r="O22">
        <f>IF($C$3="CGE",INDEX(GDP_CGE!$A$3:$AN$24,MATCH($A22,GDP_CGE!$A$3:$A$24,0),MATCH(O$9,GDP_CGE!$A$3:$AN$3,0)),GDP_Simple!V24)</f>
        <v>72.131856128572394</v>
      </c>
      <c r="P22">
        <f>IF($C$3="CGE",INDEX(GDP_CGE!$A$3:$AN$24,MATCH($A22,GDP_CGE!$A$3:$A$24,0),MATCH(P$9,GDP_CGE!$A$3:$AN$3,0)),GDP_Simple!W24)</f>
        <v>74.593562767109802</v>
      </c>
      <c r="Q22">
        <f>IF($C$3="CGE",INDEX(GDP_CGE!$A$3:$AN$24,MATCH($A22,GDP_CGE!$A$3:$A$24,0),MATCH(Q$9,GDP_CGE!$A$3:$AN$3,0)),GDP_Simple!X24)</f>
        <v>77.352747582488021</v>
      </c>
      <c r="R22">
        <f>IF($C$3="CGE",INDEX(GDP_CGE!$A$3:$AN$24,MATCH($A22,GDP_CGE!$A$3:$A$24,0),MATCH(R$9,GDP_CGE!$A$3:$AN$3,0)),GDP_Simple!Y24)</f>
        <v>80.349731234370566</v>
      </c>
      <c r="S22">
        <f>IF($C$3="CGE",INDEX(GDP_CGE!$A$3:$AN$24,MATCH($A22,GDP_CGE!$A$3:$A$24,0),MATCH(S$9,GDP_CGE!$A$3:$AN$3,0)),GDP_Simple!Z24)</f>
        <v>83.519621077974662</v>
      </c>
      <c r="T22">
        <f>IF($C$3="CGE",INDEX(GDP_CGE!$A$3:$AN$24,MATCH($A22,GDP_CGE!$A$3:$A$24,0),MATCH(T$9,GDP_CGE!$A$3:$AN$3,0)),GDP_Simple!AA24)</f>
        <v>86.843144632941559</v>
      </c>
      <c r="U22">
        <f>IF($C$3="CGE",INDEX(GDP_CGE!$A$3:$AN$24,MATCH($A22,GDP_CGE!$A$3:$A$24,0),MATCH(U$9,GDP_CGE!$A$3:$AN$3,0)),GDP_Simple!AB24)</f>
        <v>90.364817157746444</v>
      </c>
      <c r="V22">
        <f>IF($C$3="CGE",INDEX(GDP_CGE!$A$3:$AN$24,MATCH($A22,GDP_CGE!$A$3:$A$24,0),MATCH(V$9,GDP_CGE!$A$3:$AN$3,0)),GDP_Simple!AC24)</f>
        <v>93.939262813162884</v>
      </c>
      <c r="W22">
        <f>IF($C$3="CGE",INDEX(GDP_CGE!$A$3:$AN$24,MATCH($A22,GDP_CGE!$A$3:$A$24,0),MATCH(W$9,GDP_CGE!$A$3:$AN$3,0)),GDP_Simple!AD24)</f>
        <v>97.528552259360964</v>
      </c>
      <c r="X22">
        <f>IF($C$3="CGE",INDEX(GDP_CGE!$A$3:$AN$24,MATCH($A22,GDP_CGE!$A$3:$A$24,0),MATCH(X$9,GDP_CGE!$A$3:$AN$3,0)),GDP_Simple!AE24)</f>
        <v>101.23115875416781</v>
      </c>
      <c r="Y22">
        <f>IF($C$3="CGE",INDEX(GDP_CGE!$A$3:$AN$24,MATCH($A22,GDP_CGE!$A$3:$A$24,0),MATCH(Y$9,GDP_CGE!$A$3:$AN$3,0)),GDP_Simple!AF24)</f>
        <v>104.87987613135023</v>
      </c>
      <c r="Z22">
        <f>IF($C$3="CGE",INDEX(GDP_CGE!$A$3:$AN$24,MATCH($A22,GDP_CGE!$A$3:$A$24,0),MATCH(Z$9,GDP_CGE!$A$3:$AN$3,0)),GDP_Simple!AG24)</f>
        <v>108.6648229204861</v>
      </c>
      <c r="AA22">
        <f>IF($C$3="CGE",INDEX(GDP_CGE!$A$3:$AN$24,MATCH($A22,GDP_CGE!$A$3:$A$24,0),MATCH(AA$9,GDP_CGE!$A$3:$AN$3,0)),GDP_Simple!AH24)</f>
        <v>112.63334518735755</v>
      </c>
      <c r="AB22">
        <f>IF($C$3="CGE",INDEX(GDP_CGE!$A$3:$AN$24,MATCH($A22,GDP_CGE!$A$3:$A$24,0),MATCH(AB$9,GDP_CGE!$A$3:$AN$3,0)),GDP_Simple!AI24)</f>
        <v>116.80074437726967</v>
      </c>
      <c r="AC22">
        <f>IF($C$3="CGE",INDEX(GDP_CGE!$A$3:$AN$24,MATCH($A22,GDP_CGE!$A$3:$A$24,0),MATCH(AC$9,GDP_CGE!$A$3:$AN$3,0)),GDP_Simple!AJ24)</f>
        <v>121.178439027122</v>
      </c>
      <c r="AD22">
        <f>IF($C$3="CGE",INDEX(GDP_CGE!$A$3:$AN$24,MATCH($A22,GDP_CGE!$A$3:$A$24,0),MATCH(AD$9,GDP_CGE!$A$3:$AN$3,0)),GDP_Simple!AK24)</f>
        <v>125.48184405098377</v>
      </c>
      <c r="AE22">
        <f>IF($C$3="CGE",INDEX(GDP_CGE!$A$3:$AN$24,MATCH($A22,GDP_CGE!$A$3:$A$24,0),MATCH(AE$9,GDP_CGE!$A$3:$AN$3,0)),GDP_Simple!AL24)</f>
        <v>129.99924706806141</v>
      </c>
      <c r="AF22">
        <f>IF($C$3="CGE",INDEX(GDP_CGE!$A$3:$AN$24,MATCH($A22,GDP_CGE!$A$3:$A$24,0),MATCH(AF$9,GDP_CGE!$A$3:$AN$3,0)),GDP_Simple!AM24)</f>
        <v>134.84145120004627</v>
      </c>
      <c r="AG22">
        <f>IF($C$3="CGE",INDEX(GDP_CGE!$A$3:$AN$24,MATCH($A22,GDP_CGE!$A$3:$A$24,0),MATCH(AG$9,GDP_CGE!$A$3:$AN$3,0)),GDP_Simple!AN24)</f>
        <v>139.97069452145854</v>
      </c>
      <c r="AH22">
        <f>IF($C$3="CGE",INDEX(GDP_CGE!$A$3:$AN$24,MATCH($A22,GDP_CGE!$A$3:$A$24,0),MATCH(AH$9,GDP_CGE!$A$3:$AN$3,0)),GDP_Simple!AO24)</f>
        <v>145.02555292494466</v>
      </c>
      <c r="AI22">
        <f>IF($C$3="CGE",INDEX(GDP_CGE!$A$3:$AN$24,MATCH($A22,GDP_CGE!$A$3:$A$24,0),MATCH(AI$9,GDP_CGE!$A$3:$AN$3,0)),GDP_Simple!AP24)</f>
        <v>149.98528654186649</v>
      </c>
      <c r="AJ22">
        <f>IF($C$3="CGE",INDEX(GDP_CGE!$A$3:$AN$24,MATCH($A22,GDP_CGE!$A$3:$A$24,0),MATCH(AJ$9,GDP_CGE!$A$3:$AN$3,0)),GDP_Simple!AQ24)</f>
        <v>154.82891886271503</v>
      </c>
      <c r="AK22">
        <f>IF($C$3="CGE",INDEX(GDP_CGE!$A$3:$AN$24,MATCH($A22,GDP_CGE!$A$3:$A$24,0),MATCH(AK$9,GDP_CGE!$A$3:$AN$3,0)),GDP_Simple!AR24)</f>
        <v>159.53536840423607</v>
      </c>
      <c r="AL22">
        <f>IF($C$3="CGE",INDEX(GDP_CGE!$A$3:$AN$24,MATCH($A22,GDP_CGE!$A$3:$A$24,0),MATCH(AL$9,GDP_CGE!$A$3:$AN$3,0)),GDP_Simple!AS24)</f>
        <v>164.08359704192165</v>
      </c>
      <c r="AM22">
        <f>IF($C$3="CGE",INDEX(GDP_CGE!$A$3:$AN$24,MATCH($A22,GDP_CGE!$A$3:$A$24,0),MATCH(AM$9,GDP_CGE!$A$3:$AN$3,0)),GDP_Simple!AT24)</f>
        <v>168.45276310645031</v>
      </c>
      <c r="AN22">
        <f>IF($C$3="CGE",INDEX(GDP_CGE!$A$3:$AN$24,MATCH($A22,GDP_CGE!$A$3:$A$24,0),MATCH(AN$9,GDP_CGE!$A$3:$AN$3,0)),GDP_Simple!AU24)</f>
        <v>172.62237775468975</v>
      </c>
      <c r="AO22">
        <f>IF($C$3="CGE",INDEX(GDP_CGE!$A$3:$AN$24,MATCH($A22,GDP_CGE!$A$3:$A$24,0),MATCH(AO$9,GDP_CGE!$A$3:$AN$3,0)),GDP_Simple!AV24)</f>
        <v>176.57246303281511</v>
      </c>
      <c r="AP22">
        <f>IF($C$3="CGE",INDEX(GDP_CGE!$A$3:$AN$24,MATCH($A22,GDP_CGE!$A$3:$A$24,0),MATCH(AP$9,GDP_CGE!$A$3:$AN$3,0)),GDP_Simple!AW24)</f>
        <v>180.28370997560802</v>
      </c>
      <c r="AQ22">
        <f>IF($C$3="CGE",INDEX(GDP_CGE!$A$3:$AN$24,MATCH($A22,GDP_CGE!$A$3:$A$24,0),MATCH(AQ$9,GDP_CGE!$A$3:$AN$3,0)),GDP_Simple!AX24)</f>
        <v>183.73763503395921</v>
      </c>
      <c r="AR22">
        <f>IF($C$3="CGE",INDEX(GDP_CGE!$A$3:$AN$24,MATCH($A22,GDP_CGE!$A$3:$A$24,0),MATCH(AR$9,GDP_CGE!$A$3:$AN$3,0)),GDP_Simple!AY24)</f>
        <v>186.91673309355198</v>
      </c>
      <c r="AS22">
        <f>IF($C$3="CGE",INDEX(GDP_CGE!$A$3:$AN$24,MATCH($A22,GDP_CGE!$A$3:$A$24,0),MATCH(AS$9,GDP_CGE!$A$3:$AN$3,0)),GDP_Simple!AZ24)</f>
        <v>189.8046253428422</v>
      </c>
      <c r="AT22">
        <f>IF($C$3="CGE",INDEX(GDP_CGE!$A$3:$AN$24,MATCH($A22,GDP_CGE!$A$3:$A$24,0),MATCH(AT$9,GDP_CGE!$A$3:$AN$3,0)),GDP_Simple!BA24)</f>
        <v>192.38620026856049</v>
      </c>
      <c r="AU22">
        <f>IF($C$3="CGE",INDEX(GDP_CGE!$A$3:$AN$24,MATCH($A22,GDP_CGE!$A$3:$A$24,0),MATCH(AU$9,GDP_CGE!$A$3:$AN$3,0)),GDP_Simple!BB24)</f>
        <v>194.64774610240696</v>
      </c>
      <c r="AV22">
        <f>IF($C$3="CGE",INDEX(GDP_CGE!$A$3:$AN$24,MATCH($A22,GDP_CGE!$A$3:$A$24,0),MATCH(AV$9,GDP_CGE!$A$3:$AN$3,0)),GDP_Simple!BC24)</f>
        <v>196.57707311330375</v>
      </c>
      <c r="AW22">
        <f>IF($C$3="CGE",INDEX(GDP_CGE!$A$3:$AN$24,MATCH($A22,GDP_CGE!$A$3:$A$24,0),MATCH(AW$9,GDP_CGE!$A$3:$AN$3,0)),GDP_Simple!BD24)</f>
        <v>198.16362423497247</v>
      </c>
      <c r="AX22">
        <f>IF($C$3="CGE",INDEX(GDP_CGE!$A$3:$AN$24,MATCH($A22,GDP_CGE!$A$3:$A$24,0),MATCH(AX$9,GDP_CGE!$A$3:$AN$3,0)),GDP_Simple!BE24)</f>
        <v>199.39857263771356</v>
      </c>
      <c r="AY22">
        <f>IF($C$3="CGE",INDEX(GDP_CGE!$A$3:$AN$24,MATCH($A22,GDP_CGE!$A$3:$A$24,0),MATCH(AY$9,GDP_CGE!$A$3:$AN$3,0)),GDP_Simple!BF24)</f>
        <v>200.27490499463551</v>
      </c>
      <c r="AZ22">
        <f>IF($C$3="CGE",INDEX(GDP_CGE!$A$3:$AN$24,MATCH($A22,GDP_CGE!$A$3:$A$24,0),MATCH(AZ$9,GDP_CGE!$A$3:$AN$3,0)),GDP_Simple!BG24)</f>
        <v>200.78748935432793</v>
      </c>
      <c r="BA22">
        <f>IF($C$3="CGE",INDEX(GDP_CGE!$A$3:$AN$24,MATCH($A22,GDP_CGE!$A$3:$A$24,0),MATCH(BA$9,GDP_CGE!$A$3:$AN$3,0)),GDP_Simple!BH24)</f>
        <v>200.93312671182329</v>
      </c>
    </row>
    <row r="23" spans="1:53" x14ac:dyDescent="0.25">
      <c r="A23" s="3" t="s">
        <v>34</v>
      </c>
      <c r="B23">
        <f>IF($C$3="CGE",INDEX(GDP_CGE!$A$3:$AN$24,MATCH($A23,GDP_CGE!$A$3:$A$24,0),MATCH(B$9,GDP_CGE!$A$3:$AN$3,0)),GDP_Simple!I25)</f>
        <v>260.25</v>
      </c>
      <c r="C23">
        <f>IF($C$3="CGE",INDEX(GDP_CGE!$A$3:$AN$24,MATCH($A23,GDP_CGE!$A$3:$A$24,0),MATCH(C$9,GDP_CGE!$A$3:$AN$3,0)),GDP_Simple!J25)</f>
        <v>248.16</v>
      </c>
      <c r="D23">
        <f>IF($C$3="CGE",INDEX(GDP_CGE!$A$3:$AN$24,MATCH($A23,GDP_CGE!$A$3:$A$24,0),MATCH(D$9,GDP_CGE!$A$3:$AN$3,0)),GDP_Simple!K25)</f>
        <v>251.28962949003738</v>
      </c>
      <c r="E23">
        <f>IF($C$3="CGE",INDEX(GDP_CGE!$A$3:$AN$24,MATCH($A23,GDP_CGE!$A$3:$A$24,0),MATCH(E$9,GDP_CGE!$A$3:$AN$3,0)),GDP_Simple!L25)</f>
        <v>256.59374426527012</v>
      </c>
      <c r="F23">
        <f>IF($C$3="CGE",INDEX(GDP_CGE!$A$3:$AN$24,MATCH($A23,GDP_CGE!$A$3:$A$24,0),MATCH(F$9,GDP_CGE!$A$3:$AN$3,0)),GDP_Simple!M25)</f>
        <v>257.04223311889973</v>
      </c>
      <c r="G23">
        <f>IF($C$3="CGE",INDEX(GDP_CGE!$A$3:$AN$24,MATCH($A23,GDP_CGE!$A$3:$A$24,0),MATCH(G$9,GDP_CGE!$A$3:$AN$3,0)),GDP_Simple!N25)</f>
        <v>259.66596337614612</v>
      </c>
      <c r="H23">
        <f>IF($C$3="CGE",INDEX(GDP_CGE!$A$3:$AN$24,MATCH($A23,GDP_CGE!$A$3:$A$24,0),MATCH(H$9,GDP_CGE!$A$3:$AN$3,0)),GDP_Simple!O25)</f>
        <v>262.46517546472933</v>
      </c>
      <c r="I23">
        <f>IF($C$3="CGE",INDEX(GDP_CGE!$A$3:$AN$24,MATCH($A23,GDP_CGE!$A$3:$A$24,0),MATCH(I$9,GDP_CGE!$A$3:$AN$3,0)),GDP_Simple!P25)</f>
        <v>266.60245130882288</v>
      </c>
      <c r="J23">
        <f>IF($C$3="CGE",INDEX(GDP_CGE!$A$3:$AN$24,MATCH($A23,GDP_CGE!$A$3:$A$24,0),MATCH(J$9,GDP_CGE!$A$3:$AN$3,0)),GDP_Simple!Q25)</f>
        <v>271.2797333650289</v>
      </c>
      <c r="K23">
        <f>IF($C$3="CGE",INDEX(GDP_CGE!$A$3:$AN$24,MATCH($A23,GDP_CGE!$A$3:$A$24,0),MATCH(K$9,GDP_CGE!$A$3:$AN$3,0)),GDP_Simple!R25)</f>
        <v>276.40159402505213</v>
      </c>
      <c r="L23">
        <f>IF($C$3="CGE",INDEX(GDP_CGE!$A$3:$AN$24,MATCH($A23,GDP_CGE!$A$3:$A$24,0),MATCH(L$9,GDP_CGE!$A$3:$AN$3,0)),GDP_Simple!S25)</f>
        <v>282.85543386033504</v>
      </c>
      <c r="M23">
        <f>IF($C$3="CGE",INDEX(GDP_CGE!$A$3:$AN$24,MATCH($A23,GDP_CGE!$A$3:$A$24,0),MATCH(M$9,GDP_CGE!$A$3:$AN$3,0)),GDP_Simple!T25)</f>
        <v>290.70911594610016</v>
      </c>
      <c r="N23">
        <f>IF($C$3="CGE",INDEX(GDP_CGE!$A$3:$AN$24,MATCH($A23,GDP_CGE!$A$3:$A$24,0),MATCH(N$9,GDP_CGE!$A$3:$AN$3,0)),GDP_Simple!U25)</f>
        <v>300.00739029163185</v>
      </c>
      <c r="O23">
        <f>IF($C$3="CGE",INDEX(GDP_CGE!$A$3:$AN$24,MATCH($A23,GDP_CGE!$A$3:$A$24,0),MATCH(O$9,GDP_CGE!$A$3:$AN$3,0)),GDP_Simple!V25)</f>
        <v>309.72307469825057</v>
      </c>
      <c r="P23">
        <f>IF($C$3="CGE",INDEX(GDP_CGE!$A$3:$AN$24,MATCH($A23,GDP_CGE!$A$3:$A$24,0),MATCH(P$9,GDP_CGE!$A$3:$AN$3,0)),GDP_Simple!W25)</f>
        <v>320.29326365517778</v>
      </c>
      <c r="Q23">
        <f>IF($C$3="CGE",INDEX(GDP_CGE!$A$3:$AN$24,MATCH($A23,GDP_CGE!$A$3:$A$24,0),MATCH(Q$9,GDP_CGE!$A$3:$AN$3,0)),GDP_Simple!X25)</f>
        <v>332.14077806207735</v>
      </c>
      <c r="R23">
        <f>IF($C$3="CGE",INDEX(GDP_CGE!$A$3:$AN$24,MATCH($A23,GDP_CGE!$A$3:$A$24,0),MATCH(R$9,GDP_CGE!$A$3:$AN$3,0)),GDP_Simple!Y25)</f>
        <v>345.00936402812971</v>
      </c>
      <c r="S23">
        <f>IF($C$3="CGE",INDEX(GDP_CGE!$A$3:$AN$24,MATCH($A23,GDP_CGE!$A$3:$A$24,0),MATCH(S$9,GDP_CGE!$A$3:$AN$3,0)),GDP_Simple!Z25)</f>
        <v>358.62038253659307</v>
      </c>
      <c r="T23">
        <f>IF($C$3="CGE",INDEX(GDP_CGE!$A$3:$AN$24,MATCH($A23,GDP_CGE!$A$3:$A$24,0),MATCH(T$9,GDP_CGE!$A$3:$AN$3,0)),GDP_Simple!AA25)</f>
        <v>372.89108052669593</v>
      </c>
      <c r="U23">
        <f>IF($C$3="CGE",INDEX(GDP_CGE!$A$3:$AN$24,MATCH($A23,GDP_CGE!$A$3:$A$24,0),MATCH(U$9,GDP_CGE!$A$3:$AN$3,0)),GDP_Simple!AB25)</f>
        <v>388.01259965853018</v>
      </c>
      <c r="V23">
        <f>IF($C$3="CGE",INDEX(GDP_CGE!$A$3:$AN$24,MATCH($A23,GDP_CGE!$A$3:$A$24,0),MATCH(V$9,GDP_CGE!$A$3:$AN$3,0)),GDP_Simple!AC25)</f>
        <v>403.36071848087181</v>
      </c>
      <c r="W23">
        <f>IF($C$3="CGE",INDEX(GDP_CGE!$A$3:$AN$24,MATCH($A23,GDP_CGE!$A$3:$A$24,0),MATCH(W$9,GDP_CGE!$A$3:$AN$3,0)),GDP_Simple!AD25)</f>
        <v>418.7725742534019</v>
      </c>
      <c r="X23">
        <f>IF($C$3="CGE",INDEX(GDP_CGE!$A$3:$AN$24,MATCH($A23,GDP_CGE!$A$3:$A$24,0),MATCH(X$9,GDP_CGE!$A$3:$AN$3,0)),GDP_Simple!AE25)</f>
        <v>434.6709959705027</v>
      </c>
      <c r="Y23">
        <f>IF($C$3="CGE",INDEX(GDP_CGE!$A$3:$AN$24,MATCH($A23,GDP_CGE!$A$3:$A$24,0),MATCH(Y$9,GDP_CGE!$A$3:$AN$3,0)),GDP_Simple!AF25)</f>
        <v>450.33802612083645</v>
      </c>
      <c r="Z23">
        <f>IF($C$3="CGE",INDEX(GDP_CGE!$A$3:$AN$24,MATCH($A23,GDP_CGE!$A$3:$A$24,0),MATCH(Z$9,GDP_CGE!$A$3:$AN$3,0)),GDP_Simple!AG25)</f>
        <v>466.59000437314808</v>
      </c>
      <c r="AA23">
        <f>IF($C$3="CGE",INDEX(GDP_CGE!$A$3:$AN$24,MATCH($A23,GDP_CGE!$A$3:$A$24,0),MATCH(AA$9,GDP_CGE!$A$3:$AN$3,0)),GDP_Simple!AH25)</f>
        <v>483.63022743787826</v>
      </c>
      <c r="AB23">
        <f>IF($C$3="CGE",INDEX(GDP_CGE!$A$3:$AN$24,MATCH($A23,GDP_CGE!$A$3:$A$24,0),MATCH(AB$9,GDP_CGE!$A$3:$AN$3,0)),GDP_Simple!AI25)</f>
        <v>501.52439736321446</v>
      </c>
      <c r="AC23">
        <f>IF($C$3="CGE",INDEX(GDP_CGE!$A$3:$AN$24,MATCH($A23,GDP_CGE!$A$3:$A$24,0),MATCH(AC$9,GDP_CGE!$A$3:$AN$3,0)),GDP_Simple!AJ25)</f>
        <v>520.32154358700711</v>
      </c>
      <c r="AD23">
        <f>IF($C$3="CGE",INDEX(GDP_CGE!$A$3:$AN$24,MATCH($A23,GDP_CGE!$A$3:$A$24,0),MATCH(AD$9,GDP_CGE!$A$3:$AN$3,0)),GDP_Simple!AK25)</f>
        <v>538.79970160482628</v>
      </c>
      <c r="AE23">
        <f>IF($C$3="CGE",INDEX(GDP_CGE!$A$3:$AN$24,MATCH($A23,GDP_CGE!$A$3:$A$24,0),MATCH(AE$9,GDP_CGE!$A$3:$AN$3,0)),GDP_Simple!AL25)</f>
        <v>558.19673402842727</v>
      </c>
      <c r="AF23">
        <f>IF($C$3="CGE",INDEX(GDP_CGE!$A$3:$AN$24,MATCH($A23,GDP_CGE!$A$3:$A$24,0),MATCH(AF$9,GDP_CGE!$A$3:$AN$3,0)),GDP_Simple!AM25)</f>
        <v>578.98841238759348</v>
      </c>
      <c r="AG23">
        <f>IF($C$3="CGE",INDEX(GDP_CGE!$A$3:$AN$24,MATCH($A23,GDP_CGE!$A$3:$A$24,0),MATCH(AG$9,GDP_CGE!$A$3:$AN$3,0)),GDP_Simple!AN25)</f>
        <v>601.01259279342662</v>
      </c>
      <c r="AH23">
        <f>IF($C$3="CGE",INDEX(GDP_CGE!$A$3:$AN$24,MATCH($A23,GDP_CGE!$A$3:$A$24,0),MATCH(AH$9,GDP_CGE!$A$3:$AN$3,0)),GDP_Simple!AO25)</f>
        <v>622.71737582439937</v>
      </c>
      <c r="AI23">
        <f>IF($C$3="CGE",INDEX(GDP_CGE!$A$3:$AN$24,MATCH($A23,GDP_CGE!$A$3:$A$24,0),MATCH(AI$9,GDP_CGE!$A$3:$AN$3,0)),GDP_Simple!AP25)</f>
        <v>644.01370768059326</v>
      </c>
      <c r="AJ23">
        <f>IF($C$3="CGE",INDEX(GDP_CGE!$A$3:$AN$24,MATCH($A23,GDP_CGE!$A$3:$A$24,0),MATCH(AJ$9,GDP_CGE!$A$3:$AN$3,0)),GDP_Simple!AQ25)</f>
        <v>664.81151846265607</v>
      </c>
      <c r="AK23">
        <f>IF($C$3="CGE",INDEX(GDP_CGE!$A$3:$AN$24,MATCH($A23,GDP_CGE!$A$3:$A$24,0),MATCH(AK$9,GDP_CGE!$A$3:$AN$3,0)),GDP_Simple!AR25)</f>
        <v>685.02028753015065</v>
      </c>
      <c r="AL23">
        <f>IF($C$3="CGE",INDEX(GDP_CGE!$A$3:$AN$24,MATCH($A23,GDP_CGE!$A$3:$A$24,0),MATCH(AL$9,GDP_CGE!$A$3:$AN$3,0)),GDP_Simple!AS25)</f>
        <v>704.5496804184146</v>
      </c>
      <c r="AM23">
        <f>IF($C$3="CGE",INDEX(GDP_CGE!$A$3:$AN$24,MATCH($A23,GDP_CGE!$A$3:$A$24,0),MATCH(AM$9,GDP_CGE!$A$3:$AN$3,0)),GDP_Simple!AT25)</f>
        <v>723.31020621108212</v>
      </c>
      <c r="AN23">
        <f>IF($C$3="CGE",INDEX(GDP_CGE!$A$3:$AN$24,MATCH($A23,GDP_CGE!$A$3:$A$24,0),MATCH(AN$9,GDP_CGE!$A$3:$AN$3,0)),GDP_Simple!AU25)</f>
        <v>741.21388897307395</v>
      </c>
      <c r="AO23">
        <f>IF($C$3="CGE",INDEX(GDP_CGE!$A$3:$AN$24,MATCH($A23,GDP_CGE!$A$3:$A$24,0),MATCH(AO$9,GDP_CGE!$A$3:$AN$3,0)),GDP_Simple!AV25)</f>
        <v>758.17494644926796</v>
      </c>
      <c r="AP23">
        <f>IF($C$3="CGE",INDEX(GDP_CGE!$A$3:$AN$24,MATCH($A23,GDP_CGE!$A$3:$A$24,0),MATCH(AP$9,GDP_CGE!$A$3:$AN$3,0)),GDP_Simple!AW25)</f>
        <v>774.11046891852811</v>
      </c>
      <c r="AQ23">
        <f>IF($C$3="CGE",INDEX(GDP_CGE!$A$3:$AN$24,MATCH($A23,GDP_CGE!$A$3:$A$24,0),MATCH(AQ$9,GDP_CGE!$A$3:$AN$3,0)),GDP_Simple!AX25)</f>
        <v>788.94109086929359</v>
      </c>
      <c r="AR23">
        <f>IF($C$3="CGE",INDEX(GDP_CGE!$A$3:$AN$24,MATCH($A23,GDP_CGE!$A$3:$A$24,0),MATCH(AR$9,GDP_CGE!$A$3:$AN$3,0)),GDP_Simple!AY25)</f>
        <v>802.59164803822637</v>
      </c>
      <c r="AS23">
        <f>IF($C$3="CGE",INDEX(GDP_CGE!$A$3:$AN$24,MATCH($A23,GDP_CGE!$A$3:$A$24,0),MATCH(AS$9,GDP_CGE!$A$3:$AN$3,0)),GDP_Simple!AZ25)</f>
        <v>814.99181233253057</v>
      </c>
      <c r="AT23">
        <f>IF($C$3="CGE",INDEX(GDP_CGE!$A$3:$AN$24,MATCH($A23,GDP_CGE!$A$3:$A$24,0),MATCH(AT$9,GDP_CGE!$A$3:$AN$3,0)),GDP_Simple!BA25)</f>
        <v>826.07669724291145</v>
      </c>
      <c r="AU23">
        <f>IF($C$3="CGE",INDEX(GDP_CGE!$A$3:$AN$24,MATCH($A23,GDP_CGE!$A$3:$A$24,0),MATCH(AU$9,GDP_CGE!$A$3:$AN$3,0)),GDP_Simple!BB25)</f>
        <v>835.7874265492726</v>
      </c>
      <c r="AV23">
        <f>IF($C$3="CGE",INDEX(GDP_CGE!$A$3:$AN$24,MATCH($A23,GDP_CGE!$A$3:$A$24,0),MATCH(AV$9,GDP_CGE!$A$3:$AN$3,0)),GDP_Simple!BC25)</f>
        <v>844.07165942480287</v>
      </c>
      <c r="AW23">
        <f>IF($C$3="CGE",INDEX(GDP_CGE!$A$3:$AN$24,MATCH($A23,GDP_CGE!$A$3:$A$24,0),MATCH(AW$9,GDP_CGE!$A$3:$AN$3,0)),GDP_Simple!BD25)</f>
        <v>850.88406545374664</v>
      </c>
      <c r="AX23">
        <f>IF($C$3="CGE",INDEX(GDP_CGE!$A$3:$AN$24,MATCH($A23,GDP_CGE!$A$3:$A$24,0),MATCH(AX$9,GDP_CGE!$A$3:$AN$3,0)),GDP_Simple!BE25)</f>
        <v>856.18674358958833</v>
      </c>
      <c r="AY23">
        <f>IF($C$3="CGE",INDEX(GDP_CGE!$A$3:$AN$24,MATCH($A23,GDP_CGE!$A$3:$A$24,0),MATCH(AY$9,GDP_CGE!$A$3:$AN$3,0)),GDP_Simple!BF25)</f>
        <v>859.94957968740948</v>
      </c>
      <c r="AZ23">
        <f>IF($C$3="CGE",INDEX(GDP_CGE!$A$3:$AN$24,MATCH($A23,GDP_CGE!$A$3:$A$24,0),MATCH(AZ$9,GDP_CGE!$A$3:$AN$3,0)),GDP_Simple!BG25)</f>
        <v>862.15053793868742</v>
      </c>
      <c r="BA23">
        <f>IF($C$3="CGE",INDEX(GDP_CGE!$A$3:$AN$24,MATCH($A23,GDP_CGE!$A$3:$A$24,0),MATCH(BA$9,GDP_CGE!$A$3:$AN$3,0)),GDP_Simple!BH25)</f>
        <v>862.77588230905815</v>
      </c>
    </row>
    <row r="24" spans="1:53" x14ac:dyDescent="0.25">
      <c r="A24" s="3" t="s">
        <v>36</v>
      </c>
      <c r="B24">
        <f>IF($C$3="CGE",INDEX(GDP_CGE!$A$3:$AN$24,MATCH($A24,GDP_CGE!$A$3:$A$24,0),MATCH(B$9,GDP_CGE!$A$3:$AN$3,0)),GDP_Simple!I26)</f>
        <v>7.29</v>
      </c>
      <c r="C24">
        <f>IF($C$3="CGE",INDEX(GDP_CGE!$A$3:$AN$24,MATCH($A24,GDP_CGE!$A$3:$A$24,0),MATCH(C$9,GDP_CGE!$A$3:$AN$3,0)),GDP_Simple!J26)</f>
        <v>6.9</v>
      </c>
      <c r="D24">
        <f>IF($C$3="CGE",INDEX(GDP_CGE!$A$3:$AN$24,MATCH($A24,GDP_CGE!$A$3:$A$24,0),MATCH(D$9,GDP_CGE!$A$3:$AN$3,0)),GDP_Simple!K26)</f>
        <v>7.0390063361474446</v>
      </c>
      <c r="E24">
        <f>IF($C$3="CGE",INDEX(GDP_CGE!$A$3:$AN$24,MATCH($A24,GDP_CGE!$A$3:$A$24,0),MATCH(E$9,GDP_CGE!$A$3:$AN$3,0)),GDP_Simple!L26)</f>
        <v>7.1875826923873936</v>
      </c>
      <c r="F24">
        <f>IF($C$3="CGE",INDEX(GDP_CGE!$A$3:$AN$24,MATCH($A24,GDP_CGE!$A$3:$A$24,0),MATCH(F$9,GDP_CGE!$A$3:$AN$3,0)),GDP_Simple!M26)</f>
        <v>7.2001455501893528</v>
      </c>
      <c r="G24">
        <f>IF($C$3="CGE",INDEX(GDP_CGE!$A$3:$AN$24,MATCH($A24,GDP_CGE!$A$3:$A$24,0),MATCH(G$9,GDP_CGE!$A$3:$AN$3,0)),GDP_Simple!N26)</f>
        <v>7.2736402421214414</v>
      </c>
      <c r="H24">
        <f>IF($C$3="CGE",INDEX(GDP_CGE!$A$3:$AN$24,MATCH($A24,GDP_CGE!$A$3:$A$24,0),MATCH(H$9,GDP_CGE!$A$3:$AN$3,0)),GDP_Simple!O26)</f>
        <v>7.3520504481762794</v>
      </c>
      <c r="I24">
        <f>IF($C$3="CGE",INDEX(GDP_CGE!$A$3:$AN$24,MATCH($A24,GDP_CGE!$A$3:$A$24,0),MATCH(I$9,GDP_CGE!$A$3:$AN$3,0)),GDP_Simple!P26)</f>
        <v>7.4679418637514647</v>
      </c>
      <c r="J24">
        <f>IF($C$3="CGE",INDEX(GDP_CGE!$A$3:$AN$24,MATCH($A24,GDP_CGE!$A$3:$A$24,0),MATCH(J$9,GDP_CGE!$A$3:$AN$3,0)),GDP_Simple!Q26)</f>
        <v>7.59895967812127</v>
      </c>
      <c r="K24">
        <f>IF($C$3="CGE",INDEX(GDP_CGE!$A$3:$AN$24,MATCH($A24,GDP_CGE!$A$3:$A$24,0),MATCH(K$9,GDP_CGE!$A$3:$AN$3,0)),GDP_Simple!R26)</f>
        <v>7.7424308182233617</v>
      </c>
      <c r="L24">
        <f>IF($C$3="CGE",INDEX(GDP_CGE!$A$3:$AN$24,MATCH($A24,GDP_CGE!$A$3:$A$24,0),MATCH(L$9,GDP_CGE!$A$3:$AN$3,0)),GDP_Simple!S26)</f>
        <v>7.9232127294595296</v>
      </c>
      <c r="M24">
        <f>IF($C$3="CGE",INDEX(GDP_CGE!$A$3:$AN$24,MATCH($A24,GDP_CGE!$A$3:$A$24,0),MATCH(M$9,GDP_CGE!$A$3:$AN$3,0)),GDP_Simple!T26)</f>
        <v>8.1432063602192901</v>
      </c>
      <c r="N24">
        <f>IF($C$3="CGE",INDEX(GDP_CGE!$A$3:$AN$24,MATCH($A24,GDP_CGE!$A$3:$A$24,0),MATCH(N$9,GDP_CGE!$A$3:$AN$3,0)),GDP_Simple!U26)</f>
        <v>8.4036652266128566</v>
      </c>
      <c r="O24">
        <f>IF($C$3="CGE",INDEX(GDP_CGE!$A$3:$AN$24,MATCH($A24,GDP_CGE!$A$3:$A$24,0),MATCH(O$9,GDP_CGE!$A$3:$AN$3,0)),GDP_Simple!V26)</f>
        <v>8.6758163863602178</v>
      </c>
      <c r="P24">
        <f>IF($C$3="CGE",INDEX(GDP_CGE!$A$3:$AN$24,MATCH($A24,GDP_CGE!$A$3:$A$24,0),MATCH(P$9,GDP_CGE!$A$3:$AN$3,0)),GDP_Simple!W26)</f>
        <v>8.9719035237127613</v>
      </c>
      <c r="Q24">
        <f>IF($C$3="CGE",INDEX(GDP_CGE!$A$3:$AN$24,MATCH($A24,GDP_CGE!$A$3:$A$24,0),MATCH(Q$9,GDP_CGE!$A$3:$AN$3,0)),GDP_Simple!X26)</f>
        <v>9.3037704978772098</v>
      </c>
      <c r="R24">
        <f>IF($C$3="CGE",INDEX(GDP_CGE!$A$3:$AN$24,MATCH($A24,GDP_CGE!$A$3:$A$24,0),MATCH(R$9,GDP_CGE!$A$3:$AN$3,0)),GDP_Simple!Y26)</f>
        <v>9.6642392459752742</v>
      </c>
      <c r="S24">
        <f>IF($C$3="CGE",INDEX(GDP_CGE!$A$3:$AN$24,MATCH($A24,GDP_CGE!$A$3:$A$24,0),MATCH(S$9,GDP_CGE!$A$3:$AN$3,0)),GDP_Simple!Z26)</f>
        <v>10.045504663561051</v>
      </c>
      <c r="T24">
        <f>IF($C$3="CGE",INDEX(GDP_CGE!$A$3:$AN$24,MATCH($A24,GDP_CGE!$A$3:$A$24,0),MATCH(T$9,GDP_CGE!$A$3:$AN$3,0)),GDP_Simple!AA26)</f>
        <v>10.445248711007158</v>
      </c>
      <c r="U24">
        <f>IF($C$3="CGE",INDEX(GDP_CGE!$A$3:$AN$24,MATCH($A24,GDP_CGE!$A$3:$A$24,0),MATCH(U$9,GDP_CGE!$A$3:$AN$3,0)),GDP_Simple!AB26)</f>
        <v>10.86882555815825</v>
      </c>
      <c r="V24">
        <f>IF($C$3="CGE",INDEX(GDP_CGE!$A$3:$AN$24,MATCH($A24,GDP_CGE!$A$3:$A$24,0),MATCH(V$9,GDP_CGE!$A$3:$AN$3,0)),GDP_Simple!AC26)</f>
        <v>11.298749808743729</v>
      </c>
      <c r="W24">
        <f>IF($C$3="CGE",INDEX(GDP_CGE!$A$3:$AN$24,MATCH($A24,GDP_CGE!$A$3:$A$24,0),MATCH(W$9,GDP_CGE!$A$3:$AN$3,0)),GDP_Simple!AD26)</f>
        <v>11.730459428654369</v>
      </c>
      <c r="X24">
        <f>IF($C$3="CGE",INDEX(GDP_CGE!$A$3:$AN$24,MATCH($A24,GDP_CGE!$A$3:$A$24,0),MATCH(X$9,GDP_CGE!$A$3:$AN$3,0)),GDP_Simple!AE26)</f>
        <v>12.175798503842323</v>
      </c>
      <c r="Y24">
        <f>IF($C$3="CGE",INDEX(GDP_CGE!$A$3:$AN$24,MATCH($A24,GDP_CGE!$A$3:$A$24,0),MATCH(Y$9,GDP_CGE!$A$3:$AN$3,0)),GDP_Simple!AF26)</f>
        <v>12.614655947822852</v>
      </c>
      <c r="Z24">
        <f>IF($C$3="CGE",INDEX(GDP_CGE!$A$3:$AN$24,MATCH($A24,GDP_CGE!$A$3:$A$24,0),MATCH(Z$9,GDP_CGE!$A$3:$AN$3,0)),GDP_Simple!AG26)</f>
        <v>13.069898681576367</v>
      </c>
      <c r="AA24">
        <f>IF($C$3="CGE",INDEX(GDP_CGE!$A$3:$AN$24,MATCH($A24,GDP_CGE!$A$3:$A$24,0),MATCH(AA$9,GDP_CGE!$A$3:$AN$3,0)),GDP_Simple!AH26)</f>
        <v>13.547221356473131</v>
      </c>
      <c r="AB24">
        <f>IF($C$3="CGE",INDEX(GDP_CGE!$A$3:$AN$24,MATCH($A24,GDP_CGE!$A$3:$A$24,0),MATCH(AB$9,GDP_CGE!$A$3:$AN$3,0)),GDP_Simple!AI26)</f>
        <v>14.048464387234709</v>
      </c>
      <c r="AC24">
        <f>IF($C$3="CGE",INDEX(GDP_CGE!$A$3:$AN$24,MATCH($A24,GDP_CGE!$A$3:$A$24,0),MATCH(AC$9,GDP_CGE!$A$3:$AN$3,0)),GDP_Simple!AJ26)</f>
        <v>14.575001163301753</v>
      </c>
      <c r="AD24">
        <f>IF($C$3="CGE",INDEX(GDP_CGE!$A$3:$AN$24,MATCH($A24,GDP_CGE!$A$3:$A$24,0),MATCH(AD$9,GDP_CGE!$A$3:$AN$3,0)),GDP_Simple!AK26)</f>
        <v>15.092602592504068</v>
      </c>
      <c r="AE24">
        <f>IF($C$3="CGE",INDEX(GDP_CGE!$A$3:$AN$24,MATCH($A24,GDP_CGE!$A$3:$A$24,0),MATCH(AE$9,GDP_CGE!$A$3:$AN$3,0)),GDP_Simple!AL26)</f>
        <v>15.635943097280441</v>
      </c>
      <c r="AF24">
        <f>IF($C$3="CGE",INDEX(GDP_CGE!$A$3:$AN$24,MATCH($A24,GDP_CGE!$A$3:$A$24,0),MATCH(AF$9,GDP_CGE!$A$3:$AN$3,0)),GDP_Simple!AM26)</f>
        <v>16.21834976486285</v>
      </c>
      <c r="AG24">
        <f>IF($C$3="CGE",INDEX(GDP_CGE!$A$3:$AN$24,MATCH($A24,GDP_CGE!$A$3:$A$24,0),MATCH(AG$9,GDP_CGE!$A$3:$AN$3,0)),GDP_Simple!AN26)</f>
        <v>16.835280697268317</v>
      </c>
      <c r="AH24">
        <f>IF($C$3="CGE",INDEX(GDP_CGE!$A$3:$AN$24,MATCH($A24,GDP_CGE!$A$3:$A$24,0),MATCH(AH$9,GDP_CGE!$A$3:$AN$3,0)),GDP_Simple!AO26)</f>
        <v>17.443264821363577</v>
      </c>
      <c r="AI24">
        <f>IF($C$3="CGE",INDEX(GDP_CGE!$A$3:$AN$24,MATCH($A24,GDP_CGE!$A$3:$A$24,0),MATCH(AI$9,GDP_CGE!$A$3:$AN$3,0)),GDP_Simple!AP26)</f>
        <v>18.039807604194138</v>
      </c>
      <c r="AJ24">
        <f>IF($C$3="CGE",INDEX(GDP_CGE!$A$3:$AN$24,MATCH($A24,GDP_CGE!$A$3:$A$24,0),MATCH(AJ$9,GDP_CGE!$A$3:$AN$3,0)),GDP_Simple!AQ26)</f>
        <v>18.622386050308403</v>
      </c>
      <c r="AK24">
        <f>IF($C$3="CGE",INDEX(GDP_CGE!$A$3:$AN$24,MATCH($A24,GDP_CGE!$A$3:$A$24,0),MATCH(AK$9,GDP_CGE!$A$3:$AN$3,0)),GDP_Simple!AR26)</f>
        <v>19.188464538308544</v>
      </c>
      <c r="AL24">
        <f>IF($C$3="CGE",INDEX(GDP_CGE!$A$3:$AN$24,MATCH($A24,GDP_CGE!$A$3:$A$24,0),MATCH(AL$9,GDP_CGE!$A$3:$AN$3,0)),GDP_Simple!AS26)</f>
        <v>19.735512661864522</v>
      </c>
      <c r="AM24">
        <f>IF($C$3="CGE",INDEX(GDP_CGE!$A$3:$AN$24,MATCH($A24,GDP_CGE!$A$3:$A$24,0),MATCH(AM$9,GDP_CGE!$A$3:$AN$3,0)),GDP_Simple!AT26)</f>
        <v>20.261023643722531</v>
      </c>
      <c r="AN24">
        <f>IF($C$3="CGE",INDEX(GDP_CGE!$A$3:$AN$24,MATCH($A24,GDP_CGE!$A$3:$A$24,0),MATCH(AN$9,GDP_CGE!$A$3:$AN$3,0)),GDP_Simple!AU26)</f>
        <v>20.762533143568525</v>
      </c>
      <c r="AO24">
        <f>IF($C$3="CGE",INDEX(GDP_CGE!$A$3:$AN$24,MATCH($A24,GDP_CGE!$A$3:$A$24,0),MATCH(AO$9,GDP_CGE!$A$3:$AN$3,0)),GDP_Simple!AV26)</f>
        <v>21.237638269414649</v>
      </c>
      <c r="AP24">
        <f>IF($C$3="CGE",INDEX(GDP_CGE!$A$3:$AN$24,MATCH($A24,GDP_CGE!$A$3:$A$24,0),MATCH(AP$9,GDP_CGE!$A$3:$AN$3,0)),GDP_Simple!AW26)</f>
        <v>21.684016593337443</v>
      </c>
      <c r="AQ24">
        <f>IF($C$3="CGE",INDEX(GDP_CGE!$A$3:$AN$24,MATCH($A24,GDP_CGE!$A$3:$A$24,0),MATCH(AQ$9,GDP_CGE!$A$3:$AN$3,0)),GDP_Simple!AX26)</f>
        <v>22.099444966136986</v>
      </c>
      <c r="AR24">
        <f>IF($C$3="CGE",INDEX(GDP_CGE!$A$3:$AN$24,MATCH($A24,GDP_CGE!$A$3:$A$24,0),MATCH(AR$9,GDP_CGE!$A$3:$AN$3,0)),GDP_Simple!AY26)</f>
        <v>22.48181792199297</v>
      </c>
      <c r="AS24">
        <f>IF($C$3="CGE",INDEX(GDP_CGE!$A$3:$AN$24,MATCH($A24,GDP_CGE!$A$3:$A$24,0),MATCH(AS$9,GDP_CGE!$A$3:$AN$3,0)),GDP_Simple!AZ26)</f>
        <v>22.829165463608636</v>
      </c>
      <c r="AT24">
        <f>IF($C$3="CGE",INDEX(GDP_CGE!$A$3:$AN$24,MATCH($A24,GDP_CGE!$A$3:$A$24,0),MATCH(AT$9,GDP_CGE!$A$3:$AN$3,0)),GDP_Simple!BA26)</f>
        <v>23.139670020752447</v>
      </c>
      <c r="AU24">
        <f>IF($C$3="CGE",INDEX(GDP_CGE!$A$3:$AN$24,MATCH($A24,GDP_CGE!$A$3:$A$24,0),MATCH(AU$9,GDP_CGE!$A$3:$AN$3,0)),GDP_Simple!BB26)</f>
        <v>23.411682380573282</v>
      </c>
      <c r="AV24">
        <f>IF($C$3="CGE",INDEX(GDP_CGE!$A$3:$AN$24,MATCH($A24,GDP_CGE!$A$3:$A$24,0),MATCH(AV$9,GDP_CGE!$A$3:$AN$3,0)),GDP_Simple!BC26)</f>
        <v>23.643736396567963</v>
      </c>
      <c r="AW24">
        <f>IF($C$3="CGE",INDEX(GDP_CGE!$A$3:$AN$24,MATCH($A24,GDP_CGE!$A$3:$A$24,0),MATCH(AW$9,GDP_CGE!$A$3:$AN$3,0)),GDP_Simple!BD26)</f>
        <v>23.834562294554516</v>
      </c>
      <c r="AX24">
        <f>IF($C$3="CGE",INDEX(GDP_CGE!$A$3:$AN$24,MATCH($A24,GDP_CGE!$A$3:$A$24,0),MATCH(AX$9,GDP_CGE!$A$3:$AN$3,0)),GDP_Simple!BE26)</f>
        <v>23.983098408330832</v>
      </c>
      <c r="AY24">
        <f>IF($C$3="CGE",INDEX(GDP_CGE!$A$3:$AN$24,MATCH($A24,GDP_CGE!$A$3:$A$24,0),MATCH(AY$9,GDP_CGE!$A$3:$AN$3,0)),GDP_Simple!BF26)</f>
        <v>24.088501194702072</v>
      </c>
      <c r="AZ24">
        <f>IF($C$3="CGE",INDEX(GDP_CGE!$A$3:$AN$24,MATCH($A24,GDP_CGE!$A$3:$A$24,0),MATCH(AZ$9,GDP_CGE!$A$3:$AN$3,0)),GDP_Simple!BG26)</f>
        <v>24.150153397014527</v>
      </c>
      <c r="BA24">
        <f>IF($C$3="CGE",INDEX(GDP_CGE!$A$3:$AN$24,MATCH($A24,GDP_CGE!$A$3:$A$24,0),MATCH(BA$9,GDP_CGE!$A$3:$AN$3,0)),GDP_Simple!BH26)</f>
        <v>24.167670247965546</v>
      </c>
    </row>
    <row r="25" spans="1:53" x14ac:dyDescent="0.25">
      <c r="A25" s="3" t="s">
        <v>37</v>
      </c>
      <c r="B25">
        <f>IF($C$3="CGE",INDEX(GDP_CGE!$A$3:$AN$24,MATCH($A25,GDP_CGE!$A$3:$A$24,0),MATCH(B$9,GDP_CGE!$A$3:$AN$3,0)),GDP_Simple!I27)</f>
        <v>46.32</v>
      </c>
      <c r="C25">
        <f>IF($C$3="CGE",INDEX(GDP_CGE!$A$3:$AN$24,MATCH($A25,GDP_CGE!$A$3:$A$24,0),MATCH(C$9,GDP_CGE!$A$3:$AN$3,0)),GDP_Simple!J27)</f>
        <v>29.1</v>
      </c>
      <c r="D25">
        <f>IF($C$3="CGE",INDEX(GDP_CGE!$A$3:$AN$24,MATCH($A25,GDP_CGE!$A$3:$A$24,0),MATCH(D$9,GDP_CGE!$A$3:$AN$3,0)),GDP_Simple!K27)</f>
        <v>44.725208983587052</v>
      </c>
      <c r="E25">
        <f>IF($C$3="CGE",INDEX(GDP_CGE!$A$3:$AN$24,MATCH($A25,GDP_CGE!$A$3:$A$24,0),MATCH(E$9,GDP_CGE!$A$3:$AN$3,0)),GDP_Simple!L27)</f>
        <v>45.669249699778334</v>
      </c>
      <c r="F25">
        <f>IF($C$3="CGE",INDEX(GDP_CGE!$A$3:$AN$24,MATCH($A25,GDP_CGE!$A$3:$A$24,0),MATCH(F$9,GDP_CGE!$A$3:$AN$3,0)),GDP_Simple!M27)</f>
        <v>45.74907296087391</v>
      </c>
      <c r="G25">
        <f>IF($C$3="CGE",INDEX(GDP_CGE!$A$3:$AN$24,MATCH($A25,GDP_CGE!$A$3:$A$24,0),MATCH(G$9,GDP_CGE!$A$3:$AN$3,0)),GDP_Simple!N27)</f>
        <v>46.216051579569985</v>
      </c>
      <c r="H25">
        <f>IF($C$3="CGE",INDEX(GDP_CGE!$A$3:$AN$24,MATCH($A25,GDP_CGE!$A$3:$A$24,0),MATCH(H$9,GDP_CGE!$A$3:$AN$3,0)),GDP_Simple!O27)</f>
        <v>46.71426292997603</v>
      </c>
      <c r="I25">
        <f>IF($C$3="CGE",INDEX(GDP_CGE!$A$3:$AN$24,MATCH($A25,GDP_CGE!$A$3:$A$24,0),MATCH(I$9,GDP_CGE!$A$3:$AN$3,0)),GDP_Simple!P27)</f>
        <v>47.450626492313837</v>
      </c>
      <c r="J25">
        <f>IF($C$3="CGE",INDEX(GDP_CGE!$A$3:$AN$24,MATCH($A25,GDP_CGE!$A$3:$A$24,0),MATCH(J$9,GDP_CGE!$A$3:$AN$3,0)),GDP_Simple!Q27)</f>
        <v>48.283101823124447</v>
      </c>
      <c r="K25">
        <f>IF($C$3="CGE",INDEX(GDP_CGE!$A$3:$AN$24,MATCH($A25,GDP_CGE!$A$3:$A$24,0),MATCH(K$9,GDP_CGE!$A$3:$AN$3,0)),GDP_Simple!R27)</f>
        <v>49.194704458176425</v>
      </c>
      <c r="L25">
        <f>IF($C$3="CGE",INDEX(GDP_CGE!$A$3:$AN$24,MATCH($A25,GDP_CGE!$A$3:$A$24,0),MATCH(L$9,GDP_CGE!$A$3:$AN$3,0)),GDP_Simple!S27)</f>
        <v>50.343376355084416</v>
      </c>
      <c r="M25">
        <f>IF($C$3="CGE",INDEX(GDP_CGE!$A$3:$AN$24,MATCH($A25,GDP_CGE!$A$3:$A$24,0),MATCH(M$9,GDP_CGE!$A$3:$AN$3,0)),GDP_Simple!T27)</f>
        <v>51.741195967813098</v>
      </c>
      <c r="N25">
        <f>IF($C$3="CGE",INDEX(GDP_CGE!$A$3:$AN$24,MATCH($A25,GDP_CGE!$A$3:$A$24,0),MATCH(N$9,GDP_CGE!$A$3:$AN$3,0)),GDP_Simple!U27)</f>
        <v>53.396128024239715</v>
      </c>
      <c r="O25">
        <f>IF($C$3="CGE",INDEX(GDP_CGE!$A$3:$AN$24,MATCH($A25,GDP_CGE!$A$3:$A$24,0),MATCH(O$9,GDP_CGE!$A$3:$AN$3,0)),GDP_Simple!V27)</f>
        <v>55.125351854074793</v>
      </c>
      <c r="P25">
        <f>IF($C$3="CGE",INDEX(GDP_CGE!$A$3:$AN$24,MATCH($A25,GDP_CGE!$A$3:$A$24,0),MATCH(P$9,GDP_CGE!$A$3:$AN$3,0)),GDP_Simple!W27)</f>
        <v>57.00666271856997</v>
      </c>
      <c r="Q25">
        <f>IF($C$3="CGE",INDEX(GDP_CGE!$A$3:$AN$24,MATCH($A25,GDP_CGE!$A$3:$A$24,0),MATCH(Q$9,GDP_CGE!$A$3:$AN$3,0)),GDP_Simple!X27)</f>
        <v>59.1153154268412</v>
      </c>
      <c r="R25">
        <f>IF($C$3="CGE",INDEX(GDP_CGE!$A$3:$AN$24,MATCH($A25,GDP_CGE!$A$3:$A$24,0),MATCH(R$9,GDP_CGE!$A$3:$AN$3,0)),GDP_Simple!Y27)</f>
        <v>61.405701217225612</v>
      </c>
      <c r="S25">
        <f>IF($C$3="CGE",INDEX(GDP_CGE!$A$3:$AN$24,MATCH($A25,GDP_CGE!$A$3:$A$24,0),MATCH(S$9,GDP_CGE!$A$3:$AN$3,0)),GDP_Simple!Z27)</f>
        <v>63.828227162708892</v>
      </c>
      <c r="T25">
        <f>IF($C$3="CGE",INDEX(GDP_CGE!$A$3:$AN$24,MATCH($A25,GDP_CGE!$A$3:$A$24,0),MATCH(T$9,GDP_CGE!$A$3:$AN$3,0)),GDP_Simple!AA27)</f>
        <v>66.368164649362356</v>
      </c>
      <c r="U25">
        <f>IF($C$3="CGE",INDEX(GDP_CGE!$A$3:$AN$24,MATCH($A25,GDP_CGE!$A$3:$A$24,0),MATCH(U$9,GDP_CGE!$A$3:$AN$3,0)),GDP_Simple!AB27)</f>
        <v>69.059533587639251</v>
      </c>
      <c r="V25">
        <f>IF($C$3="CGE",INDEX(GDP_CGE!$A$3:$AN$24,MATCH($A25,GDP_CGE!$A$3:$A$24,0),MATCH(V$9,GDP_CGE!$A$3:$AN$3,0)),GDP_Simple!AC27)</f>
        <v>71.791233352676201</v>
      </c>
      <c r="W25">
        <f>IF($C$3="CGE",INDEX(GDP_CGE!$A$3:$AN$24,MATCH($A25,GDP_CGE!$A$3:$A$24,0),MATCH(W$9,GDP_CGE!$A$3:$AN$3,0)),GDP_Simple!AD27)</f>
        <v>74.534277192766851</v>
      </c>
      <c r="X25">
        <f>IF($C$3="CGE",INDEX(GDP_CGE!$A$3:$AN$24,MATCH($A25,GDP_CGE!$A$3:$A$24,0),MATCH(X$9,GDP_CGE!$A$3:$AN$3,0)),GDP_Simple!AE27)</f>
        <v>77.363921357747103</v>
      </c>
      <c r="Y25">
        <f>IF($C$3="CGE",INDEX(GDP_CGE!$A$3:$AN$24,MATCH($A25,GDP_CGE!$A$3:$A$24,0),MATCH(Y$9,GDP_CGE!$A$3:$AN$3,0)),GDP_Simple!AF27)</f>
        <v>80.152381824849726</v>
      </c>
      <c r="Z25">
        <f>IF($C$3="CGE",INDEX(GDP_CGE!$A$3:$AN$24,MATCH($A25,GDP_CGE!$A$3:$A$24,0),MATCH(Z$9,GDP_CGE!$A$3:$AN$3,0)),GDP_Simple!AG27)</f>
        <v>83.04495293972802</v>
      </c>
      <c r="AA25">
        <f>IF($C$3="CGE",INDEX(GDP_CGE!$A$3:$AN$24,MATCH($A25,GDP_CGE!$A$3:$A$24,0),MATCH(AA$9,GDP_CGE!$A$3:$AN$3,0)),GDP_Simple!AH27)</f>
        <v>86.077818001623513</v>
      </c>
      <c r="AB25">
        <f>IF($C$3="CGE",INDEX(GDP_CGE!$A$3:$AN$24,MATCH($A25,GDP_CGE!$A$3:$A$24,0),MATCH(AB$9,GDP_CGE!$A$3:$AN$3,0)),GDP_Simple!AI27)</f>
        <v>89.262670839055104</v>
      </c>
      <c r="AC25">
        <f>IF($C$3="CGE",INDEX(GDP_CGE!$A$3:$AN$24,MATCH($A25,GDP_CGE!$A$3:$A$24,0),MATCH(AC$9,GDP_CGE!$A$3:$AN$3,0)),GDP_Simple!AJ27)</f>
        <v>92.60823784418892</v>
      </c>
      <c r="AD25">
        <f>IF($C$3="CGE",INDEX(GDP_CGE!$A$3:$AN$24,MATCH($A25,GDP_CGE!$A$3:$A$24,0),MATCH(AD$9,GDP_CGE!$A$3:$AN$3,0)),GDP_Simple!AK27)</f>
        <v>95.897030464305686</v>
      </c>
      <c r="AE25">
        <f>IF($C$3="CGE",INDEX(GDP_CGE!$A$3:$AN$24,MATCH($A25,GDP_CGE!$A$3:$A$24,0),MATCH(AE$9,GDP_CGE!$A$3:$AN$3,0)),GDP_Simple!AL27)</f>
        <v>99.349366840333332</v>
      </c>
      <c r="AF25">
        <f>IF($C$3="CGE",INDEX(GDP_CGE!$A$3:$AN$24,MATCH($A25,GDP_CGE!$A$3:$A$24,0),MATCH(AF$9,GDP_CGE!$A$3:$AN$3,0)),GDP_Simple!AM27)</f>
        <v>103.04992607797629</v>
      </c>
      <c r="AG25">
        <f>IF($C$3="CGE",INDEX(GDP_CGE!$A$3:$AN$24,MATCH($A25,GDP_CGE!$A$3:$A$24,0),MATCH(AG$9,GDP_CGE!$A$3:$AN$3,0)),GDP_Simple!AN27)</f>
        <v>106.96984936865135</v>
      </c>
      <c r="AH25">
        <f>IF($C$3="CGE",INDEX(GDP_CGE!$A$3:$AN$24,MATCH($A25,GDP_CGE!$A$3:$A$24,0),MATCH(AH$9,GDP_CGE!$A$3:$AN$3,0)),GDP_Simple!AO27)</f>
        <v>110.83292544932249</v>
      </c>
      <c r="AI25">
        <f>IF($C$3="CGE",INDEX(GDP_CGE!$A$3:$AN$24,MATCH($A25,GDP_CGE!$A$3:$A$24,0),MATCH(AI$9,GDP_CGE!$A$3:$AN$3,0)),GDP_Simple!AP27)</f>
        <v>114.6233042834393</v>
      </c>
      <c r="AJ25">
        <f>IF($C$3="CGE",INDEX(GDP_CGE!$A$3:$AN$24,MATCH($A25,GDP_CGE!$A$3:$A$24,0),MATCH(AJ$9,GDP_CGE!$A$3:$AN$3,0)),GDP_Simple!AQ27)</f>
        <v>118.32495498632171</v>
      </c>
      <c r="AK25">
        <f>IF($C$3="CGE",INDEX(GDP_CGE!$A$3:$AN$24,MATCH($A25,GDP_CGE!$A$3:$A$24,0),MATCH(AK$9,GDP_CGE!$A$3:$AN$3,0)),GDP_Simple!AR27)</f>
        <v>121.92176644917033</v>
      </c>
      <c r="AL25">
        <f>IF($C$3="CGE",INDEX(GDP_CGE!$A$3:$AN$24,MATCH($A25,GDP_CGE!$A$3:$A$24,0),MATCH(AL$9,GDP_CGE!$A$3:$AN$3,0)),GDP_Simple!AS27)</f>
        <v>125.3976606992544</v>
      </c>
      <c r="AM25">
        <f>IF($C$3="CGE",INDEX(GDP_CGE!$A$3:$AN$24,MATCH($A25,GDP_CGE!$A$3:$A$24,0),MATCH(AM$9,GDP_CGE!$A$3:$AN$3,0)),GDP_Simple!AT27)</f>
        <v>128.73670990085427</v>
      </c>
      <c r="AN25">
        <f>IF($C$3="CGE",INDEX(GDP_CGE!$A$3:$AN$24,MATCH($A25,GDP_CGE!$A$3:$A$24,0),MATCH(AN$9,GDP_CGE!$A$3:$AN$3,0)),GDP_Simple!AU27)</f>
        <v>131.92325585872345</v>
      </c>
      <c r="AO25">
        <f>IF($C$3="CGE",INDEX(GDP_CGE!$A$3:$AN$24,MATCH($A25,GDP_CGE!$A$3:$A$24,0),MATCH(AO$9,GDP_CGE!$A$3:$AN$3,0)),GDP_Simple!AV27)</f>
        <v>134.94203081471696</v>
      </c>
      <c r="AP25">
        <f>IF($C$3="CGE",INDEX(GDP_CGE!$A$3:$AN$24,MATCH($A25,GDP_CGE!$A$3:$A$24,0),MATCH(AP$9,GDP_CGE!$A$3:$AN$3,0)),GDP_Simple!AW27)</f>
        <v>137.77827827207</v>
      </c>
      <c r="AQ25">
        <f>IF($C$3="CGE",INDEX(GDP_CGE!$A$3:$AN$24,MATCH($A25,GDP_CGE!$A$3:$A$24,0),MATCH(AQ$9,GDP_CGE!$A$3:$AN$3,0)),GDP_Simple!AX27)</f>
        <v>140.41787254203911</v>
      </c>
      <c r="AR25">
        <f>IF($C$3="CGE",INDEX(GDP_CGE!$A$3:$AN$24,MATCH($A25,GDP_CGE!$A$3:$A$24,0),MATCH(AR$9,GDP_CGE!$A$3:$AN$3,0)),GDP_Simple!AY27)</f>
        <v>142.84743568542035</v>
      </c>
      <c r="AS25">
        <f>IF($C$3="CGE",INDEX(GDP_CGE!$A$3:$AN$24,MATCH($A25,GDP_CGE!$A$3:$A$24,0),MATCH(AS$9,GDP_CGE!$A$3:$AN$3,0)),GDP_Simple!AZ27)</f>
        <v>145.05445051774376</v>
      </c>
      <c r="AT25">
        <f>IF($C$3="CGE",INDEX(GDP_CGE!$A$3:$AN$24,MATCH($A25,GDP_CGE!$A$3:$A$24,0),MATCH(AT$9,GDP_CGE!$A$3:$AN$3,0)),GDP_Simple!BA27)</f>
        <v>147.02736836231185</v>
      </c>
      <c r="AU25">
        <f>IF($C$3="CGE",INDEX(GDP_CGE!$A$3:$AN$24,MATCH($A25,GDP_CGE!$A$3:$A$24,0),MATCH(AU$9,GDP_CGE!$A$3:$AN$3,0)),GDP_Simple!BB27)</f>
        <v>148.75571026998003</v>
      </c>
      <c r="AV25">
        <f>IF($C$3="CGE",INDEX(GDP_CGE!$A$3:$AN$24,MATCH($A25,GDP_CGE!$A$3:$A$24,0),MATCH(AV$9,GDP_CGE!$A$3:$AN$3,0)),GDP_Simple!BC27)</f>
        <v>150.23016047860466</v>
      </c>
      <c r="AW25">
        <f>IF($C$3="CGE",INDEX(GDP_CGE!$A$3:$AN$24,MATCH($A25,GDP_CGE!$A$3:$A$24,0),MATCH(AW$9,GDP_CGE!$A$3:$AN$3,0)),GDP_Simple!BD27)</f>
        <v>151.44265095799247</v>
      </c>
      <c r="AX25">
        <f>IF($C$3="CGE",INDEX(GDP_CGE!$A$3:$AN$24,MATCH($A25,GDP_CGE!$A$3:$A$24,0),MATCH(AX$9,GDP_CGE!$A$3:$AN$3,0)),GDP_Simple!BE27)</f>
        <v>152.38643597721318</v>
      </c>
      <c r="AY25">
        <f>IF($C$3="CGE",INDEX(GDP_CGE!$A$3:$AN$24,MATCH($A25,GDP_CGE!$A$3:$A$24,0),MATCH(AY$9,GDP_CGE!$A$3:$AN$3,0)),GDP_Simple!BF27)</f>
        <v>153.05615573917697</v>
      </c>
      <c r="AZ25">
        <f>IF($C$3="CGE",INDEX(GDP_CGE!$A$3:$AN$24,MATCH($A25,GDP_CGE!$A$3:$A$24,0),MATCH(AZ$9,GDP_CGE!$A$3:$AN$3,0)),GDP_Simple!BG27)</f>
        <v>153.44788825098942</v>
      </c>
      <c r="BA25">
        <f>IF($C$3="CGE",INDEX(GDP_CGE!$A$3:$AN$24,MATCH($A25,GDP_CGE!$A$3:$A$24,0),MATCH(BA$9,GDP_CGE!$A$3:$AN$3,0)),GDP_Simple!BH27)</f>
        <v>153.55918873604446</v>
      </c>
    </row>
    <row r="26" spans="1:53" x14ac:dyDescent="0.25">
      <c r="A26" s="3" t="s">
        <v>38</v>
      </c>
      <c r="B26">
        <f>IF($C$3="CGE",INDEX(GDP_CGE!$A$3:$AN$24,MATCH($A26,GDP_CGE!$A$3:$A$24,0),MATCH(B$9,GDP_CGE!$A$3:$AN$3,0)),GDP_Simple!I28)</f>
        <v>113.16</v>
      </c>
      <c r="C26">
        <f>IF($C$3="CGE",INDEX(GDP_CGE!$A$3:$AN$24,MATCH($A26,GDP_CGE!$A$3:$A$24,0),MATCH(C$9,GDP_CGE!$A$3:$AN$3,0)),GDP_Simple!J28)</f>
        <v>108.36</v>
      </c>
      <c r="D26">
        <f>IF($C$3="CGE",INDEX(GDP_CGE!$A$3:$AN$24,MATCH($A26,GDP_CGE!$A$3:$A$24,0),MATCH(D$9,GDP_CGE!$A$3:$AN$3,0)),GDP_Simple!K28)</f>
        <v>107.78666666482698</v>
      </c>
      <c r="E26">
        <f>IF($C$3="CGE",INDEX(GDP_CGE!$A$3:$AN$24,MATCH($A26,GDP_CGE!$A$3:$A$24,0),MATCH(E$9,GDP_CGE!$A$3:$AN$3,0)),GDP_Simple!L28)</f>
        <v>107.34279569525077</v>
      </c>
      <c r="F26">
        <f>IF($C$3="CGE",INDEX(GDP_CGE!$A$3:$AN$24,MATCH($A26,GDP_CGE!$A$3:$A$24,0),MATCH(F$9,GDP_CGE!$A$3:$AN$3,0)),GDP_Simple!M28)</f>
        <v>107.87913977939523</v>
      </c>
      <c r="G26">
        <f>IF($C$3="CGE",INDEX(GDP_CGE!$A$3:$AN$24,MATCH($A26,GDP_CGE!$A$3:$A$24,0),MATCH(G$9,GDP_CGE!$A$3:$AN$3,0)),GDP_Simple!N28)</f>
        <v>108.69290321835018</v>
      </c>
      <c r="H26">
        <f>IF($C$3="CGE",INDEX(GDP_CGE!$A$3:$AN$24,MATCH($A26,GDP_CGE!$A$3:$A$24,0),MATCH(H$9,GDP_CGE!$A$3:$AN$3,0)),GDP_Simple!O28)</f>
        <v>110.17247310884716</v>
      </c>
      <c r="I26">
        <f>IF($C$3="CGE",INDEX(GDP_CGE!$A$3:$AN$24,MATCH($A26,GDP_CGE!$A$3:$A$24,0),MATCH(I$9,GDP_CGE!$A$3:$AN$3,0)),GDP_Simple!P28)</f>
        <v>109.41419353718287</v>
      </c>
      <c r="J26">
        <f>IF($C$3="CGE",INDEX(GDP_CGE!$A$3:$AN$24,MATCH($A26,GDP_CGE!$A$3:$A$24,0),MATCH(J$9,GDP_CGE!$A$3:$AN$3,0)),GDP_Simple!Q28)</f>
        <v>109.1182795568741</v>
      </c>
      <c r="K26">
        <f>IF($C$3="CGE",INDEX(GDP_CGE!$A$3:$AN$24,MATCH($A26,GDP_CGE!$A$3:$A$24,0),MATCH(K$9,GDP_CGE!$A$3:$AN$3,0)),GDP_Simple!R28)</f>
        <v>109.89505374846721</v>
      </c>
      <c r="L26">
        <f>IF($C$3="CGE",INDEX(GDP_CGE!$A$3:$AN$24,MATCH($A26,GDP_CGE!$A$3:$A$24,0),MATCH(L$9,GDP_CGE!$A$3:$AN$3,0)),GDP_Simple!S28)</f>
        <v>110.50537632716949</v>
      </c>
      <c r="M26">
        <f>IF($C$3="CGE",INDEX(GDP_CGE!$A$3:$AN$24,MATCH($A26,GDP_CGE!$A$3:$A$24,0),MATCH(M$9,GDP_CGE!$A$3:$AN$3,0)),GDP_Simple!T28)</f>
        <v>111.2266666477782</v>
      </c>
      <c r="N26">
        <f>IF($C$3="CGE",INDEX(GDP_CGE!$A$3:$AN$24,MATCH($A26,GDP_CGE!$A$3:$A$24,0),MATCH(N$9,GDP_CGE!$A$3:$AN$3,0)),GDP_Simple!U28)</f>
        <v>110.72731180731216</v>
      </c>
      <c r="O26">
        <f>IF($C$3="CGE",INDEX(GDP_CGE!$A$3:$AN$24,MATCH($A26,GDP_CGE!$A$3:$A$24,0),MATCH(O$9,GDP_CGE!$A$3:$AN$3,0)),GDP_Simple!V28)</f>
        <v>110.61634406354978</v>
      </c>
      <c r="P26">
        <f>IF($C$3="CGE",INDEX(GDP_CGE!$A$3:$AN$24,MATCH($A26,GDP_CGE!$A$3:$A$24,0),MATCH(P$9,GDP_CGE!$A$3:$AN$3,0)),GDP_Simple!W28)</f>
        <v>109.19225804050805</v>
      </c>
      <c r="Q26">
        <f>IF($C$3="CGE",INDEX(GDP_CGE!$A$3:$AN$24,MATCH($A26,GDP_CGE!$A$3:$A$24,0),MATCH(Q$9,GDP_CGE!$A$3:$AN$3,0)),GDP_Simple!X28)</f>
        <v>108.76688169467332</v>
      </c>
      <c r="R26">
        <f>IF($C$3="CGE",INDEX(GDP_CGE!$A$3:$AN$24,MATCH($A26,GDP_CGE!$A$3:$A$24,0),MATCH(R$9,GDP_CGE!$A$3:$AN$3,0)),GDP_Simple!Y28)</f>
        <v>106.7509677148409</v>
      </c>
      <c r="S26">
        <f>IF($C$3="CGE",INDEX(GDP_CGE!$A$3:$AN$24,MATCH($A26,GDP_CGE!$A$3:$A$24,0),MATCH(S$9,GDP_CGE!$A$3:$AN$3,0)),GDP_Simple!Z28)</f>
        <v>104.7535483586943</v>
      </c>
      <c r="T26">
        <f>IF($C$3="CGE",INDEX(GDP_CGE!$A$3:$AN$24,MATCH($A26,GDP_CGE!$A$3:$A$24,0),MATCH(T$9,GDP_CGE!$A$3:$AN$3,0)),GDP_Simple!AA28)</f>
        <v>103.66236556146104</v>
      </c>
      <c r="U26">
        <f>IF($C$3="CGE",INDEX(GDP_CGE!$A$3:$AN$24,MATCH($A26,GDP_CGE!$A$3:$A$24,0),MATCH(U$9,GDP_CGE!$A$3:$AN$3,0)),GDP_Simple!AB28)</f>
        <v>101.60946233443462</v>
      </c>
      <c r="V26">
        <f>IF($C$3="CGE",INDEX(GDP_CGE!$A$3:$AN$24,MATCH($A26,GDP_CGE!$A$3:$A$24,0),MATCH(V$9,GDP_CGE!$A$3:$AN$3,0)),GDP_Simple!AC28)</f>
        <v>99.556559107445565</v>
      </c>
      <c r="W26">
        <f>IF($C$3="CGE",INDEX(GDP_CGE!$A$3:$AN$24,MATCH($A26,GDP_CGE!$A$3:$A$24,0),MATCH(W$9,GDP_CGE!$A$3:$AN$3,0)),GDP_Simple!AD28)</f>
        <v>97.46666663319553</v>
      </c>
      <c r="X26">
        <f>IF($C$3="CGE",INDEX(GDP_CGE!$A$3:$AN$24,MATCH($A26,GDP_CGE!$A$3:$A$24,0),MATCH(X$9,GDP_CGE!$A$3:$AN$3,0)),GDP_Simple!AE28)</f>
        <v>96.375483836042577</v>
      </c>
      <c r="Y26">
        <f>IF($C$3="CGE",INDEX(GDP_CGE!$A$3:$AN$24,MATCH($A26,GDP_CGE!$A$3:$A$24,0),MATCH(Y$9,GDP_CGE!$A$3:$AN$3,0)),GDP_Simple!AF28)</f>
        <v>95.302795662559433</v>
      </c>
      <c r="Z26">
        <f>IF($C$3="CGE",INDEX(GDP_CGE!$A$3:$AN$24,MATCH($A26,GDP_CGE!$A$3:$A$24,0),MATCH(Z$9,GDP_CGE!$A$3:$AN$3,0)),GDP_Simple!AG28)</f>
        <v>94.230107489097094</v>
      </c>
      <c r="AA26">
        <f>IF($C$3="CGE",INDEX(GDP_CGE!$A$3:$AN$24,MATCH($A26,GDP_CGE!$A$3:$A$24,0),MATCH(AA$9,GDP_CGE!$A$3:$AN$3,0)),GDP_Simple!AH28)</f>
        <v>93.175913939303939</v>
      </c>
      <c r="AB26">
        <f>IF($C$3="CGE",INDEX(GDP_CGE!$A$3:$AN$24,MATCH($A26,GDP_CGE!$A$3:$A$24,0),MATCH(AB$9,GDP_CGE!$A$3:$AN$3,0)),GDP_Simple!AI28)</f>
        <v>92.103225765883934</v>
      </c>
      <c r="AC26">
        <f>IF($C$3="CGE",INDEX(GDP_CGE!$A$3:$AN$24,MATCH($A26,GDP_CGE!$A$3:$A$24,0),MATCH(AC$9,GDP_CGE!$A$3:$AN$3,0)),GDP_Simple!AJ28)</f>
        <v>91.049032216132872</v>
      </c>
      <c r="AD26">
        <f>IF($C$3="CGE",INDEX(GDP_CGE!$A$3:$AN$24,MATCH($A26,GDP_CGE!$A$3:$A$24,0),MATCH(AD$9,GDP_CGE!$A$3:$AN$3,0)),GDP_Simple!AK28)</f>
        <v>89.994838666403226</v>
      </c>
      <c r="AE26">
        <f>IF($C$3="CGE",INDEX(GDP_CGE!$A$3:$AN$24,MATCH($A26,GDP_CGE!$A$3:$A$24,0),MATCH(AE$9,GDP_CGE!$A$3:$AN$3,0)),GDP_Simple!AL28)</f>
        <v>88.922150493048619</v>
      </c>
      <c r="AF26">
        <f>IF($C$3="CGE",INDEX(GDP_CGE!$A$3:$AN$24,MATCH($A26,GDP_CGE!$A$3:$A$24,0),MATCH(AF$9,GDP_CGE!$A$3:$AN$3,0)),GDP_Simple!AM28)</f>
        <v>87.867956943362572</v>
      </c>
      <c r="AG26">
        <f>IF($C$3="CGE",INDEX(GDP_CGE!$A$3:$AN$24,MATCH($A26,GDP_CGE!$A$3:$A$24,0),MATCH(AG$9,GDP_CGE!$A$3:$AN$3,0)),GDP_Simple!AN28)</f>
        <v>86.813763393698707</v>
      </c>
      <c r="AH26">
        <f>IF($C$3="CGE",INDEX(GDP_CGE!$A$3:$AN$24,MATCH($A26,GDP_CGE!$A$3:$A$24,0),MATCH(AH$9,GDP_CGE!$A$3:$AN$3,0)),GDP_Simple!AO28)</f>
        <v>85.771998232974326</v>
      </c>
      <c r="AI26">
        <f>IF($C$3="CGE",INDEX(GDP_CGE!$A$3:$AN$24,MATCH($A26,GDP_CGE!$A$3:$A$24,0),MATCH(AI$9,GDP_CGE!$A$3:$AN$3,0)),GDP_Simple!AP28)</f>
        <v>84.742734254178629</v>
      </c>
      <c r="AJ26">
        <f>IF($C$3="CGE",INDEX(GDP_CGE!$A$3:$AN$24,MATCH($A26,GDP_CGE!$A$3:$A$24,0),MATCH(AJ$9,GDP_CGE!$A$3:$AN$3,0)),GDP_Simple!AQ28)</f>
        <v>83.725821443128481</v>
      </c>
      <c r="AK26">
        <f>IF($C$3="CGE",INDEX(GDP_CGE!$A$3:$AN$24,MATCH($A26,GDP_CGE!$A$3:$A$24,0),MATCH(AK$9,GDP_CGE!$A$3:$AN$3,0)),GDP_Simple!AR28)</f>
        <v>82.721111585810945</v>
      </c>
      <c r="AL26">
        <f>IF($C$3="CGE",INDEX(GDP_CGE!$A$3:$AN$24,MATCH($A26,GDP_CGE!$A$3:$A$24,0),MATCH(AL$9,GDP_CGE!$A$3:$AN$3,0)),GDP_Simple!AS28)</f>
        <v>81.728458246781216</v>
      </c>
      <c r="AM26">
        <f>IF($C$3="CGE",INDEX(GDP_CGE!$A$3:$AN$24,MATCH($A26,GDP_CGE!$A$3:$A$24,0),MATCH(AM$9,GDP_CGE!$A$3:$AN$3,0)),GDP_Simple!AT28)</f>
        <v>80.747716747819837</v>
      </c>
      <c r="AN26">
        <f>IF($C$3="CGE",INDEX(GDP_CGE!$A$3:$AN$24,MATCH($A26,GDP_CGE!$A$3:$A$24,0),MATCH(AN$9,GDP_CGE!$A$3:$AN$3,0)),GDP_Simple!AU28)</f>
        <v>79.778744146845995</v>
      </c>
      <c r="AO26">
        <f>IF($C$3="CGE",INDEX(GDP_CGE!$A$3:$AN$24,MATCH($A26,GDP_CGE!$A$3:$A$24,0),MATCH(AO$9,GDP_CGE!$A$3:$AN$3,0)),GDP_Simple!AV28)</f>
        <v>78.821399217083837</v>
      </c>
      <c r="AP26">
        <f>IF($C$3="CGE",INDEX(GDP_CGE!$A$3:$AN$24,MATCH($A26,GDP_CGE!$A$3:$A$24,0),MATCH(AP$9,GDP_CGE!$A$3:$AN$3,0)),GDP_Simple!AW28)</f>
        <v>77.87554242647883</v>
      </c>
      <c r="AQ26">
        <f>IF($C$3="CGE",INDEX(GDP_CGE!$A$3:$AN$24,MATCH($A26,GDP_CGE!$A$3:$A$24,0),MATCH(AQ$9,GDP_CGE!$A$3:$AN$3,0)),GDP_Simple!AX28)</f>
        <v>76.941035917361077</v>
      </c>
      <c r="AR26">
        <f>IF($C$3="CGE",INDEX(GDP_CGE!$A$3:$AN$24,MATCH($A26,GDP_CGE!$A$3:$A$24,0),MATCH(AR$9,GDP_CGE!$A$3:$AN$3,0)),GDP_Simple!AY28)</f>
        <v>76.017743486352742</v>
      </c>
      <c r="AS26">
        <f>IF($C$3="CGE",INDEX(GDP_CGE!$A$3:$AN$24,MATCH($A26,GDP_CGE!$A$3:$A$24,0),MATCH(AS$9,GDP_CGE!$A$3:$AN$3,0)),GDP_Simple!AZ28)</f>
        <v>75.105530564516513</v>
      </c>
      <c r="AT26">
        <f>IF($C$3="CGE",INDEX(GDP_CGE!$A$3:$AN$24,MATCH($A26,GDP_CGE!$A$3:$A$24,0),MATCH(AT$9,GDP_CGE!$A$3:$AN$3,0)),GDP_Simple!BA28)</f>
        <v>74.204264197742319</v>
      </c>
      <c r="AU26">
        <f>IF($C$3="CGE",INDEX(GDP_CGE!$A$3:$AN$24,MATCH($A26,GDP_CGE!$A$3:$A$24,0),MATCH(AU$9,GDP_CGE!$A$3:$AN$3,0)),GDP_Simple!BB28)</f>
        <v>73.313813027369406</v>
      </c>
      <c r="AV26">
        <f>IF($C$3="CGE",INDEX(GDP_CGE!$A$3:$AN$24,MATCH($A26,GDP_CGE!$A$3:$A$24,0),MATCH(AV$9,GDP_CGE!$A$3:$AN$3,0)),GDP_Simple!BC28)</f>
        <v>72.434047271040967</v>
      </c>
      <c r="AW26">
        <f>IF($C$3="CGE",INDEX(GDP_CGE!$A$3:$AN$24,MATCH($A26,GDP_CGE!$A$3:$A$24,0),MATCH(AW$9,GDP_CGE!$A$3:$AN$3,0)),GDP_Simple!BD28)</f>
        <v>71.564838703788482</v>
      </c>
      <c r="AX26">
        <f>IF($C$3="CGE",INDEX(GDP_CGE!$A$3:$AN$24,MATCH($A26,GDP_CGE!$A$3:$A$24,0),MATCH(AX$9,GDP_CGE!$A$3:$AN$3,0)),GDP_Simple!BE28)</f>
        <v>70.706060639343022</v>
      </c>
      <c r="AY26">
        <f>IF($C$3="CGE",INDEX(GDP_CGE!$A$3:$AN$24,MATCH($A26,GDP_CGE!$A$3:$A$24,0),MATCH(AY$9,GDP_CGE!$A$3:$AN$3,0)),GDP_Simple!BF28)</f>
        <v>69.857587911670905</v>
      </c>
      <c r="AZ26">
        <f>IF($C$3="CGE",INDEX(GDP_CGE!$A$3:$AN$24,MATCH($A26,GDP_CGE!$A$3:$A$24,0),MATCH(AZ$9,GDP_CGE!$A$3:$AN$3,0)),GDP_Simple!BG28)</f>
        <v>69.019296856730847</v>
      </c>
      <c r="BA26">
        <f>IF($C$3="CGE",INDEX(GDP_CGE!$A$3:$AN$24,MATCH($A26,GDP_CGE!$A$3:$A$24,0),MATCH(BA$9,GDP_CGE!$A$3:$AN$3,0)),GDP_Simple!BH28)</f>
        <v>68.19106529445007</v>
      </c>
    </row>
    <row r="27" spans="1:53" x14ac:dyDescent="0.25">
      <c r="A27" s="3" t="s">
        <v>177</v>
      </c>
      <c r="B27">
        <f>IF($C$3="CGE",INDEX(GDP_CGE!$A$3:$AN$24,MATCH($A27,GDP_CGE!$A$3:$A$24,0),MATCH(B$9,GDP_CGE!$A$3:$AN$3,0)),GDP_Simple!I29)</f>
        <v>97.69</v>
      </c>
      <c r="C27">
        <f>IF($C$3="CGE",INDEX(GDP_CGE!$A$3:$AN$24,MATCH($A27,GDP_CGE!$A$3:$A$24,0),MATCH(C$9,GDP_CGE!$A$3:$AN$3,0)),GDP_Simple!J29)</f>
        <v>74.06</v>
      </c>
      <c r="D27">
        <f>IF($C$3="CGE",INDEX(GDP_CGE!$A$3:$AN$24,MATCH($A27,GDP_CGE!$A$3:$A$24,0),MATCH(D$9,GDP_CGE!$A$3:$AN$3,0)),GDP_Simple!K29)</f>
        <v>94.326547184944275</v>
      </c>
      <c r="E27">
        <f>IF($C$3="CGE",INDEX(GDP_CGE!$A$3:$AN$24,MATCH($A27,GDP_CGE!$A$3:$A$24,0),MATCH(E$9,GDP_CGE!$A$3:$AN$3,0)),GDP_Simple!L29)</f>
        <v>96.317551881937504</v>
      </c>
      <c r="F27">
        <f>IF($C$3="CGE",INDEX(GDP_CGE!$A$3:$AN$24,MATCH($A27,GDP_CGE!$A$3:$A$24,0),MATCH(F$9,GDP_CGE!$A$3:$AN$3,0)),GDP_Simple!M29)</f>
        <v>96.485901069684203</v>
      </c>
      <c r="G27">
        <f>IF($C$3="CGE",INDEX(GDP_CGE!$A$3:$AN$24,MATCH($A27,GDP_CGE!$A$3:$A$24,0),MATCH(G$9,GDP_CGE!$A$3:$AN$3,0)),GDP_Simple!N29)</f>
        <v>97.470770267879786</v>
      </c>
      <c r="H27">
        <f>IF($C$3="CGE",INDEX(GDP_CGE!$A$3:$AN$24,MATCH($A27,GDP_CGE!$A$3:$A$24,0),MATCH(H$9,GDP_CGE!$A$3:$AN$3,0)),GDP_Simple!O29)</f>
        <v>98.521510052447283</v>
      </c>
      <c r="I27">
        <f>IF($C$3="CGE",INDEX(GDP_CGE!$A$3:$AN$24,MATCH($A27,GDP_CGE!$A$3:$A$24,0),MATCH(I$9,GDP_CGE!$A$3:$AN$3,0)),GDP_Simple!P29)</f>
        <v>100.07451861040886</v>
      </c>
      <c r="J27">
        <f>IF($C$3="CGE",INDEX(GDP_CGE!$A$3:$AN$24,MATCH($A27,GDP_CGE!$A$3:$A$24,0),MATCH(J$9,GDP_CGE!$A$3:$AN$3,0)),GDP_Simple!Q29)</f>
        <v>101.83022921202563</v>
      </c>
      <c r="K27">
        <f>IF($C$3="CGE",INDEX(GDP_CGE!$A$3:$AN$24,MATCH($A27,GDP_CGE!$A$3:$A$24,0),MATCH(K$9,GDP_CGE!$A$3:$AN$3,0)),GDP_Simple!R29)</f>
        <v>103.75282121155557</v>
      </c>
      <c r="L27">
        <f>IF($C$3="CGE",INDEX(GDP_CGE!$A$3:$AN$24,MATCH($A27,GDP_CGE!$A$3:$A$24,0),MATCH(L$9,GDP_CGE!$A$3:$AN$3,0)),GDP_Simple!S29)</f>
        <v>106.17539801658455</v>
      </c>
      <c r="M27">
        <f>IF($C$3="CGE",INDEX(GDP_CGE!$A$3:$AN$24,MATCH($A27,GDP_CGE!$A$3:$A$24,0),MATCH(M$9,GDP_CGE!$A$3:$AN$3,0)),GDP_Simple!T29)</f>
        <v>109.12343337857645</v>
      </c>
      <c r="N27">
        <f>IF($C$3="CGE",INDEX(GDP_CGE!$A$3:$AN$24,MATCH($A27,GDP_CGE!$A$3:$A$24,0),MATCH(N$9,GDP_CGE!$A$3:$AN$3,0)),GDP_Simple!U29)</f>
        <v>112.61372510120849</v>
      </c>
      <c r="O27">
        <f>IF($C$3="CGE",INDEX(GDP_CGE!$A$3:$AN$24,MATCH($A27,GDP_CGE!$A$3:$A$24,0),MATCH(O$9,GDP_CGE!$A$3:$AN$3,0)),GDP_Simple!V29)</f>
        <v>116.26069997030584</v>
      </c>
      <c r="P27">
        <f>IF($C$3="CGE",INDEX(GDP_CGE!$A$3:$AN$24,MATCH($A27,GDP_CGE!$A$3:$A$24,0),MATCH(P$9,GDP_CGE!$A$3:$AN$3,0)),GDP_Simple!W29)</f>
        <v>120.22843007290803</v>
      </c>
      <c r="Q27">
        <f>IF($C$3="CGE",INDEX(GDP_CGE!$A$3:$AN$24,MATCH($A27,GDP_CGE!$A$3:$A$24,0),MATCH(Q$9,GDP_CGE!$A$3:$AN$3,0)),GDP_Simple!X29)</f>
        <v>124.67562962107333</v>
      </c>
      <c r="R27">
        <f>IF($C$3="CGE",INDEX(GDP_CGE!$A$3:$AN$24,MATCH($A27,GDP_CGE!$A$3:$A$24,0),MATCH(R$9,GDP_CGE!$A$3:$AN$3,0)),GDP_Simple!Y29)</f>
        <v>129.50610863365219</v>
      </c>
      <c r="S27">
        <f>IF($C$3="CGE",INDEX(GDP_CGE!$A$3:$AN$24,MATCH($A27,GDP_CGE!$A$3:$A$24,0),MATCH(S$9,GDP_CGE!$A$3:$AN$3,0)),GDP_Simple!Z29)</f>
        <v>134.61527442843331</v>
      </c>
      <c r="T27">
        <f>IF($C$3="CGE",INDEX(GDP_CGE!$A$3:$AN$24,MATCH($A27,GDP_CGE!$A$3:$A$24,0),MATCH(T$9,GDP_CGE!$A$3:$AN$3,0)),GDP_Simple!AA29)</f>
        <v>139.97206400250883</v>
      </c>
      <c r="U27">
        <f>IF($C$3="CGE",INDEX(GDP_CGE!$A$3:$AN$24,MATCH($A27,GDP_CGE!$A$3:$A$24,0),MATCH(U$9,GDP_CGE!$A$3:$AN$3,0)),GDP_Simple!AB29)</f>
        <v>145.64822616961308</v>
      </c>
      <c r="V27">
        <f>IF($C$3="CGE",INDEX(GDP_CGE!$A$3:$AN$24,MATCH($A27,GDP_CGE!$A$3:$A$24,0),MATCH(V$9,GDP_CGE!$A$3:$AN$3,0)),GDP_Simple!AC29)</f>
        <v>151.40944702553838</v>
      </c>
      <c r="W27">
        <f>IF($C$3="CGE",INDEX(GDP_CGE!$A$3:$AN$24,MATCH($A27,GDP_CGE!$A$3:$A$24,0),MATCH(W$9,GDP_CGE!$A$3:$AN$3,0)),GDP_Simple!AD29)</f>
        <v>157.19459281004737</v>
      </c>
      <c r="X27">
        <f>IF($C$3="CGE",INDEX(GDP_CGE!$A$3:$AN$24,MATCH($A27,GDP_CGE!$A$3:$A$24,0),MATCH(X$9,GDP_CGE!$A$3:$AN$3,0)),GDP_Simple!AE29)</f>
        <v>163.16238077371145</v>
      </c>
      <c r="Y27">
        <f>IF($C$3="CGE",INDEX(GDP_CGE!$A$3:$AN$24,MATCH($A27,GDP_CGE!$A$3:$A$24,0),MATCH(Y$9,GDP_CGE!$A$3:$AN$3,0)),GDP_Simple!AF29)</f>
        <v>169.04331132274547</v>
      </c>
      <c r="Z27">
        <f>IF($C$3="CGE",INDEX(GDP_CGE!$A$3:$AN$24,MATCH($A27,GDP_CGE!$A$3:$A$24,0),MATCH(Z$9,GDP_CGE!$A$3:$AN$3,0)),GDP_Simple!AG29)</f>
        <v>175.14381374529427</v>
      </c>
      <c r="AA27">
        <f>IF($C$3="CGE",INDEX(GDP_CGE!$A$3:$AN$24,MATCH($A27,GDP_CGE!$A$3:$A$24,0),MATCH(AA$9,GDP_CGE!$A$3:$AN$3,0)),GDP_Simple!AH29)</f>
        <v>181.54019949435667</v>
      </c>
      <c r="AB27">
        <f>IF($C$3="CGE",INDEX(GDP_CGE!$A$3:$AN$24,MATCH($A27,GDP_CGE!$A$3:$A$24,0),MATCH(AB$9,GDP_CGE!$A$3:$AN$3,0)),GDP_Simple!AI29)</f>
        <v>188.25713113703137</v>
      </c>
      <c r="AC27">
        <f>IF($C$3="CGE",INDEX(GDP_CGE!$A$3:$AN$24,MATCH($A27,GDP_CGE!$A$3:$A$24,0),MATCH(AC$9,GDP_CGE!$A$3:$AN$3,0)),GDP_Simple!AJ29)</f>
        <v>195.31301284539754</v>
      </c>
      <c r="AD27">
        <f>IF($C$3="CGE",INDEX(GDP_CGE!$A$3:$AN$24,MATCH($A27,GDP_CGE!$A$3:$A$24,0),MATCH(AD$9,GDP_CGE!$A$3:$AN$3,0)),GDP_Simple!AK29)</f>
        <v>202.24915600297973</v>
      </c>
      <c r="AE27">
        <f>IF($C$3="CGE",INDEX(GDP_CGE!$A$3:$AN$24,MATCH($A27,GDP_CGE!$A$3:$A$24,0),MATCH(AE$9,GDP_CGE!$A$3:$AN$3,0)),GDP_Simple!AL29)</f>
        <v>209.53021689620385</v>
      </c>
      <c r="AF27">
        <f>IF($C$3="CGE",INDEX(GDP_CGE!$A$3:$AN$24,MATCH($A27,GDP_CGE!$A$3:$A$24,0),MATCH(AF$9,GDP_CGE!$A$3:$AN$3,0)),GDP_Simple!AM29)</f>
        <v>217.33478580650913</v>
      </c>
      <c r="AG27">
        <f>IF($C$3="CGE",INDEX(GDP_CGE!$A$3:$AN$24,MATCH($A27,GDP_CGE!$A$3:$A$24,0),MATCH(AG$9,GDP_CGE!$A$3:$AN$3,0)),GDP_Simple!AN29)</f>
        <v>225.60199880879858</v>
      </c>
      <c r="AH27">
        <f>IF($C$3="CGE",INDEX(GDP_CGE!$A$3:$AN$24,MATCH($A27,GDP_CGE!$A$3:$A$24,0),MATCH(AH$9,GDP_CGE!$A$3:$AN$3,0)),GDP_Simple!AO29)</f>
        <v>233.7493196706458</v>
      </c>
      <c r="AI27">
        <f>IF($C$3="CGE",INDEX(GDP_CGE!$A$3:$AN$24,MATCH($A27,GDP_CGE!$A$3:$A$24,0),MATCH(AI$9,GDP_CGE!$A$3:$AN$3,0)),GDP_Simple!AP29)</f>
        <v>241.74332028171813</v>
      </c>
      <c r="AJ27">
        <f>IF($C$3="CGE",INDEX(GDP_CGE!$A$3:$AN$24,MATCH($A27,GDP_CGE!$A$3:$A$24,0),MATCH(AJ$9,GDP_CGE!$A$3:$AN$3,0)),GDP_Simple!AQ29)</f>
        <v>249.55019111860466</v>
      </c>
      <c r="AK27">
        <f>IF($C$3="CGE",INDEX(GDP_CGE!$A$3:$AN$24,MATCH($A27,GDP_CGE!$A$3:$A$24,0),MATCH(AK$9,GDP_CGE!$A$3:$AN$3,0)),GDP_Simple!AR29)</f>
        <v>257.13595346328691</v>
      </c>
      <c r="AL27">
        <f>IF($C$3="CGE",INDEX(GDP_CGE!$A$3:$AN$24,MATCH($A27,GDP_CGE!$A$3:$A$24,0),MATCH(AL$9,GDP_CGE!$A$3:$AN$3,0)),GDP_Simple!AS29)</f>
        <v>264.46669848251645</v>
      </c>
      <c r="AM27">
        <f>IF($C$3="CGE",INDEX(GDP_CGE!$A$3:$AN$24,MATCH($A27,GDP_CGE!$A$3:$A$24,0),MATCH(AM$9,GDP_CGE!$A$3:$AN$3,0)),GDP_Simple!AT29)</f>
        <v>271.50883398563155</v>
      </c>
      <c r="AN27">
        <f>IF($C$3="CGE",INDEX(GDP_CGE!$A$3:$AN$24,MATCH($A27,GDP_CGE!$A$3:$A$24,0),MATCH(AN$9,GDP_CGE!$A$3:$AN$3,0)),GDP_Simple!AU29)</f>
        <v>278.22933646024813</v>
      </c>
      <c r="AO27">
        <f>IF($C$3="CGE",INDEX(GDP_CGE!$A$3:$AN$24,MATCH($A27,GDP_CGE!$A$3:$A$24,0),MATCH(AO$9,GDP_CGE!$A$3:$AN$3,0)),GDP_Simple!AV29)</f>
        <v>284.59600583526981</v>
      </c>
      <c r="AP27">
        <f>IF($C$3="CGE",INDEX(GDP_CGE!$A$3:$AN$24,MATCH($A27,GDP_CGE!$A$3:$A$24,0),MATCH(AP$9,GDP_CGE!$A$3:$AN$3,0)),GDP_Simple!AW29)</f>
        <v>290.57772030221327</v>
      </c>
      <c r="AQ27">
        <f>IF($C$3="CGE",INDEX(GDP_CGE!$A$3:$AN$24,MATCH($A27,GDP_CGE!$A$3:$A$24,0),MATCH(AQ$9,GDP_CGE!$A$3:$AN$3,0)),GDP_Simple!AX29)</f>
        <v>296.1446884419646</v>
      </c>
      <c r="AR27">
        <f>IF($C$3="CGE",INDEX(GDP_CGE!$A$3:$AN$24,MATCH($A27,GDP_CGE!$A$3:$A$24,0),MATCH(AR$9,GDP_CGE!$A$3:$AN$3,0)),GDP_Simple!AY29)</f>
        <v>301.26869585726928</v>
      </c>
      <c r="AS27">
        <f>IF($C$3="CGE",INDEX(GDP_CGE!$A$3:$AN$24,MATCH($A27,GDP_CGE!$A$3:$A$24,0),MATCH(AS$9,GDP_CGE!$A$3:$AN$3,0)),GDP_Simple!AZ29)</f>
        <v>305.9233435034194</v>
      </c>
      <c r="AT27">
        <f>IF($C$3="CGE",INDEX(GDP_CGE!$A$3:$AN$24,MATCH($A27,GDP_CGE!$A$3:$A$24,0),MATCH(AT$9,GDP_CGE!$A$3:$AN$3,0)),GDP_Simple!BA29)</f>
        <v>310.08427494201732</v>
      </c>
      <c r="AU27">
        <f>IF($C$3="CGE",INDEX(GDP_CGE!$A$3:$AN$24,MATCH($A27,GDP_CGE!$A$3:$A$24,0),MATCH(AU$9,GDP_CGE!$A$3:$AN$3,0)),GDP_Simple!BB29)</f>
        <v>313.72938981594018</v>
      </c>
      <c r="AV27">
        <f>IF($C$3="CGE",INDEX(GDP_CGE!$A$3:$AN$24,MATCH($A27,GDP_CGE!$A$3:$A$24,0),MATCH(AV$9,GDP_CGE!$A$3:$AN$3,0)),GDP_Simple!BC29)</f>
        <v>316.83904095757532</v>
      </c>
      <c r="AW27">
        <f>IF($C$3="CGE",INDEX(GDP_CGE!$A$3:$AN$24,MATCH($A27,GDP_CGE!$A$3:$A$24,0),MATCH(AW$9,GDP_CGE!$A$3:$AN$3,0)),GDP_Simple!BD29)</f>
        <v>319.39621269616327</v>
      </c>
      <c r="AX27">
        <f>IF($C$3="CGE",INDEX(GDP_CGE!$A$3:$AN$24,MATCH($A27,GDP_CGE!$A$3:$A$24,0),MATCH(AX$9,GDP_CGE!$A$3:$AN$3,0)),GDP_Simple!BE29)</f>
        <v>321.3866781220629</v>
      </c>
      <c r="AY27">
        <f>IF($C$3="CGE",INDEX(GDP_CGE!$A$3:$AN$24,MATCH($A27,GDP_CGE!$A$3:$A$24,0),MATCH(AY$9,GDP_CGE!$A$3:$AN$3,0)),GDP_Simple!BF29)</f>
        <v>322.79913329361392</v>
      </c>
      <c r="AZ27">
        <f>IF($C$3="CGE",INDEX(GDP_CGE!$A$3:$AN$24,MATCH($A27,GDP_CGE!$A$3:$A$24,0),MATCH(AZ$9,GDP_CGE!$A$3:$AN$3,0)),GDP_Simple!BG29)</f>
        <v>323.62530663296968</v>
      </c>
      <c r="BA27">
        <f>IF($C$3="CGE",INDEX(GDP_CGE!$A$3:$AN$24,MATCH($A27,GDP_CGE!$A$3:$A$24,0),MATCH(BA$9,GDP_CGE!$A$3:$AN$3,0)),GDP_Simple!BH29)</f>
        <v>323.8600420471542</v>
      </c>
    </row>
    <row r="28" spans="1:53" x14ac:dyDescent="0.25">
      <c r="A28" s="3" t="s">
        <v>178</v>
      </c>
      <c r="B28">
        <f>IF($C$3="CGE",INDEX(GDP_CGE!$A$3:$AN$24,MATCH($A28,GDP_CGE!$A$3:$A$24,0),MATCH(B$9,GDP_CGE!$A$3:$AN$3,0)),GDP_Simple!I30)</f>
        <v>2.4900000000000002</v>
      </c>
      <c r="C28">
        <f>IF($C$3="CGE",INDEX(GDP_CGE!$A$3:$AN$24,MATCH($A28,GDP_CGE!$A$3:$A$24,0),MATCH(C$9,GDP_CGE!$A$3:$AN$3,0)),GDP_Simple!J30)</f>
        <v>2.36</v>
      </c>
      <c r="D28">
        <f>IF($C$3="CGE",INDEX(GDP_CGE!$A$3:$AN$24,MATCH($A28,GDP_CGE!$A$3:$A$24,0),MATCH(D$9,GDP_CGE!$A$3:$AN$3,0)),GDP_Simple!K30)</f>
        <v>2.4042696539104442</v>
      </c>
      <c r="E28">
        <f>IF($C$3="CGE",INDEX(GDP_CGE!$A$3:$AN$24,MATCH($A28,GDP_CGE!$A$3:$A$24,0),MATCH(E$9,GDP_CGE!$A$3:$AN$3,0)),GDP_Simple!L30)</f>
        <v>2.4550179566590691</v>
      </c>
      <c r="F28">
        <f>IF($C$3="CGE",INDEX(GDP_CGE!$A$3:$AN$24,MATCH($A28,GDP_CGE!$A$3:$A$24,0),MATCH(F$9,GDP_CGE!$A$3:$AN$3,0)),GDP_Simple!M30)</f>
        <v>2.459308973932989</v>
      </c>
      <c r="G28">
        <f>IF($C$3="CGE",INDEX(GDP_CGE!$A$3:$AN$24,MATCH($A28,GDP_CGE!$A$3:$A$24,0),MATCH(G$9,GDP_CGE!$A$3:$AN$3,0)),GDP_Simple!N30)</f>
        <v>2.4844120991608221</v>
      </c>
      <c r="H28">
        <f>IF($C$3="CGE",INDEX(GDP_CGE!$A$3:$AN$24,MATCH($A28,GDP_CGE!$A$3:$A$24,0),MATCH(H$9,GDP_CGE!$A$3:$AN$3,0)),GDP_Simple!O30)</f>
        <v>2.5111941860025979</v>
      </c>
      <c r="I28">
        <f>IF($C$3="CGE",INDEX(GDP_CGE!$A$3:$AN$24,MATCH($A28,GDP_CGE!$A$3:$A$24,0),MATCH(I$9,GDP_CGE!$A$3:$AN$3,0)),GDP_Simple!P30)</f>
        <v>2.5507784966723115</v>
      </c>
      <c r="J28">
        <f>IF($C$3="CGE",INDEX(GDP_CGE!$A$3:$AN$24,MATCH($A28,GDP_CGE!$A$3:$A$24,0),MATCH(J$9,GDP_CGE!$A$3:$AN$3,0)),GDP_Simple!Q30)</f>
        <v>2.5955294373829858</v>
      </c>
      <c r="K28">
        <f>IF($C$3="CGE",INDEX(GDP_CGE!$A$3:$AN$24,MATCH($A28,GDP_CGE!$A$3:$A$24,0),MATCH(K$9,GDP_CGE!$A$3:$AN$3,0)),GDP_Simple!R30)</f>
        <v>2.6445339831791732</v>
      </c>
      <c r="L28">
        <f>IF($C$3="CGE",INDEX(GDP_CGE!$A$3:$AN$24,MATCH($A28,GDP_CGE!$A$3:$A$24,0),MATCH(L$9,GDP_CGE!$A$3:$AN$3,0)),GDP_Simple!S30)</f>
        <v>2.7062825372228025</v>
      </c>
      <c r="M28">
        <f>IF($C$3="CGE",INDEX(GDP_CGE!$A$3:$AN$24,MATCH($A28,GDP_CGE!$A$3:$A$24,0),MATCH(M$9,GDP_CGE!$A$3:$AN$3,0)),GDP_Simple!T30)</f>
        <v>2.7814243946428032</v>
      </c>
      <c r="N28">
        <f>IF($C$3="CGE",INDEX(GDP_CGE!$A$3:$AN$24,MATCH($A28,GDP_CGE!$A$3:$A$24,0),MATCH(N$9,GDP_CGE!$A$3:$AN$3,0)),GDP_Simple!U30)</f>
        <v>2.8703877111476017</v>
      </c>
      <c r="O28">
        <f>IF($C$3="CGE",INDEX(GDP_CGE!$A$3:$AN$24,MATCH($A28,GDP_CGE!$A$3:$A$24,0),MATCH(O$9,GDP_CGE!$A$3:$AN$3,0)),GDP_Simple!V30)</f>
        <v>2.9633446916374409</v>
      </c>
      <c r="P28">
        <f>IF($C$3="CGE",INDEX(GDP_CGE!$A$3:$AN$24,MATCH($A28,GDP_CGE!$A$3:$A$24,0),MATCH(P$9,GDP_CGE!$A$3:$AN$3,0)),GDP_Simple!W30)</f>
        <v>3.0644773352599146</v>
      </c>
      <c r="Q28">
        <f>IF($C$3="CGE",INDEX(GDP_CGE!$A$3:$AN$24,MATCH($A28,GDP_CGE!$A$3:$A$24,0),MATCH(Q$9,GDP_CGE!$A$3:$AN$3,0)),GDP_Simple!X30)</f>
        <v>3.1778310754066195</v>
      </c>
      <c r="R28">
        <f>IF($C$3="CGE",INDEX(GDP_CGE!$A$3:$AN$24,MATCH($A28,GDP_CGE!$A$3:$A$24,0),MATCH(R$9,GDP_CGE!$A$3:$AN$3,0)),GDP_Simple!Y30)</f>
        <v>3.3009541457446416</v>
      </c>
      <c r="S28">
        <f>IF($C$3="CGE",INDEX(GDP_CGE!$A$3:$AN$24,MATCH($A28,GDP_CGE!$A$3:$A$24,0),MATCH(S$9,GDP_CGE!$A$3:$AN$3,0)),GDP_Simple!Z30)</f>
        <v>3.431180605249248</v>
      </c>
      <c r="T28">
        <f>IF($C$3="CGE",INDEX(GDP_CGE!$A$3:$AN$24,MATCH($A28,GDP_CGE!$A$3:$A$24,0),MATCH(T$9,GDP_CGE!$A$3:$AN$3,0)),GDP_Simple!AA30)</f>
        <v>3.5677186955291949</v>
      </c>
      <c r="U28">
        <f>IF($C$3="CGE",INDEX(GDP_CGE!$A$3:$AN$24,MATCH($A28,GDP_CGE!$A$3:$A$24,0),MATCH(U$9,GDP_CGE!$A$3:$AN$3,0)),GDP_Simple!AB30)</f>
        <v>3.7123972071075513</v>
      </c>
      <c r="V28">
        <f>IF($C$3="CGE",INDEX(GDP_CGE!$A$3:$AN$24,MATCH($A28,GDP_CGE!$A$3:$A$24,0),MATCH(V$9,GDP_CGE!$A$3:$AN$3,0)),GDP_Simple!AC30)</f>
        <v>3.8592437618342785</v>
      </c>
      <c r="W28">
        <f>IF($C$3="CGE",INDEX(GDP_CGE!$A$3:$AN$24,MATCH($A28,GDP_CGE!$A$3:$A$24,0),MATCH(W$9,GDP_CGE!$A$3:$AN$3,0)),GDP_Simple!AD30)</f>
        <v>4.0067001340671311</v>
      </c>
      <c r="X28">
        <f>IF($C$3="CGE",INDEX(GDP_CGE!$A$3:$AN$24,MATCH($A28,GDP_CGE!$A$3:$A$24,0),MATCH(X$9,GDP_CGE!$A$3:$AN$3,0)),GDP_Simple!AE30)</f>
        <v>4.1588118346457321</v>
      </c>
      <c r="Y28">
        <f>IF($C$3="CGE",INDEX(GDP_CGE!$A$3:$AN$24,MATCH($A28,GDP_CGE!$A$3:$A$24,0),MATCH(Y$9,GDP_CGE!$A$3:$AN$3,0)),GDP_Simple!AF30)</f>
        <v>4.3087096447296167</v>
      </c>
      <c r="Z28">
        <f>IF($C$3="CGE",INDEX(GDP_CGE!$A$3:$AN$24,MATCH($A28,GDP_CGE!$A$3:$A$24,0),MATCH(Z$9,GDP_CGE!$A$3:$AN$3,0)),GDP_Simple!AG30)</f>
        <v>4.4642040764232043</v>
      </c>
      <c r="AA28">
        <f>IF($C$3="CGE",INDEX(GDP_CGE!$A$3:$AN$24,MATCH($A28,GDP_CGE!$A$3:$A$24,0),MATCH(AA$9,GDP_CGE!$A$3:$AN$3,0)),GDP_Simple!AH30)</f>
        <v>4.6272402164085191</v>
      </c>
      <c r="AB28">
        <f>IF($C$3="CGE",INDEX(GDP_CGE!$A$3:$AN$24,MATCH($A28,GDP_CGE!$A$3:$A$24,0),MATCH(AB$9,GDP_CGE!$A$3:$AN$3,0)),GDP_Simple!AI30)</f>
        <v>4.7984466837056834</v>
      </c>
      <c r="AC28">
        <f>IF($C$3="CGE",INDEX(GDP_CGE!$A$3:$AN$24,MATCH($A28,GDP_CGE!$A$3:$A$24,0),MATCH(AC$9,GDP_CGE!$A$3:$AN$3,0)),GDP_Simple!AJ30)</f>
        <v>4.9782925784117102</v>
      </c>
      <c r="AD28">
        <f>IF($C$3="CGE",INDEX(GDP_CGE!$A$3:$AN$24,MATCH($A28,GDP_CGE!$A$3:$A$24,0),MATCH(AD$9,GDP_CGE!$A$3:$AN$3,0)),GDP_Simple!AK30)</f>
        <v>5.1550864822133242</v>
      </c>
      <c r="AE28">
        <f>IF($C$3="CGE",INDEX(GDP_CGE!$A$3:$AN$24,MATCH($A28,GDP_CGE!$A$3:$A$24,0),MATCH(AE$9,GDP_CGE!$A$3:$AN$3,0)),GDP_Simple!AL30)</f>
        <v>5.340671922116365</v>
      </c>
      <c r="AF28">
        <f>IF($C$3="CGE",INDEX(GDP_CGE!$A$3:$AN$24,MATCH($A28,GDP_CGE!$A$3:$A$24,0),MATCH(AF$9,GDP_CGE!$A$3:$AN$3,0)),GDP_Simple!AM30)</f>
        <v>5.5396009484922493</v>
      </c>
      <c r="AG28">
        <f>IF($C$3="CGE",INDEX(GDP_CGE!$A$3:$AN$24,MATCH($A28,GDP_CGE!$A$3:$A$24,0),MATCH(AG$9,GDP_CGE!$A$3:$AN$3,0)),GDP_Simple!AN30)</f>
        <v>5.7503222134702492</v>
      </c>
      <c r="AH28">
        <f>IF($C$3="CGE",INDEX(GDP_CGE!$A$3:$AN$24,MATCH($A28,GDP_CGE!$A$3:$A$24,0),MATCH(AH$9,GDP_CGE!$A$3:$AN$3,0)),GDP_Simple!AO30)</f>
        <v>5.9579875727291247</v>
      </c>
      <c r="AI28">
        <f>IF($C$3="CGE",INDEX(GDP_CGE!$A$3:$AN$24,MATCH($A28,GDP_CGE!$A$3:$A$24,0),MATCH(AI$9,GDP_CGE!$A$3:$AN$3,0)),GDP_Simple!AP30)</f>
        <v>6.1617449841486156</v>
      </c>
      <c r="AJ28">
        <f>IF($C$3="CGE",INDEX(GDP_CGE!$A$3:$AN$24,MATCH($A28,GDP_CGE!$A$3:$A$24,0),MATCH(AJ$9,GDP_CGE!$A$3:$AN$3,0)),GDP_Simple!AQ30)</f>
        <v>6.3607326838501965</v>
      </c>
      <c r="AK28">
        <f>IF($C$3="CGE",INDEX(GDP_CGE!$A$3:$AN$24,MATCH($A28,GDP_CGE!$A$3:$A$24,0),MATCH(AK$9,GDP_CGE!$A$3:$AN$3,0)),GDP_Simple!AR30)</f>
        <v>6.5540845953893383</v>
      </c>
      <c r="AL28">
        <f>IF($C$3="CGE",INDEX(GDP_CGE!$A$3:$AN$24,MATCH($A28,GDP_CGE!$A$3:$A$24,0),MATCH(AL$9,GDP_CGE!$A$3:$AN$3,0)),GDP_Simple!AS30)</f>
        <v>6.740936423599817</v>
      </c>
      <c r="AM28">
        <f>IF($C$3="CGE",INDEX(GDP_CGE!$A$3:$AN$24,MATCH($A28,GDP_CGE!$A$3:$A$24,0),MATCH(AM$9,GDP_CGE!$A$3:$AN$3,0)),GDP_Simple!AT30)</f>
        <v>6.9204319441521411</v>
      </c>
      <c r="AN28">
        <f>IF($C$3="CGE",INDEX(GDP_CGE!$A$3:$AN$24,MATCH($A28,GDP_CGE!$A$3:$A$24,0),MATCH(AN$9,GDP_CGE!$A$3:$AN$3,0)),GDP_Simple!AU30)</f>
        <v>7.0917294276386329</v>
      </c>
      <c r="AO28">
        <f>IF($C$3="CGE",INDEX(GDP_CGE!$A$3:$AN$24,MATCH($A28,GDP_CGE!$A$3:$A$24,0),MATCH(AO$9,GDP_CGE!$A$3:$AN$3,0)),GDP_Simple!AV30)</f>
        <v>7.2540081331745521</v>
      </c>
      <c r="AP28">
        <f>IF($C$3="CGE",INDEX(GDP_CGE!$A$3:$AN$24,MATCH($A28,GDP_CGE!$A$3:$A$24,0),MATCH(AP$9,GDP_CGE!$A$3:$AN$3,0)),GDP_Simple!AW30)</f>
        <v>7.4064748034856294</v>
      </c>
      <c r="AQ28">
        <f>IF($C$3="CGE",INDEX(GDP_CGE!$A$3:$AN$24,MATCH($A28,GDP_CGE!$A$3:$A$24,0),MATCH(AQ$9,GDP_CGE!$A$3:$AN$3,0)),GDP_Simple!AX30)</f>
        <v>7.5483700913142799</v>
      </c>
      <c r="AR28">
        <f>IF($C$3="CGE",INDEX(GDP_CGE!$A$3:$AN$24,MATCH($A28,GDP_CGE!$A$3:$A$24,0),MATCH(AR$9,GDP_CGE!$A$3:$AN$3,0)),GDP_Simple!AY30)</f>
        <v>7.6789748457836078</v>
      </c>
      <c r="AS28">
        <f>IF($C$3="CGE",INDEX(GDP_CGE!$A$3:$AN$24,MATCH($A28,GDP_CGE!$A$3:$A$24,0),MATCH(AS$9,GDP_CGE!$A$3:$AN$3,0)),GDP_Simple!AZ30)</f>
        <v>7.7976161871585061</v>
      </c>
      <c r="AT28">
        <f>IF($C$3="CGE",INDEX(GDP_CGE!$A$3:$AN$24,MATCH($A28,GDP_CGE!$A$3:$A$24,0),MATCH(AT$9,GDP_CGE!$A$3:$AN$3,0)),GDP_Simple!BA30)</f>
        <v>7.9036732992693555</v>
      </c>
      <c r="AU28">
        <f>IF($C$3="CGE",INDEX(GDP_CGE!$A$3:$AN$24,MATCH($A28,GDP_CGE!$A$3:$A$24,0),MATCH(AU$9,GDP_CGE!$A$3:$AN$3,0)),GDP_Simple!BB30)</f>
        <v>7.9965828707307933</v>
      </c>
      <c r="AV28">
        <f>IF($C$3="CGE",INDEX(GDP_CGE!$A$3:$AN$24,MATCH($A28,GDP_CGE!$A$3:$A$24,0),MATCH(AV$9,GDP_CGE!$A$3:$AN$3,0)),GDP_Simple!BC30)</f>
        <v>8.0758441189923502</v>
      </c>
      <c r="AW28">
        <f>IF($C$3="CGE",INDEX(GDP_CGE!$A$3:$AN$24,MATCH($A28,GDP_CGE!$A$3:$A$24,0),MATCH(AW$9,GDP_CGE!$A$3:$AN$3,0)),GDP_Simple!BD30)</f>
        <v>8.1410233351770582</v>
      </c>
      <c r="AX28">
        <f>IF($C$3="CGE",INDEX(GDP_CGE!$A$3:$AN$24,MATCH($A28,GDP_CGE!$A$3:$A$24,0),MATCH(AX$9,GDP_CGE!$A$3:$AN$3,0)),GDP_Simple!BE30)</f>
        <v>8.1917578925574457</v>
      </c>
      <c r="AY28">
        <f>IF($C$3="CGE",INDEX(GDP_CGE!$A$3:$AN$24,MATCH($A28,GDP_CGE!$A$3:$A$24,0),MATCH(AY$9,GDP_CGE!$A$3:$AN$3,0)),GDP_Simple!BF30)</f>
        <v>8.2277596673262234</v>
      </c>
      <c r="AZ28">
        <f>IF($C$3="CGE",INDEX(GDP_CGE!$A$3:$AN$24,MATCH($A28,GDP_CGE!$A$3:$A$24,0),MATCH(AZ$9,GDP_CGE!$A$3:$AN$3,0)),GDP_Simple!BG30)</f>
        <v>8.2488178269638102</v>
      </c>
      <c r="BA28">
        <f>IF($C$3="CGE",INDEX(GDP_CGE!$A$3:$AN$24,MATCH($A28,GDP_CGE!$A$3:$A$24,0),MATCH(BA$9,GDP_CGE!$A$3:$AN$3,0)),GDP_Simple!BH30)</f>
        <v>8.2548009488935836</v>
      </c>
    </row>
    <row r="29" spans="1:53" x14ac:dyDescent="0.25">
      <c r="A29" s="3" t="s">
        <v>182</v>
      </c>
      <c r="B29">
        <f>IF($C$3="CGE",INDEX(GDP_CGE!$A$3:$AN$24,MATCH($A29,GDP_CGE!$A$3:$A$24,0),MATCH(B$9,GDP_CGE!$A$3:$AN$3,0)),GDP_Simple!I31)</f>
        <v>0.28999999999999998</v>
      </c>
      <c r="C29">
        <f>IF($C$3="CGE",INDEX(GDP_CGE!$A$3:$AN$24,MATCH($A29,GDP_CGE!$A$3:$A$24,0),MATCH(C$9,GDP_CGE!$A$3:$AN$3,0)),GDP_Simple!J31)</f>
        <v>0.28999999999999998</v>
      </c>
      <c r="D29">
        <f>IF($C$3="CGE",INDEX(GDP_CGE!$A$3:$AN$24,MATCH($A29,GDP_CGE!$A$3:$A$24,0),MATCH(D$9,GDP_CGE!$A$3:$AN$3,0)),GDP_Simple!K31)</f>
        <v>0.28001534121848543</v>
      </c>
      <c r="E29">
        <f>IF($C$3="CGE",INDEX(GDP_CGE!$A$3:$AN$24,MATCH($A29,GDP_CGE!$A$3:$A$24,0),MATCH(E$9,GDP_CGE!$A$3:$AN$3,0)),GDP_Simple!L31)</f>
        <v>0.2859257861169196</v>
      </c>
      <c r="F29">
        <f>IF($C$3="CGE",INDEX(GDP_CGE!$A$3:$AN$24,MATCH($A29,GDP_CGE!$A$3:$A$24,0),MATCH(F$9,GDP_CGE!$A$3:$AN$3,0)),GDP_Simple!M31)</f>
        <v>0.28642554314882196</v>
      </c>
      <c r="G29">
        <f>IF($C$3="CGE",INDEX(GDP_CGE!$A$3:$AN$24,MATCH($A29,GDP_CGE!$A$3:$A$24,0),MATCH(G$9,GDP_CGE!$A$3:$AN$3,0)),GDP_Simple!N31)</f>
        <v>0.28934920030387079</v>
      </c>
      <c r="H29">
        <f>IF($C$3="CGE",INDEX(GDP_CGE!$A$3:$AN$24,MATCH($A29,GDP_CGE!$A$3:$A$24,0),MATCH(H$9,GDP_CGE!$A$3:$AN$3,0)),GDP_Simple!O31)</f>
        <v>0.29246839917299322</v>
      </c>
      <c r="I29">
        <f>IF($C$3="CGE",INDEX(GDP_CGE!$A$3:$AN$24,MATCH($A29,GDP_CGE!$A$3:$A$24,0),MATCH(I$9,GDP_CGE!$A$3:$AN$3,0)),GDP_Simple!P31)</f>
        <v>0.29707862009436553</v>
      </c>
      <c r="J29">
        <f>IF($C$3="CGE",INDEX(GDP_CGE!$A$3:$AN$24,MATCH($A29,GDP_CGE!$A$3:$A$24,0),MATCH(J$9,GDP_CGE!$A$3:$AN$3,0)),GDP_Simple!Q31)</f>
        <v>0.30229057704460466</v>
      </c>
      <c r="K29">
        <f>IF($C$3="CGE",INDEX(GDP_CGE!$A$3:$AN$24,MATCH($A29,GDP_CGE!$A$3:$A$24,0),MATCH(K$9,GDP_CGE!$A$3:$AN$3,0)),GDP_Simple!R31)</f>
        <v>0.30799793378391971</v>
      </c>
      <c r="L29">
        <f>IF($C$3="CGE",INDEX(GDP_CGE!$A$3:$AN$24,MATCH($A29,GDP_CGE!$A$3:$A$24,0),MATCH(L$9,GDP_CGE!$A$3:$AN$3,0)),GDP_Simple!S31)</f>
        <v>0.31518953244763559</v>
      </c>
      <c r="M29">
        <f>IF($C$3="CGE",INDEX(GDP_CGE!$A$3:$AN$24,MATCH($A29,GDP_CGE!$A$3:$A$24,0),MATCH(M$9,GDP_CGE!$A$3:$AN$3,0)),GDP_Simple!T31)</f>
        <v>0.32394099375357938</v>
      </c>
      <c r="N29">
        <f>IF($C$3="CGE",INDEX(GDP_CGE!$A$3:$AN$24,MATCH($A29,GDP_CGE!$A$3:$A$24,0),MATCH(N$9,GDP_CGE!$A$3:$AN$3,0)),GDP_Simple!U31)</f>
        <v>0.33430218322602584</v>
      </c>
      <c r="O29">
        <f>IF($C$3="CGE",INDEX(GDP_CGE!$A$3:$AN$24,MATCH($A29,GDP_CGE!$A$3:$A$24,0),MATCH(O$9,GDP_CGE!$A$3:$AN$3,0)),GDP_Simple!V31)</f>
        <v>0.34512849822283442</v>
      </c>
      <c r="P29">
        <f>IF($C$3="CGE",INDEX(GDP_CGE!$A$3:$AN$24,MATCH($A29,GDP_CGE!$A$3:$A$24,0),MATCH(P$9,GDP_CGE!$A$3:$AN$3,0)),GDP_Simple!W31)</f>
        <v>0.35690699888569277</v>
      </c>
      <c r="Q29">
        <f>IF($C$3="CGE",INDEX(GDP_CGE!$A$3:$AN$24,MATCH($A29,GDP_CGE!$A$3:$A$24,0),MATCH(Q$9,GDP_CGE!$A$3:$AN$3,0)),GDP_Simple!X31)</f>
        <v>0.37010884010759815</v>
      </c>
      <c r="R29">
        <f>IF($C$3="CGE",INDEX(GDP_CGE!$A$3:$AN$24,MATCH($A29,GDP_CGE!$A$3:$A$24,0),MATCH(R$9,GDP_CGE!$A$3:$AN$3,0)),GDP_Simple!Y31)</f>
        <v>0.38444847480560074</v>
      </c>
      <c r="S29">
        <f>IF($C$3="CGE",INDEX(GDP_CGE!$A$3:$AN$24,MATCH($A29,GDP_CGE!$A$3:$A$24,0),MATCH(S$9,GDP_CGE!$A$3:$AN$3,0)),GDP_Simple!Z31)</f>
        <v>0.39961541185633803</v>
      </c>
      <c r="T29">
        <f>IF($C$3="CGE",INDEX(GDP_CGE!$A$3:$AN$24,MATCH($A29,GDP_CGE!$A$3:$A$24,0),MATCH(T$9,GDP_CGE!$A$3:$AN$3,0)),GDP_Simple!AA31)</f>
        <v>0.41551743843512701</v>
      </c>
      <c r="U29">
        <f>IF($C$3="CGE",INDEX(GDP_CGE!$A$3:$AN$24,MATCH($A29,GDP_CGE!$A$3:$A$24,0),MATCH(U$9,GDP_CGE!$A$3:$AN$3,0)),GDP_Simple!AB31)</f>
        <v>0.43236754620931306</v>
      </c>
      <c r="V29">
        <f>IF($C$3="CGE",INDEX(GDP_CGE!$A$3:$AN$24,MATCH($A29,GDP_CGE!$A$3:$A$24,0),MATCH(V$9,GDP_CGE!$A$3:$AN$3,0)),GDP_Simple!AC31)</f>
        <v>0.4494701570007793</v>
      </c>
      <c r="W29">
        <f>IF($C$3="CGE",INDEX(GDP_CGE!$A$3:$AN$24,MATCH($A29,GDP_CGE!$A$3:$A$24,0),MATCH(W$9,GDP_CGE!$A$3:$AN$3,0)),GDP_Simple!AD31)</f>
        <v>0.46664379071464568</v>
      </c>
      <c r="X29">
        <f>IF($C$3="CGE",INDEX(GDP_CGE!$A$3:$AN$24,MATCH($A29,GDP_CGE!$A$3:$A$24,0),MATCH(X$9,GDP_CGE!$A$3:$AN$3,0)),GDP_Simple!AE31)</f>
        <v>0.48435961126396071</v>
      </c>
      <c r="Y29">
        <f>IF($C$3="CGE",INDEX(GDP_CGE!$A$3:$AN$24,MATCH($A29,GDP_CGE!$A$3:$A$24,0),MATCH(Y$9,GDP_CGE!$A$3:$AN$3,0)),GDP_Simple!AF31)</f>
        <v>0.50181758914521635</v>
      </c>
      <c r="Z29">
        <f>IF($C$3="CGE",INDEX(GDP_CGE!$A$3:$AN$24,MATCH($A29,GDP_CGE!$A$3:$A$24,0),MATCH(Z$9,GDP_CGE!$A$3:$AN$3,0)),GDP_Simple!AG31)</f>
        <v>0.51992738239467018</v>
      </c>
      <c r="AA29">
        <f>IF($C$3="CGE",INDEX(GDP_CGE!$A$3:$AN$24,MATCH($A29,GDP_CGE!$A$3:$A$24,0),MATCH(AA$9,GDP_CGE!$A$3:$AN$3,0)),GDP_Simple!AH31)</f>
        <v>0.53891552721223701</v>
      </c>
      <c r="AB29">
        <f>IF($C$3="CGE",INDEX(GDP_CGE!$A$3:$AN$24,MATCH($A29,GDP_CGE!$A$3:$A$24,0),MATCH(AB$9,GDP_CGE!$A$3:$AN$3,0)),GDP_Simple!AI31)</f>
        <v>0.55885523625487865</v>
      </c>
      <c r="AC29">
        <f>IF($C$3="CGE",INDEX(GDP_CGE!$A$3:$AN$24,MATCH($A29,GDP_CGE!$A$3:$A$24,0),MATCH(AC$9,GDP_CGE!$A$3:$AN$3,0)),GDP_Simple!AJ31)</f>
        <v>0.57980114367044</v>
      </c>
      <c r="AD29">
        <f>IF($C$3="CGE",INDEX(GDP_CGE!$A$3:$AN$24,MATCH($A29,GDP_CGE!$A$3:$A$24,0),MATCH(AD$9,GDP_CGE!$A$3:$AN$3,0)),GDP_Simple!AK31)</f>
        <v>0.60039159833006572</v>
      </c>
      <c r="AE29">
        <f>IF($C$3="CGE",INDEX(GDP_CGE!$A$3:$AN$24,MATCH($A29,GDP_CGE!$A$3:$A$24,0),MATCH(AE$9,GDP_CGE!$A$3:$AN$3,0)),GDP_Simple!AL31)</f>
        <v>0.6220059668328296</v>
      </c>
      <c r="AF29">
        <f>IF($C$3="CGE",INDEX(GDP_CGE!$A$3:$AN$24,MATCH($A29,GDP_CGE!$A$3:$A$24,0),MATCH(AF$9,GDP_CGE!$A$3:$AN$3,0)),GDP_Simple!AM31)</f>
        <v>0.64517440765572365</v>
      </c>
      <c r="AG29">
        <f>IF($C$3="CGE",INDEX(GDP_CGE!$A$3:$AN$24,MATCH($A29,GDP_CGE!$A$3:$A$24,0),MATCH(AG$9,GDP_CGE!$A$3:$AN$3,0)),GDP_Simple!AN31)</f>
        <v>0.66971624172946653</v>
      </c>
      <c r="AH29">
        <f>IF($C$3="CGE",INDEX(GDP_CGE!$A$3:$AN$24,MATCH($A29,GDP_CGE!$A$3:$A$24,0),MATCH(AH$9,GDP_CGE!$A$3:$AN$3,0)),GDP_Simple!AO31)</f>
        <v>0.6939021671049983</v>
      </c>
      <c r="AI29">
        <f>IF($C$3="CGE",INDEX(GDP_CGE!$A$3:$AN$24,MATCH($A29,GDP_CGE!$A$3:$A$24,0),MATCH(AI$9,GDP_CGE!$A$3:$AN$3,0)),GDP_Simple!AP31)</f>
        <v>0.71763294996108362</v>
      </c>
      <c r="AJ29">
        <f>IF($C$3="CGE",INDEX(GDP_CGE!$A$3:$AN$24,MATCH($A29,GDP_CGE!$A$3:$A$24,0),MATCH(AJ$9,GDP_CGE!$A$3:$AN$3,0)),GDP_Simple!AQ31)</f>
        <v>0.74080822422351666</v>
      </c>
      <c r="AK29">
        <f>IF($C$3="CGE",INDEX(GDP_CGE!$A$3:$AN$24,MATCH($A29,GDP_CGE!$A$3:$A$24,0),MATCH(AK$9,GDP_CGE!$A$3:$AN$3,0)),GDP_Simple!AR31)</f>
        <v>0.76332712155136861</v>
      </c>
      <c r="AL29">
        <f>IF($C$3="CGE",INDEX(GDP_CGE!$A$3:$AN$24,MATCH($A29,GDP_CGE!$A$3:$A$24,0),MATCH(AL$9,GDP_CGE!$A$3:$AN$3,0)),GDP_Simple!AS31)</f>
        <v>0.7850889810618259</v>
      </c>
      <c r="AM29">
        <f>IF($C$3="CGE",INDEX(GDP_CGE!$A$3:$AN$24,MATCH($A29,GDP_CGE!$A$3:$A$24,0),MATCH(AM$9,GDP_CGE!$A$3:$AN$3,0)),GDP_Simple!AT31)</f>
        <v>0.80599408184904431</v>
      </c>
      <c r="AN29">
        <f>IF($C$3="CGE",INDEX(GDP_CGE!$A$3:$AN$24,MATCH($A29,GDP_CGE!$A$3:$A$24,0),MATCH(AN$9,GDP_CGE!$A$3:$AN$3,0)),GDP_Simple!AU31)</f>
        <v>0.82594439117076424</v>
      </c>
      <c r="AO29">
        <f>IF($C$3="CGE",INDEX(GDP_CGE!$A$3:$AN$24,MATCH($A29,GDP_CGE!$A$3:$A$24,0),MATCH(AO$9,GDP_CGE!$A$3:$AN$3,0)),GDP_Simple!AV31)</f>
        <v>0.84484432073117255</v>
      </c>
      <c r="AP29">
        <f>IF($C$3="CGE",INDEX(GDP_CGE!$A$3:$AN$24,MATCH($A29,GDP_CGE!$A$3:$A$24,0),MATCH(AP$9,GDP_CGE!$A$3:$AN$3,0)),GDP_Simple!AW31)</f>
        <v>0.86260148313688034</v>
      </c>
      <c r="AQ29">
        <f>IF($C$3="CGE",INDEX(GDP_CGE!$A$3:$AN$24,MATCH($A29,GDP_CGE!$A$3:$A$24,0),MATCH(AQ$9,GDP_CGE!$A$3:$AN$3,0)),GDP_Simple!AX31)</f>
        <v>0.87912744035387169</v>
      </c>
      <c r="AR29">
        <f>IF($C$3="CGE",INDEX(GDP_CGE!$A$3:$AN$24,MATCH($A29,GDP_CGE!$A$3:$A$24,0),MATCH(AR$9,GDP_CGE!$A$3:$AN$3,0)),GDP_Simple!AY31)</f>
        <v>0.89433843585431561</v>
      </c>
      <c r="AS29">
        <f>IF($C$3="CGE",INDEX(GDP_CGE!$A$3:$AN$24,MATCH($A29,GDP_CGE!$A$3:$A$24,0),MATCH(AS$9,GDP_CGE!$A$3:$AN$3,0)),GDP_Simple!AZ31)</f>
        <v>0.908156102118862</v>
      </c>
      <c r="AT29">
        <f>IF($C$3="CGE",INDEX(GDP_CGE!$A$3:$AN$24,MATCH($A29,GDP_CGE!$A$3:$A$24,0),MATCH(AT$9,GDP_CGE!$A$3:$AN$3,0)),GDP_Simple!BA31)</f>
        <v>0.92050813525627007</v>
      </c>
      <c r="AU29">
        <f>IF($C$3="CGE",INDEX(GDP_CGE!$A$3:$AN$24,MATCH($A29,GDP_CGE!$A$3:$A$24,0),MATCH(AU$9,GDP_CGE!$A$3:$AN$3,0)),GDP_Simple!BB31)</f>
        <v>0.93132892871965034</v>
      </c>
      <c r="AV29">
        <f>IF($C$3="CGE",INDEX(GDP_CGE!$A$3:$AN$24,MATCH($A29,GDP_CGE!$A$3:$A$24,0),MATCH(AV$9,GDP_CGE!$A$3:$AN$3,0)),GDP_Simple!BC31)</f>
        <v>0.94056015843685992</v>
      </c>
      <c r="AW29">
        <f>IF($C$3="CGE",INDEX(GDP_CGE!$A$3:$AN$24,MATCH($A29,GDP_CGE!$A$3:$A$24,0),MATCH(AW$9,GDP_CGE!$A$3:$AN$3,0)),GDP_Simple!BD31)</f>
        <v>0.94815131212905468</v>
      </c>
      <c r="AX29">
        <f>IF($C$3="CGE",INDEX(GDP_CGE!$A$3:$AN$24,MATCH($A29,GDP_CGE!$A$3:$A$24,0),MATCH(AX$9,GDP_CGE!$A$3:$AN$3,0)),GDP_Simple!BE31)</f>
        <v>0.95406015616130868</v>
      </c>
      <c r="AY29">
        <f>IF($C$3="CGE",INDEX(GDP_CGE!$A$3:$AN$24,MATCH($A29,GDP_CGE!$A$3:$A$24,0),MATCH(AY$9,GDP_CGE!$A$3:$AN$3,0)),GDP_Simple!BF31)</f>
        <v>0.95825313394562428</v>
      </c>
      <c r="AZ29">
        <f>IF($C$3="CGE",INDEX(GDP_CGE!$A$3:$AN$24,MATCH($A29,GDP_CGE!$A$3:$A$24,0),MATCH(AZ$9,GDP_CGE!$A$3:$AN$3,0)),GDP_Simple!BG31)</f>
        <v>0.96070569069056411</v>
      </c>
      <c r="BA29">
        <f>IF($C$3="CGE",INDEX(GDP_CGE!$A$3:$AN$24,MATCH($A29,GDP_CGE!$A$3:$A$24,0),MATCH(BA$9,GDP_CGE!$A$3:$AN$3,0)),GDP_Simple!BH31)</f>
        <v>0.96140252015226446</v>
      </c>
    </row>
    <row r="30" spans="1:53" x14ac:dyDescent="0.25">
      <c r="A30" s="3" t="s">
        <v>183</v>
      </c>
      <c r="B30">
        <f>IF($C$3="CGE",INDEX(GDP_CGE!$A$3:$AN$24,MATCH($A30,GDP_CGE!$A$3:$A$24,0),MATCH(B$9,GDP_CGE!$A$3:$AN$3,0)),GDP_Simple!I32)</f>
        <v>0.08</v>
      </c>
      <c r="C30">
        <f>IF($C$3="CGE",INDEX(GDP_CGE!$A$3:$AN$24,MATCH($A30,GDP_CGE!$A$3:$A$24,0),MATCH(C$9,GDP_CGE!$A$3:$AN$3,0)),GDP_Simple!J32)</f>
        <v>0.08</v>
      </c>
      <c r="D30">
        <f>IF($C$3="CGE",INDEX(GDP_CGE!$A$3:$AN$24,MATCH($A30,GDP_CGE!$A$3:$A$24,0),MATCH(D$9,GDP_CGE!$A$3:$AN$3,0)),GDP_Simple!K32)</f>
        <v>7.7245611370616668E-2</v>
      </c>
      <c r="E30">
        <f>IF($C$3="CGE",INDEX(GDP_CGE!$A$3:$AN$24,MATCH($A30,GDP_CGE!$A$3:$A$24,0),MATCH(E$9,GDP_CGE!$A$3:$AN$3,0)),GDP_Simple!L32)</f>
        <v>7.8876078928805424E-2</v>
      </c>
      <c r="F30">
        <f>IF($C$3="CGE",INDEX(GDP_CGE!$A$3:$AN$24,MATCH($A30,GDP_CGE!$A$3:$A$24,0),MATCH(F$9,GDP_CGE!$A$3:$AN$3,0)),GDP_Simple!M32)</f>
        <v>7.9013942937606066E-2</v>
      </c>
      <c r="G30">
        <f>IF($C$3="CGE",INDEX(GDP_CGE!$A$3:$AN$24,MATCH($A30,GDP_CGE!$A$3:$A$24,0),MATCH(G$9,GDP_CGE!$A$3:$AN$3,0)),GDP_Simple!N32)</f>
        <v>7.9820469049343673E-2</v>
      </c>
      <c r="H30">
        <f>IF($C$3="CGE",INDEX(GDP_CGE!$A$3:$AN$24,MATCH($A30,GDP_CGE!$A$3:$A$24,0),MATCH(H$9,GDP_CGE!$A$3:$AN$3,0)),GDP_Simple!O32)</f>
        <v>8.0680937702894695E-2</v>
      </c>
      <c r="I30">
        <f>IF($C$3="CGE",INDEX(GDP_CGE!$A$3:$AN$24,MATCH($A30,GDP_CGE!$A$3:$A$24,0),MATCH(I$9,GDP_CGE!$A$3:$AN$3,0)),GDP_Simple!P32)</f>
        <v>8.1952722784652571E-2</v>
      </c>
      <c r="J30">
        <f>IF($C$3="CGE",INDEX(GDP_CGE!$A$3:$AN$24,MATCH($A30,GDP_CGE!$A$3:$A$24,0),MATCH(J$9,GDP_CGE!$A$3:$AN$3,0)),GDP_Simple!Q32)</f>
        <v>8.3390504012304745E-2</v>
      </c>
      <c r="K30">
        <f>IF($C$3="CGE",INDEX(GDP_CGE!$A$3:$AN$24,MATCH($A30,GDP_CGE!$A$3:$A$24,0),MATCH(K$9,GDP_CGE!$A$3:$AN$3,0)),GDP_Simple!R32)</f>
        <v>8.4964947250736486E-2</v>
      </c>
      <c r="L30">
        <f>IF($C$3="CGE",INDEX(GDP_CGE!$A$3:$AN$24,MATCH($A30,GDP_CGE!$A$3:$A$24,0),MATCH(L$9,GDP_CGE!$A$3:$AN$3,0)),GDP_Simple!S32)</f>
        <v>8.6948836537278779E-2</v>
      </c>
      <c r="M30">
        <f>IF($C$3="CGE",INDEX(GDP_CGE!$A$3:$AN$24,MATCH($A30,GDP_CGE!$A$3:$A$24,0),MATCH(M$9,GDP_CGE!$A$3:$AN$3,0)),GDP_Simple!T32)</f>
        <v>8.9363032759608121E-2</v>
      </c>
      <c r="N30">
        <f>IF($C$3="CGE",INDEX(GDP_CGE!$A$3:$AN$24,MATCH($A30,GDP_CGE!$A$3:$A$24,0),MATCH(N$9,GDP_CGE!$A$3:$AN$3,0)),GDP_Simple!U32)</f>
        <v>9.2221291924420926E-2</v>
      </c>
      <c r="O30">
        <f>IF($C$3="CGE",INDEX(GDP_CGE!$A$3:$AN$24,MATCH($A30,GDP_CGE!$A$3:$A$24,0),MATCH(O$9,GDP_CGE!$A$3:$AN$3,0)),GDP_Simple!V32)</f>
        <v>9.5207861578712943E-2</v>
      </c>
      <c r="P30">
        <f>IF($C$3="CGE",INDEX(GDP_CGE!$A$3:$AN$24,MATCH($A30,GDP_CGE!$A$3:$A$24,0),MATCH(P$9,GDP_CGE!$A$3:$AN$3,0)),GDP_Simple!W32)</f>
        <v>9.8457103140880783E-2</v>
      </c>
      <c r="Q30">
        <f>IF($C$3="CGE",INDEX(GDP_CGE!$A$3:$AN$24,MATCH($A30,GDP_CGE!$A$3:$A$24,0),MATCH(Q$9,GDP_CGE!$A$3:$AN$3,0)),GDP_Simple!X32)</f>
        <v>0.10209899037450984</v>
      </c>
      <c r="R30">
        <f>IF($C$3="CGE",INDEX(GDP_CGE!$A$3:$AN$24,MATCH($A30,GDP_CGE!$A$3:$A$24,0),MATCH(R$9,GDP_CGE!$A$3:$AN$3,0)),GDP_Simple!Y32)</f>
        <v>0.10605475167051057</v>
      </c>
      <c r="S30">
        <f>IF($C$3="CGE",INDEX(GDP_CGE!$A$3:$AN$24,MATCH($A30,GDP_CGE!$A$3:$A$24,0),MATCH(S$9,GDP_CGE!$A$3:$AN$3,0)),GDP_Simple!Z32)</f>
        <v>0.11023873430519671</v>
      </c>
      <c r="T30">
        <f>IF($C$3="CGE",INDEX(GDP_CGE!$A$3:$AN$24,MATCH($A30,GDP_CGE!$A$3:$A$24,0),MATCH(T$9,GDP_CGE!$A$3:$AN$3,0)),GDP_Simple!AA32)</f>
        <v>0.11462550025796608</v>
      </c>
      <c r="U30">
        <f>IF($C$3="CGE",INDEX(GDP_CGE!$A$3:$AN$24,MATCH($A30,GDP_CGE!$A$3:$A$24,0),MATCH(U$9,GDP_CGE!$A$3:$AN$3,0)),GDP_Simple!AB32)</f>
        <v>0.119273805850845</v>
      </c>
      <c r="V30">
        <f>IF($C$3="CGE",INDEX(GDP_CGE!$A$3:$AN$24,MATCH($A30,GDP_CGE!$A$3:$A$24,0),MATCH(V$9,GDP_CGE!$A$3:$AN$3,0)),GDP_Simple!AC32)</f>
        <v>0.12399176744849086</v>
      </c>
      <c r="W30">
        <f>IF($C$3="CGE",INDEX(GDP_CGE!$A$3:$AN$24,MATCH($A30,GDP_CGE!$A$3:$A$24,0),MATCH(W$9,GDP_CGE!$A$3:$AN$3,0)),GDP_Simple!AD32)</f>
        <v>0.12872932157645398</v>
      </c>
      <c r="X30">
        <f>IF($C$3="CGE",INDEX(GDP_CGE!$A$3:$AN$24,MATCH($A30,GDP_CGE!$A$3:$A$24,0),MATCH(X$9,GDP_CGE!$A$3:$AN$3,0)),GDP_Simple!AE32)</f>
        <v>0.13361644448660986</v>
      </c>
      <c r="Y30">
        <f>IF($C$3="CGE",INDEX(GDP_CGE!$A$3:$AN$24,MATCH($A30,GDP_CGE!$A$3:$A$24,0),MATCH(Y$9,GDP_CGE!$A$3:$AN$3,0)),GDP_Simple!AF32)</f>
        <v>0.13843243838488728</v>
      </c>
      <c r="Z30">
        <f>IF($C$3="CGE",INDEX(GDP_CGE!$A$3:$AN$24,MATCH($A30,GDP_CGE!$A$3:$A$24,0),MATCH(Z$9,GDP_CGE!$A$3:$AN$3,0)),GDP_Simple!AG32)</f>
        <v>0.14342824341921939</v>
      </c>
      <c r="AA30">
        <f>IF($C$3="CGE",INDEX(GDP_CGE!$A$3:$AN$24,MATCH($A30,GDP_CGE!$A$3:$A$24,0),MATCH(AA$9,GDP_CGE!$A$3:$AN$3,0)),GDP_Simple!AH32)</f>
        <v>0.14866635233441022</v>
      </c>
      <c r="AB30">
        <f>IF($C$3="CGE",INDEX(GDP_CGE!$A$3:$AN$24,MATCH($A30,GDP_CGE!$A$3:$A$24,0),MATCH(AB$9,GDP_CGE!$A$3:$AN$3,0)),GDP_Simple!AI32)</f>
        <v>0.15416696172548378</v>
      </c>
      <c r="AC30">
        <f>IF($C$3="CGE",INDEX(GDP_CGE!$A$3:$AN$24,MATCH($A30,GDP_CGE!$A$3:$A$24,0),MATCH(AC$9,GDP_CGE!$A$3:$AN$3,0)),GDP_Simple!AJ32)</f>
        <v>0.15994514308150071</v>
      </c>
      <c r="AD30">
        <f>IF($C$3="CGE",INDEX(GDP_CGE!$A$3:$AN$24,MATCH($A30,GDP_CGE!$A$3:$A$24,0),MATCH(AD$9,GDP_CGE!$A$3:$AN$3,0)),GDP_Simple!AK32)</f>
        <v>0.16562526850484574</v>
      </c>
      <c r="AE30">
        <f>IF($C$3="CGE",INDEX(GDP_CGE!$A$3:$AN$24,MATCH($A30,GDP_CGE!$A$3:$A$24,0),MATCH(AE$9,GDP_CGE!$A$3:$AN$3,0)),GDP_Simple!AL32)</f>
        <v>0.17158785291940126</v>
      </c>
      <c r="AF30">
        <f>IF($C$3="CGE",INDEX(GDP_CGE!$A$3:$AN$24,MATCH($A30,GDP_CGE!$A$3:$A$24,0),MATCH(AF$9,GDP_CGE!$A$3:$AN$3,0)),GDP_Simple!AM32)</f>
        <v>0.17797914693951</v>
      </c>
      <c r="AG30">
        <f>IF($C$3="CGE",INDEX(GDP_CGE!$A$3:$AN$24,MATCH($A30,GDP_CGE!$A$3:$A$24,0),MATCH(AG$9,GDP_CGE!$A$3:$AN$3,0)),GDP_Simple!AN32)</f>
        <v>0.18474930806330114</v>
      </c>
      <c r="AH30">
        <f>IF($C$3="CGE",INDEX(GDP_CGE!$A$3:$AN$24,MATCH($A30,GDP_CGE!$A$3:$A$24,0),MATCH(AH$9,GDP_CGE!$A$3:$AN$3,0)),GDP_Simple!AO32)</f>
        <v>0.19142128747724094</v>
      </c>
      <c r="AI30">
        <f>IF($C$3="CGE",INDEX(GDP_CGE!$A$3:$AN$24,MATCH($A30,GDP_CGE!$A$3:$A$24,0),MATCH(AI$9,GDP_CGE!$A$3:$AN$3,0)),GDP_Simple!AP32)</f>
        <v>0.19796771033409205</v>
      </c>
      <c r="AJ30">
        <f>IF($C$3="CGE",INDEX(GDP_CGE!$A$3:$AN$24,MATCH($A30,GDP_CGE!$A$3:$A$24,0),MATCH(AJ$9,GDP_CGE!$A$3:$AN$3,0)),GDP_Simple!AQ32)</f>
        <v>0.20436088944097014</v>
      </c>
      <c r="AK30">
        <f>IF($C$3="CGE",INDEX(GDP_CGE!$A$3:$AN$24,MATCH($A30,GDP_CGE!$A$3:$A$24,0),MATCH(AK$9,GDP_CGE!$A$3:$AN$3,0)),GDP_Simple!AR32)</f>
        <v>0.21057299904865343</v>
      </c>
      <c r="AL30">
        <f>IF($C$3="CGE",INDEX(GDP_CGE!$A$3:$AN$24,MATCH($A30,GDP_CGE!$A$3:$A$24,0),MATCH(AL$9,GDP_CGE!$A$3:$AN$3,0)),GDP_Simple!AS32)</f>
        <v>0.21657627063774509</v>
      </c>
      <c r="AM30">
        <f>IF($C$3="CGE",INDEX(GDP_CGE!$A$3:$AN$24,MATCH($A30,GDP_CGE!$A$3:$A$24,0),MATCH(AM$9,GDP_CGE!$A$3:$AN$3,0)),GDP_Simple!AT32)</f>
        <v>0.22234319499283986</v>
      </c>
      <c r="AN30">
        <f>IF($C$3="CGE",INDEX(GDP_CGE!$A$3:$AN$24,MATCH($A30,GDP_CGE!$A$3:$A$24,0),MATCH(AN$9,GDP_CGE!$A$3:$AN$3,0)),GDP_Simple!AU32)</f>
        <v>0.22784672859883154</v>
      </c>
      <c r="AO30">
        <f>IF($C$3="CGE",INDEX(GDP_CGE!$A$3:$AN$24,MATCH($A30,GDP_CGE!$A$3:$A$24,0),MATCH(AO$9,GDP_CGE!$A$3:$AN$3,0)),GDP_Simple!AV32)</f>
        <v>0.23306050227066832</v>
      </c>
      <c r="AP30">
        <f>IF($C$3="CGE",INDEX(GDP_CGE!$A$3:$AN$24,MATCH($A30,GDP_CGE!$A$3:$A$24,0),MATCH(AP$9,GDP_CGE!$A$3:$AN$3,0)),GDP_Simple!AW32)</f>
        <v>0.23795902983086356</v>
      </c>
      <c r="AQ30">
        <f>IF($C$3="CGE",INDEX(GDP_CGE!$A$3:$AN$24,MATCH($A30,GDP_CGE!$A$3:$A$24,0),MATCH(AQ$9,GDP_CGE!$A$3:$AN$3,0)),GDP_Simple!AX32)</f>
        <v>0.24251791458037844</v>
      </c>
      <c r="AR30">
        <f>IF($C$3="CGE",INDEX(GDP_CGE!$A$3:$AN$24,MATCH($A30,GDP_CGE!$A$3:$A$24,0),MATCH(AR$9,GDP_CGE!$A$3:$AN$3,0)),GDP_Simple!AY32)</f>
        <v>0.24671405127015605</v>
      </c>
      <c r="AS30">
        <f>IF($C$3="CGE",INDEX(GDP_CGE!$A$3:$AN$24,MATCH($A30,GDP_CGE!$A$3:$A$24,0),MATCH(AS$9,GDP_CGE!$A$3:$AN$3,0)),GDP_Simple!AZ32)</f>
        <v>0.25052582127416884</v>
      </c>
      <c r="AT30">
        <f>IF($C$3="CGE",INDEX(GDP_CGE!$A$3:$AN$24,MATCH($A30,GDP_CGE!$A$3:$A$24,0),MATCH(AT$9,GDP_CGE!$A$3:$AN$3,0)),GDP_Simple!BA32)</f>
        <v>0.25393327869138488</v>
      </c>
      <c r="AU30">
        <f>IF($C$3="CGE",INDEX(GDP_CGE!$A$3:$AN$24,MATCH($A30,GDP_CGE!$A$3:$A$24,0),MATCH(AU$9,GDP_CGE!$A$3:$AN$3,0)),GDP_Simple!BB32)</f>
        <v>0.25691832516404151</v>
      </c>
      <c r="AV30">
        <f>IF($C$3="CGE",INDEX(GDP_CGE!$A$3:$AN$24,MATCH($A30,GDP_CGE!$A$3:$A$24,0),MATCH(AV$9,GDP_CGE!$A$3:$AN$3,0)),GDP_Simple!BC32)</f>
        <v>0.25946487129292689</v>
      </c>
      <c r="AW30">
        <f>IF($C$3="CGE",INDEX(GDP_CGE!$A$3:$AN$24,MATCH($A30,GDP_CGE!$A$3:$A$24,0),MATCH(AW$9,GDP_CGE!$A$3:$AN$3,0)),GDP_Simple!BD32)</f>
        <v>0.26155898265629096</v>
      </c>
      <c r="AX30">
        <f>IF($C$3="CGE",INDEX(GDP_CGE!$A$3:$AN$24,MATCH($A30,GDP_CGE!$A$3:$A$24,0),MATCH(AX$9,GDP_CGE!$A$3:$AN$3,0)),GDP_Simple!BE32)</f>
        <v>0.26318900859622313</v>
      </c>
      <c r="AY30">
        <f>IF($C$3="CGE",INDEX(GDP_CGE!$A$3:$AN$24,MATCH($A30,GDP_CGE!$A$3:$A$24,0),MATCH(AY$9,GDP_CGE!$A$3:$AN$3,0)),GDP_Simple!BF32)</f>
        <v>0.26434569212293085</v>
      </c>
      <c r="AZ30">
        <f>IF($C$3="CGE",INDEX(GDP_CGE!$A$3:$AN$24,MATCH($A30,GDP_CGE!$A$3:$A$24,0),MATCH(AZ$9,GDP_CGE!$A$3:$AN$3,0)),GDP_Simple!BG32)</f>
        <v>0.26502225950084529</v>
      </c>
      <c r="BA30">
        <f>IF($C$3="CGE",INDEX(GDP_CGE!$A$3:$AN$24,MATCH($A30,GDP_CGE!$A$3:$A$24,0),MATCH(BA$9,GDP_CGE!$A$3:$AN$3,0)),GDP_Simple!BH32)</f>
        <v>0.26521448831786609</v>
      </c>
    </row>
    <row r="33" spans="1:89" ht="18" thickBot="1" x14ac:dyDescent="0.35">
      <c r="A33" s="4" t="s">
        <v>47</v>
      </c>
      <c r="B33" s="4"/>
      <c r="C33" s="4"/>
    </row>
    <row r="34" spans="1:89" ht="15.75" thickTop="1" x14ac:dyDescent="0.25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 s="3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  <c r="AG34">
        <v>2051</v>
      </c>
      <c r="AH34">
        <v>2052</v>
      </c>
      <c r="AI34">
        <v>2053</v>
      </c>
      <c r="AJ34">
        <v>2054</v>
      </c>
      <c r="AK34">
        <v>2055</v>
      </c>
      <c r="AL34">
        <v>2056</v>
      </c>
      <c r="AM34">
        <v>2057</v>
      </c>
      <c r="AN34">
        <v>2058</v>
      </c>
      <c r="AO34">
        <v>2059</v>
      </c>
      <c r="AP34">
        <v>2060</v>
      </c>
      <c r="AQ34">
        <v>2061</v>
      </c>
      <c r="AR34">
        <v>2062</v>
      </c>
      <c r="AS34">
        <v>2063</v>
      </c>
      <c r="AT34">
        <v>2064</v>
      </c>
      <c r="AU34">
        <v>2065</v>
      </c>
      <c r="AV34">
        <v>2066</v>
      </c>
      <c r="AW34">
        <v>2067</v>
      </c>
      <c r="AX34">
        <v>2068</v>
      </c>
      <c r="AY34">
        <v>2069</v>
      </c>
      <c r="AZ34">
        <v>2070</v>
      </c>
      <c r="BA34">
        <v>2071</v>
      </c>
      <c r="BB34">
        <v>2072</v>
      </c>
      <c r="BC34">
        <v>2073</v>
      </c>
      <c r="BD34">
        <v>2074</v>
      </c>
      <c r="BE34">
        <v>2075</v>
      </c>
      <c r="BF34">
        <v>2076</v>
      </c>
      <c r="BG34">
        <v>2077</v>
      </c>
      <c r="BH34">
        <v>2078</v>
      </c>
      <c r="BI34">
        <v>2079</v>
      </c>
      <c r="BJ34">
        <v>2080</v>
      </c>
      <c r="BK34">
        <v>2081</v>
      </c>
      <c r="BL34">
        <v>2082</v>
      </c>
      <c r="BM34">
        <v>2083</v>
      </c>
      <c r="BN34">
        <v>2084</v>
      </c>
      <c r="BO34">
        <v>2085</v>
      </c>
      <c r="BP34">
        <v>2086</v>
      </c>
      <c r="BQ34">
        <v>2087</v>
      </c>
      <c r="BR34">
        <v>2088</v>
      </c>
      <c r="BS34">
        <v>2089</v>
      </c>
      <c r="BT34">
        <v>2090</v>
      </c>
      <c r="BU34">
        <v>2091</v>
      </c>
      <c r="BV34">
        <v>2092</v>
      </c>
      <c r="BW34">
        <v>2093</v>
      </c>
      <c r="BX34">
        <v>2094</v>
      </c>
      <c r="BY34">
        <v>2095</v>
      </c>
      <c r="BZ34">
        <v>2096</v>
      </c>
      <c r="CA34">
        <v>2097</v>
      </c>
      <c r="CB34">
        <v>2098</v>
      </c>
      <c r="CC34">
        <v>2099</v>
      </c>
      <c r="CD34">
        <v>2100</v>
      </c>
    </row>
    <row r="35" spans="1:89" x14ac:dyDescent="0.25">
      <c r="A35" s="9">
        <v>58364.834921819442</v>
      </c>
      <c r="B35" s="9">
        <f>I49</f>
        <v>58801.927000000003</v>
      </c>
      <c r="C35" s="9">
        <f>J49</f>
        <v>59392.254999999997</v>
      </c>
      <c r="D35" s="9">
        <f t="shared" ref="D35:BO35" si="22">K49</f>
        <v>59893.885000000002</v>
      </c>
      <c r="E35" s="9">
        <f t="shared" si="22"/>
        <v>60414.495000000003</v>
      </c>
      <c r="F35" s="9">
        <f t="shared" si="22"/>
        <v>61020.220999999998</v>
      </c>
      <c r="G35" s="9">
        <f t="shared" si="22"/>
        <v>61673.080999999998</v>
      </c>
      <c r="H35" s="9">
        <f t="shared" si="22"/>
        <v>62305.038999999997</v>
      </c>
      <c r="I35" s="9">
        <f t="shared" si="22"/>
        <v>62918.915999999997</v>
      </c>
      <c r="J35" s="9">
        <f t="shared" si="22"/>
        <v>63514.502</v>
      </c>
      <c r="K35" s="9">
        <f t="shared" si="22"/>
        <v>64093.732000000004</v>
      </c>
      <c r="L35" s="9">
        <f t="shared" si="22"/>
        <v>64659.277999999998</v>
      </c>
      <c r="M35" s="9">
        <f t="shared" si="22"/>
        <v>65211.525999999998</v>
      </c>
      <c r="N35" s="9">
        <f t="shared" si="22"/>
        <v>65752.923999999999</v>
      </c>
      <c r="O35" s="9">
        <f t="shared" si="22"/>
        <v>66284.188999999998</v>
      </c>
      <c r="P35" s="9">
        <f t="shared" si="22"/>
        <v>66804.167000000001</v>
      </c>
      <c r="Q35" s="9">
        <f t="shared" si="22"/>
        <v>67314.133000000002</v>
      </c>
      <c r="R35" s="9">
        <f t="shared" si="22"/>
        <v>67815.933000000005</v>
      </c>
      <c r="S35" s="9">
        <f t="shared" si="22"/>
        <v>68308.245999999999</v>
      </c>
      <c r="T35" s="9">
        <f t="shared" si="22"/>
        <v>68788.494999999995</v>
      </c>
      <c r="U35" s="9">
        <f t="shared" si="22"/>
        <v>69256.823000000004</v>
      </c>
      <c r="V35" s="9">
        <f t="shared" si="22"/>
        <v>69713.937000000005</v>
      </c>
      <c r="W35" s="9">
        <f t="shared" si="22"/>
        <v>70160.652000000002</v>
      </c>
      <c r="X35" s="9">
        <f t="shared" si="22"/>
        <v>70595.131999999998</v>
      </c>
      <c r="Y35" s="9">
        <f t="shared" si="22"/>
        <v>71016.168000000005</v>
      </c>
      <c r="Z35" s="9">
        <f t="shared" si="22"/>
        <v>71423.671000000002</v>
      </c>
      <c r="AA35" s="9">
        <f t="shared" si="22"/>
        <v>71816.201000000001</v>
      </c>
      <c r="AB35" s="9">
        <f t="shared" si="22"/>
        <v>72192.154999999999</v>
      </c>
      <c r="AC35" s="9">
        <f t="shared" si="22"/>
        <v>72551.392999999996</v>
      </c>
      <c r="AD35" s="9">
        <f t="shared" si="22"/>
        <v>72894.218999999997</v>
      </c>
      <c r="AE35" s="9">
        <f t="shared" si="22"/>
        <v>73220.86</v>
      </c>
      <c r="AF35" s="9">
        <f t="shared" si="22"/>
        <v>73529.752999999997</v>
      </c>
      <c r="AG35" s="9">
        <f t="shared" si="22"/>
        <v>73819.237999999998</v>
      </c>
      <c r="AH35" s="9">
        <f t="shared" si="22"/>
        <v>74089.701000000001</v>
      </c>
      <c r="AI35" s="9">
        <f t="shared" si="22"/>
        <v>74342.981</v>
      </c>
      <c r="AJ35" s="9">
        <f t="shared" si="22"/>
        <v>74580.11</v>
      </c>
      <c r="AK35" s="9">
        <f t="shared" si="22"/>
        <v>74799.05</v>
      </c>
      <c r="AL35" s="9">
        <f t="shared" si="22"/>
        <v>75001.119999999995</v>
      </c>
      <c r="AM35" s="9">
        <f t="shared" si="22"/>
        <v>75188.808000000005</v>
      </c>
      <c r="AN35" s="9">
        <f t="shared" si="22"/>
        <v>75362.119000000006</v>
      </c>
      <c r="AO35" s="9">
        <f t="shared" si="22"/>
        <v>75520.304000000004</v>
      </c>
      <c r="AP35" s="9">
        <f t="shared" si="22"/>
        <v>75663.198000000004</v>
      </c>
      <c r="AQ35" s="9">
        <f t="shared" si="22"/>
        <v>75793.040999999997</v>
      </c>
      <c r="AR35" s="9">
        <f t="shared" si="22"/>
        <v>75912.773000000001</v>
      </c>
      <c r="AS35" s="9">
        <f t="shared" si="22"/>
        <v>76022.452999999994</v>
      </c>
      <c r="AT35" s="9">
        <f t="shared" si="22"/>
        <v>76120.998999999996</v>
      </c>
      <c r="AU35" s="9">
        <f t="shared" si="22"/>
        <v>76208.044999999998</v>
      </c>
      <c r="AV35" s="9">
        <f t="shared" si="22"/>
        <v>76283.732000000004</v>
      </c>
      <c r="AW35" s="9">
        <f t="shared" si="22"/>
        <v>76351.933999999994</v>
      </c>
      <c r="AX35" s="9">
        <f t="shared" si="22"/>
        <v>76412.77</v>
      </c>
      <c r="AY35" s="9">
        <f t="shared" si="22"/>
        <v>76462.114000000001</v>
      </c>
      <c r="AZ35" s="9">
        <f t="shared" si="22"/>
        <v>76502.154999999999</v>
      </c>
      <c r="BA35" s="9">
        <f t="shared" si="22"/>
        <v>76536.239000000001</v>
      </c>
      <c r="BB35" s="9">
        <f t="shared" si="22"/>
        <v>76563.061000000002</v>
      </c>
      <c r="BC35" s="9">
        <f t="shared" si="22"/>
        <v>76578.86</v>
      </c>
      <c r="BD35" s="9">
        <f t="shared" si="22"/>
        <v>76584.111000000004</v>
      </c>
      <c r="BE35" s="9">
        <f t="shared" si="22"/>
        <v>76579.881999999998</v>
      </c>
      <c r="BF35" s="9">
        <f t="shared" si="22"/>
        <v>76567.381999999998</v>
      </c>
      <c r="BG35" s="9">
        <f t="shared" si="22"/>
        <v>76548.373999999996</v>
      </c>
      <c r="BH35" s="9">
        <f t="shared" si="22"/>
        <v>76522.763999999996</v>
      </c>
      <c r="BI35" s="9">
        <f t="shared" si="22"/>
        <v>76488.403999999995</v>
      </c>
      <c r="BJ35" s="9">
        <f t="shared" si="22"/>
        <v>76445.383000000002</v>
      </c>
      <c r="BK35" s="9">
        <f t="shared" si="22"/>
        <v>76396.514999999999</v>
      </c>
      <c r="BL35" s="9">
        <f t="shared" si="22"/>
        <v>76341.014999999999</v>
      </c>
      <c r="BM35" s="9">
        <f t="shared" si="22"/>
        <v>76280.819000000003</v>
      </c>
      <c r="BN35" s="9">
        <f t="shared" si="22"/>
        <v>76216.707999999999</v>
      </c>
      <c r="BO35" s="9">
        <f t="shared" si="22"/>
        <v>76146.535000000003</v>
      </c>
      <c r="BP35" s="9">
        <f t="shared" ref="BP35:CD35" si="23">BW49</f>
        <v>76071.991999999998</v>
      </c>
      <c r="BQ35" s="9">
        <f t="shared" si="23"/>
        <v>75994.767999999996</v>
      </c>
      <c r="BR35" s="9">
        <f t="shared" si="23"/>
        <v>75913.620999999999</v>
      </c>
      <c r="BS35" s="9">
        <f t="shared" si="23"/>
        <v>75827.38</v>
      </c>
      <c r="BT35" s="9">
        <f t="shared" si="23"/>
        <v>75736.555999999997</v>
      </c>
      <c r="BU35" s="9">
        <f t="shared" si="23"/>
        <v>75640.985000000001</v>
      </c>
      <c r="BV35" s="9">
        <f t="shared" si="23"/>
        <v>75538.822</v>
      </c>
      <c r="BW35" s="9">
        <f t="shared" si="23"/>
        <v>75431.323000000004</v>
      </c>
      <c r="BX35" s="9">
        <f t="shared" si="23"/>
        <v>75319.877999999997</v>
      </c>
      <c r="BY35" s="9">
        <f t="shared" si="23"/>
        <v>75203.788</v>
      </c>
      <c r="BZ35" s="9">
        <f t="shared" si="23"/>
        <v>75084.182000000001</v>
      </c>
      <c r="CA35" s="9">
        <f t="shared" si="23"/>
        <v>74959.932000000001</v>
      </c>
      <c r="CB35" s="9">
        <f t="shared" si="23"/>
        <v>74830.455000000002</v>
      </c>
      <c r="CC35" s="9">
        <f t="shared" si="23"/>
        <v>74697.591</v>
      </c>
      <c r="CD35" s="9">
        <f t="shared" si="23"/>
        <v>74559.59</v>
      </c>
    </row>
    <row r="36" spans="1:89" x14ac:dyDescent="0.25">
      <c r="J36" s="6"/>
      <c r="K36" s="6"/>
      <c r="L36" s="6"/>
      <c r="M36" s="6"/>
      <c r="N36" s="6"/>
      <c r="S36" s="6"/>
    </row>
    <row r="37" spans="1:89" x14ac:dyDescent="0.25">
      <c r="A37">
        <v>2019</v>
      </c>
      <c r="B37">
        <f>B34</f>
        <v>2020</v>
      </c>
      <c r="C37">
        <f t="shared" ref="C37:BN37" si="24">C34</f>
        <v>2021</v>
      </c>
      <c r="D37">
        <f t="shared" si="24"/>
        <v>2022</v>
      </c>
      <c r="E37">
        <f t="shared" si="24"/>
        <v>2023</v>
      </c>
      <c r="F37">
        <f t="shared" si="24"/>
        <v>2024</v>
      </c>
      <c r="G37">
        <f t="shared" si="24"/>
        <v>2025</v>
      </c>
      <c r="H37">
        <f t="shared" si="24"/>
        <v>2026</v>
      </c>
      <c r="I37">
        <f t="shared" si="24"/>
        <v>2027</v>
      </c>
      <c r="J37">
        <f t="shared" si="24"/>
        <v>2028</v>
      </c>
      <c r="K37">
        <f t="shared" si="24"/>
        <v>2029</v>
      </c>
      <c r="L37">
        <f t="shared" si="24"/>
        <v>2030</v>
      </c>
      <c r="M37">
        <f t="shared" si="24"/>
        <v>2031</v>
      </c>
      <c r="N37">
        <f t="shared" si="24"/>
        <v>2032</v>
      </c>
      <c r="O37">
        <f t="shared" si="24"/>
        <v>2033</v>
      </c>
      <c r="P37">
        <f t="shared" si="24"/>
        <v>2034</v>
      </c>
      <c r="Q37">
        <f t="shared" si="24"/>
        <v>2035</v>
      </c>
      <c r="R37">
        <f t="shared" si="24"/>
        <v>2036</v>
      </c>
      <c r="S37">
        <f t="shared" si="24"/>
        <v>2037</v>
      </c>
      <c r="T37">
        <f t="shared" si="24"/>
        <v>2038</v>
      </c>
      <c r="U37">
        <f t="shared" si="24"/>
        <v>2039</v>
      </c>
      <c r="V37">
        <f t="shared" si="24"/>
        <v>2040</v>
      </c>
      <c r="W37">
        <f t="shared" si="24"/>
        <v>2041</v>
      </c>
      <c r="X37">
        <f t="shared" si="24"/>
        <v>2042</v>
      </c>
      <c r="Y37">
        <f t="shared" si="24"/>
        <v>2043</v>
      </c>
      <c r="Z37">
        <f t="shared" si="24"/>
        <v>2044</v>
      </c>
      <c r="AA37">
        <f t="shared" si="24"/>
        <v>2045</v>
      </c>
      <c r="AB37">
        <f t="shared" si="24"/>
        <v>2046</v>
      </c>
      <c r="AC37">
        <f t="shared" si="24"/>
        <v>2047</v>
      </c>
      <c r="AD37">
        <f t="shared" si="24"/>
        <v>2048</v>
      </c>
      <c r="AE37">
        <f t="shared" si="24"/>
        <v>2049</v>
      </c>
      <c r="AF37">
        <f t="shared" si="24"/>
        <v>2050</v>
      </c>
      <c r="AG37">
        <f t="shared" si="24"/>
        <v>2051</v>
      </c>
      <c r="AH37">
        <f t="shared" si="24"/>
        <v>2052</v>
      </c>
      <c r="AI37">
        <f t="shared" si="24"/>
        <v>2053</v>
      </c>
      <c r="AJ37">
        <f t="shared" si="24"/>
        <v>2054</v>
      </c>
      <c r="AK37">
        <f t="shared" si="24"/>
        <v>2055</v>
      </c>
      <c r="AL37">
        <f t="shared" si="24"/>
        <v>2056</v>
      </c>
      <c r="AM37">
        <f t="shared" si="24"/>
        <v>2057</v>
      </c>
      <c r="AN37">
        <f t="shared" si="24"/>
        <v>2058</v>
      </c>
      <c r="AO37">
        <f t="shared" si="24"/>
        <v>2059</v>
      </c>
      <c r="AP37">
        <f t="shared" si="24"/>
        <v>2060</v>
      </c>
      <c r="AQ37">
        <f t="shared" si="24"/>
        <v>2061</v>
      </c>
      <c r="AR37">
        <f t="shared" si="24"/>
        <v>2062</v>
      </c>
      <c r="AS37">
        <f t="shared" si="24"/>
        <v>2063</v>
      </c>
      <c r="AT37">
        <f t="shared" si="24"/>
        <v>2064</v>
      </c>
      <c r="AU37">
        <f t="shared" si="24"/>
        <v>2065</v>
      </c>
      <c r="AV37">
        <f t="shared" si="24"/>
        <v>2066</v>
      </c>
      <c r="AW37">
        <f t="shared" si="24"/>
        <v>2067</v>
      </c>
      <c r="AX37">
        <f t="shared" si="24"/>
        <v>2068</v>
      </c>
      <c r="AY37">
        <f t="shared" si="24"/>
        <v>2069</v>
      </c>
      <c r="AZ37">
        <f t="shared" si="24"/>
        <v>2070</v>
      </c>
      <c r="BA37">
        <f t="shared" si="24"/>
        <v>2071</v>
      </c>
      <c r="BB37">
        <f t="shared" si="24"/>
        <v>2072</v>
      </c>
      <c r="BC37">
        <f t="shared" si="24"/>
        <v>2073</v>
      </c>
      <c r="BD37">
        <f t="shared" si="24"/>
        <v>2074</v>
      </c>
      <c r="BE37">
        <f t="shared" si="24"/>
        <v>2075</v>
      </c>
      <c r="BF37">
        <f t="shared" si="24"/>
        <v>2076</v>
      </c>
      <c r="BG37">
        <f t="shared" si="24"/>
        <v>2077</v>
      </c>
      <c r="BH37">
        <f t="shared" si="24"/>
        <v>2078</v>
      </c>
      <c r="BI37">
        <f t="shared" si="24"/>
        <v>2079</v>
      </c>
      <c r="BJ37">
        <f t="shared" si="24"/>
        <v>2080</v>
      </c>
      <c r="BK37">
        <f t="shared" si="24"/>
        <v>2081</v>
      </c>
      <c r="BL37">
        <f t="shared" si="24"/>
        <v>2082</v>
      </c>
      <c r="BM37">
        <f t="shared" si="24"/>
        <v>2083</v>
      </c>
      <c r="BN37">
        <f t="shared" si="24"/>
        <v>2084</v>
      </c>
      <c r="BO37">
        <f t="shared" ref="BO37:CD37" si="25">BO34</f>
        <v>2085</v>
      </c>
      <c r="BP37">
        <f t="shared" si="25"/>
        <v>2086</v>
      </c>
      <c r="BQ37">
        <f t="shared" si="25"/>
        <v>2087</v>
      </c>
      <c r="BR37">
        <f t="shared" si="25"/>
        <v>2088</v>
      </c>
      <c r="BS37">
        <f t="shared" si="25"/>
        <v>2089</v>
      </c>
      <c r="BT37">
        <f t="shared" si="25"/>
        <v>2090</v>
      </c>
      <c r="BU37">
        <f t="shared" si="25"/>
        <v>2091</v>
      </c>
      <c r="BV37">
        <f t="shared" si="25"/>
        <v>2092</v>
      </c>
      <c r="BW37">
        <f t="shared" si="25"/>
        <v>2093</v>
      </c>
      <c r="BX37">
        <f t="shared" si="25"/>
        <v>2094</v>
      </c>
      <c r="BY37">
        <f t="shared" si="25"/>
        <v>2095</v>
      </c>
      <c r="BZ37">
        <f t="shared" si="25"/>
        <v>2096</v>
      </c>
      <c r="CA37">
        <f t="shared" si="25"/>
        <v>2097</v>
      </c>
      <c r="CB37">
        <f t="shared" si="25"/>
        <v>2098</v>
      </c>
      <c r="CC37">
        <f t="shared" si="25"/>
        <v>2099</v>
      </c>
      <c r="CD37">
        <f t="shared" si="25"/>
        <v>2100</v>
      </c>
    </row>
    <row r="38" spans="1:89" x14ac:dyDescent="0.25">
      <c r="A38">
        <v>0</v>
      </c>
      <c r="B38" s="1">
        <f>B35/A35-1</f>
        <v>7.4889628106726835E-3</v>
      </c>
      <c r="C38" s="1">
        <f t="shared" ref="C38:BN38" si="26">C35/B35-1</f>
        <v>1.0039262828920537E-2</v>
      </c>
      <c r="D38" s="1">
        <f t="shared" si="26"/>
        <v>8.4460507519037442E-3</v>
      </c>
      <c r="E38" s="1">
        <f t="shared" si="26"/>
        <v>8.6922062243917075E-3</v>
      </c>
      <c r="F38" s="1">
        <f t="shared" si="26"/>
        <v>1.0026170044125982E-2</v>
      </c>
      <c r="G38" s="1">
        <f t="shared" si="26"/>
        <v>1.0699076294725218E-2</v>
      </c>
      <c r="H38" s="1">
        <f t="shared" si="26"/>
        <v>1.0246901723622415E-2</v>
      </c>
      <c r="I38" s="1">
        <f t="shared" si="26"/>
        <v>9.8527664833016892E-3</v>
      </c>
      <c r="J38" s="1">
        <f t="shared" si="26"/>
        <v>9.4659291332992446E-3</v>
      </c>
      <c r="K38" s="1">
        <f t="shared" si="26"/>
        <v>9.1196495565690761E-3</v>
      </c>
      <c r="L38" s="1">
        <f t="shared" si="26"/>
        <v>8.8237333410385865E-3</v>
      </c>
      <c r="M38" s="1">
        <f t="shared" si="26"/>
        <v>8.5408933888806438E-3</v>
      </c>
      <c r="N38" s="1">
        <f t="shared" si="26"/>
        <v>8.3021826540297106E-3</v>
      </c>
      <c r="O38" s="1">
        <f t="shared" si="26"/>
        <v>8.0797167286430494E-3</v>
      </c>
      <c r="P38" s="1">
        <f t="shared" si="26"/>
        <v>7.8446762017410077E-3</v>
      </c>
      <c r="Q38" s="1">
        <f t="shared" si="26"/>
        <v>7.6337453620221041E-3</v>
      </c>
      <c r="R38" s="1">
        <f t="shared" si="26"/>
        <v>7.4546009528193569E-3</v>
      </c>
      <c r="S38" s="1">
        <f t="shared" si="26"/>
        <v>7.2595476936074821E-3</v>
      </c>
      <c r="T38" s="1">
        <f t="shared" si="26"/>
        <v>7.0306153081429734E-3</v>
      </c>
      <c r="U38" s="1">
        <f t="shared" si="26"/>
        <v>6.8082315218556122E-3</v>
      </c>
      <c r="V38" s="1">
        <f t="shared" si="26"/>
        <v>6.6002738820405416E-3</v>
      </c>
      <c r="W38" s="1">
        <f t="shared" si="26"/>
        <v>6.4078291834241963E-3</v>
      </c>
      <c r="X38" s="1">
        <f t="shared" si="26"/>
        <v>6.1926448460027927E-3</v>
      </c>
      <c r="Y38" s="1">
        <f t="shared" si="26"/>
        <v>5.9640939548071259E-3</v>
      </c>
      <c r="Z38" s="1">
        <f t="shared" si="26"/>
        <v>5.7381721863674073E-3</v>
      </c>
      <c r="AA38" s="1">
        <f t="shared" si="26"/>
        <v>5.4957970446520843E-3</v>
      </c>
      <c r="AB38" s="1">
        <f t="shared" si="26"/>
        <v>5.2349469167827234E-3</v>
      </c>
      <c r="AC38" s="1">
        <f t="shared" si="26"/>
        <v>4.976136257464514E-3</v>
      </c>
      <c r="AD38" s="1">
        <f t="shared" si="26"/>
        <v>4.7252848749574916E-3</v>
      </c>
      <c r="AE38" s="1">
        <f t="shared" si="26"/>
        <v>4.481027500960133E-3</v>
      </c>
      <c r="AF38" s="1">
        <f t="shared" si="26"/>
        <v>4.2186475274941238E-3</v>
      </c>
      <c r="AG38" s="1">
        <f t="shared" si="26"/>
        <v>3.9369777292737052E-3</v>
      </c>
      <c r="AH38" s="1">
        <f t="shared" si="26"/>
        <v>3.6638552134606872E-3</v>
      </c>
      <c r="AI38" s="1">
        <f t="shared" si="26"/>
        <v>3.4185588088686547E-3</v>
      </c>
      <c r="AJ38" s="1">
        <f t="shared" si="26"/>
        <v>3.1896622493521321E-3</v>
      </c>
      <c r="AK38" s="1">
        <f t="shared" si="26"/>
        <v>2.9356352518117301E-3</v>
      </c>
      <c r="AL38" s="1">
        <f t="shared" si="26"/>
        <v>2.701504898792173E-3</v>
      </c>
      <c r="AM38" s="1">
        <f t="shared" si="26"/>
        <v>2.5024692964585871E-3</v>
      </c>
      <c r="AN38" s="1">
        <f t="shared" si="26"/>
        <v>2.3050106074298249E-3</v>
      </c>
      <c r="AO38" s="1">
        <f t="shared" si="26"/>
        <v>2.0989988352104749E-3</v>
      </c>
      <c r="AP38" s="1">
        <f t="shared" si="26"/>
        <v>1.8921269172857968E-3</v>
      </c>
      <c r="AQ38" s="1">
        <f t="shared" si="26"/>
        <v>1.716065451000226E-3</v>
      </c>
      <c r="AR38" s="1">
        <f t="shared" si="26"/>
        <v>1.579722866641653E-3</v>
      </c>
      <c r="AS38" s="1">
        <f t="shared" si="26"/>
        <v>1.444816144445138E-3</v>
      </c>
      <c r="AT38" s="1">
        <f t="shared" si="26"/>
        <v>1.296274930776109E-3</v>
      </c>
      <c r="AU38" s="1">
        <f t="shared" si="26"/>
        <v>1.1435215136890164E-3</v>
      </c>
      <c r="AV38" s="1">
        <f t="shared" si="26"/>
        <v>9.9316286095518791E-4</v>
      </c>
      <c r="AW38" s="1">
        <f t="shared" si="26"/>
        <v>8.9405693995137092E-4</v>
      </c>
      <c r="AX38" s="1">
        <f t="shared" si="26"/>
        <v>7.9678400811711292E-4</v>
      </c>
      <c r="AY38" s="1">
        <f t="shared" si="26"/>
        <v>6.4575593843807511E-4</v>
      </c>
      <c r="AZ38" s="1">
        <f t="shared" si="26"/>
        <v>5.2367110854389942E-4</v>
      </c>
      <c r="BA38" s="1">
        <f t="shared" si="26"/>
        <v>4.4552993311097744E-4</v>
      </c>
      <c r="BB38" s="1">
        <f t="shared" si="26"/>
        <v>3.5044836734132723E-4</v>
      </c>
      <c r="BC38" s="1">
        <f t="shared" si="26"/>
        <v>2.0635277369596139E-4</v>
      </c>
      <c r="BD38" s="1">
        <f t="shared" si="26"/>
        <v>6.8569837680998447E-5</v>
      </c>
      <c r="BE38" s="1">
        <f t="shared" si="26"/>
        <v>-5.5220331538596845E-5</v>
      </c>
      <c r="BF38" s="1">
        <f t="shared" si="26"/>
        <v>-1.6322824837988748E-4</v>
      </c>
      <c r="BG38" s="1">
        <f t="shared" si="26"/>
        <v>-2.4825192534339013E-4</v>
      </c>
      <c r="BH38" s="1">
        <f t="shared" si="26"/>
        <v>-3.3455968640172529E-4</v>
      </c>
      <c r="BI38" s="1">
        <f t="shared" si="26"/>
        <v>-4.4901671351027517E-4</v>
      </c>
      <c r="BJ38" s="1">
        <f t="shared" si="26"/>
        <v>-5.6245127039122877E-4</v>
      </c>
      <c r="BK38" s="1">
        <f t="shared" si="26"/>
        <v>-6.3925377939444417E-4</v>
      </c>
      <c r="BL38" s="1">
        <f t="shared" si="26"/>
        <v>-7.2647292877170422E-4</v>
      </c>
      <c r="BM38" s="1">
        <f t="shared" si="26"/>
        <v>-7.8851453573147712E-4</v>
      </c>
      <c r="BN38" s="1">
        <f t="shared" si="26"/>
        <v>-8.404602997249544E-4</v>
      </c>
      <c r="BO38" s="1">
        <f t="shared" ref="BO38:CD38" si="27">BO35/BN35-1</f>
        <v>-9.2070363364415986E-4</v>
      </c>
      <c r="BP38" s="1">
        <f t="shared" si="27"/>
        <v>-9.7894145807164712E-4</v>
      </c>
      <c r="BQ38" s="1">
        <f t="shared" si="27"/>
        <v>-1.0151436549735715E-3</v>
      </c>
      <c r="BR38" s="1">
        <f t="shared" si="27"/>
        <v>-1.0677971936172703E-3</v>
      </c>
      <c r="BS38" s="1">
        <f t="shared" si="27"/>
        <v>-1.1360411855468877E-3</v>
      </c>
      <c r="BT38" s="1">
        <f t="shared" si="27"/>
        <v>-1.1977731526529034E-3</v>
      </c>
      <c r="BU38" s="1">
        <f t="shared" si="27"/>
        <v>-1.2618873242664641E-3</v>
      </c>
      <c r="BV38" s="1">
        <f t="shared" si="27"/>
        <v>-1.3506302172030527E-3</v>
      </c>
      <c r="BW38" s="1">
        <f t="shared" si="27"/>
        <v>-1.423096060460094E-3</v>
      </c>
      <c r="BX38" s="1">
        <f t="shared" si="27"/>
        <v>-1.4774366346458345E-3</v>
      </c>
      <c r="BY38" s="1">
        <f t="shared" si="27"/>
        <v>-1.5412929904108363E-3</v>
      </c>
      <c r="BZ38" s="1">
        <f t="shared" si="27"/>
        <v>-1.5904252057090673E-3</v>
      </c>
      <c r="CA38" s="1">
        <f t="shared" si="27"/>
        <v>-1.6548092646198054E-3</v>
      </c>
      <c r="CB38" s="1">
        <f t="shared" si="27"/>
        <v>-1.7272827835542737E-3</v>
      </c>
      <c r="CC38" s="1">
        <f t="shared" si="27"/>
        <v>-1.7755337716441888E-3</v>
      </c>
      <c r="CD38" s="1">
        <f t="shared" si="27"/>
        <v>-1.847462523925314E-3</v>
      </c>
    </row>
    <row r="39" spans="1:89" ht="18" thickBot="1" x14ac:dyDescent="0.35">
      <c r="A39" s="4" t="s">
        <v>237</v>
      </c>
      <c r="B39" s="4"/>
      <c r="C39" s="4"/>
    </row>
    <row r="40" spans="1:89" ht="15.75" thickTop="1" x14ac:dyDescent="0.25">
      <c r="A40" t="s">
        <v>247</v>
      </c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</row>
    <row r="41" spans="1:89" x14ac:dyDescent="0.25">
      <c r="B41" s="1">
        <f>IFERROR(INDEX(Population!$E$9:$E$26,MATCH(B43,Population!$C$9:$C$26,0)),"")</f>
        <v>0.40070868670482801</v>
      </c>
      <c r="C41" s="1" t="str">
        <f>IFERROR(INDEX(Population!$E$9:$E$26,MATCH(C43,Population!$C$9:$C$26,0)),"")</f>
        <v/>
      </c>
      <c r="D41" s="1">
        <f>IFERROR(INDEX(Population!$E$9:$E$26,MATCH(D43,Population!$C$9:$C$26,0)),"")</f>
        <v>0.40070868670482801</v>
      </c>
      <c r="E41" s="1" t="str">
        <f>IFERROR(INDEX(Population!$E$9:$E$26,MATCH(E43,Population!$C$9:$C$26,0)),"")</f>
        <v/>
      </c>
      <c r="F41" s="1" t="str">
        <f>IFERROR(INDEX(Population!$E$9:$E$26,MATCH(F43,Population!$C$9:$C$26,0)),"")</f>
        <v/>
      </c>
      <c r="G41" s="1">
        <f>IFERROR(INDEX(Population!$E$9:$E$26,MATCH(G43,Population!$C$9:$C$26,0)),"")</f>
        <v>0.42516935113861948</v>
      </c>
      <c r="H41" s="1" t="str">
        <f>IFERROR(INDEX(Population!$E$9:$E$26,MATCH(H43,Population!$C$9:$C$26,0)),"")</f>
        <v/>
      </c>
      <c r="I41" s="1" t="str">
        <f>IFERROR(INDEX(Population!$E$9:$E$26,MATCH(I43,Population!$C$9:$C$26,0)),"")</f>
        <v/>
      </c>
      <c r="J41" s="1" t="str">
        <f>IFERROR(INDEX(Population!$E$9:$E$26,MATCH(J43,Population!$C$9:$C$26,0)),"")</f>
        <v/>
      </c>
      <c r="K41" s="1" t="str">
        <f>IFERROR(INDEX(Population!$E$9:$E$26,MATCH(K43,Population!$C$9:$C$26,0)),"")</f>
        <v/>
      </c>
      <c r="L41" s="1">
        <f>IFERROR(INDEX(Population!$E$9:$E$26,MATCH(L43,Population!$C$9:$C$26,0)),"")</f>
        <v>0.46593712519493863</v>
      </c>
      <c r="M41" s="1" t="str">
        <f>IFERROR(INDEX(Population!$E$9:$E$26,MATCH(M43,Population!$C$9:$C$26,0)),"")</f>
        <v/>
      </c>
      <c r="N41" s="1" t="str">
        <f>IFERROR(INDEX(Population!$E$9:$E$26,MATCH(N43,Population!$C$9:$C$26,0)),"")</f>
        <v/>
      </c>
      <c r="O41" s="1" t="str">
        <f>IFERROR(INDEX(Population!$E$9:$E$26,MATCH(O43,Population!$C$9:$C$26,0)),"")</f>
        <v/>
      </c>
      <c r="P41" s="1" t="str">
        <f>IFERROR(INDEX(Population!$E$9:$E$26,MATCH(P43,Population!$C$9:$C$26,0)),"")</f>
        <v/>
      </c>
      <c r="Q41" s="1">
        <f>IFERROR(INDEX(Population!$E$9:$E$26,MATCH(Q43,Population!$C$9:$C$26,0)),"")</f>
        <v>0.50670489925125772</v>
      </c>
      <c r="R41" s="1" t="str">
        <f>IFERROR(INDEX(Population!$E$9:$E$26,MATCH(R43,Population!$C$9:$C$26,0)),"")</f>
        <v/>
      </c>
      <c r="S41" s="1" t="str">
        <f>IFERROR(INDEX(Population!$E$9:$E$26,MATCH(S43,Population!$C$9:$C$26,0)),"")</f>
        <v/>
      </c>
      <c r="T41" s="1" t="str">
        <f>IFERROR(INDEX(Population!$E$9:$E$26,MATCH(T43,Population!$C$9:$C$26,0)),"")</f>
        <v/>
      </c>
      <c r="U41" s="1" t="str">
        <f>IFERROR(INDEX(Population!$E$9:$E$26,MATCH(U43,Population!$C$9:$C$26,0)),"")</f>
        <v/>
      </c>
      <c r="V41" s="1">
        <f>IFERROR(INDEX(Population!$E$9:$E$26,MATCH(V43,Population!$C$9:$C$26,0)),"")</f>
        <v>0.54747267330757687</v>
      </c>
      <c r="W41" s="1" t="str">
        <f>IFERROR(INDEX(Population!$E$9:$E$26,MATCH(W43,Population!$C$9:$C$26,0)),"")</f>
        <v/>
      </c>
      <c r="X41" s="1" t="str">
        <f>IFERROR(INDEX(Population!$E$9:$E$26,MATCH(X43,Population!$C$9:$C$26,0)),"")</f>
        <v/>
      </c>
      <c r="Y41" s="1" t="str">
        <f>IFERROR(INDEX(Population!$E$9:$E$26,MATCH(Y43,Population!$C$9:$C$26,0)),"")</f>
        <v/>
      </c>
      <c r="Z41" s="1" t="str">
        <f>IFERROR(INDEX(Population!$E$9:$E$26,MATCH(Z43,Population!$C$9:$C$26,0)),"")</f>
        <v/>
      </c>
      <c r="AA41" s="1">
        <f>IFERROR(INDEX(Population!$E$9:$E$26,MATCH(AA43,Population!$C$9:$C$26,0)),"")</f>
        <v>0.58824044736389602</v>
      </c>
      <c r="AB41" s="1" t="str">
        <f>IFERROR(INDEX(Population!$E$9:$E$26,MATCH(AB43,Population!$C$9:$C$26,0)),"")</f>
        <v/>
      </c>
      <c r="AC41" s="1" t="str">
        <f>IFERROR(INDEX(Population!$E$9:$E$26,MATCH(AC43,Population!$C$9:$C$26,0)),"")</f>
        <v/>
      </c>
      <c r="AD41" s="1" t="str">
        <f>IFERROR(INDEX(Population!$E$9:$E$26,MATCH(AD43,Population!$C$9:$C$26,0)),"")</f>
        <v/>
      </c>
      <c r="AE41" s="1" t="str">
        <f>IFERROR(INDEX(Population!$E$9:$E$26,MATCH(AE43,Population!$C$9:$C$26,0)),"")</f>
        <v/>
      </c>
      <c r="AF41" s="1">
        <f>IFERROR(INDEX(Population!$E$9:$E$26,MATCH(AF43,Population!$C$9:$C$26,0)),"")</f>
        <v>0.62900822142021517</v>
      </c>
      <c r="AG41" s="1" t="str">
        <f>IFERROR(INDEX(Population!$E$9:$E$26,MATCH(AG43,Population!$C$9:$C$26,0)),"")</f>
        <v/>
      </c>
      <c r="AH41" s="1" t="str">
        <f>IFERROR(INDEX(Population!$E$9:$E$26,MATCH(AH43,Population!$C$9:$C$26,0)),"")</f>
        <v/>
      </c>
      <c r="AI41" s="1" t="str">
        <f>IFERROR(INDEX(Population!$E$9:$E$26,MATCH(AI43,Population!$C$9:$C$26,0)),"")</f>
        <v/>
      </c>
      <c r="AJ41" s="1" t="str">
        <f>IFERROR(INDEX(Population!$E$9:$E$26,MATCH(AJ43,Population!$C$9:$C$26,0)),"")</f>
        <v/>
      </c>
      <c r="AK41" s="1">
        <f>IFERROR(INDEX(Population!$E$9:$E$26,MATCH(AK43,Population!$C$9:$C$26,0)),"")</f>
        <v>0.66977599547653432</v>
      </c>
      <c r="AL41" s="1" t="str">
        <f>IFERROR(INDEX(Population!$E$9:$E$26,MATCH(AL43,Population!$C$9:$C$26,0)),"")</f>
        <v/>
      </c>
      <c r="AM41" s="1" t="str">
        <f>IFERROR(INDEX(Population!$E$9:$E$26,MATCH(AM43,Population!$C$9:$C$26,0)),"")</f>
        <v/>
      </c>
      <c r="AN41" s="1" t="str">
        <f>IFERROR(INDEX(Population!$E$9:$E$26,MATCH(AN43,Population!$C$9:$C$26,0)),"")</f>
        <v/>
      </c>
      <c r="AO41" s="1" t="str">
        <f>IFERROR(INDEX(Population!$E$9:$E$26,MATCH(AO43,Population!$C$9:$C$26,0)),"")</f>
        <v/>
      </c>
      <c r="AP41" s="1">
        <f>IFERROR(INDEX(Population!$E$9:$E$26,MATCH(AP43,Population!$C$9:$C$26,0)),"")</f>
        <v>0.66679752332956665</v>
      </c>
      <c r="AQ41" s="1" t="str">
        <f>IFERROR(INDEX(Population!$E$9:$E$26,MATCH(AQ43,Population!$C$9:$C$26,0)),"")</f>
        <v/>
      </c>
      <c r="AR41" s="1" t="str">
        <f>IFERROR(INDEX(Population!$E$9:$E$26,MATCH(AR43,Population!$C$9:$C$26,0)),"")</f>
        <v/>
      </c>
      <c r="AS41" s="1" t="str">
        <f>IFERROR(INDEX(Population!$E$9:$E$26,MATCH(AS43,Population!$C$9:$C$26,0)),"")</f>
        <v/>
      </c>
      <c r="AT41" s="1" t="str">
        <f>IFERROR(INDEX(Population!$E$9:$E$26,MATCH(AT43,Population!$C$9:$C$26,0)),"")</f>
        <v/>
      </c>
      <c r="AU41" s="1">
        <f>IFERROR(INDEX(Population!$E$9:$E$26,MATCH(AU43,Population!$C$9:$C$26,0)),"")</f>
        <v>0.66760747425401545</v>
      </c>
      <c r="AV41" s="1" t="str">
        <f>IFERROR(INDEX(Population!$E$9:$E$26,MATCH(AV43,Population!$C$9:$C$26,0)),"")</f>
        <v/>
      </c>
      <c r="AW41" s="1" t="str">
        <f>IFERROR(INDEX(Population!$E$9:$E$26,MATCH(AW43,Population!$C$9:$C$26,0)),"")</f>
        <v/>
      </c>
      <c r="AX41" s="1" t="str">
        <f>IFERROR(INDEX(Population!$E$9:$E$26,MATCH(AX43,Population!$C$9:$C$26,0)),"")</f>
        <v/>
      </c>
      <c r="AY41" s="1" t="str">
        <f>IFERROR(INDEX(Population!$E$9:$E$26,MATCH(AY43,Population!$C$9:$C$26,0)),"")</f>
        <v/>
      </c>
      <c r="AZ41" s="1">
        <f>IFERROR(INDEX(Population!$E$9:$E$26,MATCH(AZ43,Population!$C$9:$C$26,0)),"")</f>
        <v>0.66865737498380307</v>
      </c>
      <c r="BA41" s="1" t="str">
        <f>IFERROR(INDEX(Population!$E$9:$E$26,MATCH(BA43,Population!$C$9:$C$26,0)),"")</f>
        <v/>
      </c>
      <c r="BB41" s="1" t="str">
        <f>IFERROR(INDEX(Population!$E$9:$E$26,MATCH(BB43,Population!$C$9:$C$26,0)),"")</f>
        <v/>
      </c>
      <c r="BC41" s="1" t="str">
        <f>IFERROR(INDEX(Population!$E$9:$E$26,MATCH(BC43,Population!$C$9:$C$26,0)),"")</f>
        <v/>
      </c>
      <c r="BD41" s="1" t="str">
        <f>IFERROR(INDEX(Population!$E$9:$E$26,MATCH(BD43,Population!$C$9:$C$26,0)),"")</f>
        <v/>
      </c>
      <c r="BE41" s="1">
        <f>IFERROR(INDEX(Population!$E$9:$E$26,MATCH(BE43,Population!$C$9:$C$26,0)),"")</f>
        <v>0.66443995787363663</v>
      </c>
      <c r="BF41" s="1" t="str">
        <f>IFERROR(INDEX(Population!$E$9:$E$26,MATCH(BF43,Population!$C$9:$C$26,0)),"")</f>
        <v/>
      </c>
      <c r="BG41" s="1" t="str">
        <f>IFERROR(INDEX(Population!$E$9:$E$26,MATCH(BG43,Population!$C$9:$C$26,0)),"")</f>
        <v/>
      </c>
      <c r="BH41" s="1" t="str">
        <f>IFERROR(INDEX(Population!$E$9:$E$26,MATCH(BH43,Population!$C$9:$C$26,0)),"")</f>
        <v/>
      </c>
      <c r="BI41" s="1" t="str">
        <f>IFERROR(INDEX(Population!$E$9:$E$26,MATCH(BI43,Population!$C$9:$C$26,0)),"")</f>
        <v/>
      </c>
      <c r="BJ41" s="1">
        <f>IFERROR(INDEX(Population!$E$9:$E$26,MATCH(BJ43,Population!$C$9:$C$26,0)),"")</f>
        <v>0.65749144238725898</v>
      </c>
      <c r="BK41" s="1" t="str">
        <f>IFERROR(INDEX(Population!$E$9:$E$26,MATCH(BK43,Population!$C$9:$C$26,0)),"")</f>
        <v/>
      </c>
      <c r="BL41" s="1" t="str">
        <f>IFERROR(INDEX(Population!$E$9:$E$26,MATCH(BL43,Population!$C$9:$C$26,0)),"")</f>
        <v/>
      </c>
      <c r="BM41" s="1" t="str">
        <f>IFERROR(INDEX(Population!$E$9:$E$26,MATCH(BM43,Population!$C$9:$C$26,0)),"")</f>
        <v/>
      </c>
      <c r="BN41" s="1" t="str">
        <f>IFERROR(INDEX(Population!$E$9:$E$26,MATCH(BN43,Population!$C$9:$C$26,0)),"")</f>
        <v/>
      </c>
      <c r="BO41" s="1">
        <f>IFERROR(INDEX(Population!$E$9:$E$26,MATCH(BO43,Population!$C$9:$C$26,0)),"")</f>
        <v>0.65129730571815114</v>
      </c>
      <c r="BP41" s="1" t="str">
        <f>IFERROR(INDEX(Population!$E$9:$E$26,MATCH(BP43,Population!$C$9:$C$26,0)),"")</f>
        <v/>
      </c>
      <c r="BQ41" s="1" t="str">
        <f>IFERROR(INDEX(Population!$E$9:$E$26,MATCH(BQ43,Population!$C$9:$C$26,0)),"")</f>
        <v/>
      </c>
      <c r="BR41" s="1" t="str">
        <f>IFERROR(INDEX(Population!$E$9:$E$26,MATCH(BR43,Population!$C$9:$C$26,0)),"")</f>
        <v/>
      </c>
      <c r="BS41" s="1" t="str">
        <f>IFERROR(INDEX(Population!$E$9:$E$26,MATCH(BS43,Population!$C$9:$C$26,0)),"")</f>
        <v/>
      </c>
      <c r="BT41" s="1">
        <f>IFERROR(INDEX(Population!$E$9:$E$26,MATCH(BT43,Population!$C$9:$C$26,0)),"")</f>
        <v>0.64619542947705577</v>
      </c>
      <c r="BU41" s="1" t="str">
        <f>IFERROR(INDEX(Population!$E$9:$E$26,MATCH(BU43,Population!$C$9:$C$26,0)),"")</f>
        <v/>
      </c>
      <c r="BV41" s="1" t="str">
        <f>IFERROR(INDEX(Population!$E$9:$E$26,MATCH(BV43,Population!$C$9:$C$26,0)),"")</f>
        <v/>
      </c>
      <c r="BW41" s="1" t="str">
        <f>IFERROR(INDEX(Population!$E$9:$E$26,MATCH(BW43,Population!$C$9:$C$26,0)),"")</f>
        <v/>
      </c>
      <c r="BX41" s="1" t="str">
        <f>IFERROR(INDEX(Population!$E$9:$E$26,MATCH(BX43,Population!$C$9:$C$26,0)),"")</f>
        <v/>
      </c>
      <c r="BY41" s="1">
        <f>IFERROR(INDEX(Population!$E$9:$E$26,MATCH(BY43,Population!$C$9:$C$26,0)),"")</f>
        <v>0.64174407812794831</v>
      </c>
      <c r="BZ41" s="1" t="str">
        <f>IFERROR(INDEX(Population!$E$9:$E$26,MATCH(BZ43,Population!$C$9:$C$26,0)),"")</f>
        <v/>
      </c>
      <c r="CA41" s="1" t="str">
        <f>IFERROR(INDEX(Population!$E$9:$E$26,MATCH(CA43,Population!$C$9:$C$26,0)),"")</f>
        <v/>
      </c>
      <c r="CB41" s="1" t="str">
        <f>IFERROR(INDEX(Population!$E$9:$E$26,MATCH(CB43,Population!$C$9:$C$26,0)),"")</f>
        <v/>
      </c>
      <c r="CC41" s="1" t="str">
        <f>IFERROR(INDEX(Population!$E$9:$E$26,MATCH(CC43,Population!$C$9:$C$26,0)),"")</f>
        <v/>
      </c>
      <c r="CD41" s="1">
        <f>IFERROR(INDEX(Population!$E$9:$E$26,MATCH(CD43,Population!$C$9:$C$26,0)),"")</f>
        <v>0.63710709593251891</v>
      </c>
    </row>
    <row r="42" spans="1:89" x14ac:dyDescent="0.25">
      <c r="A42" s="35">
        <f>B42</f>
        <v>0.40070868670482801</v>
      </c>
      <c r="B42" s="46">
        <f>B41</f>
        <v>0.40070868670482801</v>
      </c>
      <c r="C42" s="45">
        <f>D42</f>
        <v>0.40070868670482801</v>
      </c>
      <c r="D42" s="45">
        <f>D41</f>
        <v>0.40070868670482801</v>
      </c>
      <c r="E42" s="45">
        <f>(G42-D42)/3+D42</f>
        <v>0.40886224151609185</v>
      </c>
      <c r="F42" s="45">
        <f>(E42+G42)/2</f>
        <v>0.41701579632735564</v>
      </c>
      <c r="G42" s="46">
        <f>G41</f>
        <v>0.42516935113861948</v>
      </c>
      <c r="H42" s="45">
        <f>(L42-G42)/5+G42</f>
        <v>0.43332290594988332</v>
      </c>
      <c r="I42" s="45">
        <f>(L42-G42)/5+H42</f>
        <v>0.44147646076114716</v>
      </c>
      <c r="J42" s="45">
        <f>(L42-G42)/5+I42</f>
        <v>0.449630015572411</v>
      </c>
      <c r="K42" s="45">
        <f>(L42-G42)/5+J42</f>
        <v>0.45778357038367484</v>
      </c>
      <c r="L42" s="46">
        <f>L41</f>
        <v>0.46593712519493863</v>
      </c>
      <c r="M42" s="45">
        <f>(Q42-L42)/5+L42</f>
        <v>0.47409068000620247</v>
      </c>
      <c r="N42" s="45">
        <f>(Q42-L42)/5+M42</f>
        <v>0.48224423481746631</v>
      </c>
      <c r="O42" s="45">
        <f>(Q42-L42)/5+N42</f>
        <v>0.49039778962873015</v>
      </c>
      <c r="P42" s="45">
        <f>(Q42-L42)/5+O42</f>
        <v>0.49855134443999399</v>
      </c>
      <c r="Q42" s="46">
        <f>Q41</f>
        <v>0.50670489925125772</v>
      </c>
      <c r="R42" s="45">
        <f>(V42-Q42)/5+Q42</f>
        <v>0.51485845406252151</v>
      </c>
      <c r="S42" s="45">
        <f>(V42-Q42)/5+R42</f>
        <v>0.52301200887378529</v>
      </c>
      <c r="T42" s="45">
        <f>(V42-Q42)/5+S42</f>
        <v>0.53116556368504908</v>
      </c>
      <c r="U42" s="45">
        <f>(V42-Q42)/5+T42</f>
        <v>0.53931911849631287</v>
      </c>
      <c r="V42" s="46">
        <f>V41</f>
        <v>0.54747267330757687</v>
      </c>
      <c r="W42" s="45">
        <f>(AA42-V42)/5+V42</f>
        <v>0.55562622811884066</v>
      </c>
      <c r="X42" s="45">
        <f>(AA42-V42)/5+W42</f>
        <v>0.56377978293010444</v>
      </c>
      <c r="Y42" s="45">
        <f>(AA42-V42)/5+X42</f>
        <v>0.57193333774136823</v>
      </c>
      <c r="Z42" s="45">
        <f>(AA42-V42)/5+Y42</f>
        <v>0.58008689255263202</v>
      </c>
      <c r="AA42" s="46">
        <f>AA41</f>
        <v>0.58824044736389602</v>
      </c>
      <c r="AB42" s="45">
        <f>(AF42-AA42)/5+AA42</f>
        <v>0.59639400217515981</v>
      </c>
      <c r="AC42" s="45">
        <f>(AF42-AA42)/5+AB42</f>
        <v>0.6045475569864236</v>
      </c>
      <c r="AD42" s="45">
        <f>(AF42-AA42)/5+AC42</f>
        <v>0.61270111179768738</v>
      </c>
      <c r="AE42" s="45">
        <f>(AF42-AA42)/5+AD42</f>
        <v>0.62085466660895117</v>
      </c>
      <c r="AF42" s="46">
        <f>AF41</f>
        <v>0.62900822142021517</v>
      </c>
      <c r="AG42" s="45">
        <f>(AK42-AF42)/5+AF42</f>
        <v>0.63716177623147896</v>
      </c>
      <c r="AH42" s="45">
        <f>(AK42-AF42)/5+AG42</f>
        <v>0.64531533104274275</v>
      </c>
      <c r="AI42" s="45">
        <f>(AK42-AF42)/5+AH42</f>
        <v>0.65346888585400653</v>
      </c>
      <c r="AJ42" s="45">
        <f>(AK42-AF42)/5+AI42</f>
        <v>0.66162244066527032</v>
      </c>
      <c r="AK42" s="46">
        <f>AK41</f>
        <v>0.66977599547653432</v>
      </c>
      <c r="AL42" s="45">
        <f>(AP42-AK42)/5+AK42</f>
        <v>0.66918030104714077</v>
      </c>
      <c r="AM42" s="45">
        <f>(AP42-AK42)/5+AL42</f>
        <v>0.66858460661774721</v>
      </c>
      <c r="AN42" s="45">
        <f>(AP42-AK42)/5+AM42</f>
        <v>0.66798891218835366</v>
      </c>
      <c r="AO42" s="45">
        <f>(AP42-AK42)/5+AN42</f>
        <v>0.6673932177589601</v>
      </c>
      <c r="AP42" s="46">
        <f>AP41</f>
        <v>0.66679752332956665</v>
      </c>
      <c r="AQ42" s="45">
        <f>(AU42-AP42)/5+AP42</f>
        <v>0.66695951351445637</v>
      </c>
      <c r="AR42" s="45">
        <f>(AU42-AP42)/5+AQ42</f>
        <v>0.66712150369934609</v>
      </c>
      <c r="AS42" s="45">
        <f>(AU42-AP42)/5+AR42</f>
        <v>0.6672834938842358</v>
      </c>
      <c r="AT42" s="45">
        <f>(AU42-AP42)/5+AS42</f>
        <v>0.66744548406912552</v>
      </c>
      <c r="AU42" s="46">
        <f>AU41</f>
        <v>0.66760747425401545</v>
      </c>
      <c r="AV42" s="45">
        <f>(AZ42-AU42)/5+AU42</f>
        <v>0.66781745439997298</v>
      </c>
      <c r="AW42" s="45">
        <f>(AZ42-AU42)/5+AV42</f>
        <v>0.6680274345459305</v>
      </c>
      <c r="AX42" s="45">
        <f>(AZ42-AU42)/5+AW42</f>
        <v>0.66823741469188802</v>
      </c>
      <c r="AY42" s="45">
        <f>(AZ42-AU42)/5+AX42</f>
        <v>0.66844739483784554</v>
      </c>
      <c r="AZ42" s="46">
        <f>AZ41</f>
        <v>0.66865737498380307</v>
      </c>
      <c r="BA42" s="45">
        <f>(BE42-AZ42)/5+AZ42</f>
        <v>0.66781389156176973</v>
      </c>
      <c r="BB42" s="45">
        <f>(BE42-AZ42)/5+BA42</f>
        <v>0.6669704081397364</v>
      </c>
      <c r="BC42" s="45">
        <f>(BE42-AZ42)/5+BB42</f>
        <v>0.66612692471770307</v>
      </c>
      <c r="BD42" s="45">
        <f>(BE42-AZ42)/5+BC42</f>
        <v>0.66528344129566974</v>
      </c>
      <c r="BE42" s="46">
        <f>BE41</f>
        <v>0.66443995787363663</v>
      </c>
      <c r="BF42" s="45">
        <f>(BJ42-BE42)/5+BE42</f>
        <v>0.66305025477636115</v>
      </c>
      <c r="BG42" s="45">
        <f>(BJ42-BE42)/5+BF42</f>
        <v>0.66166055167908566</v>
      </c>
      <c r="BH42" s="45">
        <f>(BJ42-BE42)/5+BG42</f>
        <v>0.66027084858181018</v>
      </c>
      <c r="BI42" s="45">
        <f>(BJ42-BE42)/5+BH42</f>
        <v>0.65888114548453469</v>
      </c>
      <c r="BJ42" s="46">
        <f>BJ41</f>
        <v>0.65749144238725898</v>
      </c>
      <c r="BK42" s="45">
        <f>(BO42-BJ42)/5+BJ42</f>
        <v>0.65625261505343746</v>
      </c>
      <c r="BL42" s="45">
        <f>(BO42-BJ42)/5+BK42</f>
        <v>0.65501378771961594</v>
      </c>
      <c r="BM42" s="45">
        <f>(BO42-BJ42)/5+BL42</f>
        <v>0.65377496038579441</v>
      </c>
      <c r="BN42" s="45">
        <f>(BO42-BJ42)/5+BM42</f>
        <v>0.65253613305197289</v>
      </c>
      <c r="BO42" s="46">
        <f>BO41</f>
        <v>0.65129730571815114</v>
      </c>
      <c r="BP42" s="45">
        <f>(BT42-BO42)/5+BO42</f>
        <v>0.65027693046993207</v>
      </c>
      <c r="BQ42" s="45">
        <f>(BT42-BO42)/5+BP42</f>
        <v>0.64925655522171299</v>
      </c>
      <c r="BR42" s="45">
        <f>(BT42-BO42)/5+BQ42</f>
        <v>0.64823617997349392</v>
      </c>
      <c r="BS42" s="45">
        <f>(BT42-BO42)/5+BR42</f>
        <v>0.64721580472527485</v>
      </c>
      <c r="BT42" s="46">
        <f>BT41</f>
        <v>0.64619542947705577</v>
      </c>
      <c r="BU42" s="45">
        <f>(BY42-BT42)/5+BT42</f>
        <v>0.6453051592072343</v>
      </c>
      <c r="BV42" s="45">
        <f>(BY42-BT42)/5+BU42</f>
        <v>0.64441488893741283</v>
      </c>
      <c r="BW42" s="45">
        <f>(BY42-BT42)/5+BV42</f>
        <v>0.64352461866759136</v>
      </c>
      <c r="BX42" s="45">
        <f>(BY42-BT42)/5+BW42</f>
        <v>0.64263434839776989</v>
      </c>
      <c r="BY42" s="46">
        <f>BY41</f>
        <v>0.64174407812794831</v>
      </c>
      <c r="BZ42" s="45">
        <f>(CD42-BY42)/5+BY42</f>
        <v>0.64081668168886241</v>
      </c>
      <c r="CA42" s="45">
        <f>(CD42-BY42)/5+BZ42</f>
        <v>0.63988928524977651</v>
      </c>
      <c r="CB42" s="45">
        <f>(CD42-BY42)/5+CA42</f>
        <v>0.6389618888106906</v>
      </c>
      <c r="CC42" s="45">
        <f>(CD42-BY42)/5+CB42</f>
        <v>0.6380344923716047</v>
      </c>
      <c r="CD42" s="46">
        <f>CD41</f>
        <v>0.63710709593251891</v>
      </c>
    </row>
    <row r="43" spans="1:89" x14ac:dyDescent="0.25">
      <c r="A43" s="3">
        <v>2019</v>
      </c>
      <c r="B43" s="3">
        <v>2020</v>
      </c>
      <c r="C43" s="3">
        <v>2021</v>
      </c>
      <c r="D43" s="3">
        <v>2022</v>
      </c>
      <c r="E43" s="3">
        <v>2023</v>
      </c>
      <c r="F43" s="3">
        <v>2024</v>
      </c>
      <c r="G43" s="3">
        <v>2025</v>
      </c>
      <c r="H43" s="3">
        <v>2026</v>
      </c>
      <c r="I43" s="3">
        <v>2027</v>
      </c>
      <c r="J43" s="3">
        <v>2028</v>
      </c>
      <c r="K43" s="3">
        <v>2029</v>
      </c>
      <c r="L43" s="3">
        <v>2030</v>
      </c>
      <c r="M43" s="3">
        <v>2031</v>
      </c>
      <c r="N43" s="3">
        <v>2032</v>
      </c>
      <c r="O43" s="3">
        <v>2033</v>
      </c>
      <c r="P43" s="3">
        <v>2034</v>
      </c>
      <c r="Q43" s="3">
        <v>2035</v>
      </c>
      <c r="R43" s="3">
        <v>2036</v>
      </c>
      <c r="S43" s="3">
        <v>2037</v>
      </c>
      <c r="T43">
        <v>2038</v>
      </c>
      <c r="U43">
        <v>2039</v>
      </c>
      <c r="V43">
        <v>2040</v>
      </c>
      <c r="W43">
        <v>2041</v>
      </c>
      <c r="X43">
        <v>2042</v>
      </c>
      <c r="Y43">
        <v>2043</v>
      </c>
      <c r="Z43">
        <v>2044</v>
      </c>
      <c r="AA43">
        <v>2045</v>
      </c>
      <c r="AB43">
        <v>2046</v>
      </c>
      <c r="AC43">
        <v>2047</v>
      </c>
      <c r="AD43">
        <v>2048</v>
      </c>
      <c r="AE43">
        <v>2049</v>
      </c>
      <c r="AF43">
        <v>2050</v>
      </c>
      <c r="AG43">
        <v>2051</v>
      </c>
      <c r="AH43">
        <v>2052</v>
      </c>
      <c r="AI43">
        <v>2053</v>
      </c>
      <c r="AJ43">
        <v>2054</v>
      </c>
      <c r="AK43">
        <v>2055</v>
      </c>
      <c r="AL43">
        <v>2056</v>
      </c>
      <c r="AM43">
        <v>2057</v>
      </c>
      <c r="AN43">
        <v>2058</v>
      </c>
      <c r="AO43">
        <v>2059</v>
      </c>
      <c r="AP43">
        <v>2060</v>
      </c>
      <c r="AQ43">
        <v>2061</v>
      </c>
      <c r="AR43">
        <v>2062</v>
      </c>
      <c r="AS43">
        <v>2063</v>
      </c>
      <c r="AT43">
        <v>2064</v>
      </c>
      <c r="AU43">
        <v>2065</v>
      </c>
      <c r="AV43">
        <v>2066</v>
      </c>
      <c r="AW43">
        <v>2067</v>
      </c>
      <c r="AX43">
        <v>2068</v>
      </c>
      <c r="AY43">
        <v>2069</v>
      </c>
      <c r="AZ43">
        <v>2070</v>
      </c>
      <c r="BA43">
        <v>2071</v>
      </c>
      <c r="BB43">
        <v>2072</v>
      </c>
      <c r="BC43">
        <v>2073</v>
      </c>
      <c r="BD43">
        <v>2074</v>
      </c>
      <c r="BE43">
        <v>2075</v>
      </c>
      <c r="BF43">
        <v>2076</v>
      </c>
      <c r="BG43">
        <v>2077</v>
      </c>
      <c r="BH43">
        <v>2078</v>
      </c>
      <c r="BI43">
        <v>2079</v>
      </c>
      <c r="BJ43">
        <v>2080</v>
      </c>
      <c r="BK43">
        <v>2081</v>
      </c>
      <c r="BL43">
        <v>2082</v>
      </c>
      <c r="BM43">
        <v>2083</v>
      </c>
      <c r="BN43">
        <v>2084</v>
      </c>
      <c r="BO43">
        <v>2085</v>
      </c>
      <c r="BP43">
        <v>2086</v>
      </c>
      <c r="BQ43">
        <v>2087</v>
      </c>
      <c r="BR43">
        <v>2088</v>
      </c>
      <c r="BS43">
        <v>2089</v>
      </c>
      <c r="BT43">
        <v>2090</v>
      </c>
      <c r="BU43">
        <v>2091</v>
      </c>
      <c r="BV43">
        <v>2092</v>
      </c>
      <c r="BW43">
        <v>2093</v>
      </c>
      <c r="BX43">
        <v>2094</v>
      </c>
      <c r="BY43">
        <v>2095</v>
      </c>
      <c r="BZ43">
        <v>2096</v>
      </c>
      <c r="CA43">
        <v>2097</v>
      </c>
      <c r="CB43">
        <v>2098</v>
      </c>
      <c r="CC43">
        <v>2099</v>
      </c>
      <c r="CD43">
        <v>2100</v>
      </c>
    </row>
    <row r="44" spans="1:89" x14ac:dyDescent="0.25">
      <c r="A44" s="9">
        <f>A42*A35</f>
        <v>23387.296351266352</v>
      </c>
      <c r="B44" s="9">
        <f t="shared" ref="B44:BM44" si="28">B42*B35</f>
        <v>23562.442943883168</v>
      </c>
      <c r="C44" s="9">
        <f t="shared" si="28"/>
        <v>23798.992501488254</v>
      </c>
      <c r="D44" s="9">
        <f t="shared" si="28"/>
        <v>24000</v>
      </c>
      <c r="E44" s="9">
        <f t="shared" si="28"/>
        <v>24701.205845762724</v>
      </c>
      <c r="F44" s="9">
        <f t="shared" si="28"/>
        <v>25446.39605238623</v>
      </c>
      <c r="G44" s="9">
        <f t="shared" si="28"/>
        <v>26221.503831489521</v>
      </c>
      <c r="H44" s="9">
        <f t="shared" si="28"/>
        <v>26998.200554800809</v>
      </c>
      <c r="I44" s="9">
        <f t="shared" si="28"/>
        <v>27777.220350607913</v>
      </c>
      <c r="J44" s="9">
        <f t="shared" si="28"/>
        <v>28558.026523333931</v>
      </c>
      <c r="K44" s="9">
        <f t="shared" si="28"/>
        <v>29341.057474174395</v>
      </c>
      <c r="L44" s="9">
        <f t="shared" si="28"/>
        <v>30127.158108500342</v>
      </c>
      <c r="M44" s="9">
        <f t="shared" si="28"/>
        <v>30916.176705582151</v>
      </c>
      <c r="N44" s="9">
        <f t="shared" si="28"/>
        <v>31708.968521391016</v>
      </c>
      <c r="O44" s="9">
        <f t="shared" si="28"/>
        <v>32505.619772932987</v>
      </c>
      <c r="P44" s="9">
        <f t="shared" si="28"/>
        <v>33305.307272043879</v>
      </c>
      <c r="Q44" s="9">
        <f t="shared" si="28"/>
        <v>34108.400979950762</v>
      </c>
      <c r="R44" s="9">
        <f t="shared" si="28"/>
        <v>34915.606425187536</v>
      </c>
      <c r="S44" s="9">
        <f t="shared" si="28"/>
        <v>35726.032963104706</v>
      </c>
      <c r="T44" s="9">
        <f t="shared" si="28"/>
        <v>36538.07972172118</v>
      </c>
      <c r="U44" s="9">
        <f t="shared" si="28"/>
        <v>37351.52873021517</v>
      </c>
      <c r="V44" s="9">
        <f t="shared" si="28"/>
        <v>38166.475456185995</v>
      </c>
      <c r="W44" s="9">
        <f t="shared" si="28"/>
        <v>38983.098433118597</v>
      </c>
      <c r="X44" s="9">
        <f t="shared" si="28"/>
        <v>39800.108194882072</v>
      </c>
      <c r="Y44" s="9">
        <f t="shared" si="28"/>
        <v>40616.51399784175</v>
      </c>
      <c r="Z44" s="9">
        <f t="shared" si="28"/>
        <v>41431.935365091544</v>
      </c>
      <c r="AA44" s="9">
        <f t="shared" si="28"/>
        <v>42245.194204215477</v>
      </c>
      <c r="AB44" s="9">
        <f t="shared" si="28"/>
        <v>43054.968246099474</v>
      </c>
      <c r="AC44" s="9">
        <f t="shared" si="28"/>
        <v>43860.767394111914</v>
      </c>
      <c r="AD44" s="9">
        <f t="shared" si="28"/>
        <v>44662.369024924104</v>
      </c>
      <c r="AE44" s="9">
        <f t="shared" si="28"/>
        <v>45459.512624120689</v>
      </c>
      <c r="AF44" s="9">
        <f t="shared" si="28"/>
        <v>46250.819155997728</v>
      </c>
      <c r="AG44" s="9">
        <f t="shared" si="28"/>
        <v>47034.79680413429</v>
      </c>
      <c r="AH44" s="9">
        <f t="shared" si="28"/>
        <v>47811.219927672828</v>
      </c>
      <c r="AI44" s="9">
        <f t="shared" si="28"/>
        <v>48580.824965135573</v>
      </c>
      <c r="AJ44" s="9">
        <f t="shared" si="28"/>
        <v>49343.874403284331</v>
      </c>
      <c r="AK44" s="9">
        <f t="shared" si="28"/>
        <v>50098.608174449066</v>
      </c>
      <c r="AL44" s="9">
        <f t="shared" si="28"/>
        <v>50189.272060472729</v>
      </c>
      <c r="AM44" s="9">
        <f t="shared" si="28"/>
        <v>50270.079618737327</v>
      </c>
      <c r="AN44" s="9">
        <f t="shared" si="28"/>
        <v>50341.059891019264</v>
      </c>
      <c r="AO44" s="9">
        <f t="shared" si="28"/>
        <v>50401.738692694867</v>
      </c>
      <c r="AP44" s="9">
        <f t="shared" si="28"/>
        <v>50452.03303359462</v>
      </c>
      <c r="AQ44" s="9">
        <f t="shared" si="28"/>
        <v>50550.889753141244</v>
      </c>
      <c r="AR44" s="9">
        <f t="shared" si="28"/>
        <v>50643.04327374712</v>
      </c>
      <c r="AS44" s="9">
        <f t="shared" si="28"/>
        <v>50728.528051490102</v>
      </c>
      <c r="AT44" s="9">
        <f t="shared" si="28"/>
        <v>50806.617025380416</v>
      </c>
      <c r="AU44" s="9">
        <f t="shared" si="28"/>
        <v>50877.060440286346</v>
      </c>
      <c r="AV44" s="9">
        <f t="shared" si="28"/>
        <v>50943.607716369763</v>
      </c>
      <c r="AW44" s="9">
        <f t="shared" si="28"/>
        <v>51005.186592640202</v>
      </c>
      <c r="AX44" s="9">
        <f t="shared" si="28"/>
        <v>51061.871874245866</v>
      </c>
      <c r="AY44" s="9">
        <f t="shared" si="28"/>
        <v>51110.900907094358</v>
      </c>
      <c r="AZ44" s="9">
        <f t="shared" si="28"/>
        <v>51153.730142904024</v>
      </c>
      <c r="BA44" s="9">
        <f t="shared" si="28"/>
        <v>51111.963612091691</v>
      </c>
      <c r="BB44" s="9">
        <f t="shared" si="28"/>
        <v>51065.296043597533</v>
      </c>
      <c r="BC44" s="9">
        <f t="shared" si="28"/>
        <v>51011.240510187527</v>
      </c>
      <c r="BD44" s="9">
        <f t="shared" si="28"/>
        <v>50950.140914649557</v>
      </c>
      <c r="BE44" s="9">
        <f t="shared" si="28"/>
        <v>50882.733570048062</v>
      </c>
      <c r="BF44" s="9">
        <f t="shared" si="28"/>
        <v>50768.022142658971</v>
      </c>
      <c r="BG44" s="9">
        <f t="shared" si="28"/>
        <v>50649.039370976978</v>
      </c>
      <c r="BH44" s="9">
        <f t="shared" si="28"/>
        <v>50525.750322105589</v>
      </c>
      <c r="BI44" s="9">
        <f t="shared" si="28"/>
        <v>50396.767243803864</v>
      </c>
      <c r="BJ44" s="9">
        <f t="shared" si="28"/>
        <v>50262.185132516446</v>
      </c>
      <c r="BK44" s="9">
        <f t="shared" si="28"/>
        <v>50135.412749719158</v>
      </c>
      <c r="BL44" s="9">
        <f t="shared" si="28"/>
        <v>50004.417393510019</v>
      </c>
      <c r="BM44" s="9">
        <f t="shared" si="28"/>
        <v>49870.489419920959</v>
      </c>
      <c r="BN44" s="9">
        <f t="shared" ref="BN44:CD44" si="29">BN42*BN35</f>
        <v>49734.155912271366</v>
      </c>
      <c r="BO44" s="9">
        <f t="shared" si="29"/>
        <v>49594.033085272895</v>
      </c>
      <c r="BP44" s="9">
        <f t="shared" si="29"/>
        <v>49467.861452493227</v>
      </c>
      <c r="BQ44" s="9">
        <f t="shared" si="29"/>
        <v>49340.101286553268</v>
      </c>
      <c r="BR44" s="9">
        <f t="shared" si="29"/>
        <v>49209.955684995606</v>
      </c>
      <c r="BS44" s="9">
        <f t="shared" si="29"/>
        <v>49076.678766909215</v>
      </c>
      <c r="BT44" s="9">
        <f t="shared" si="29"/>
        <v>48940.616331533085</v>
      </c>
      <c r="BU44" s="9">
        <f t="shared" si="29"/>
        <v>48811.517868017021</v>
      </c>
      <c r="BV44" s="9">
        <f t="shared" si="29"/>
        <v>48678.341589592994</v>
      </c>
      <c r="BW44" s="9">
        <f t="shared" si="29"/>
        <v>48541.913369166919</v>
      </c>
      <c r="BX44" s="9">
        <f t="shared" si="29"/>
        <v>48403.140719929521</v>
      </c>
      <c r="BY44" s="9">
        <f t="shared" si="29"/>
        <v>48261.585601789666</v>
      </c>
      <c r="BZ44" s="9">
        <f t="shared" si="29"/>
        <v>48115.196356562614</v>
      </c>
      <c r="CA44" s="9">
        <f t="shared" si="29"/>
        <v>47966.057309851851</v>
      </c>
      <c r="CB44" s="9">
        <f t="shared" si="29"/>
        <v>47813.80886736339</v>
      </c>
      <c r="CC44" s="9">
        <f t="shared" si="29"/>
        <v>47659.639555066751</v>
      </c>
      <c r="CD44" s="9">
        <f t="shared" si="29"/>
        <v>47502.443858819272</v>
      </c>
    </row>
    <row r="46" spans="1:89" x14ac:dyDescent="0.25">
      <c r="K46" t="s">
        <v>186</v>
      </c>
      <c r="L46" t="s">
        <v>187</v>
      </c>
    </row>
    <row r="47" spans="1:89" x14ac:dyDescent="0.25">
      <c r="A47" t="s">
        <v>50</v>
      </c>
      <c r="G47" t="s">
        <v>185</v>
      </c>
      <c r="K47" t="s">
        <v>48</v>
      </c>
      <c r="L47" s="5" t="s">
        <v>49</v>
      </c>
      <c r="S47" t="s">
        <v>184</v>
      </c>
    </row>
    <row r="48" spans="1:89" x14ac:dyDescent="0.25">
      <c r="A48" s="8">
        <v>2012</v>
      </c>
      <c r="B48" s="8">
        <f>A48+1</f>
        <v>2013</v>
      </c>
      <c r="C48" s="8">
        <f t="shared" ref="C48:F48" si="30">B48+1</f>
        <v>2014</v>
      </c>
      <c r="D48" s="8">
        <f t="shared" si="30"/>
        <v>2015</v>
      </c>
      <c r="E48" s="8">
        <f t="shared" si="30"/>
        <v>2016</v>
      </c>
      <c r="F48" s="8">
        <f t="shared" si="30"/>
        <v>2017</v>
      </c>
      <c r="G48" s="7">
        <v>2018</v>
      </c>
      <c r="H48" s="7">
        <v>2019</v>
      </c>
      <c r="I48" s="7">
        <v>2020</v>
      </c>
      <c r="J48" s="7">
        <v>2021</v>
      </c>
      <c r="K48" s="7">
        <v>2022</v>
      </c>
      <c r="L48" s="7">
        <v>2023</v>
      </c>
      <c r="M48" s="7">
        <v>2024</v>
      </c>
      <c r="N48" s="7">
        <v>2025</v>
      </c>
      <c r="O48" s="7">
        <v>2026</v>
      </c>
      <c r="P48" s="7">
        <v>2027</v>
      </c>
      <c r="Q48" s="7">
        <v>2028</v>
      </c>
      <c r="R48" s="7">
        <v>2029</v>
      </c>
      <c r="S48" s="7">
        <v>2030</v>
      </c>
      <c r="T48" s="7">
        <v>2031</v>
      </c>
      <c r="U48" s="7">
        <v>2032</v>
      </c>
      <c r="V48" s="7">
        <v>2033</v>
      </c>
      <c r="W48" s="7">
        <v>2034</v>
      </c>
      <c r="X48" s="7">
        <v>2035</v>
      </c>
      <c r="Y48" s="7">
        <v>2036</v>
      </c>
      <c r="Z48" s="7">
        <v>2037</v>
      </c>
      <c r="AA48" s="7">
        <v>2038</v>
      </c>
      <c r="AB48" s="7">
        <v>2039</v>
      </c>
      <c r="AC48" s="7">
        <v>2040</v>
      </c>
      <c r="AD48" s="7">
        <v>2041</v>
      </c>
      <c r="AE48" s="7">
        <v>2042</v>
      </c>
      <c r="AF48" s="7">
        <v>2043</v>
      </c>
      <c r="AG48" s="7">
        <v>2044</v>
      </c>
      <c r="AH48" s="7">
        <v>2045</v>
      </c>
      <c r="AI48" s="7">
        <v>2046</v>
      </c>
      <c r="AJ48" s="7">
        <v>2047</v>
      </c>
      <c r="AK48" s="7">
        <v>2048</v>
      </c>
      <c r="AL48" s="7">
        <v>2049</v>
      </c>
      <c r="AM48" s="7">
        <v>2050</v>
      </c>
      <c r="AN48" s="7">
        <v>2051</v>
      </c>
      <c r="AO48" s="7">
        <v>2052</v>
      </c>
      <c r="AP48" s="7">
        <v>2053</v>
      </c>
      <c r="AQ48" s="7">
        <v>2054</v>
      </c>
      <c r="AR48" s="7">
        <v>2055</v>
      </c>
      <c r="AS48" s="7">
        <v>2056</v>
      </c>
      <c r="AT48" s="7">
        <v>2057</v>
      </c>
      <c r="AU48" s="7">
        <v>2058</v>
      </c>
      <c r="AV48" s="7">
        <v>2059</v>
      </c>
      <c r="AW48" s="7">
        <v>2060</v>
      </c>
      <c r="AX48" s="7">
        <v>2061</v>
      </c>
      <c r="AY48" s="7">
        <v>2062</v>
      </c>
      <c r="AZ48" s="7">
        <v>2063</v>
      </c>
      <c r="BA48" s="7">
        <v>2064</v>
      </c>
      <c r="BB48" s="7">
        <v>2065</v>
      </c>
      <c r="BC48" s="7">
        <v>2066</v>
      </c>
      <c r="BD48" s="7">
        <v>2067</v>
      </c>
      <c r="BE48" s="7">
        <v>2068</v>
      </c>
      <c r="BF48" s="7">
        <v>2069</v>
      </c>
      <c r="BG48" s="7">
        <v>2070</v>
      </c>
      <c r="BH48" s="7">
        <v>2071</v>
      </c>
      <c r="BI48" s="7">
        <v>2072</v>
      </c>
      <c r="BJ48" s="7">
        <v>2073</v>
      </c>
      <c r="BK48" s="7">
        <v>2074</v>
      </c>
      <c r="BL48" s="7">
        <v>2075</v>
      </c>
      <c r="BM48" s="7">
        <v>2076</v>
      </c>
      <c r="BN48" s="7">
        <v>2077</v>
      </c>
      <c r="BO48" s="7">
        <v>2078</v>
      </c>
      <c r="BP48" s="7">
        <v>2079</v>
      </c>
      <c r="BQ48" s="7">
        <v>2080</v>
      </c>
      <c r="BR48" s="7">
        <v>2081</v>
      </c>
      <c r="BS48" s="7">
        <v>2082</v>
      </c>
      <c r="BT48" s="7">
        <v>2083</v>
      </c>
      <c r="BU48" s="7">
        <v>2084</v>
      </c>
      <c r="BV48" s="7">
        <v>2085</v>
      </c>
      <c r="BW48" s="7">
        <v>2086</v>
      </c>
      <c r="BX48" s="7">
        <v>2087</v>
      </c>
      <c r="BY48" s="7">
        <v>2088</v>
      </c>
      <c r="BZ48" s="7">
        <v>2089</v>
      </c>
      <c r="CA48" s="7">
        <v>2090</v>
      </c>
      <c r="CB48" s="7">
        <v>2091</v>
      </c>
      <c r="CC48" s="7">
        <v>2092</v>
      </c>
      <c r="CD48" s="7">
        <v>2093</v>
      </c>
      <c r="CE48" s="7">
        <v>2094</v>
      </c>
      <c r="CF48" s="7">
        <v>2095</v>
      </c>
      <c r="CG48" s="7">
        <v>2096</v>
      </c>
      <c r="CH48" s="7">
        <v>2097</v>
      </c>
      <c r="CI48" s="7">
        <v>2098</v>
      </c>
      <c r="CJ48" s="7">
        <v>2099</v>
      </c>
      <c r="CK48" s="7">
        <v>2100</v>
      </c>
    </row>
    <row r="49" spans="1:89" x14ac:dyDescent="0.25">
      <c r="A49" s="11">
        <v>52325.432882070083</v>
      </c>
      <c r="B49" s="11">
        <v>53104.386458423345</v>
      </c>
      <c r="C49" s="11">
        <v>53912.365691429273</v>
      </c>
      <c r="D49" s="11">
        <v>54750.491457321114</v>
      </c>
      <c r="E49" s="11">
        <v>55619.940469824825</v>
      </c>
      <c r="F49" s="11">
        <v>56521.948041648095</v>
      </c>
      <c r="G49" s="7">
        <v>57339.635000000002</v>
      </c>
      <c r="H49" s="7">
        <v>58087.055</v>
      </c>
      <c r="I49" s="10">
        <v>58801.927000000003</v>
      </c>
      <c r="J49" s="10">
        <v>59392.254999999997</v>
      </c>
      <c r="K49" s="10">
        <v>59893.885000000002</v>
      </c>
      <c r="L49" s="10">
        <v>60414.495000000003</v>
      </c>
      <c r="M49" s="10">
        <v>61020.220999999998</v>
      </c>
      <c r="N49" s="10">
        <v>61673.080999999998</v>
      </c>
      <c r="O49" s="10">
        <v>62305.038999999997</v>
      </c>
      <c r="P49" s="10">
        <v>62918.915999999997</v>
      </c>
      <c r="Q49" s="10">
        <v>63514.502</v>
      </c>
      <c r="R49" s="10">
        <v>64093.732000000004</v>
      </c>
      <c r="S49" s="10">
        <v>64659.277999999998</v>
      </c>
      <c r="T49">
        <v>65211.525999999998</v>
      </c>
      <c r="U49">
        <v>65752.923999999999</v>
      </c>
      <c r="V49">
        <v>66284.188999999998</v>
      </c>
      <c r="W49">
        <v>66804.167000000001</v>
      </c>
      <c r="X49">
        <v>67314.133000000002</v>
      </c>
      <c r="Y49">
        <v>67815.933000000005</v>
      </c>
      <c r="Z49">
        <v>68308.245999999999</v>
      </c>
      <c r="AA49">
        <v>68788.494999999995</v>
      </c>
      <c r="AB49">
        <v>69256.823000000004</v>
      </c>
      <c r="AC49">
        <v>69713.937000000005</v>
      </c>
      <c r="AD49">
        <v>70160.652000000002</v>
      </c>
      <c r="AE49">
        <v>70595.131999999998</v>
      </c>
      <c r="AF49">
        <v>71016.168000000005</v>
      </c>
      <c r="AG49">
        <v>71423.671000000002</v>
      </c>
      <c r="AH49">
        <v>71816.201000000001</v>
      </c>
      <c r="AI49">
        <v>72192.154999999999</v>
      </c>
      <c r="AJ49">
        <v>72551.392999999996</v>
      </c>
      <c r="AK49">
        <v>72894.218999999997</v>
      </c>
      <c r="AL49">
        <v>73220.86</v>
      </c>
      <c r="AM49">
        <v>73529.752999999997</v>
      </c>
      <c r="AN49">
        <v>73819.237999999998</v>
      </c>
      <c r="AO49">
        <v>74089.701000000001</v>
      </c>
      <c r="AP49">
        <v>74342.981</v>
      </c>
      <c r="AQ49">
        <v>74580.11</v>
      </c>
      <c r="AR49">
        <v>74799.05</v>
      </c>
      <c r="AS49">
        <v>75001.119999999995</v>
      </c>
      <c r="AT49">
        <v>75188.808000000005</v>
      </c>
      <c r="AU49">
        <v>75362.119000000006</v>
      </c>
      <c r="AV49">
        <v>75520.304000000004</v>
      </c>
      <c r="AW49">
        <v>75663.198000000004</v>
      </c>
      <c r="AX49">
        <v>75793.040999999997</v>
      </c>
      <c r="AY49">
        <v>75912.773000000001</v>
      </c>
      <c r="AZ49">
        <v>76022.452999999994</v>
      </c>
      <c r="BA49">
        <v>76120.998999999996</v>
      </c>
      <c r="BB49">
        <v>76208.044999999998</v>
      </c>
      <c r="BC49">
        <v>76283.732000000004</v>
      </c>
      <c r="BD49">
        <v>76351.933999999994</v>
      </c>
      <c r="BE49">
        <v>76412.77</v>
      </c>
      <c r="BF49">
        <v>76462.114000000001</v>
      </c>
      <c r="BG49">
        <v>76502.154999999999</v>
      </c>
      <c r="BH49">
        <v>76536.239000000001</v>
      </c>
      <c r="BI49">
        <v>76563.061000000002</v>
      </c>
      <c r="BJ49">
        <v>76578.86</v>
      </c>
      <c r="BK49">
        <v>76584.111000000004</v>
      </c>
      <c r="BL49">
        <v>76579.881999999998</v>
      </c>
      <c r="BM49">
        <v>76567.381999999998</v>
      </c>
      <c r="BN49">
        <v>76548.373999999996</v>
      </c>
      <c r="BO49">
        <v>76522.763999999996</v>
      </c>
      <c r="BP49">
        <v>76488.403999999995</v>
      </c>
      <c r="BQ49">
        <v>76445.383000000002</v>
      </c>
      <c r="BR49">
        <v>76396.514999999999</v>
      </c>
      <c r="BS49">
        <v>76341.014999999999</v>
      </c>
      <c r="BT49">
        <v>76280.819000000003</v>
      </c>
      <c r="BU49">
        <v>76216.707999999999</v>
      </c>
      <c r="BV49">
        <v>76146.535000000003</v>
      </c>
      <c r="BW49">
        <v>76071.991999999998</v>
      </c>
      <c r="BX49">
        <v>75994.767999999996</v>
      </c>
      <c r="BY49">
        <v>75913.620999999999</v>
      </c>
      <c r="BZ49">
        <v>75827.38</v>
      </c>
      <c r="CA49">
        <v>75736.555999999997</v>
      </c>
      <c r="CB49">
        <v>75640.985000000001</v>
      </c>
      <c r="CC49">
        <v>75538.822</v>
      </c>
      <c r="CD49">
        <v>75431.323000000004</v>
      </c>
      <c r="CE49">
        <v>75319.877999999997</v>
      </c>
      <c r="CF49">
        <v>75203.788</v>
      </c>
      <c r="CG49">
        <v>75084.182000000001</v>
      </c>
      <c r="CH49">
        <v>74959.932000000001</v>
      </c>
      <c r="CI49">
        <v>74830.455000000002</v>
      </c>
      <c r="CJ49">
        <v>74697.591</v>
      </c>
      <c r="CK49">
        <v>74559.59</v>
      </c>
    </row>
    <row r="50" spans="1:89" x14ac:dyDescent="0.25">
      <c r="B50" s="6">
        <f>B49/A49-1</f>
        <v>1.4886710600347186E-2</v>
      </c>
      <c r="C50" s="6">
        <f t="shared" ref="C50:I50" si="31">C49/B49-1</f>
        <v>1.5214924545611908E-2</v>
      </c>
      <c r="D50" s="6">
        <f t="shared" si="31"/>
        <v>1.5546076584524338E-2</v>
      </c>
      <c r="E50" s="6">
        <f t="shared" si="31"/>
        <v>1.5880204713440094E-2</v>
      </c>
      <c r="F50" s="6">
        <f t="shared" si="31"/>
        <v>1.6217341554197295E-2</v>
      </c>
      <c r="G50" s="6">
        <f t="shared" si="31"/>
        <v>1.4466715792410323E-2</v>
      </c>
      <c r="H50" s="6">
        <f t="shared" si="31"/>
        <v>1.3034962639716818E-2</v>
      </c>
      <c r="I50" s="6">
        <f t="shared" si="31"/>
        <v>1.2306907279083124E-2</v>
      </c>
      <c r="J50" s="6">
        <f>J49/I49-1</f>
        <v>1.0039262828920537E-2</v>
      </c>
      <c r="K50" s="6">
        <f t="shared" ref="K50:BV50" si="32">K49/J49-1</f>
        <v>8.4460507519037442E-3</v>
      </c>
      <c r="L50" s="6">
        <f t="shared" si="32"/>
        <v>8.6922062243917075E-3</v>
      </c>
      <c r="M50" s="6">
        <f t="shared" si="32"/>
        <v>1.0026170044125982E-2</v>
      </c>
      <c r="N50" s="6">
        <f t="shared" si="32"/>
        <v>1.0699076294725218E-2</v>
      </c>
      <c r="O50" s="6">
        <f t="shared" si="32"/>
        <v>1.0246901723622415E-2</v>
      </c>
      <c r="P50" s="6">
        <f t="shared" si="32"/>
        <v>9.8527664833016892E-3</v>
      </c>
      <c r="Q50" s="6">
        <f t="shared" si="32"/>
        <v>9.4659291332992446E-3</v>
      </c>
      <c r="R50" s="6">
        <f t="shared" si="32"/>
        <v>9.1196495565690761E-3</v>
      </c>
      <c r="S50" s="6">
        <f t="shared" si="32"/>
        <v>8.8237333410385865E-3</v>
      </c>
      <c r="T50" s="6">
        <f t="shared" si="32"/>
        <v>8.5408933888806438E-3</v>
      </c>
      <c r="U50" s="6">
        <f t="shared" si="32"/>
        <v>8.3021826540297106E-3</v>
      </c>
      <c r="V50" s="6">
        <f t="shared" si="32"/>
        <v>8.0797167286430494E-3</v>
      </c>
      <c r="W50" s="6">
        <f t="shared" si="32"/>
        <v>7.8446762017410077E-3</v>
      </c>
      <c r="X50" s="6">
        <f t="shared" si="32"/>
        <v>7.6337453620221041E-3</v>
      </c>
      <c r="Y50" s="6">
        <f t="shared" si="32"/>
        <v>7.4546009528193569E-3</v>
      </c>
      <c r="Z50" s="6">
        <f t="shared" si="32"/>
        <v>7.2595476936074821E-3</v>
      </c>
      <c r="AA50" s="6">
        <f t="shared" si="32"/>
        <v>7.0306153081429734E-3</v>
      </c>
      <c r="AB50" s="6">
        <f t="shared" si="32"/>
        <v>6.8082315218556122E-3</v>
      </c>
      <c r="AC50" s="6">
        <f t="shared" si="32"/>
        <v>6.6002738820405416E-3</v>
      </c>
      <c r="AD50" s="6">
        <f t="shared" si="32"/>
        <v>6.4078291834241963E-3</v>
      </c>
      <c r="AE50" s="6">
        <f t="shared" si="32"/>
        <v>6.1926448460027927E-3</v>
      </c>
      <c r="AF50" s="6">
        <f t="shared" si="32"/>
        <v>5.9640939548071259E-3</v>
      </c>
      <c r="AG50" s="6">
        <f t="shared" si="32"/>
        <v>5.7381721863674073E-3</v>
      </c>
      <c r="AH50" s="6">
        <f t="shared" si="32"/>
        <v>5.4957970446520843E-3</v>
      </c>
      <c r="AI50" s="6">
        <f t="shared" si="32"/>
        <v>5.2349469167827234E-3</v>
      </c>
      <c r="AJ50" s="6">
        <f t="shared" si="32"/>
        <v>4.976136257464514E-3</v>
      </c>
      <c r="AK50" s="6">
        <f t="shared" si="32"/>
        <v>4.7252848749574916E-3</v>
      </c>
      <c r="AL50" s="6">
        <f t="shared" si="32"/>
        <v>4.481027500960133E-3</v>
      </c>
      <c r="AM50" s="6">
        <f t="shared" si="32"/>
        <v>4.2186475274941238E-3</v>
      </c>
      <c r="AN50" s="6">
        <f t="shared" si="32"/>
        <v>3.9369777292737052E-3</v>
      </c>
      <c r="AO50" s="6">
        <f t="shared" si="32"/>
        <v>3.6638552134606872E-3</v>
      </c>
      <c r="AP50" s="6">
        <f t="shared" si="32"/>
        <v>3.4185588088686547E-3</v>
      </c>
      <c r="AQ50" s="6">
        <f t="shared" si="32"/>
        <v>3.1896622493521321E-3</v>
      </c>
      <c r="AR50" s="6">
        <f t="shared" si="32"/>
        <v>2.9356352518117301E-3</v>
      </c>
      <c r="AS50" s="6">
        <f t="shared" si="32"/>
        <v>2.701504898792173E-3</v>
      </c>
      <c r="AT50" s="6">
        <f t="shared" si="32"/>
        <v>2.5024692964585871E-3</v>
      </c>
      <c r="AU50" s="6">
        <f t="shared" si="32"/>
        <v>2.3050106074298249E-3</v>
      </c>
      <c r="AV50" s="6">
        <f t="shared" si="32"/>
        <v>2.0989988352104749E-3</v>
      </c>
      <c r="AW50" s="6">
        <f t="shared" si="32"/>
        <v>1.8921269172857968E-3</v>
      </c>
      <c r="AX50" s="6">
        <f t="shared" si="32"/>
        <v>1.716065451000226E-3</v>
      </c>
      <c r="AY50" s="6">
        <f t="shared" si="32"/>
        <v>1.579722866641653E-3</v>
      </c>
      <c r="AZ50" s="6">
        <f t="shared" si="32"/>
        <v>1.444816144445138E-3</v>
      </c>
      <c r="BA50" s="6">
        <f t="shared" si="32"/>
        <v>1.296274930776109E-3</v>
      </c>
      <c r="BB50" s="6">
        <f t="shared" si="32"/>
        <v>1.1435215136890164E-3</v>
      </c>
      <c r="BC50" s="6">
        <f t="shared" si="32"/>
        <v>9.9316286095518791E-4</v>
      </c>
      <c r="BD50" s="6">
        <f t="shared" si="32"/>
        <v>8.9405693995137092E-4</v>
      </c>
      <c r="BE50" s="6">
        <f t="shared" si="32"/>
        <v>7.9678400811711292E-4</v>
      </c>
      <c r="BF50" s="6">
        <f t="shared" si="32"/>
        <v>6.4575593843807511E-4</v>
      </c>
      <c r="BG50" s="6">
        <f t="shared" si="32"/>
        <v>5.2367110854389942E-4</v>
      </c>
      <c r="BH50" s="6">
        <f t="shared" si="32"/>
        <v>4.4552993311097744E-4</v>
      </c>
      <c r="BI50" s="6">
        <f t="shared" si="32"/>
        <v>3.5044836734132723E-4</v>
      </c>
      <c r="BJ50" s="6">
        <f t="shared" si="32"/>
        <v>2.0635277369596139E-4</v>
      </c>
      <c r="BK50" s="6">
        <f t="shared" si="32"/>
        <v>6.8569837680998447E-5</v>
      </c>
      <c r="BL50" s="6">
        <f t="shared" si="32"/>
        <v>-5.5220331538596845E-5</v>
      </c>
      <c r="BM50" s="6">
        <f t="shared" si="32"/>
        <v>-1.6322824837988748E-4</v>
      </c>
      <c r="BN50" s="6">
        <f t="shared" si="32"/>
        <v>-2.4825192534339013E-4</v>
      </c>
      <c r="BO50" s="6">
        <f t="shared" si="32"/>
        <v>-3.3455968640172529E-4</v>
      </c>
      <c r="BP50" s="6">
        <f t="shared" si="32"/>
        <v>-4.4901671351027517E-4</v>
      </c>
      <c r="BQ50" s="6">
        <f t="shared" si="32"/>
        <v>-5.6245127039122877E-4</v>
      </c>
      <c r="BR50" s="6">
        <f t="shared" si="32"/>
        <v>-6.3925377939444417E-4</v>
      </c>
      <c r="BS50" s="6">
        <f t="shared" si="32"/>
        <v>-7.2647292877170422E-4</v>
      </c>
      <c r="BT50" s="6">
        <f t="shared" si="32"/>
        <v>-7.8851453573147712E-4</v>
      </c>
      <c r="BU50" s="6">
        <f t="shared" si="32"/>
        <v>-8.404602997249544E-4</v>
      </c>
      <c r="BV50" s="6">
        <f t="shared" si="32"/>
        <v>-9.2070363364415986E-4</v>
      </c>
      <c r="BW50" s="6">
        <f t="shared" ref="BW50:CJ50" si="33">BW49/BV49-1</f>
        <v>-9.7894145807164712E-4</v>
      </c>
      <c r="BX50" s="6">
        <f t="shared" si="33"/>
        <v>-1.0151436549735715E-3</v>
      </c>
      <c r="BY50" s="6">
        <f t="shared" si="33"/>
        <v>-1.0677971936172703E-3</v>
      </c>
      <c r="BZ50" s="6">
        <f t="shared" si="33"/>
        <v>-1.1360411855468877E-3</v>
      </c>
      <c r="CA50" s="6">
        <f t="shared" si="33"/>
        <v>-1.1977731526529034E-3</v>
      </c>
      <c r="CB50" s="6">
        <f t="shared" si="33"/>
        <v>-1.2618873242664641E-3</v>
      </c>
      <c r="CC50" s="6">
        <f t="shared" si="33"/>
        <v>-1.3506302172030527E-3</v>
      </c>
      <c r="CD50" s="6">
        <f t="shared" si="33"/>
        <v>-1.423096060460094E-3</v>
      </c>
      <c r="CE50" s="6">
        <f t="shared" si="33"/>
        <v>-1.4774366346458345E-3</v>
      </c>
      <c r="CF50" s="6">
        <f t="shared" si="33"/>
        <v>-1.5412929904108363E-3</v>
      </c>
      <c r="CG50" s="6">
        <f t="shared" si="33"/>
        <v>-1.5904252057090673E-3</v>
      </c>
      <c r="CH50" s="6">
        <f t="shared" si="33"/>
        <v>-1.6548092646198054E-3</v>
      </c>
      <c r="CI50" s="6">
        <f t="shared" si="33"/>
        <v>-1.7272827835542737E-3</v>
      </c>
      <c r="CJ50" s="6">
        <f t="shared" si="33"/>
        <v>-1.7755337716441888E-3</v>
      </c>
    </row>
    <row r="51" spans="1:89" x14ac:dyDescent="0.25">
      <c r="I51" t="s">
        <v>143</v>
      </c>
      <c r="J51" s="9">
        <f>INDEX($B$35:$AM$35,1,MATCH(J48,$B$34:$AM$34,0))</f>
        <v>59392.254999999997</v>
      </c>
      <c r="K51" s="9"/>
      <c r="L51" s="9"/>
      <c r="M51" s="9"/>
      <c r="N51" s="9"/>
      <c r="O51" s="9"/>
    </row>
    <row r="52" spans="1:89" x14ac:dyDescent="0.25">
      <c r="I52" t="s">
        <v>144</v>
      </c>
      <c r="J52" s="6">
        <f>J51/J49-1</f>
        <v>0</v>
      </c>
      <c r="K52" s="6"/>
      <c r="L52" s="6"/>
      <c r="M52" s="6"/>
      <c r="N52" s="6"/>
      <c r="O52" s="6"/>
      <c r="P52" s="13"/>
    </row>
    <row r="53" spans="1:89" ht="18" thickBot="1" x14ac:dyDescent="0.35">
      <c r="A53" s="4" t="s">
        <v>65</v>
      </c>
      <c r="B53" s="4"/>
      <c r="C53" s="4"/>
      <c r="D53" s="4"/>
      <c r="E53" s="4"/>
      <c r="F53" s="4"/>
      <c r="G53" s="4"/>
      <c r="H53" s="4"/>
      <c r="M53" s="9"/>
    </row>
    <row r="54" spans="1:89" ht="15.75" thickTop="1" x14ac:dyDescent="0.25">
      <c r="B54" s="3">
        <v>2019</v>
      </c>
      <c r="C54" s="3">
        <v>2020</v>
      </c>
      <c r="D54" s="3">
        <v>2021</v>
      </c>
      <c r="E54" s="3">
        <v>2022</v>
      </c>
      <c r="F54" s="3">
        <v>2023</v>
      </c>
      <c r="G54" s="3">
        <v>2024</v>
      </c>
      <c r="H54" s="3">
        <v>2025</v>
      </c>
      <c r="I54" s="3">
        <v>2026</v>
      </c>
      <c r="J54" s="3">
        <v>2027</v>
      </c>
      <c r="K54" s="3">
        <v>2028</v>
      </c>
      <c r="L54" s="3">
        <v>2029</v>
      </c>
      <c r="M54" s="3">
        <v>2030</v>
      </c>
      <c r="N54" s="3">
        <v>2031</v>
      </c>
      <c r="O54" s="3">
        <v>2032</v>
      </c>
      <c r="P54" s="3">
        <v>2033</v>
      </c>
      <c r="Q54" s="3">
        <v>2034</v>
      </c>
      <c r="R54" s="3">
        <v>2035</v>
      </c>
      <c r="S54" s="3">
        <v>2036</v>
      </c>
      <c r="T54" s="3">
        <v>2037</v>
      </c>
      <c r="U54" s="3">
        <v>2038</v>
      </c>
      <c r="V54">
        <v>2039</v>
      </c>
      <c r="W54">
        <v>2040</v>
      </c>
      <c r="X54">
        <v>2041</v>
      </c>
      <c r="Y54">
        <v>2042</v>
      </c>
      <c r="Z54">
        <v>2043</v>
      </c>
      <c r="AA54">
        <v>2044</v>
      </c>
      <c r="AB54">
        <v>2045</v>
      </c>
      <c r="AC54">
        <v>2046</v>
      </c>
      <c r="AD54">
        <v>2047</v>
      </c>
      <c r="AE54">
        <v>2048</v>
      </c>
      <c r="AF54">
        <v>2049</v>
      </c>
      <c r="AG54">
        <v>2050</v>
      </c>
      <c r="AH54">
        <v>2051</v>
      </c>
      <c r="AI54">
        <v>2052</v>
      </c>
      <c r="AJ54">
        <v>2053</v>
      </c>
      <c r="AK54">
        <v>2054</v>
      </c>
      <c r="AL54">
        <v>2055</v>
      </c>
    </row>
    <row r="55" spans="1:89" x14ac:dyDescent="0.25">
      <c r="A55" s="3" t="s">
        <v>51</v>
      </c>
      <c r="B55" s="12">
        <f>IF($C$3="CGE",GDP_CGE!B28,GDP_Simple!I42)</f>
        <v>0.44456066945606693</v>
      </c>
      <c r="C55" s="12">
        <f>IF($C$3="CGE",GDP_CGE!C28,GDP_Simple!J42)</f>
        <v>0.45521601685985247</v>
      </c>
      <c r="D55" s="12">
        <f>IF($C$3="CGE",GDP_CGE!D28,GDP_Simple!K42)</f>
        <v>0.46227119237511022</v>
      </c>
      <c r="E55" s="12">
        <f>IF($C$3="CGE",GDP_CGE!E28,GDP_Simple!L42)</f>
        <v>0.45384023967034137</v>
      </c>
      <c r="F55" s="12">
        <f>IF($C$3="CGE",GDP_CGE!F28,GDP_Simple!M42)</f>
        <v>0.4530506193635141</v>
      </c>
      <c r="G55" s="12">
        <f>IF($C$3="CGE",GDP_CGE!G28,GDP_Simple!N42)</f>
        <v>0.4492123756297739</v>
      </c>
      <c r="H55" s="12">
        <f>IF($C$3="CGE",GDP_CGE!H28,GDP_Simple!O42)</f>
        <v>0.44506077484649087</v>
      </c>
      <c r="I55" s="12">
        <f>IF($C$3="CGE",GDP_CGE!I28,GDP_Simple!P42)</f>
        <v>0.44048019500661473</v>
      </c>
      <c r="J55" s="12">
        <f>IF($C$3="CGE",GDP_CGE!J28,GDP_Simple!Q42)</f>
        <v>0.43534996792463587</v>
      </c>
      <c r="K55" s="12">
        <f>IF($C$3="CGE",GDP_CGE!K28,GDP_Simple!R42)</f>
        <v>0.42993618539113665</v>
      </c>
      <c r="L55" s="12">
        <f>IF($C$3="CGE",GDP_CGE!L28,GDP_Simple!S42)</f>
        <v>0.42371952259311868</v>
      </c>
      <c r="M55" s="12">
        <f>IF($C$3="CGE",GDP_CGE!M28,GDP_Simple!T42)</f>
        <v>0.41657241965867214</v>
      </c>
      <c r="N55" s="12">
        <f>IF($C$3="CGE",GDP_CGE!N28,GDP_Simple!U42)</f>
        <v>0.40909885956028302</v>
      </c>
      <c r="O55" s="12">
        <f>IF($C$3="CGE",GDP_CGE!O28,GDP_Simple!V42)</f>
        <v>0.40185565007277846</v>
      </c>
      <c r="P55" s="12">
        <f>IF($C$3="CGE",GDP_CGE!P28,GDP_Simple!W42)</f>
        <v>0.39482416004663062</v>
      </c>
      <c r="Q55" s="12">
        <f>IF($C$3="CGE",GDP_CGE!Q28,GDP_Simple!X42)</f>
        <v>0.38744915622957621</v>
      </c>
      <c r="R55" s="12">
        <f>IF($C$3="CGE",GDP_CGE!R28,GDP_Simple!Y42)</f>
        <v>0.3800592435396562</v>
      </c>
      <c r="S55" s="12">
        <f>IF($C$3="CGE",GDP_CGE!S28,GDP_Simple!Z42)</f>
        <v>0.37316446554873905</v>
      </c>
      <c r="T55" s="12">
        <f>IF($C$3="CGE",GDP_CGE!T28,GDP_Simple!AA42)</f>
        <v>0.36622575390923512</v>
      </c>
      <c r="U55" s="12">
        <f>IF($C$3="CGE",GDP_CGE!U28,GDP_Simple!AB42)</f>
        <v>0.35954615135165829</v>
      </c>
      <c r="V55" s="12">
        <f>IF($C$3="CGE",GDP_CGE!V28,GDP_Simple!AC42)</f>
        <v>0.35352413753940537</v>
      </c>
      <c r="W55" s="12">
        <f>IF($C$3="CGE",GDP_CGE!W28,GDP_Simple!AD42)</f>
        <v>0.34790997115201444</v>
      </c>
      <c r="X55" s="12">
        <f>IF($C$3="CGE",GDP_CGE!X28,GDP_Simple!AE42)</f>
        <v>0.33949990116716933</v>
      </c>
      <c r="Y55" s="12">
        <f>IF($C$3="CGE",GDP_CGE!Y28,GDP_Simple!AF42)</f>
        <v>0.3328157209201148</v>
      </c>
      <c r="Z55" s="12">
        <f>IF($C$3="CGE",GDP_CGE!Z28,GDP_Simple!AG42)</f>
        <v>0.32616627660377695</v>
      </c>
      <c r="AA55" s="12">
        <f>IF($C$3="CGE",GDP_CGE!AA28,GDP_Simple!AH42)</f>
        <v>0.31958465249744172</v>
      </c>
      <c r="AB55" s="12">
        <f>IF($C$3="CGE",GDP_CGE!AB28,GDP_Simple!AI42)</f>
        <v>0.31298090329354977</v>
      </c>
      <c r="AC55" s="12">
        <f>IF($C$3="CGE",GDP_CGE!AC28,GDP_Simple!AJ42)</f>
        <v>0.3062893112729288</v>
      </c>
      <c r="AD55" s="12">
        <f>IF($C$3="CGE",GDP_CGE!AD28,GDP_Simple!AK42)</f>
        <v>0.29955436432955906</v>
      </c>
      <c r="AE55" s="12">
        <f>IF($C$3="CGE",GDP_CGE!AE28,GDP_Simple!AL42)</f>
        <v>0.29273345912335991</v>
      </c>
      <c r="AF55" s="12">
        <f>IF($C$3="CGE",GDP_CGE!AF28,GDP_Simple!AM42)</f>
        <v>0.28584772379130463</v>
      </c>
      <c r="AG55" s="12">
        <f>IF($C$3="CGE",GDP_CGE!AG28,GDP_Simple!AN42)</f>
        <v>0.27905600345837911</v>
      </c>
      <c r="AH55" s="12">
        <f>IF($C$3="CGE",GDP_CGE!AH28,GDP_Simple!AO42)</f>
        <v>0.27256224487218716</v>
      </c>
      <c r="AI55" s="12">
        <f>IF($C$3="CGE",GDP_CGE!AI28,GDP_Simple!AP42)</f>
        <v>0.2658185620351361</v>
      </c>
      <c r="AJ55" s="12">
        <f>IF($C$3="CGE",GDP_CGE!AJ28,GDP_Simple!AQ42)</f>
        <v>0.25905746841704591</v>
      </c>
      <c r="AK55" s="12">
        <f>IF($C$3="CGE",GDP_CGE!AK28,GDP_Simple!AR42)</f>
        <v>0.252285229459698</v>
      </c>
      <c r="AL55" s="12">
        <f>IF($C$3="CGE",GDP_CGE!AL28,GDP_Simple!AS42)</f>
        <v>0.24552291570350171</v>
      </c>
    </row>
    <row r="56" spans="1:89" x14ac:dyDescent="0.25">
      <c r="A56" s="3" t="s">
        <v>52</v>
      </c>
      <c r="B56" s="12">
        <f>IF($C$3="CGE",GDP_CGE!B29,GDP_Simple!I43)</f>
        <v>0.31485355648535562</v>
      </c>
      <c r="C56" s="12">
        <f>IF($C$3="CGE",GDP_CGE!C29,GDP_Simple!J43)</f>
        <v>0.32560590094836672</v>
      </c>
      <c r="D56" s="12">
        <f>IF($C$3="CGE",GDP_CGE!D29,GDP_Simple!K43)</f>
        <v>0.30936026689417673</v>
      </c>
      <c r="E56" s="12">
        <f>IF($C$3="CGE",GDP_CGE!E29,GDP_Simple!L43)</f>
        <v>0.31355024567841444</v>
      </c>
      <c r="F56" s="12">
        <f>IF($C$3="CGE",GDP_CGE!F29,GDP_Simple!M43)</f>
        <v>0.31388781690524703</v>
      </c>
      <c r="G56" s="12">
        <f>IF($C$3="CGE",GDP_CGE!G29,GDP_Simple!N43)</f>
        <v>0.31543894410094331</v>
      </c>
      <c r="H56" s="12">
        <f>IF($C$3="CGE",GDP_CGE!H29,GDP_Simple!O43)</f>
        <v>0.31721983743486931</v>
      </c>
      <c r="I56" s="12">
        <f>IF($C$3="CGE",GDP_CGE!I29,GDP_Simple!P43)</f>
        <v>0.31883263902169873</v>
      </c>
      <c r="J56" s="12">
        <f>IF($C$3="CGE",GDP_CGE!J29,GDP_Simple!Q43)</f>
        <v>0.32078866718521404</v>
      </c>
      <c r="K56" s="12">
        <f>IF($C$3="CGE",GDP_CGE!K29,GDP_Simple!R43)</f>
        <v>0.32280939346620441</v>
      </c>
      <c r="L56" s="12">
        <f>IF($C$3="CGE",GDP_CGE!L29,GDP_Simple!S43)</f>
        <v>0.32497598023764895</v>
      </c>
      <c r="M56" s="12">
        <f>IF($C$3="CGE",GDP_CGE!M29,GDP_Simple!T43)</f>
        <v>0.32775482993460558</v>
      </c>
      <c r="N56" s="12">
        <f>IF($C$3="CGE",GDP_CGE!N29,GDP_Simple!U43)</f>
        <v>0.33022222974356419</v>
      </c>
      <c r="O56" s="12">
        <f>IF($C$3="CGE",GDP_CGE!O29,GDP_Simple!V43)</f>
        <v>0.332708026046104</v>
      </c>
      <c r="P56" s="12">
        <f>IF($C$3="CGE",GDP_CGE!P29,GDP_Simple!W43)</f>
        <v>0.33507942725265366</v>
      </c>
      <c r="Q56" s="12">
        <f>IF($C$3="CGE",GDP_CGE!Q29,GDP_Simple!X43)</f>
        <v>0.33755833542625679</v>
      </c>
      <c r="R56" s="12">
        <f>IF($C$3="CGE",GDP_CGE!R29,GDP_Simple!Y43)</f>
        <v>0.34023069208670387</v>
      </c>
      <c r="S56" s="12">
        <f>IF($C$3="CGE",GDP_CGE!S29,GDP_Simple!Z43)</f>
        <v>0.34209365651908852</v>
      </c>
      <c r="T56" s="12">
        <f>IF($C$3="CGE",GDP_CGE!T29,GDP_Simple!AA43)</f>
        <v>0.34372879918296723</v>
      </c>
      <c r="U56" s="12">
        <f>IF($C$3="CGE",GDP_CGE!U29,GDP_Simple!AB43)</f>
        <v>0.34562071119418153</v>
      </c>
      <c r="V56" s="12">
        <f>IF($C$3="CGE",GDP_CGE!V29,GDP_Simple!AC43)</f>
        <v>0.34714667279971562</v>
      </c>
      <c r="W56" s="12">
        <f>IF($C$3="CGE",GDP_CGE!W29,GDP_Simple!AD43)</f>
        <v>0.34858040550949743</v>
      </c>
      <c r="X56" s="12">
        <f>IF($C$3="CGE",GDP_CGE!X29,GDP_Simple!AE43)</f>
        <v>0.35270038692008504</v>
      </c>
      <c r="Y56" s="12">
        <f>IF($C$3="CGE",GDP_CGE!Y29,GDP_Simple!AF43)</f>
        <v>0.35545402987661523</v>
      </c>
      <c r="Z56" s="12">
        <f>IF($C$3="CGE",GDP_CGE!Z29,GDP_Simple!AG43)</f>
        <v>0.35829684379142396</v>
      </c>
      <c r="AA56" s="12">
        <f>IF($C$3="CGE",GDP_CGE!AA29,GDP_Simple!AH43)</f>
        <v>0.36115445831596726</v>
      </c>
      <c r="AB56" s="12">
        <f>IF($C$3="CGE",GDP_CGE!AB29,GDP_Simple!AI43)</f>
        <v>0.36410706909886797</v>
      </c>
      <c r="AC56" s="12">
        <f>IF($C$3="CGE",GDP_CGE!AC29,GDP_Simple!AJ43)</f>
        <v>0.36699187756046936</v>
      </c>
      <c r="AD56" s="12">
        <f>IF($C$3="CGE",GDP_CGE!AD29,GDP_Simple!AK43)</f>
        <v>0.37022436051526397</v>
      </c>
      <c r="AE56" s="12">
        <f>IF($C$3="CGE",GDP_CGE!AE29,GDP_Simple!AL43)</f>
        <v>0.37358485092968469</v>
      </c>
      <c r="AF56" s="12">
        <f>IF($C$3="CGE",GDP_CGE!AF29,GDP_Simple!AM43)</f>
        <v>0.37697190484087623</v>
      </c>
      <c r="AG56" s="12">
        <f>IF($C$3="CGE",GDP_CGE!AG29,GDP_Simple!AN43)</f>
        <v>0.38027781250126996</v>
      </c>
      <c r="AH56" s="12">
        <f>IF($C$3="CGE",GDP_CGE!AH29,GDP_Simple!AO43)</f>
        <v>0.38282157629276181</v>
      </c>
      <c r="AI56" s="12">
        <f>IF($C$3="CGE",GDP_CGE!AI29,GDP_Simple!AP43)</f>
        <v>0.38601940369852006</v>
      </c>
      <c r="AJ56" s="12">
        <f>IF($C$3="CGE",GDP_CGE!AJ29,GDP_Simple!AQ43)</f>
        <v>0.38922258756347983</v>
      </c>
      <c r="AK56" s="12">
        <f>IF($C$3="CGE",GDP_CGE!AK29,GDP_Simple!AR43)</f>
        <v>0.3924274370969103</v>
      </c>
      <c r="AL56" s="12">
        <f>IF($C$3="CGE",GDP_CGE!AL29,GDP_Simple!AS43)</f>
        <v>0.39561454073212232</v>
      </c>
    </row>
    <row r="57" spans="1:89" x14ac:dyDescent="0.25">
      <c r="A57" s="3" t="s">
        <v>53</v>
      </c>
      <c r="B57" s="12">
        <f>IF($C$3="CGE",GDP_CGE!B30,GDP_Simple!I44)</f>
        <v>0.24058577405857742</v>
      </c>
      <c r="C57" s="12">
        <f>IF($C$3="CGE",GDP_CGE!C30,GDP_Simple!J44)</f>
        <v>0.21917808219178081</v>
      </c>
      <c r="D57" s="12">
        <f>IF($C$3="CGE",GDP_CGE!D30,GDP_Simple!K44)</f>
        <v>0.22836854073071305</v>
      </c>
      <c r="E57" s="12">
        <f>IF($C$3="CGE",GDP_CGE!E30,GDP_Simple!L44)</f>
        <v>0.23260951465124413</v>
      </c>
      <c r="F57" s="12">
        <f>IF($C$3="CGE",GDP_CGE!F30,GDP_Simple!M44)</f>
        <v>0.23306156373123887</v>
      </c>
      <c r="G57" s="12">
        <f>IF($C$3="CGE",GDP_CGE!G30,GDP_Simple!N44)</f>
        <v>0.23534868026928282</v>
      </c>
      <c r="H57" s="12">
        <f>IF($C$3="CGE",GDP_CGE!H30,GDP_Simple!O44)</f>
        <v>0.23771938771863979</v>
      </c>
      <c r="I57" s="12">
        <f>IF($C$3="CGE",GDP_CGE!I30,GDP_Simple!P44)</f>
        <v>0.2406871659716866</v>
      </c>
      <c r="J57" s="12">
        <f>IF($C$3="CGE",GDP_CGE!J30,GDP_Simple!Q44)</f>
        <v>0.24386136489015012</v>
      </c>
      <c r="K57" s="12">
        <f>IF($C$3="CGE",GDP_CGE!K30,GDP_Simple!R44)</f>
        <v>0.24725442114265897</v>
      </c>
      <c r="L57" s="12">
        <f>IF($C$3="CGE",GDP_CGE!L30,GDP_Simple!S44)</f>
        <v>0.25130449716923237</v>
      </c>
      <c r="M57" s="12">
        <f>IF($C$3="CGE",GDP_CGE!M30,GDP_Simple!T44)</f>
        <v>0.25567275040672227</v>
      </c>
      <c r="N57" s="12">
        <f>IF($C$3="CGE",GDP_CGE!N30,GDP_Simple!U44)</f>
        <v>0.26067891069615279</v>
      </c>
      <c r="O57" s="12">
        <f>IF($C$3="CGE",GDP_CGE!O30,GDP_Simple!V44)</f>
        <v>0.2654363238811176</v>
      </c>
      <c r="P57" s="12">
        <f>IF($C$3="CGE",GDP_CGE!P30,GDP_Simple!W44)</f>
        <v>0.27009641270071577</v>
      </c>
      <c r="Q57" s="12">
        <f>IF($C$3="CGE",GDP_CGE!Q30,GDP_Simple!X44)</f>
        <v>0.274992508344167</v>
      </c>
      <c r="R57" s="12">
        <f>IF($C$3="CGE",GDP_CGE!R30,GDP_Simple!Y44)</f>
        <v>0.27971006437363993</v>
      </c>
      <c r="S57" s="12">
        <f>IF($C$3="CGE",GDP_CGE!S30,GDP_Simple!Z44)</f>
        <v>0.28474187793217243</v>
      </c>
      <c r="T57" s="12">
        <f>IF($C$3="CGE",GDP_CGE!T30,GDP_Simple!AA44)</f>
        <v>0.29004544690779771</v>
      </c>
      <c r="U57" s="12">
        <f>IF($C$3="CGE",GDP_CGE!U30,GDP_Simple!AB44)</f>
        <v>0.29483313745416012</v>
      </c>
      <c r="V57" s="12">
        <f>IF($C$3="CGE",GDP_CGE!V30,GDP_Simple!AC44)</f>
        <v>0.29932918966087896</v>
      </c>
      <c r="W57" s="12">
        <f>IF($C$3="CGE",GDP_CGE!W30,GDP_Simple!AD44)</f>
        <v>0.30350962333848813</v>
      </c>
      <c r="X57" s="12">
        <f>IF($C$3="CGE",GDP_CGE!X30,GDP_Simple!AE44)</f>
        <v>0.30779971191274563</v>
      </c>
      <c r="Y57" s="12">
        <f>IF($C$3="CGE",GDP_CGE!Y30,GDP_Simple!AF44)</f>
        <v>0.31173024920326997</v>
      </c>
      <c r="Z57" s="12">
        <f>IF($C$3="CGE",GDP_CGE!Z30,GDP_Simple!AG44)</f>
        <v>0.31553687960479909</v>
      </c>
      <c r="AA57" s="12">
        <f>IF($C$3="CGE",GDP_CGE!AA30,GDP_Simple!AH44)</f>
        <v>0.31926088918659101</v>
      </c>
      <c r="AB57" s="12">
        <f>IF($C$3="CGE",GDP_CGE!AB30,GDP_Simple!AI44)</f>
        <v>0.32291202760758225</v>
      </c>
      <c r="AC57" s="12">
        <f>IF($C$3="CGE",GDP_CGE!AC30,GDP_Simple!AJ44)</f>
        <v>0.32671881116660184</v>
      </c>
      <c r="AD57" s="12">
        <f>IF($C$3="CGE",GDP_CGE!AD30,GDP_Simple!AK44)</f>
        <v>0.33022127515517696</v>
      </c>
      <c r="AE57" s="12">
        <f>IF($C$3="CGE",GDP_CGE!AE30,GDP_Simple!AL44)</f>
        <v>0.33368168994695541</v>
      </c>
      <c r="AF57" s="12">
        <f>IF($C$3="CGE",GDP_CGE!AF30,GDP_Simple!AM44)</f>
        <v>0.33718037136781914</v>
      </c>
      <c r="AG57" s="12">
        <f>IF($C$3="CGE",GDP_CGE!AG30,GDP_Simple!AN44)</f>
        <v>0.34066618404035093</v>
      </c>
      <c r="AH57" s="12">
        <f>IF($C$3="CGE",GDP_CGE!AH30,GDP_Simple!AO44)</f>
        <v>0.34461617883505102</v>
      </c>
      <c r="AI57" s="12">
        <f>IF($C$3="CGE",GDP_CGE!AI30,GDP_Simple!AP44)</f>
        <v>0.34816203426634384</v>
      </c>
      <c r="AJ57" s="12">
        <f>IF($C$3="CGE",GDP_CGE!AJ30,GDP_Simple!AQ44)</f>
        <v>0.35171994401947426</v>
      </c>
      <c r="AK57" s="12">
        <f>IF($C$3="CGE",GDP_CGE!AK30,GDP_Simple!AR44)</f>
        <v>0.3552873334433917</v>
      </c>
      <c r="AL57" s="12">
        <f>IF($C$3="CGE",GDP_CGE!AL30,GDP_Simple!AS44)</f>
        <v>0.35886254356437597</v>
      </c>
    </row>
    <row r="58" spans="1:89" x14ac:dyDescent="0.25">
      <c r="A58" s="3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</row>
    <row r="60" spans="1:89" ht="18" thickBot="1" x14ac:dyDescent="0.35">
      <c r="A60" s="4" t="s">
        <v>66</v>
      </c>
      <c r="B60" s="4"/>
      <c r="C60" s="4"/>
      <c r="D60" s="4"/>
      <c r="E60" s="4"/>
      <c r="F60" s="4"/>
      <c r="G60" s="4"/>
      <c r="H60" s="4"/>
    </row>
    <row r="61" spans="1:89" ht="15.75" thickTop="1" x14ac:dyDescent="0.25">
      <c r="A61" s="3">
        <v>2019</v>
      </c>
      <c r="B61" s="3">
        <v>2020</v>
      </c>
      <c r="C61" s="3">
        <v>2021</v>
      </c>
      <c r="D61" s="3">
        <v>2022</v>
      </c>
      <c r="E61" s="3">
        <v>2023</v>
      </c>
      <c r="F61" s="3">
        <v>2024</v>
      </c>
      <c r="G61" s="3">
        <v>2025</v>
      </c>
      <c r="H61" s="3">
        <v>2026</v>
      </c>
      <c r="I61" s="3">
        <v>2027</v>
      </c>
      <c r="J61" s="3">
        <v>2028</v>
      </c>
      <c r="K61" s="3">
        <v>2029</v>
      </c>
      <c r="L61" s="3">
        <v>2030</v>
      </c>
      <c r="M61" s="3">
        <v>2031</v>
      </c>
      <c r="N61" s="3">
        <v>2032</v>
      </c>
      <c r="O61" s="3">
        <v>2033</v>
      </c>
      <c r="P61" s="3">
        <v>2034</v>
      </c>
      <c r="Q61" s="3">
        <v>2035</v>
      </c>
      <c r="R61" s="3">
        <v>2036</v>
      </c>
      <c r="S61">
        <v>2037</v>
      </c>
      <c r="T61">
        <v>2038</v>
      </c>
      <c r="U61">
        <v>2039</v>
      </c>
      <c r="V61">
        <v>2040</v>
      </c>
      <c r="W61">
        <v>2041</v>
      </c>
      <c r="X61">
        <v>2042</v>
      </c>
      <c r="Y61">
        <v>2043</v>
      </c>
      <c r="Z61">
        <v>2044</v>
      </c>
      <c r="AA61">
        <v>2045</v>
      </c>
      <c r="AB61">
        <v>2046</v>
      </c>
      <c r="AC61">
        <v>2047</v>
      </c>
      <c r="AD61">
        <v>2048</v>
      </c>
      <c r="AE61">
        <v>2049</v>
      </c>
      <c r="AF61">
        <v>2050</v>
      </c>
      <c r="AG61">
        <v>2051</v>
      </c>
      <c r="AH61">
        <v>2052</v>
      </c>
      <c r="AI61">
        <v>2053</v>
      </c>
      <c r="AJ61">
        <v>2054</v>
      </c>
      <c r="AK61">
        <v>2055</v>
      </c>
    </row>
    <row r="62" spans="1:89" x14ac:dyDescent="0.25">
      <c r="A62" s="12">
        <f>IF($C$3="CGE",GDP_CGE!A35,GDP_Simple!H49)</f>
        <v>0.32619999999999999</v>
      </c>
      <c r="B62" s="12">
        <f>IF($C$3="CGE",GDP_CGE!B35,GDP_Simple!I49)</f>
        <v>0.2994</v>
      </c>
      <c r="C62" s="12">
        <f>IF($C$3="CGE",GDP_CGE!C35,GDP_Simple!J49)</f>
        <v>0.31654664140483468</v>
      </c>
      <c r="D62" s="12">
        <f>IF($C$3="CGE",GDP_CGE!D35,GDP_Simple!K49)</f>
        <v>0.3229769660124453</v>
      </c>
      <c r="E62" s="12">
        <f>IF($C$3="CGE",GDP_CGE!E35,GDP_Simple!L49)</f>
        <v>0.32341725558949985</v>
      </c>
      <c r="F62" s="12">
        <f>IF($C$3="CGE",GDP_CGE!F35,GDP_Simple!M49)</f>
        <v>0.32583348645578519</v>
      </c>
      <c r="G62" s="12">
        <f>IF($C$3="CGE",GDP_CGE!G35,GDP_Simple!N49)</f>
        <v>0.32868412194131336</v>
      </c>
      <c r="H62" s="12">
        <f>IF($C$3="CGE",GDP_CGE!H35,GDP_Simple!O49)</f>
        <v>0.33230162316533624</v>
      </c>
      <c r="I62" s="12">
        <f>IF($C$3="CGE",GDP_CGE!I35,GDP_Simple!P49)</f>
        <v>0.33651148349830801</v>
      </c>
      <c r="J62" s="12">
        <f>IF($C$3="CGE",GDP_CGE!J35,GDP_Simple!Q49)</f>
        <v>0.34119089406864367</v>
      </c>
      <c r="K62" s="12">
        <f>IF($C$3="CGE",GDP_CGE!K35,GDP_Simple!R49)</f>
        <v>0.36221879577366001</v>
      </c>
      <c r="L62" s="12">
        <f>IF($C$3="CGE",GDP_CGE!L35,GDP_Simple!S49)</f>
        <v>0.37004385784560301</v>
      </c>
      <c r="M62" s="12">
        <f>IF($C$3="CGE",GDP_CGE!M35,GDP_Simple!T49)</f>
        <v>0.37852012939101487</v>
      </c>
      <c r="N62" s="12">
        <f>IF($C$3="CGE",GDP_CGE!N35,GDP_Simple!U49)</f>
        <v>0.3878734723924257</v>
      </c>
      <c r="O62" s="12">
        <f>IF($C$3="CGE",GDP_CGE!O35,GDP_Simple!V49)</f>
        <v>0.39741278536009639</v>
      </c>
      <c r="P62" s="12">
        <f>IF($C$3="CGE",GDP_CGE!P35,GDP_Simple!W49)</f>
        <v>0.40816256077414653</v>
      </c>
      <c r="Q62" s="12">
        <f>IF($C$3="CGE",GDP_CGE!Q35,GDP_Simple!X49)</f>
        <v>0.41948785970919228</v>
      </c>
      <c r="R62" s="12">
        <f>IF($C$3="CGE",GDP_CGE!R35,GDP_Simple!Y49)</f>
        <v>0.43088849431928106</v>
      </c>
      <c r="S62" s="12">
        <f>IF($C$3="CGE",GDP_CGE!S35,GDP_Simple!Z49)</f>
        <v>0.44353505886754657</v>
      </c>
      <c r="T62" s="12">
        <f>IF($C$3="CGE",GDP_CGE!T35,GDP_Simple!AA49)</f>
        <v>0.45796945182824422</v>
      </c>
      <c r="U62" s="12">
        <f>IF($C$3="CGE",GDP_CGE!U35,GDP_Simple!AB49)</f>
        <v>0.49299530640753597</v>
      </c>
      <c r="V62" s="12">
        <f>IF($C$3="CGE",GDP_CGE!V35,GDP_Simple!AC49)</f>
        <v>0.50697126094253331</v>
      </c>
      <c r="W62" s="12">
        <f>IF($C$3="CGE",GDP_CGE!W35,GDP_Simple!AD49)</f>
        <v>0.52141886766898637</v>
      </c>
      <c r="X62" s="12">
        <f>IF($C$3="CGE",GDP_CGE!X35,GDP_Simple!AE49)</f>
        <v>0.53536238342083242</v>
      </c>
      <c r="Y62" s="12">
        <f>IF($C$3="CGE",GDP_CGE!Y35,GDP_Simple!AF49)</f>
        <v>0.54982306688002347</v>
      </c>
      <c r="Z62" s="12">
        <f>IF($C$3="CGE",GDP_CGE!Z35,GDP_Simple!AG49)</f>
        <v>0.56494419301691312</v>
      </c>
      <c r="AA62" s="12">
        <f>IF($C$3="CGE",GDP_CGE!AA35,GDP_Simple!AH49)</f>
        <v>0.58080477896828098</v>
      </c>
      <c r="AB62" s="12">
        <f>IF($C$3="CGE",GDP_CGE!AB35,GDP_Simple!AI49)</f>
        <v>0.5973336654005954</v>
      </c>
      <c r="AC62" s="12">
        <f>IF($C$3="CGE",GDP_CGE!AC35,GDP_Simple!AJ49)</f>
        <v>0.61315517605582059</v>
      </c>
      <c r="AD62" s="12">
        <f>IF($C$3="CGE",GDP_CGE!AD35,GDP_Simple!AK49)</f>
        <v>0.62969384765623759</v>
      </c>
      <c r="AE62" s="12">
        <f>IF($C$3="CGE",GDP_CGE!AE35,GDP_Simple!AL49)</f>
        <v>0.64739092344815219</v>
      </c>
      <c r="AF62" s="12">
        <f>IF($C$3="CGE",GDP_CGE!AF35,GDP_Simple!AM49)</f>
        <v>0.66610516650076956</v>
      </c>
      <c r="AG62" s="12">
        <f>IF($C$3="CGE",GDP_CGE!AG35,GDP_Simple!AN49)</f>
        <v>0.68450380655855048</v>
      </c>
      <c r="AH62" s="12">
        <f>IF($C$3="CGE",GDP_CGE!AH35,GDP_Simple!AO49)</f>
        <v>0.70243053660688781</v>
      </c>
      <c r="AI62" s="12">
        <f>IF($C$3="CGE",GDP_CGE!AI35,GDP_Simple!AP49)</f>
        <v>0.71982098533620387</v>
      </c>
      <c r="AJ62" s="12">
        <f>IF($C$3="CGE",GDP_CGE!AJ35,GDP_Simple!AQ49)</f>
        <v>0.73661130703682831</v>
      </c>
      <c r="AK62" s="12">
        <f>IF($C$3="CGE",GDP_CGE!AK35,GDP_Simple!AR49)</f>
        <v>0.75273856178520915</v>
      </c>
      <c r="AN62" s="12"/>
    </row>
    <row r="65" spans="1:42" ht="18" thickBot="1" x14ac:dyDescent="0.35">
      <c r="A65" s="4" t="s">
        <v>67</v>
      </c>
      <c r="B65" s="4"/>
      <c r="C65" s="4"/>
      <c r="D65" s="4"/>
      <c r="E65" s="4"/>
      <c r="F65" s="4"/>
      <c r="G65" s="4"/>
      <c r="H65" s="4"/>
    </row>
    <row r="66" spans="1:42" ht="15.75" thickTop="1" x14ac:dyDescent="0.25">
      <c r="C66" s="3">
        <v>2019</v>
      </c>
      <c r="D66" s="3">
        <v>2020</v>
      </c>
      <c r="E66" s="3">
        <v>2021</v>
      </c>
      <c r="F66" s="3">
        <v>2022</v>
      </c>
      <c r="G66" s="3">
        <v>2023</v>
      </c>
      <c r="H66" s="3">
        <v>2024</v>
      </c>
      <c r="I66" s="3">
        <v>2025</v>
      </c>
      <c r="J66" s="3">
        <v>2026</v>
      </c>
      <c r="K66" s="3">
        <v>2027</v>
      </c>
      <c r="L66" s="3">
        <v>2028</v>
      </c>
      <c r="M66" s="3">
        <v>2029</v>
      </c>
      <c r="N66" s="3">
        <v>2030</v>
      </c>
      <c r="O66" s="3">
        <v>2031</v>
      </c>
      <c r="P66" s="3">
        <v>2032</v>
      </c>
      <c r="Q66" s="3">
        <v>2033</v>
      </c>
      <c r="R66" s="3">
        <v>2034</v>
      </c>
      <c r="S66" s="3">
        <v>2035</v>
      </c>
      <c r="T66" s="3">
        <v>2036</v>
      </c>
      <c r="U66" s="3">
        <v>2037</v>
      </c>
      <c r="V66" s="3">
        <v>2038</v>
      </c>
      <c r="W66" s="3">
        <v>2039</v>
      </c>
      <c r="X66" s="3">
        <v>2040</v>
      </c>
      <c r="Y66" s="3">
        <v>2041</v>
      </c>
      <c r="Z66" s="3">
        <v>2042</v>
      </c>
      <c r="AA66" s="3">
        <v>2043</v>
      </c>
      <c r="AB66" s="3">
        <v>2044</v>
      </c>
      <c r="AC66" s="3">
        <v>2045</v>
      </c>
      <c r="AD66" s="3">
        <v>2046</v>
      </c>
      <c r="AE66" s="3">
        <v>2047</v>
      </c>
      <c r="AF66" s="3">
        <v>2048</v>
      </c>
      <c r="AG66" s="3">
        <v>2049</v>
      </c>
      <c r="AH66" s="3">
        <v>2050</v>
      </c>
      <c r="AI66" s="3">
        <v>2051</v>
      </c>
      <c r="AJ66" s="3">
        <v>2052</v>
      </c>
      <c r="AK66" s="3">
        <v>2053</v>
      </c>
      <c r="AL66" s="3">
        <v>2054</v>
      </c>
      <c r="AM66" s="3">
        <v>2055</v>
      </c>
      <c r="AN66" s="3"/>
      <c r="AO66" s="3"/>
      <c r="AP66" s="3"/>
    </row>
    <row r="67" spans="1:42" x14ac:dyDescent="0.25">
      <c r="A67" s="3" t="s">
        <v>51</v>
      </c>
      <c r="B67" s="3" t="s">
        <v>54</v>
      </c>
      <c r="C67" t="s">
        <v>55</v>
      </c>
      <c r="D67" t="s">
        <v>55</v>
      </c>
      <c r="E67" t="s">
        <v>55</v>
      </c>
      <c r="F67" t="s">
        <v>55</v>
      </c>
      <c r="G67" t="s">
        <v>55</v>
      </c>
      <c r="H67" t="s">
        <v>55</v>
      </c>
      <c r="I67" t="s">
        <v>55</v>
      </c>
      <c r="J67" t="s">
        <v>55</v>
      </c>
      <c r="K67" t="s">
        <v>55</v>
      </c>
      <c r="L67" t="s">
        <v>55</v>
      </c>
      <c r="M67" t="s">
        <v>55</v>
      </c>
      <c r="N67" t="s">
        <v>55</v>
      </c>
      <c r="O67" t="s">
        <v>55</v>
      </c>
      <c r="P67" t="s">
        <v>55</v>
      </c>
      <c r="Q67" t="s">
        <v>55</v>
      </c>
      <c r="R67" t="s">
        <v>55</v>
      </c>
      <c r="S67" t="s">
        <v>55</v>
      </c>
      <c r="T67" t="s">
        <v>55</v>
      </c>
      <c r="U67" t="s">
        <v>55</v>
      </c>
      <c r="V67" t="s">
        <v>55</v>
      </c>
      <c r="W67" t="s">
        <v>55</v>
      </c>
      <c r="X67" t="s">
        <v>55</v>
      </c>
      <c r="Y67" t="s">
        <v>55</v>
      </c>
      <c r="Z67" t="s">
        <v>55</v>
      </c>
      <c r="AA67" t="s">
        <v>55</v>
      </c>
      <c r="AB67" t="s">
        <v>55</v>
      </c>
      <c r="AC67" t="s">
        <v>55</v>
      </c>
      <c r="AD67" t="s">
        <v>55</v>
      </c>
      <c r="AE67" t="s">
        <v>55</v>
      </c>
      <c r="AF67" t="s">
        <v>55</v>
      </c>
      <c r="AG67" t="s">
        <v>55</v>
      </c>
      <c r="AH67" t="s">
        <v>55</v>
      </c>
      <c r="AI67" t="s">
        <v>55</v>
      </c>
      <c r="AJ67" t="s">
        <v>55</v>
      </c>
      <c r="AK67" t="s">
        <v>55</v>
      </c>
      <c r="AL67" t="s">
        <v>55</v>
      </c>
      <c r="AM67" t="s">
        <v>55</v>
      </c>
    </row>
    <row r="68" spans="1:42" x14ac:dyDescent="0.25">
      <c r="A68" s="3" t="s">
        <v>51</v>
      </c>
      <c r="B68" s="3" t="s">
        <v>56</v>
      </c>
      <c r="C68" t="s">
        <v>55</v>
      </c>
      <c r="D68" t="s">
        <v>55</v>
      </c>
      <c r="E68" t="s">
        <v>55</v>
      </c>
      <c r="F68" t="s">
        <v>55</v>
      </c>
      <c r="G68" t="s">
        <v>55</v>
      </c>
      <c r="H68" t="s">
        <v>55</v>
      </c>
      <c r="I68" t="s">
        <v>55</v>
      </c>
      <c r="J68" t="s">
        <v>55</v>
      </c>
      <c r="K68" t="s">
        <v>55</v>
      </c>
      <c r="L68" t="s">
        <v>55</v>
      </c>
      <c r="M68" t="s">
        <v>55</v>
      </c>
      <c r="N68" t="s">
        <v>55</v>
      </c>
      <c r="O68" t="s">
        <v>55</v>
      </c>
      <c r="P68" t="s">
        <v>55</v>
      </c>
      <c r="Q68" t="s">
        <v>55</v>
      </c>
      <c r="R68" t="s">
        <v>55</v>
      </c>
      <c r="S68" t="s">
        <v>55</v>
      </c>
      <c r="T68" t="s">
        <v>55</v>
      </c>
      <c r="U68" t="s">
        <v>55</v>
      </c>
      <c r="V68" t="s">
        <v>55</v>
      </c>
      <c r="W68" t="s">
        <v>55</v>
      </c>
      <c r="X68" t="s">
        <v>55</v>
      </c>
      <c r="Y68" t="s">
        <v>55</v>
      </c>
      <c r="Z68" t="s">
        <v>55</v>
      </c>
      <c r="AA68" t="s">
        <v>55</v>
      </c>
      <c r="AB68" t="s">
        <v>55</v>
      </c>
      <c r="AC68" t="s">
        <v>55</v>
      </c>
    </row>
    <row r="69" spans="1:42" x14ac:dyDescent="0.25">
      <c r="A69" s="3" t="s">
        <v>51</v>
      </c>
      <c r="B69" s="3" t="s">
        <v>57</v>
      </c>
      <c r="C69" t="s">
        <v>55</v>
      </c>
      <c r="D69" t="s">
        <v>55</v>
      </c>
      <c r="E69" t="s">
        <v>55</v>
      </c>
      <c r="F69" t="s">
        <v>55</v>
      </c>
      <c r="G69" t="s">
        <v>55</v>
      </c>
      <c r="H69" t="s">
        <v>55</v>
      </c>
      <c r="I69" t="s">
        <v>55</v>
      </c>
      <c r="J69" t="s">
        <v>55</v>
      </c>
      <c r="K69" t="s">
        <v>55</v>
      </c>
      <c r="L69" t="s">
        <v>55</v>
      </c>
      <c r="M69" t="s">
        <v>55</v>
      </c>
      <c r="N69" t="s">
        <v>55</v>
      </c>
      <c r="O69" t="s">
        <v>55</v>
      </c>
      <c r="P69" t="s">
        <v>55</v>
      </c>
      <c r="Q69" t="s">
        <v>55</v>
      </c>
      <c r="R69" t="s">
        <v>55</v>
      </c>
      <c r="S69" t="s">
        <v>55</v>
      </c>
    </row>
    <row r="70" spans="1:42" x14ac:dyDescent="0.25">
      <c r="A70" s="3" t="s">
        <v>51</v>
      </c>
      <c r="B70" s="3" t="s">
        <v>58</v>
      </c>
      <c r="C70" t="s">
        <v>55</v>
      </c>
      <c r="D70" t="s">
        <v>55</v>
      </c>
      <c r="E70" t="s">
        <v>55</v>
      </c>
      <c r="F70" t="s">
        <v>55</v>
      </c>
      <c r="G70" t="s">
        <v>55</v>
      </c>
      <c r="H70" t="s">
        <v>55</v>
      </c>
      <c r="I70" t="s">
        <v>55</v>
      </c>
      <c r="J70" t="s">
        <v>55</v>
      </c>
      <c r="K70" t="s">
        <v>55</v>
      </c>
      <c r="L70" t="s">
        <v>55</v>
      </c>
    </row>
    <row r="71" spans="1:42" x14ac:dyDescent="0.25">
      <c r="A71" s="3" t="s">
        <v>51</v>
      </c>
      <c r="B71" s="3" t="s">
        <v>59</v>
      </c>
      <c r="C71" t="s">
        <v>55</v>
      </c>
      <c r="D71" t="s">
        <v>55</v>
      </c>
    </row>
    <row r="72" spans="1:42" x14ac:dyDescent="0.25">
      <c r="A72" s="3" t="s">
        <v>52</v>
      </c>
      <c r="B72" s="3" t="s">
        <v>56</v>
      </c>
      <c r="AD72" t="s">
        <v>55</v>
      </c>
      <c r="AE72" t="s">
        <v>55</v>
      </c>
      <c r="AF72" t="s">
        <v>55</v>
      </c>
      <c r="AG72" t="s">
        <v>55</v>
      </c>
      <c r="AH72" t="s">
        <v>55</v>
      </c>
      <c r="AI72" t="s">
        <v>55</v>
      </c>
      <c r="AJ72" t="s">
        <v>55</v>
      </c>
      <c r="AK72" t="s">
        <v>55</v>
      </c>
      <c r="AL72" t="s">
        <v>55</v>
      </c>
      <c r="AM72" t="s">
        <v>55</v>
      </c>
    </row>
    <row r="73" spans="1:42" x14ac:dyDescent="0.25">
      <c r="A73" s="3" t="s">
        <v>52</v>
      </c>
      <c r="B73" s="3" t="s">
        <v>57</v>
      </c>
      <c r="T73" t="s">
        <v>55</v>
      </c>
      <c r="U73" t="s">
        <v>55</v>
      </c>
      <c r="V73" t="s">
        <v>55</v>
      </c>
      <c r="W73" t="s">
        <v>55</v>
      </c>
      <c r="X73" t="s">
        <v>55</v>
      </c>
      <c r="Y73" t="s">
        <v>55</v>
      </c>
      <c r="Z73" t="s">
        <v>55</v>
      </c>
      <c r="AA73" t="s">
        <v>55</v>
      </c>
      <c r="AB73" t="s">
        <v>55</v>
      </c>
      <c r="AC73" t="s">
        <v>55</v>
      </c>
      <c r="AD73" t="s">
        <v>55</v>
      </c>
      <c r="AE73" t="s">
        <v>55</v>
      </c>
      <c r="AF73" t="s">
        <v>55</v>
      </c>
      <c r="AG73" t="s">
        <v>55</v>
      </c>
      <c r="AH73" t="s">
        <v>55</v>
      </c>
      <c r="AI73" t="s">
        <v>55</v>
      </c>
      <c r="AJ73" t="s">
        <v>55</v>
      </c>
      <c r="AK73" t="s">
        <v>55</v>
      </c>
      <c r="AL73" t="s">
        <v>55</v>
      </c>
      <c r="AM73" t="s">
        <v>55</v>
      </c>
    </row>
    <row r="74" spans="1:42" x14ac:dyDescent="0.25">
      <c r="A74" s="3" t="s">
        <v>52</v>
      </c>
      <c r="B74" s="3" t="s">
        <v>58</v>
      </c>
      <c r="M74" t="s">
        <v>55</v>
      </c>
      <c r="N74" t="s">
        <v>55</v>
      </c>
      <c r="O74" t="s">
        <v>55</v>
      </c>
      <c r="P74" t="s">
        <v>55</v>
      </c>
      <c r="Q74" t="s">
        <v>55</v>
      </c>
      <c r="R74" t="s">
        <v>55</v>
      </c>
      <c r="S74" t="s">
        <v>55</v>
      </c>
      <c r="T74" t="s">
        <v>55</v>
      </c>
      <c r="U74" t="s">
        <v>55</v>
      </c>
      <c r="V74" t="s">
        <v>55</v>
      </c>
      <c r="W74" t="s">
        <v>55</v>
      </c>
      <c r="X74" t="s">
        <v>55</v>
      </c>
      <c r="Y74" t="s">
        <v>55</v>
      </c>
      <c r="Z74" t="s">
        <v>55</v>
      </c>
      <c r="AA74" t="s">
        <v>55</v>
      </c>
      <c r="AB74" t="s">
        <v>55</v>
      </c>
      <c r="AC74" t="s">
        <v>55</v>
      </c>
      <c r="AD74" t="s">
        <v>55</v>
      </c>
      <c r="AE74" t="s">
        <v>55</v>
      </c>
      <c r="AF74" t="s">
        <v>55</v>
      </c>
      <c r="AG74" t="s">
        <v>55</v>
      </c>
      <c r="AH74" t="s">
        <v>55</v>
      </c>
      <c r="AI74" t="s">
        <v>55</v>
      </c>
      <c r="AJ74" t="s">
        <v>55</v>
      </c>
      <c r="AK74" t="s">
        <v>55</v>
      </c>
      <c r="AL74" t="s">
        <v>55</v>
      </c>
      <c r="AM74" t="s">
        <v>55</v>
      </c>
    </row>
    <row r="75" spans="1:42" x14ac:dyDescent="0.25">
      <c r="A75" s="3" t="s">
        <v>52</v>
      </c>
      <c r="B75" s="3" t="s">
        <v>59</v>
      </c>
      <c r="E75" t="s">
        <v>55</v>
      </c>
      <c r="F75" t="s">
        <v>55</v>
      </c>
      <c r="G75" t="s">
        <v>55</v>
      </c>
      <c r="H75" t="s">
        <v>55</v>
      </c>
      <c r="I75" t="s">
        <v>55</v>
      </c>
      <c r="J75" t="s">
        <v>55</v>
      </c>
      <c r="K75" t="s">
        <v>55</v>
      </c>
      <c r="L75" t="s">
        <v>55</v>
      </c>
      <c r="M75" t="s">
        <v>55</v>
      </c>
      <c r="N75" t="s">
        <v>55</v>
      </c>
      <c r="O75" t="s">
        <v>55</v>
      </c>
      <c r="P75" t="s">
        <v>55</v>
      </c>
      <c r="Q75" t="s">
        <v>55</v>
      </c>
      <c r="R75" t="s">
        <v>55</v>
      </c>
      <c r="S75" t="s">
        <v>55</v>
      </c>
      <c r="T75" t="s">
        <v>55</v>
      </c>
      <c r="U75" t="s">
        <v>55</v>
      </c>
      <c r="V75" t="s">
        <v>55</v>
      </c>
      <c r="W75" t="s">
        <v>55</v>
      </c>
      <c r="X75" t="s">
        <v>55</v>
      </c>
      <c r="Y75" t="s">
        <v>55</v>
      </c>
      <c r="Z75" t="s">
        <v>55</v>
      </c>
      <c r="AA75" t="s">
        <v>55</v>
      </c>
      <c r="AB75" t="s">
        <v>55</v>
      </c>
      <c r="AC75" t="s">
        <v>55</v>
      </c>
      <c r="AD75" t="s">
        <v>55</v>
      </c>
      <c r="AE75" t="s">
        <v>55</v>
      </c>
      <c r="AF75" t="s">
        <v>55</v>
      </c>
      <c r="AG75" t="s">
        <v>55</v>
      </c>
      <c r="AH75" t="s">
        <v>55</v>
      </c>
      <c r="AI75" t="s">
        <v>55</v>
      </c>
      <c r="AJ75" t="s">
        <v>55</v>
      </c>
      <c r="AK75" t="s">
        <v>55</v>
      </c>
      <c r="AL75" t="s">
        <v>55</v>
      </c>
      <c r="AM75" t="s">
        <v>55</v>
      </c>
    </row>
    <row r="76" spans="1:42" x14ac:dyDescent="0.25">
      <c r="A76" s="3" t="s">
        <v>52</v>
      </c>
      <c r="B76" s="3" t="s">
        <v>60</v>
      </c>
      <c r="C76" t="s">
        <v>55</v>
      </c>
      <c r="D76" t="s">
        <v>55</v>
      </c>
      <c r="E76" t="s">
        <v>55</v>
      </c>
      <c r="F76" t="s">
        <v>55</v>
      </c>
      <c r="G76" t="s">
        <v>55</v>
      </c>
      <c r="H76" t="s">
        <v>55</v>
      </c>
      <c r="I76" t="s">
        <v>55</v>
      </c>
      <c r="J76" t="s">
        <v>55</v>
      </c>
      <c r="K76" t="s">
        <v>55</v>
      </c>
      <c r="L76" t="s">
        <v>55</v>
      </c>
      <c r="M76" t="s">
        <v>55</v>
      </c>
      <c r="N76" t="s">
        <v>55</v>
      </c>
      <c r="O76" t="s">
        <v>55</v>
      </c>
      <c r="P76" t="s">
        <v>55</v>
      </c>
      <c r="Q76" t="s">
        <v>55</v>
      </c>
      <c r="R76" t="s">
        <v>55</v>
      </c>
      <c r="S76" t="s">
        <v>55</v>
      </c>
      <c r="T76" t="s">
        <v>55</v>
      </c>
      <c r="U76" t="s">
        <v>55</v>
      </c>
      <c r="V76" t="s">
        <v>55</v>
      </c>
      <c r="W76" t="s">
        <v>55</v>
      </c>
      <c r="X76" t="s">
        <v>55</v>
      </c>
      <c r="Y76" t="s">
        <v>55</v>
      </c>
    </row>
    <row r="77" spans="1:42" x14ac:dyDescent="0.25">
      <c r="A77" s="3" t="s">
        <v>52</v>
      </c>
      <c r="B77" s="3" t="s">
        <v>61</v>
      </c>
      <c r="C77" t="s">
        <v>55</v>
      </c>
      <c r="D77" t="s">
        <v>55</v>
      </c>
      <c r="E77" t="s">
        <v>55</v>
      </c>
      <c r="F77" t="s">
        <v>55</v>
      </c>
      <c r="G77" t="s">
        <v>55</v>
      </c>
      <c r="H77" t="s">
        <v>55</v>
      </c>
      <c r="I77" t="s">
        <v>55</v>
      </c>
      <c r="J77" t="s">
        <v>55</v>
      </c>
      <c r="K77" t="s">
        <v>55</v>
      </c>
      <c r="L77" t="s">
        <v>55</v>
      </c>
      <c r="M77" t="s">
        <v>55</v>
      </c>
      <c r="N77" t="s">
        <v>55</v>
      </c>
    </row>
    <row r="78" spans="1:42" x14ac:dyDescent="0.25">
      <c r="A78" s="3" t="s">
        <v>52</v>
      </c>
      <c r="B78" s="3" t="s">
        <v>62</v>
      </c>
      <c r="C78" t="s">
        <v>55</v>
      </c>
      <c r="D78" t="s">
        <v>55</v>
      </c>
    </row>
    <row r="79" spans="1:42" x14ac:dyDescent="0.25">
      <c r="A79" s="3" t="s">
        <v>53</v>
      </c>
      <c r="B79" s="3" t="s">
        <v>60</v>
      </c>
      <c r="Z79" t="s">
        <v>55</v>
      </c>
      <c r="AA79" t="s">
        <v>55</v>
      </c>
      <c r="AB79" t="s">
        <v>55</v>
      </c>
      <c r="AC79" t="s">
        <v>55</v>
      </c>
      <c r="AD79" t="s">
        <v>55</v>
      </c>
      <c r="AE79" t="s">
        <v>55</v>
      </c>
      <c r="AF79" t="s">
        <v>55</v>
      </c>
      <c r="AG79" t="s">
        <v>55</v>
      </c>
      <c r="AH79" t="s">
        <v>55</v>
      </c>
      <c r="AI79" t="s">
        <v>55</v>
      </c>
      <c r="AJ79" t="s">
        <v>55</v>
      </c>
      <c r="AK79" t="s">
        <v>55</v>
      </c>
      <c r="AL79" t="s">
        <v>55</v>
      </c>
      <c r="AM79" t="s">
        <v>55</v>
      </c>
    </row>
    <row r="80" spans="1:42" x14ac:dyDescent="0.25">
      <c r="A80" s="3" t="s">
        <v>53</v>
      </c>
      <c r="B80" s="3" t="s">
        <v>61</v>
      </c>
      <c r="O80" t="s">
        <v>55</v>
      </c>
      <c r="P80" t="s">
        <v>55</v>
      </c>
      <c r="Q80" t="s">
        <v>55</v>
      </c>
      <c r="R80" t="s">
        <v>55</v>
      </c>
      <c r="S80" t="s">
        <v>55</v>
      </c>
      <c r="T80" t="s">
        <v>55</v>
      </c>
      <c r="U80" t="s">
        <v>55</v>
      </c>
      <c r="V80" t="s">
        <v>55</v>
      </c>
      <c r="W80" t="s">
        <v>55</v>
      </c>
      <c r="X80" t="s">
        <v>55</v>
      </c>
      <c r="Y80" t="s">
        <v>55</v>
      </c>
      <c r="Z80" t="s">
        <v>55</v>
      </c>
      <c r="AA80" t="s">
        <v>55</v>
      </c>
      <c r="AB80" t="s">
        <v>55</v>
      </c>
      <c r="AC80" t="s">
        <v>55</v>
      </c>
      <c r="AD80" t="s">
        <v>55</v>
      </c>
      <c r="AE80" t="s">
        <v>55</v>
      </c>
      <c r="AF80" t="s">
        <v>55</v>
      </c>
      <c r="AG80" t="s">
        <v>55</v>
      </c>
      <c r="AH80" t="s">
        <v>55</v>
      </c>
      <c r="AI80" t="s">
        <v>55</v>
      </c>
      <c r="AJ80" t="s">
        <v>55</v>
      </c>
      <c r="AK80" t="s">
        <v>55</v>
      </c>
      <c r="AL80" t="s">
        <v>55</v>
      </c>
      <c r="AM80" t="s">
        <v>55</v>
      </c>
    </row>
    <row r="81" spans="1:40" x14ac:dyDescent="0.25">
      <c r="A81" s="3" t="s">
        <v>53</v>
      </c>
      <c r="B81" s="3" t="s">
        <v>62</v>
      </c>
      <c r="E81" t="s">
        <v>55</v>
      </c>
      <c r="F81" t="s">
        <v>55</v>
      </c>
      <c r="G81" t="s">
        <v>55</v>
      </c>
      <c r="H81" t="s">
        <v>55</v>
      </c>
      <c r="I81" t="s">
        <v>55</v>
      </c>
      <c r="J81" t="s">
        <v>55</v>
      </c>
      <c r="K81" t="s">
        <v>55</v>
      </c>
      <c r="L81" t="s">
        <v>55</v>
      </c>
      <c r="M81" t="s">
        <v>55</v>
      </c>
      <c r="N81" t="s">
        <v>55</v>
      </c>
      <c r="O81" t="s">
        <v>55</v>
      </c>
      <c r="P81" t="s">
        <v>55</v>
      </c>
      <c r="Q81" t="s">
        <v>55</v>
      </c>
      <c r="R81" t="s">
        <v>55</v>
      </c>
      <c r="S81" t="s">
        <v>55</v>
      </c>
      <c r="T81" t="s">
        <v>55</v>
      </c>
      <c r="U81" t="s">
        <v>55</v>
      </c>
      <c r="V81" t="s">
        <v>55</v>
      </c>
      <c r="W81" t="s">
        <v>55</v>
      </c>
      <c r="X81" t="s">
        <v>55</v>
      </c>
      <c r="Y81" t="s">
        <v>55</v>
      </c>
      <c r="Z81" t="s">
        <v>55</v>
      </c>
      <c r="AA81" t="s">
        <v>55</v>
      </c>
      <c r="AB81" t="s">
        <v>55</v>
      </c>
      <c r="AC81" t="s">
        <v>55</v>
      </c>
      <c r="AD81" t="s">
        <v>55</v>
      </c>
      <c r="AE81" t="s">
        <v>55</v>
      </c>
      <c r="AF81" t="s">
        <v>55</v>
      </c>
      <c r="AG81" t="s">
        <v>55</v>
      </c>
      <c r="AH81" t="s">
        <v>55</v>
      </c>
      <c r="AI81" t="s">
        <v>55</v>
      </c>
      <c r="AJ81" t="s">
        <v>55</v>
      </c>
      <c r="AK81" t="s">
        <v>55</v>
      </c>
      <c r="AL81" t="s">
        <v>55</v>
      </c>
      <c r="AM81" t="s">
        <v>55</v>
      </c>
    </row>
    <row r="82" spans="1:40" x14ac:dyDescent="0.25">
      <c r="A82" t="s">
        <v>53</v>
      </c>
      <c r="B82" t="s">
        <v>63</v>
      </c>
      <c r="C82" t="s">
        <v>55</v>
      </c>
      <c r="D82" t="s">
        <v>55</v>
      </c>
      <c r="E82" t="s">
        <v>55</v>
      </c>
      <c r="F82" t="s">
        <v>55</v>
      </c>
      <c r="G82" t="s">
        <v>55</v>
      </c>
      <c r="H82" t="s">
        <v>55</v>
      </c>
      <c r="I82" t="s">
        <v>55</v>
      </c>
      <c r="J82" t="s">
        <v>55</v>
      </c>
      <c r="K82" t="s">
        <v>55</v>
      </c>
      <c r="L82" t="s">
        <v>55</v>
      </c>
      <c r="M82" t="s">
        <v>55</v>
      </c>
      <c r="N82" t="s">
        <v>55</v>
      </c>
      <c r="O82" t="s">
        <v>55</v>
      </c>
      <c r="P82" t="s">
        <v>55</v>
      </c>
      <c r="Q82" t="s">
        <v>55</v>
      </c>
      <c r="R82" t="s">
        <v>55</v>
      </c>
      <c r="S82" t="s">
        <v>55</v>
      </c>
      <c r="T82" t="s">
        <v>55</v>
      </c>
      <c r="U82" t="s">
        <v>55</v>
      </c>
      <c r="V82" t="s">
        <v>55</v>
      </c>
      <c r="W82" t="s">
        <v>55</v>
      </c>
      <c r="X82" t="s">
        <v>55</v>
      </c>
      <c r="Y82" t="s">
        <v>55</v>
      </c>
      <c r="Z82" t="s">
        <v>55</v>
      </c>
      <c r="AA82" t="s">
        <v>55</v>
      </c>
      <c r="AB82" t="s">
        <v>55</v>
      </c>
      <c r="AC82" t="s">
        <v>55</v>
      </c>
      <c r="AD82" t="s">
        <v>55</v>
      </c>
      <c r="AE82" t="s">
        <v>55</v>
      </c>
      <c r="AF82" t="s">
        <v>55</v>
      </c>
      <c r="AG82" t="s">
        <v>55</v>
      </c>
      <c r="AH82" t="s">
        <v>55</v>
      </c>
      <c r="AI82" t="s">
        <v>55</v>
      </c>
      <c r="AJ82" t="s">
        <v>55</v>
      </c>
      <c r="AK82" t="s">
        <v>55</v>
      </c>
      <c r="AL82" t="s">
        <v>55</v>
      </c>
      <c r="AM82" t="s">
        <v>55</v>
      </c>
    </row>
    <row r="83" spans="1:40" x14ac:dyDescent="0.25">
      <c r="A83" t="s">
        <v>53</v>
      </c>
      <c r="B83" t="s">
        <v>64</v>
      </c>
      <c r="C83" t="s">
        <v>55</v>
      </c>
      <c r="D83" t="s">
        <v>55</v>
      </c>
      <c r="E83" t="s">
        <v>55</v>
      </c>
      <c r="F83" t="s">
        <v>55</v>
      </c>
      <c r="G83" t="s">
        <v>55</v>
      </c>
      <c r="H83" t="s">
        <v>55</v>
      </c>
      <c r="I83" t="s">
        <v>55</v>
      </c>
      <c r="J83" t="s">
        <v>55</v>
      </c>
      <c r="K83" t="s">
        <v>55</v>
      </c>
      <c r="L83" t="s">
        <v>55</v>
      </c>
      <c r="M83" t="s">
        <v>55</v>
      </c>
      <c r="N83" t="s">
        <v>55</v>
      </c>
      <c r="O83" t="s">
        <v>55</v>
      </c>
      <c r="P83" t="s">
        <v>55</v>
      </c>
      <c r="Q83" t="s">
        <v>55</v>
      </c>
      <c r="R83" t="s">
        <v>55</v>
      </c>
      <c r="S83" t="s">
        <v>55</v>
      </c>
      <c r="T83" t="s">
        <v>55</v>
      </c>
      <c r="U83" t="s">
        <v>55</v>
      </c>
      <c r="V83" t="s">
        <v>55</v>
      </c>
      <c r="W83" t="s">
        <v>55</v>
      </c>
      <c r="X83" t="s">
        <v>55</v>
      </c>
      <c r="Y83" t="s">
        <v>55</v>
      </c>
      <c r="Z83" t="s">
        <v>55</v>
      </c>
      <c r="AA83" t="s">
        <v>55</v>
      </c>
      <c r="AB83" t="s">
        <v>55</v>
      </c>
      <c r="AC83" t="s">
        <v>55</v>
      </c>
      <c r="AD83" t="s">
        <v>55</v>
      </c>
      <c r="AE83" t="s">
        <v>55</v>
      </c>
      <c r="AF83" t="s">
        <v>55</v>
      </c>
      <c r="AG83" t="s">
        <v>55</v>
      </c>
      <c r="AH83" t="s">
        <v>55</v>
      </c>
      <c r="AI83" t="s">
        <v>55</v>
      </c>
      <c r="AJ83" t="s">
        <v>55</v>
      </c>
      <c r="AK83" t="s">
        <v>55</v>
      </c>
      <c r="AL83" t="s">
        <v>55</v>
      </c>
      <c r="AM83" t="s">
        <v>55</v>
      </c>
    </row>
    <row r="84" spans="1:40" ht="18" thickBot="1" x14ac:dyDescent="0.35">
      <c r="A84" s="4" t="s">
        <v>179</v>
      </c>
      <c r="B84" s="4"/>
      <c r="C84" s="4"/>
      <c r="D84" s="4"/>
      <c r="E84" s="4"/>
      <c r="F84" s="4"/>
      <c r="G84" s="4"/>
      <c r="H84" s="4"/>
    </row>
    <row r="85" spans="1:40" ht="15.75" thickTop="1" x14ac:dyDescent="0.25">
      <c r="B85">
        <v>2019</v>
      </c>
      <c r="C85">
        <v>2020</v>
      </c>
      <c r="D85">
        <v>2021</v>
      </c>
      <c r="E85">
        <v>2022</v>
      </c>
      <c r="F85">
        <v>2023</v>
      </c>
      <c r="G85">
        <v>2024</v>
      </c>
      <c r="H85">
        <v>2025</v>
      </c>
      <c r="I85">
        <v>2026</v>
      </c>
      <c r="J85">
        <v>2027</v>
      </c>
      <c r="K85">
        <v>2028</v>
      </c>
      <c r="L85">
        <v>2029</v>
      </c>
      <c r="M85">
        <v>2030</v>
      </c>
      <c r="N85">
        <v>2031</v>
      </c>
      <c r="O85">
        <v>2032</v>
      </c>
      <c r="P85">
        <v>2033</v>
      </c>
      <c r="Q85">
        <v>2034</v>
      </c>
      <c r="R85">
        <v>2035</v>
      </c>
      <c r="S85">
        <v>2036</v>
      </c>
      <c r="T85">
        <v>2037</v>
      </c>
      <c r="U85">
        <v>2038</v>
      </c>
      <c r="V85">
        <v>2039</v>
      </c>
      <c r="W85">
        <v>2040</v>
      </c>
      <c r="X85">
        <v>2041</v>
      </c>
      <c r="Y85">
        <v>2042</v>
      </c>
      <c r="Z85">
        <v>2043</v>
      </c>
      <c r="AA85">
        <v>2044</v>
      </c>
      <c r="AB85">
        <v>2045</v>
      </c>
      <c r="AC85">
        <v>2046</v>
      </c>
      <c r="AD85">
        <v>2047</v>
      </c>
      <c r="AE85">
        <v>2048</v>
      </c>
      <c r="AF85">
        <v>2049</v>
      </c>
      <c r="AG85">
        <v>2050</v>
      </c>
      <c r="AH85">
        <v>2051</v>
      </c>
      <c r="AI85">
        <v>2052</v>
      </c>
      <c r="AJ85">
        <v>2053</v>
      </c>
      <c r="AK85">
        <v>2054</v>
      </c>
      <c r="AL85">
        <v>2055</v>
      </c>
    </row>
    <row r="86" spans="1:40" x14ac:dyDescent="0.25">
      <c r="A86" t="s">
        <v>29</v>
      </c>
      <c r="B86">
        <v>118.318</v>
      </c>
      <c r="C86">
        <v>107.464</v>
      </c>
      <c r="D86">
        <v>109.577</v>
      </c>
      <c r="E86">
        <v>110.503</v>
      </c>
      <c r="F86">
        <v>112.52</v>
      </c>
      <c r="G86">
        <v>115.176</v>
      </c>
      <c r="H86">
        <v>118.041</v>
      </c>
      <c r="I86">
        <v>121.706</v>
      </c>
      <c r="J86">
        <v>124.937</v>
      </c>
      <c r="K86">
        <v>131.876</v>
      </c>
      <c r="L86">
        <v>137.161</v>
      </c>
      <c r="M86">
        <v>140.69499999999999</v>
      </c>
      <c r="N86">
        <v>143.66999999999999</v>
      </c>
      <c r="O86">
        <v>146.92400000000001</v>
      </c>
      <c r="P86">
        <v>151</v>
      </c>
      <c r="Q86">
        <v>155.93299999999999</v>
      </c>
      <c r="R86">
        <v>166.673</v>
      </c>
      <c r="S86">
        <v>175.935</v>
      </c>
      <c r="T86">
        <v>179.65</v>
      </c>
      <c r="U86">
        <v>183.81800000000001</v>
      </c>
      <c r="V86">
        <v>186.33199999999999</v>
      </c>
      <c r="W86">
        <v>193.435</v>
      </c>
      <c r="X86">
        <v>191.88</v>
      </c>
      <c r="Y86">
        <v>194.42500000000001</v>
      </c>
      <c r="Z86">
        <v>199.82900000000001</v>
      </c>
      <c r="AA86">
        <v>206.40799999999999</v>
      </c>
      <c r="AB86">
        <v>213.45</v>
      </c>
      <c r="AC86">
        <v>220.245</v>
      </c>
      <c r="AD86">
        <v>220.95099999999999</v>
      </c>
      <c r="AE86">
        <v>223.39599999999999</v>
      </c>
      <c r="AF86">
        <v>226.07</v>
      </c>
      <c r="AG86">
        <v>228.876</v>
      </c>
      <c r="AH86">
        <f>AG86/AF86*AG86</f>
        <v>231.71682830981558</v>
      </c>
      <c r="AI86">
        <f t="shared" ref="AI86:AL86" si="34">AH86/AG86*AH86</f>
        <v>234.59291722137993</v>
      </c>
      <c r="AJ86">
        <f t="shared" si="34"/>
        <v>237.50470439227036</v>
      </c>
      <c r="AK86">
        <f t="shared" si="34"/>
        <v>240.45263291230714</v>
      </c>
      <c r="AL86">
        <f t="shared" si="34"/>
        <v>243.43715137097897</v>
      </c>
    </row>
    <row r="87" spans="1:40" x14ac:dyDescent="0.25">
      <c r="A87" t="s">
        <v>178</v>
      </c>
      <c r="B87" s="25">
        <v>9.1050000000000004</v>
      </c>
      <c r="C87" s="25">
        <v>8.6709999999999994</v>
      </c>
      <c r="D87" s="25">
        <v>8.7420000000000009</v>
      </c>
      <c r="E87" s="3">
        <v>8.8580000000000005</v>
      </c>
      <c r="F87" s="25">
        <v>8.9559999999999995</v>
      </c>
      <c r="G87" s="26">
        <v>9.0570000000000004</v>
      </c>
      <c r="H87" s="26">
        <v>9.157</v>
      </c>
      <c r="I87">
        <v>9.2420000000000009</v>
      </c>
      <c r="J87">
        <v>9.3409999999999993</v>
      </c>
      <c r="K87">
        <v>9.3659999999999997</v>
      </c>
      <c r="L87">
        <v>9.4169999999999998</v>
      </c>
      <c r="M87">
        <v>9.51</v>
      </c>
      <c r="N87">
        <v>8.3460000000000001</v>
      </c>
      <c r="O87">
        <v>7.7060000000000004</v>
      </c>
      <c r="P87">
        <v>7.6909999999999998</v>
      </c>
      <c r="Q87">
        <v>7.83</v>
      </c>
      <c r="R87">
        <v>8.0020000000000007</v>
      </c>
      <c r="S87">
        <v>8.1920000000000002</v>
      </c>
      <c r="T87">
        <v>8.4</v>
      </c>
      <c r="U87">
        <v>8.6069999999999993</v>
      </c>
      <c r="V87">
        <v>8.8249999999999993</v>
      </c>
      <c r="W87">
        <v>9.0540000000000003</v>
      </c>
      <c r="X87">
        <v>9.3659999999999997</v>
      </c>
      <c r="Y87">
        <v>9.6769999999999996</v>
      </c>
      <c r="Z87">
        <v>10.000999999999999</v>
      </c>
      <c r="AA87">
        <v>10.340999999999999</v>
      </c>
      <c r="AB87">
        <v>10.702999999999999</v>
      </c>
      <c r="AC87">
        <v>11.881</v>
      </c>
      <c r="AD87">
        <v>13.01</v>
      </c>
      <c r="AE87">
        <v>14.12</v>
      </c>
      <c r="AF87">
        <v>15.288</v>
      </c>
      <c r="AG87">
        <v>16.475000000000001</v>
      </c>
      <c r="AH87">
        <f>AG87/AF87*AG87</f>
        <v>17.754161760858192</v>
      </c>
      <c r="AI87">
        <f t="shared" ref="AI87" si="35">AH87/AG87*AH87</f>
        <v>19.132640960893429</v>
      </c>
      <c r="AJ87">
        <f t="shared" ref="AJ87" si="36">AI87/AH87*AI87</f>
        <v>20.618148863861805</v>
      </c>
      <c r="AK87">
        <f t="shared" ref="AK87" si="37">AJ87/AI87*AJ87</f>
        <v>22.218995456052017</v>
      </c>
      <c r="AL87">
        <f t="shared" ref="AL87" si="38">AK87/AJ87*AK87</f>
        <v>23.944135932656788</v>
      </c>
    </row>
    <row r="93" spans="1:40" ht="18" thickBot="1" x14ac:dyDescent="0.35">
      <c r="A93" s="4" t="s">
        <v>235</v>
      </c>
      <c r="B93" s="4"/>
      <c r="C93" s="4"/>
      <c r="D93" s="4"/>
      <c r="E93" s="4"/>
      <c r="F93" s="4"/>
      <c r="G93" s="4"/>
      <c r="H93" s="4"/>
    </row>
    <row r="94" spans="1:40" ht="15.75" thickTop="1" x14ac:dyDescent="0.25">
      <c r="B94">
        <v>2019</v>
      </c>
      <c r="C94">
        <v>2020</v>
      </c>
      <c r="D94">
        <v>2021</v>
      </c>
      <c r="E94">
        <v>2022</v>
      </c>
      <c r="F94">
        <v>2023</v>
      </c>
      <c r="G94">
        <v>2024</v>
      </c>
      <c r="H94">
        <v>2025</v>
      </c>
      <c r="I94">
        <v>2026</v>
      </c>
      <c r="J94">
        <v>2027</v>
      </c>
      <c r="K94">
        <v>2028</v>
      </c>
      <c r="L94">
        <v>2029</v>
      </c>
      <c r="M94">
        <v>2030</v>
      </c>
      <c r="N94">
        <v>2031</v>
      </c>
      <c r="O94">
        <v>2032</v>
      </c>
      <c r="P94">
        <v>2033</v>
      </c>
      <c r="Q94">
        <v>2034</v>
      </c>
      <c r="R94">
        <v>2035</v>
      </c>
      <c r="S94">
        <v>2036</v>
      </c>
      <c r="T94">
        <v>2037</v>
      </c>
      <c r="U94">
        <v>2038</v>
      </c>
      <c r="V94">
        <v>2039</v>
      </c>
      <c r="W94">
        <v>2040</v>
      </c>
      <c r="X94">
        <v>2041</v>
      </c>
      <c r="Y94">
        <v>2042</v>
      </c>
      <c r="Z94">
        <v>2043</v>
      </c>
      <c r="AA94">
        <v>2044</v>
      </c>
      <c r="AB94">
        <v>2045</v>
      </c>
      <c r="AC94">
        <v>2046</v>
      </c>
      <c r="AD94">
        <v>2047</v>
      </c>
      <c r="AE94">
        <v>2048</v>
      </c>
      <c r="AF94">
        <v>2049</v>
      </c>
      <c r="AG94">
        <v>2050</v>
      </c>
      <c r="AH94">
        <v>2051</v>
      </c>
      <c r="AI94">
        <v>2052</v>
      </c>
      <c r="AJ94">
        <v>2053</v>
      </c>
      <c r="AK94">
        <v>2054</v>
      </c>
      <c r="AL94">
        <v>2055</v>
      </c>
    </row>
    <row r="95" spans="1:40" x14ac:dyDescent="0.25">
      <c r="A95" t="s">
        <v>21</v>
      </c>
      <c r="B95">
        <v>5892.55</v>
      </c>
      <c r="C95">
        <f t="shared" ref="C95:AL95" si="39">B95*C10/B10</f>
        <v>5515.2383372656968</v>
      </c>
      <c r="D95">
        <f t="shared" si="39"/>
        <v>5796.4808062604216</v>
      </c>
      <c r="E95">
        <f t="shared" si="39"/>
        <v>5907.2171331901955</v>
      </c>
      <c r="F95">
        <f t="shared" si="39"/>
        <v>5919.0315674565754</v>
      </c>
      <c r="G95">
        <f t="shared" si="39"/>
        <v>5978.2218831311411</v>
      </c>
      <c r="H95">
        <f t="shared" si="39"/>
        <v>6043.9823238455829</v>
      </c>
      <c r="I95">
        <f t="shared" si="39"/>
        <v>6128.5980763794205</v>
      </c>
      <c r="J95">
        <f t="shared" si="39"/>
        <v>6226.6556456014914</v>
      </c>
      <c r="K95">
        <f t="shared" si="39"/>
        <v>6338.7354472223187</v>
      </c>
      <c r="L95">
        <f t="shared" si="39"/>
        <v>6478.3887056806143</v>
      </c>
      <c r="M95">
        <f t="shared" si="39"/>
        <v>6648.2413975415229</v>
      </c>
      <c r="N95">
        <f t="shared" si="39"/>
        <v>6843.556201106725</v>
      </c>
      <c r="O95">
        <f t="shared" si="39"/>
        <v>7049.3935312345357</v>
      </c>
      <c r="P95">
        <f t="shared" si="39"/>
        <v>7267.7675662733127</v>
      </c>
      <c r="Q95">
        <f t="shared" si="39"/>
        <v>7517.531127934998</v>
      </c>
      <c r="R95">
        <f t="shared" si="39"/>
        <v>7782.1835103019575</v>
      </c>
      <c r="S95">
        <f t="shared" si="39"/>
        <v>8062.6803453894772</v>
      </c>
      <c r="T95">
        <f t="shared" si="39"/>
        <v>8361.0561042615755</v>
      </c>
      <c r="U95">
        <f t="shared" si="39"/>
        <v>8673.3912411237143</v>
      </c>
      <c r="V95">
        <f t="shared" si="39"/>
        <v>8990.5381929558444</v>
      </c>
      <c r="W95">
        <f t="shared" si="39"/>
        <v>9308.8806022415702</v>
      </c>
      <c r="X95">
        <f t="shared" si="39"/>
        <v>9641.8208628517477</v>
      </c>
      <c r="Y95">
        <f t="shared" si="39"/>
        <v>9969.9265478217458</v>
      </c>
      <c r="Z95">
        <f t="shared" si="39"/>
        <v>10310.453529693723</v>
      </c>
      <c r="AA95">
        <f t="shared" si="39"/>
        <v>10667.797781884174</v>
      </c>
      <c r="AB95">
        <f t="shared" si="39"/>
        <v>11043.196490447101</v>
      </c>
      <c r="AC95">
        <f t="shared" si="39"/>
        <v>11437.848777519352</v>
      </c>
      <c r="AD95">
        <f t="shared" si="39"/>
        <v>11825.727391506509</v>
      </c>
      <c r="AE95">
        <f t="shared" si="39"/>
        <v>12233.039189847328</v>
      </c>
      <c r="AF95">
        <f t="shared" si="39"/>
        <v>12670.045107524131</v>
      </c>
      <c r="AG95">
        <f t="shared" si="39"/>
        <v>13133.223045935978</v>
      </c>
      <c r="AH95">
        <f t="shared" si="39"/>
        <v>13589.671706724137</v>
      </c>
      <c r="AI95">
        <f t="shared" si="39"/>
        <v>14037.500354937632</v>
      </c>
      <c r="AJ95">
        <f t="shared" si="39"/>
        <v>14474.795727232606</v>
      </c>
      <c r="AK95">
        <f t="shared" si="39"/>
        <v>14899.634996525705</v>
      </c>
      <c r="AL95">
        <f t="shared" si="39"/>
        <v>15310.099296748589</v>
      </c>
      <c r="AM95" s="28"/>
      <c r="AN95" s="28"/>
    </row>
    <row r="96" spans="1:40" x14ac:dyDescent="0.25">
      <c r="A96" t="s">
        <v>70</v>
      </c>
      <c r="B96">
        <v>245.04</v>
      </c>
      <c r="C96">
        <f t="shared" ref="C96:AL96" si="40">B96*C11/B11</f>
        <v>242.1666750654133</v>
      </c>
      <c r="D96">
        <f t="shared" si="40"/>
        <v>253.55592409181051</v>
      </c>
      <c r="E96">
        <f t="shared" si="40"/>
        <v>258.39987210849097</v>
      </c>
      <c r="F96">
        <f t="shared" si="40"/>
        <v>258.91667185270791</v>
      </c>
      <c r="G96">
        <f t="shared" si="40"/>
        <v>261.50583857123496</v>
      </c>
      <c r="H96">
        <f t="shared" si="40"/>
        <v>264.38240279551854</v>
      </c>
      <c r="I96">
        <f t="shared" si="40"/>
        <v>268.08375643465575</v>
      </c>
      <c r="J96">
        <f t="shared" si="40"/>
        <v>272.37309653761025</v>
      </c>
      <c r="K96">
        <f t="shared" si="40"/>
        <v>277.27581227528725</v>
      </c>
      <c r="L96">
        <f t="shared" si="40"/>
        <v>283.38467594349464</v>
      </c>
      <c r="M96">
        <f t="shared" si="40"/>
        <v>290.81455584541027</v>
      </c>
      <c r="N96">
        <f t="shared" si="40"/>
        <v>299.35822693861883</v>
      </c>
      <c r="O96">
        <f t="shared" si="40"/>
        <v>308.362185753902</v>
      </c>
      <c r="P96">
        <f t="shared" si="40"/>
        <v>317.9145386560478</v>
      </c>
      <c r="Q96">
        <f t="shared" si="40"/>
        <v>328.83996613494031</v>
      </c>
      <c r="R96">
        <f t="shared" si="40"/>
        <v>340.4166764902439</v>
      </c>
      <c r="S96">
        <f t="shared" si="40"/>
        <v>352.68647200973049</v>
      </c>
      <c r="T96">
        <f t="shared" si="40"/>
        <v>365.7383467240744</v>
      </c>
      <c r="U96">
        <f t="shared" si="40"/>
        <v>379.40084762770698</v>
      </c>
      <c r="V96">
        <f t="shared" si="40"/>
        <v>393.27383213890306</v>
      </c>
      <c r="W96">
        <f t="shared" si="40"/>
        <v>407.19910964122437</v>
      </c>
      <c r="X96">
        <f t="shared" si="40"/>
        <v>421.76294212303048</v>
      </c>
      <c r="Y96">
        <f t="shared" si="40"/>
        <v>436.11529537545425</v>
      </c>
      <c r="Z96">
        <f t="shared" si="40"/>
        <v>451.01099441296174</v>
      </c>
      <c r="AA96">
        <f t="shared" si="40"/>
        <v>466.64233265274129</v>
      </c>
      <c r="AB96">
        <f t="shared" si="40"/>
        <v>483.06342842342718</v>
      </c>
      <c r="AC96">
        <f t="shared" si="40"/>
        <v>500.32673502067752</v>
      </c>
      <c r="AD96">
        <f t="shared" si="40"/>
        <v>517.29374029372946</v>
      </c>
      <c r="AE96">
        <f t="shared" si="40"/>
        <v>535.11081290617756</v>
      </c>
      <c r="AF96">
        <f t="shared" si="40"/>
        <v>554.22679775865174</v>
      </c>
      <c r="AG96">
        <f t="shared" si="40"/>
        <v>574.48762741000041</v>
      </c>
      <c r="AH96">
        <f t="shared" si="40"/>
        <v>594.45409773137408</v>
      </c>
      <c r="AI96">
        <f t="shared" si="40"/>
        <v>614.04350215240174</v>
      </c>
      <c r="AJ96">
        <f t="shared" si="40"/>
        <v>633.17214864141818</v>
      </c>
      <c r="AK96">
        <f t="shared" si="40"/>
        <v>651.75592681933597</v>
      </c>
      <c r="AL96">
        <f t="shared" si="40"/>
        <v>669.71089957406434</v>
      </c>
      <c r="AM96" s="28"/>
      <c r="AN96" s="28"/>
    </row>
    <row r="97" spans="1:40" x14ac:dyDescent="0.25">
      <c r="A97" t="s">
        <v>23</v>
      </c>
      <c r="B97">
        <v>408.63</v>
      </c>
      <c r="C97">
        <f t="shared" ref="C97:AL97" si="41">B97*C12/B12</f>
        <v>392.26829386518551</v>
      </c>
      <c r="D97">
        <f t="shared" si="41"/>
        <v>410.71691518264703</v>
      </c>
      <c r="E97">
        <f t="shared" si="41"/>
        <v>418.56327646898683</v>
      </c>
      <c r="F97">
        <f t="shared" si="41"/>
        <v>419.40040302192483</v>
      </c>
      <c r="G97">
        <f t="shared" si="41"/>
        <v>423.59440705214411</v>
      </c>
      <c r="H97">
        <f t="shared" si="41"/>
        <v>428.25394552971767</v>
      </c>
      <c r="I97">
        <f t="shared" si="41"/>
        <v>434.24950076713372</v>
      </c>
      <c r="J97">
        <f t="shared" si="41"/>
        <v>441.19749277940787</v>
      </c>
      <c r="K97">
        <f t="shared" si="41"/>
        <v>449.1390476494372</v>
      </c>
      <c r="L97">
        <f t="shared" si="41"/>
        <v>459.03435437541611</v>
      </c>
      <c r="M97">
        <f t="shared" si="41"/>
        <v>471.06947981932956</v>
      </c>
      <c r="N97">
        <f t="shared" si="41"/>
        <v>484.90875511256695</v>
      </c>
      <c r="O97">
        <f t="shared" si="41"/>
        <v>499.49361721859157</v>
      </c>
      <c r="P97">
        <f t="shared" si="41"/>
        <v>514.96678326966253</v>
      </c>
      <c r="Q97">
        <f t="shared" si="41"/>
        <v>532.66409358593694</v>
      </c>
      <c r="R97">
        <f t="shared" si="41"/>
        <v>551.41636996095724</v>
      </c>
      <c r="S97">
        <f t="shared" si="41"/>
        <v>571.2913248993425</v>
      </c>
      <c r="T97">
        <f t="shared" si="41"/>
        <v>592.4331133991634</v>
      </c>
      <c r="U97">
        <f t="shared" si="41"/>
        <v>614.5640111288028</v>
      </c>
      <c r="V97">
        <f t="shared" si="41"/>
        <v>637.03585604121724</v>
      </c>
      <c r="W97">
        <f t="shared" si="41"/>
        <v>659.59240659037664</v>
      </c>
      <c r="X97">
        <f t="shared" si="41"/>
        <v>683.18330619798485</v>
      </c>
      <c r="Y97">
        <f t="shared" si="41"/>
        <v>706.43164588699437</v>
      </c>
      <c r="Z97">
        <f t="shared" si="41"/>
        <v>730.56011214187458</v>
      </c>
      <c r="AA97">
        <f t="shared" si="41"/>
        <v>755.88018717074351</v>
      </c>
      <c r="AB97">
        <f t="shared" si="41"/>
        <v>782.47953334264685</v>
      </c>
      <c r="AC97">
        <f t="shared" si="41"/>
        <v>810.44311596005628</v>
      </c>
      <c r="AD97">
        <f t="shared" si="41"/>
        <v>837.92674147815819</v>
      </c>
      <c r="AE97">
        <f t="shared" si="41"/>
        <v>866.78732963905736</v>
      </c>
      <c r="AF97">
        <f t="shared" si="41"/>
        <v>897.75193185613489</v>
      </c>
      <c r="AG97">
        <f t="shared" si="41"/>
        <v>930.57098541699736</v>
      </c>
      <c r="AH97">
        <f t="shared" si="41"/>
        <v>962.9132275746332</v>
      </c>
      <c r="AI97">
        <f t="shared" si="41"/>
        <v>994.64468793347885</v>
      </c>
      <c r="AJ97">
        <f t="shared" si="41"/>
        <v>1025.6297998204464</v>
      </c>
      <c r="AK97">
        <f t="shared" si="41"/>
        <v>1055.7323189116953</v>
      </c>
      <c r="AL97">
        <f t="shared" si="41"/>
        <v>1084.8162815460698</v>
      </c>
      <c r="AM97" s="28"/>
      <c r="AN97" s="28"/>
    </row>
    <row r="98" spans="1:40" x14ac:dyDescent="0.25">
      <c r="A98" t="s">
        <v>24</v>
      </c>
      <c r="B98">
        <v>533.85</v>
      </c>
      <c r="C98">
        <f t="shared" ref="C98:AL98" si="42">B98*C13/B13</f>
        <v>525.76865820664773</v>
      </c>
      <c r="D98">
        <f t="shared" si="42"/>
        <v>515.46962037754633</v>
      </c>
      <c r="E98">
        <f t="shared" si="42"/>
        <v>526.34993420178466</v>
      </c>
      <c r="F98">
        <f t="shared" si="42"/>
        <v>527.26991796551249</v>
      </c>
      <c r="G98">
        <f t="shared" si="42"/>
        <v>532.65196752490158</v>
      </c>
      <c r="H98">
        <f t="shared" si="42"/>
        <v>538.39398240862931</v>
      </c>
      <c r="I98">
        <f t="shared" si="42"/>
        <v>546.88076323233474</v>
      </c>
      <c r="J98">
        <f t="shared" si="42"/>
        <v>556.47525708711123</v>
      </c>
      <c r="K98">
        <f t="shared" si="42"/>
        <v>566.98171362257096</v>
      </c>
      <c r="L98">
        <f t="shared" si="42"/>
        <v>580.22045481782857</v>
      </c>
      <c r="M98">
        <f t="shared" si="42"/>
        <v>596.33068798395993</v>
      </c>
      <c r="N98">
        <f t="shared" si="42"/>
        <v>615.4042086731514</v>
      </c>
      <c r="O98">
        <f t="shared" si="42"/>
        <v>635.33396129744892</v>
      </c>
      <c r="P98">
        <f t="shared" si="42"/>
        <v>657.01655639699004</v>
      </c>
      <c r="Q98">
        <f t="shared" si="42"/>
        <v>681.31932514290099</v>
      </c>
      <c r="R98">
        <f t="shared" si="42"/>
        <v>707.71661474127575</v>
      </c>
      <c r="S98">
        <f t="shared" si="42"/>
        <v>735.63685386036582</v>
      </c>
      <c r="T98">
        <f t="shared" si="42"/>
        <v>764.91029140893988</v>
      </c>
      <c r="U98">
        <f t="shared" si="42"/>
        <v>795.92901566841999</v>
      </c>
      <c r="V98">
        <f t="shared" si="42"/>
        <v>827.41256315471048</v>
      </c>
      <c r="W98">
        <f t="shared" si="42"/>
        <v>859.02685404487454</v>
      </c>
      <c r="X98">
        <f t="shared" si="42"/>
        <v>891.63923611470852</v>
      </c>
      <c r="Y98">
        <f t="shared" si="42"/>
        <v>923.77696539715112</v>
      </c>
      <c r="Z98">
        <f t="shared" si="42"/>
        <v>957.11459686687863</v>
      </c>
      <c r="AA98">
        <f t="shared" si="42"/>
        <v>992.06915242156117</v>
      </c>
      <c r="AB98">
        <f t="shared" si="42"/>
        <v>1028.7754064643691</v>
      </c>
      <c r="AC98">
        <f t="shared" si="42"/>
        <v>1067.3339329257396</v>
      </c>
      <c r="AD98">
        <f t="shared" si="42"/>
        <v>1105.2381198913988</v>
      </c>
      <c r="AE98">
        <f t="shared" si="42"/>
        <v>1145.0271910127797</v>
      </c>
      <c r="AF98">
        <f t="shared" si="42"/>
        <v>1187.677094920718</v>
      </c>
      <c r="AG98">
        <f t="shared" si="42"/>
        <v>1232.8552263699166</v>
      </c>
      <c r="AH98">
        <f t="shared" si="42"/>
        <v>1277.3781789965635</v>
      </c>
      <c r="AI98">
        <f t="shared" si="42"/>
        <v>1321.063277023188</v>
      </c>
      <c r="AJ98">
        <f t="shared" si="42"/>
        <v>1363.7257603507742</v>
      </c>
      <c r="AK98">
        <f t="shared" si="42"/>
        <v>1405.1799442765459</v>
      </c>
      <c r="AL98">
        <f t="shared" si="42"/>
        <v>1445.240525999503</v>
      </c>
      <c r="AM98" s="28"/>
      <c r="AN98" s="28"/>
    </row>
    <row r="99" spans="1:40" x14ac:dyDescent="0.25">
      <c r="A99" t="s">
        <v>25</v>
      </c>
      <c r="B99">
        <v>1511.78</v>
      </c>
      <c r="C99">
        <f t="shared" ref="C99:AL99" si="43">B99*C14/B14</f>
        <v>1402.3328476026929</v>
      </c>
      <c r="D99">
        <f t="shared" si="43"/>
        <v>1459.729629473386</v>
      </c>
      <c r="E99">
        <f t="shared" si="43"/>
        <v>1490.5409825373681</v>
      </c>
      <c r="F99">
        <f t="shared" si="43"/>
        <v>1493.1462331776761</v>
      </c>
      <c r="G99">
        <f t="shared" si="43"/>
        <v>1508.3873587427095</v>
      </c>
      <c r="H99">
        <f t="shared" si="43"/>
        <v>1524.6478500060266</v>
      </c>
      <c r="I99">
        <f t="shared" si="43"/>
        <v>1548.6810906422759</v>
      </c>
      <c r="J99">
        <f t="shared" si="43"/>
        <v>1575.8512019465261</v>
      </c>
      <c r="K99">
        <f t="shared" si="43"/>
        <v>1605.6038494339803</v>
      </c>
      <c r="L99">
        <f t="shared" si="43"/>
        <v>1643.0939012540916</v>
      </c>
      <c r="M99">
        <f t="shared" si="43"/>
        <v>1688.7155708165046</v>
      </c>
      <c r="N99">
        <f t="shared" si="43"/>
        <v>1742.7288088187634</v>
      </c>
      <c r="O99">
        <f t="shared" si="43"/>
        <v>1799.1667622183334</v>
      </c>
      <c r="P99">
        <f t="shared" si="43"/>
        <v>1860.5684923290094</v>
      </c>
      <c r="Q99">
        <f t="shared" si="43"/>
        <v>1929.3901458547061</v>
      </c>
      <c r="R99">
        <f t="shared" si="43"/>
        <v>2004.1431560055557</v>
      </c>
      <c r="S99">
        <f t="shared" si="43"/>
        <v>2083.2089218488786</v>
      </c>
      <c r="T99">
        <f t="shared" si="43"/>
        <v>2166.1067347498501</v>
      </c>
      <c r="U99">
        <f t="shared" si="43"/>
        <v>2253.9469276148811</v>
      </c>
      <c r="V99">
        <f t="shared" si="43"/>
        <v>2343.1034274159947</v>
      </c>
      <c r="W99">
        <f t="shared" si="43"/>
        <v>2432.630172160646</v>
      </c>
      <c r="X99">
        <f t="shared" si="43"/>
        <v>2524.983355574589</v>
      </c>
      <c r="Y99">
        <f t="shared" si="43"/>
        <v>2615.9923962688117</v>
      </c>
      <c r="Z99">
        <f t="shared" si="43"/>
        <v>2710.3993729538442</v>
      </c>
      <c r="AA99">
        <f t="shared" si="43"/>
        <v>2809.3852266514341</v>
      </c>
      <c r="AB99">
        <f t="shared" si="43"/>
        <v>2913.3316174668989</v>
      </c>
      <c r="AC99">
        <f t="shared" si="43"/>
        <v>3022.5233550968906</v>
      </c>
      <c r="AD99">
        <f t="shared" si="43"/>
        <v>3129.8621052531971</v>
      </c>
      <c r="AE99">
        <f t="shared" si="43"/>
        <v>3242.5385535811565</v>
      </c>
      <c r="AF99">
        <f t="shared" si="43"/>
        <v>3363.3164345026566</v>
      </c>
      <c r="AG99">
        <f t="shared" si="43"/>
        <v>3491.2538617992186</v>
      </c>
      <c r="AH99">
        <f t="shared" si="43"/>
        <v>3617.3359247792919</v>
      </c>
      <c r="AI99">
        <f t="shared" si="43"/>
        <v>3741.0453141109219</v>
      </c>
      <c r="AJ99">
        <f t="shared" si="43"/>
        <v>3861.8588179883745</v>
      </c>
      <c r="AK99">
        <f t="shared" si="43"/>
        <v>3979.2506062721677</v>
      </c>
      <c r="AL99">
        <f t="shared" si="43"/>
        <v>4092.6959303091298</v>
      </c>
      <c r="AM99" s="28"/>
      <c r="AN99" s="28"/>
    </row>
    <row r="100" spans="1:40" x14ac:dyDescent="0.25">
      <c r="A100" t="s">
        <v>26</v>
      </c>
      <c r="B100">
        <v>102.71</v>
      </c>
      <c r="C100">
        <f t="shared" ref="C100:AL100" si="44">B100*C15/B15</f>
        <v>98.093820224719082</v>
      </c>
      <c r="D100">
        <f t="shared" si="44"/>
        <v>99.173709298450461</v>
      </c>
      <c r="E100">
        <f t="shared" si="44"/>
        <v>101.26702583472003</v>
      </c>
      <c r="F100">
        <f t="shared" si="44"/>
        <v>101.44402598901897</v>
      </c>
      <c r="G100">
        <f t="shared" si="44"/>
        <v>102.4795047007261</v>
      </c>
      <c r="H100">
        <f t="shared" si="44"/>
        <v>103.58423889330393</v>
      </c>
      <c r="I100">
        <f t="shared" si="44"/>
        <v>105.21705196514581</v>
      </c>
      <c r="J100">
        <f t="shared" si="44"/>
        <v>107.06298333879775</v>
      </c>
      <c r="K100">
        <f t="shared" si="44"/>
        <v>109.0843716515393</v>
      </c>
      <c r="L100">
        <f t="shared" si="44"/>
        <v>111.63143750929879</v>
      </c>
      <c r="M100">
        <f t="shared" si="44"/>
        <v>114.73096368424186</v>
      </c>
      <c r="N100">
        <f t="shared" si="44"/>
        <v>118.40061116946589</v>
      </c>
      <c r="O100">
        <f t="shared" si="44"/>
        <v>122.23499328437006</v>
      </c>
      <c r="P100">
        <f t="shared" si="44"/>
        <v>126.40661329499828</v>
      </c>
      <c r="Q100">
        <f t="shared" si="44"/>
        <v>131.08234126707382</v>
      </c>
      <c r="R100">
        <f t="shared" si="44"/>
        <v>136.16104430097676</v>
      </c>
      <c r="S100">
        <f t="shared" si="44"/>
        <v>141.53275500608441</v>
      </c>
      <c r="T100">
        <f t="shared" si="44"/>
        <v>147.16481414369619</v>
      </c>
      <c r="U100">
        <f t="shared" si="44"/>
        <v>153.1326574867536</v>
      </c>
      <c r="V100">
        <f t="shared" si="44"/>
        <v>159.18993043293116</v>
      </c>
      <c r="W100">
        <f t="shared" si="44"/>
        <v>165.27235773896982</v>
      </c>
      <c r="X100">
        <f t="shared" si="44"/>
        <v>171.54681266524619</v>
      </c>
      <c r="Y100">
        <f t="shared" si="44"/>
        <v>177.72994683139711</v>
      </c>
      <c r="Z100">
        <f t="shared" si="44"/>
        <v>184.14393601985026</v>
      </c>
      <c r="AA100">
        <f t="shared" si="44"/>
        <v>190.86901310334085</v>
      </c>
      <c r="AB100">
        <f t="shared" si="44"/>
        <v>197.93110798530543</v>
      </c>
      <c r="AC100">
        <f t="shared" si="44"/>
        <v>205.34957057376167</v>
      </c>
      <c r="AD100">
        <f t="shared" si="44"/>
        <v>212.64214160165875</v>
      </c>
      <c r="AE100">
        <f t="shared" si="44"/>
        <v>220.29735466689621</v>
      </c>
      <c r="AF100">
        <f t="shared" si="44"/>
        <v>228.50297727696332</v>
      </c>
      <c r="AG100">
        <f t="shared" si="44"/>
        <v>237.19501788977064</v>
      </c>
      <c r="AH100">
        <f t="shared" si="44"/>
        <v>245.76100545984258</v>
      </c>
      <c r="AI100">
        <f t="shared" si="44"/>
        <v>254.16579410518233</v>
      </c>
      <c r="AJ100">
        <f t="shared" si="44"/>
        <v>262.37383693102544</v>
      </c>
      <c r="AK100">
        <f t="shared" si="44"/>
        <v>270.34940915358982</v>
      </c>
      <c r="AL100">
        <f t="shared" si="44"/>
        <v>278.0568594650349</v>
      </c>
      <c r="AM100" s="28"/>
      <c r="AN100" s="28"/>
    </row>
    <row r="101" spans="1:40" x14ac:dyDescent="0.25">
      <c r="A101" t="s">
        <v>27</v>
      </c>
      <c r="B101">
        <v>399.88</v>
      </c>
      <c r="C101">
        <f t="shared" ref="C101:AL101" si="45">B101*C16/B16</f>
        <v>394.04788839568806</v>
      </c>
      <c r="D101">
        <f t="shared" si="45"/>
        <v>386.11218843602751</v>
      </c>
      <c r="E101">
        <f t="shared" si="45"/>
        <v>394.26208052563391</v>
      </c>
      <c r="F101">
        <f t="shared" si="45"/>
        <v>394.95119377362391</v>
      </c>
      <c r="G101">
        <f t="shared" si="45"/>
        <v>398.98261454314434</v>
      </c>
      <c r="H101">
        <f t="shared" si="45"/>
        <v>403.28366710791914</v>
      </c>
      <c r="I101">
        <f t="shared" si="45"/>
        <v>409.64068483908591</v>
      </c>
      <c r="J101">
        <f t="shared" si="45"/>
        <v>416.82743430550534</v>
      </c>
      <c r="K101">
        <f t="shared" si="45"/>
        <v>424.69728883280635</v>
      </c>
      <c r="L101">
        <f t="shared" si="45"/>
        <v>434.61375943158805</v>
      </c>
      <c r="M101">
        <f t="shared" si="45"/>
        <v>446.68111924890121</v>
      </c>
      <c r="N101">
        <f t="shared" si="45"/>
        <v>460.96812768421808</v>
      </c>
      <c r="O101">
        <f t="shared" si="45"/>
        <v>475.8964961011967</v>
      </c>
      <c r="P101">
        <f t="shared" si="45"/>
        <v>492.13783004969264</v>
      </c>
      <c r="Q101">
        <f t="shared" si="45"/>
        <v>510.34180338698752</v>
      </c>
      <c r="R101">
        <f t="shared" si="45"/>
        <v>530.11467622504711</v>
      </c>
      <c r="S101">
        <f t="shared" si="45"/>
        <v>551.02831342452589</v>
      </c>
      <c r="T101">
        <f t="shared" si="45"/>
        <v>572.95556303944352</v>
      </c>
      <c r="U101">
        <f t="shared" si="45"/>
        <v>596.19011854544874</v>
      </c>
      <c r="V101">
        <f t="shared" si="45"/>
        <v>619.77284959128156</v>
      </c>
      <c r="W101">
        <f t="shared" si="45"/>
        <v>643.45351389990526</v>
      </c>
      <c r="X101">
        <f t="shared" si="45"/>
        <v>667.88179776631944</v>
      </c>
      <c r="Y101">
        <f t="shared" si="45"/>
        <v>691.9545432668591</v>
      </c>
      <c r="Z101">
        <f t="shared" si="45"/>
        <v>716.92607473096814</v>
      </c>
      <c r="AA101">
        <f t="shared" si="45"/>
        <v>743.10876214354948</v>
      </c>
      <c r="AB101">
        <f t="shared" si="45"/>
        <v>770.60355818483072</v>
      </c>
      <c r="AC101">
        <f t="shared" si="45"/>
        <v>799.48579769288142</v>
      </c>
      <c r="AD101">
        <f t="shared" si="45"/>
        <v>827.87790462147143</v>
      </c>
      <c r="AE101">
        <f t="shared" si="45"/>
        <v>857.68188281762718</v>
      </c>
      <c r="AF101">
        <f t="shared" si="45"/>
        <v>889.62876597714069</v>
      </c>
      <c r="AG101">
        <f t="shared" si="45"/>
        <v>923.46941635441067</v>
      </c>
      <c r="AH101">
        <f t="shared" si="45"/>
        <v>956.81930545498858</v>
      </c>
      <c r="AI101">
        <f t="shared" si="45"/>
        <v>989.54160010495889</v>
      </c>
      <c r="AJ101">
        <f t="shared" si="45"/>
        <v>1021.4979058706891</v>
      </c>
      <c r="AK101">
        <f t="shared" si="45"/>
        <v>1052.549135744694</v>
      </c>
      <c r="AL101">
        <f t="shared" si="45"/>
        <v>1082.5564887827688</v>
      </c>
      <c r="AM101" s="28"/>
      <c r="AN101" s="28"/>
    </row>
    <row r="102" spans="1:40" x14ac:dyDescent="0.25">
      <c r="A102" t="s">
        <v>28</v>
      </c>
      <c r="B102">
        <v>41.58</v>
      </c>
      <c r="C102">
        <f t="shared" ref="C102:AL102" si="46">B102*C17/B17</f>
        <v>38.820578559273969</v>
      </c>
      <c r="D102">
        <f t="shared" si="46"/>
        <v>40.148406509878022</v>
      </c>
      <c r="E102">
        <f t="shared" si="46"/>
        <v>40.995842023246624</v>
      </c>
      <c r="F102">
        <f t="shared" si="46"/>
        <v>41.067496841820763</v>
      </c>
      <c r="G102">
        <f t="shared" si="46"/>
        <v>41.486688788396378</v>
      </c>
      <c r="H102">
        <f t="shared" si="46"/>
        <v>41.933917371079531</v>
      </c>
      <c r="I102">
        <f t="shared" si="46"/>
        <v>42.594927667323184</v>
      </c>
      <c r="J102">
        <f t="shared" si="46"/>
        <v>43.342214460395404</v>
      </c>
      <c r="K102">
        <f t="shared" si="46"/>
        <v>44.160531333570297</v>
      </c>
      <c r="L102">
        <f t="shared" si="46"/>
        <v>45.191657790250666</v>
      </c>
      <c r="M102">
        <f t="shared" si="46"/>
        <v>46.446436276806338</v>
      </c>
      <c r="N102">
        <f t="shared" si="46"/>
        <v>47.932016477717795</v>
      </c>
      <c r="O102">
        <f t="shared" si="46"/>
        <v>49.484286055536074</v>
      </c>
      <c r="P102">
        <f t="shared" si="46"/>
        <v>51.173079357472808</v>
      </c>
      <c r="Q102">
        <f t="shared" si="46"/>
        <v>53.06595024715152</v>
      </c>
      <c r="R102">
        <f t="shared" si="46"/>
        <v>55.121957180747884</v>
      </c>
      <c r="S102">
        <f t="shared" si="46"/>
        <v>57.296582155126011</v>
      </c>
      <c r="T102">
        <f t="shared" si="46"/>
        <v>59.576603759077898</v>
      </c>
      <c r="U102">
        <f t="shared" si="46"/>
        <v>61.992560590976716</v>
      </c>
      <c r="V102">
        <f t="shared" si="46"/>
        <v>64.444721131353148</v>
      </c>
      <c r="W102">
        <f t="shared" si="46"/>
        <v>66.90706488936199</v>
      </c>
      <c r="X102">
        <f t="shared" si="46"/>
        <v>69.447147021915498</v>
      </c>
      <c r="Y102">
        <f t="shared" si="46"/>
        <v>71.950259850545194</v>
      </c>
      <c r="Z102">
        <f t="shared" si="46"/>
        <v>74.546829517139301</v>
      </c>
      <c r="AA102">
        <f t="shared" si="46"/>
        <v>77.269336625809729</v>
      </c>
      <c r="AB102">
        <f t="shared" si="46"/>
        <v>80.128278356820232</v>
      </c>
      <c r="AC102">
        <f t="shared" si="46"/>
        <v>83.131488116610043</v>
      </c>
      <c r="AD102">
        <f t="shared" si="46"/>
        <v>86.083733305393608</v>
      </c>
      <c r="AE102">
        <f t="shared" si="46"/>
        <v>89.182786554858836</v>
      </c>
      <c r="AF102">
        <f t="shared" si="46"/>
        <v>92.504661621810357</v>
      </c>
      <c r="AG102">
        <f t="shared" si="46"/>
        <v>96.023452865900794</v>
      </c>
      <c r="AH102">
        <f t="shared" si="46"/>
        <v>99.491214166296004</v>
      </c>
      <c r="AI102">
        <f t="shared" si="46"/>
        <v>102.89371744614438</v>
      </c>
      <c r="AJ102">
        <f t="shared" si="46"/>
        <v>106.21657228694427</v>
      </c>
      <c r="AK102">
        <f t="shared" si="46"/>
        <v>109.44531625553765</v>
      </c>
      <c r="AL102">
        <f t="shared" si="46"/>
        <v>112.56551666396803</v>
      </c>
      <c r="AM102" s="28"/>
      <c r="AN102" s="28"/>
    </row>
    <row r="103" spans="1:40" x14ac:dyDescent="0.25">
      <c r="A103" t="s">
        <v>29</v>
      </c>
      <c r="B103">
        <v>202.93</v>
      </c>
      <c r="C103">
        <f t="shared" ref="C103:AL103" si="47">B103*C18/B18</f>
        <v>192.90516067146282</v>
      </c>
      <c r="D103">
        <f t="shared" si="47"/>
        <v>195.94314894299052</v>
      </c>
      <c r="E103">
        <f t="shared" si="47"/>
        <v>200.07903371278104</v>
      </c>
      <c r="F103">
        <f t="shared" si="47"/>
        <v>200.428743004105</v>
      </c>
      <c r="G103">
        <f t="shared" si="47"/>
        <v>202.47459730229139</v>
      </c>
      <c r="H103">
        <f t="shared" si="47"/>
        <v>204.65728360060524</v>
      </c>
      <c r="I103">
        <f t="shared" si="47"/>
        <v>207.88332543361926</v>
      </c>
      <c r="J103">
        <f t="shared" si="47"/>
        <v>211.53043724021248</v>
      </c>
      <c r="K103">
        <f t="shared" si="47"/>
        <v>215.52420931989937</v>
      </c>
      <c r="L103">
        <f t="shared" si="47"/>
        <v>220.55659248137476</v>
      </c>
      <c r="M103">
        <f t="shared" si="47"/>
        <v>226.6805029738409</v>
      </c>
      <c r="N103">
        <f t="shared" si="47"/>
        <v>233.93083462778418</v>
      </c>
      <c r="O103">
        <f t="shared" si="47"/>
        <v>241.50664187710268</v>
      </c>
      <c r="P103">
        <f t="shared" si="47"/>
        <v>249.74874925473668</v>
      </c>
      <c r="Q103">
        <f t="shared" si="47"/>
        <v>258.98685145874094</v>
      </c>
      <c r="R103">
        <f t="shared" si="47"/>
        <v>269.02113445620876</v>
      </c>
      <c r="S103">
        <f t="shared" si="47"/>
        <v>279.63432940691951</v>
      </c>
      <c r="T103">
        <f t="shared" si="47"/>
        <v>290.76190959186312</v>
      </c>
      <c r="U103">
        <f t="shared" si="47"/>
        <v>302.55291776639962</v>
      </c>
      <c r="V103">
        <f t="shared" si="47"/>
        <v>314.52061710402802</v>
      </c>
      <c r="W103">
        <f t="shared" si="47"/>
        <v>326.53801534387253</v>
      </c>
      <c r="X103">
        <f t="shared" si="47"/>
        <v>338.93481349584664</v>
      </c>
      <c r="Y103">
        <f t="shared" si="47"/>
        <v>351.15118401806461</v>
      </c>
      <c r="Z103">
        <f t="shared" si="47"/>
        <v>363.82366796327739</v>
      </c>
      <c r="AA103">
        <f t="shared" si="47"/>
        <v>377.11078599027331</v>
      </c>
      <c r="AB103">
        <f t="shared" si="47"/>
        <v>391.06376928690526</v>
      </c>
      <c r="AC103">
        <f t="shared" si="47"/>
        <v>405.72084856911175</v>
      </c>
      <c r="AD103">
        <f t="shared" si="47"/>
        <v>420.12919672110434</v>
      </c>
      <c r="AE103">
        <f t="shared" si="47"/>
        <v>435.25403741167634</v>
      </c>
      <c r="AF103">
        <f t="shared" si="47"/>
        <v>451.46635360543462</v>
      </c>
      <c r="AG103">
        <f t="shared" si="47"/>
        <v>468.63971356607129</v>
      </c>
      <c r="AH103">
        <f t="shared" si="47"/>
        <v>485.56402334695628</v>
      </c>
      <c r="AI103">
        <f t="shared" si="47"/>
        <v>502.16984322621624</v>
      </c>
      <c r="AJ103">
        <f t="shared" si="47"/>
        <v>518.38694117820091</v>
      </c>
      <c r="AK103">
        <f t="shared" si="47"/>
        <v>534.14473371179054</v>
      </c>
      <c r="AL103">
        <f t="shared" si="47"/>
        <v>549.37278250647023</v>
      </c>
      <c r="AM103" s="28"/>
      <c r="AN103" s="28"/>
    </row>
    <row r="104" spans="1:40" x14ac:dyDescent="0.25">
      <c r="A104" t="s">
        <v>30</v>
      </c>
      <c r="B104">
        <v>75.78</v>
      </c>
      <c r="C104">
        <f t="shared" ref="C104:AL104" si="48">B104*C19/B19</f>
        <v>71.434816513761461</v>
      </c>
      <c r="D104">
        <f t="shared" si="48"/>
        <v>73.170905370816641</v>
      </c>
      <c r="E104">
        <f t="shared" si="48"/>
        <v>74.715365765310935</v>
      </c>
      <c r="F104">
        <f t="shared" si="48"/>
        <v>74.845957447647351</v>
      </c>
      <c r="G104">
        <f t="shared" si="48"/>
        <v>75.609939306990796</v>
      </c>
      <c r="H104">
        <f t="shared" si="48"/>
        <v>76.425018239067001</v>
      </c>
      <c r="I104">
        <f t="shared" si="48"/>
        <v>77.629716657762145</v>
      </c>
      <c r="J104">
        <f t="shared" si="48"/>
        <v>78.991654925655666</v>
      </c>
      <c r="K104">
        <f t="shared" si="48"/>
        <v>80.483046283260123</v>
      </c>
      <c r="L104">
        <f t="shared" si="48"/>
        <v>82.362285409937328</v>
      </c>
      <c r="M104">
        <f t="shared" si="48"/>
        <v>84.649132781538796</v>
      </c>
      <c r="N104">
        <f t="shared" si="48"/>
        <v>87.356618775407739</v>
      </c>
      <c r="O104">
        <f t="shared" si="48"/>
        <v>90.185646880435868</v>
      </c>
      <c r="P104">
        <f t="shared" si="48"/>
        <v>93.263490950199341</v>
      </c>
      <c r="Q104">
        <f t="shared" si="48"/>
        <v>96.713268632254483</v>
      </c>
      <c r="R104">
        <f t="shared" si="48"/>
        <v>100.46036351989116</v>
      </c>
      <c r="S104">
        <f t="shared" si="48"/>
        <v>104.42364107059761</v>
      </c>
      <c r="T104">
        <f t="shared" si="48"/>
        <v>108.5790051193584</v>
      </c>
      <c r="U104">
        <f t="shared" si="48"/>
        <v>112.98211259221296</v>
      </c>
      <c r="V104">
        <f t="shared" si="48"/>
        <v>117.451201715583</v>
      </c>
      <c r="W104">
        <f t="shared" si="48"/>
        <v>121.93884986329608</v>
      </c>
      <c r="X104">
        <f t="shared" si="48"/>
        <v>126.56817703994125</v>
      </c>
      <c r="Y104">
        <f t="shared" si="48"/>
        <v>131.13012726008452</v>
      </c>
      <c r="Z104">
        <f t="shared" si="48"/>
        <v>135.86240357885563</v>
      </c>
      <c r="AA104">
        <f t="shared" si="48"/>
        <v>140.82420224877015</v>
      </c>
      <c r="AB104">
        <f t="shared" si="48"/>
        <v>146.03465449446458</v>
      </c>
      <c r="AC104">
        <f t="shared" si="48"/>
        <v>151.50803678395161</v>
      </c>
      <c r="AD104">
        <f t="shared" si="48"/>
        <v>156.8885355912152</v>
      </c>
      <c r="AE104">
        <f t="shared" si="48"/>
        <v>162.53659367790294</v>
      </c>
      <c r="AF104">
        <f t="shared" si="48"/>
        <v>168.59074693845093</v>
      </c>
      <c r="AG104">
        <f t="shared" si="48"/>
        <v>175.0037820629621</v>
      </c>
      <c r="AH104">
        <f t="shared" si="48"/>
        <v>181.32381456281655</v>
      </c>
      <c r="AI104">
        <f t="shared" si="48"/>
        <v>187.52491361396878</v>
      </c>
      <c r="AJ104">
        <f t="shared" si="48"/>
        <v>193.58085252295902</v>
      </c>
      <c r="AK104">
        <f t="shared" si="48"/>
        <v>199.465273348837</v>
      </c>
      <c r="AL104">
        <f t="shared" si="48"/>
        <v>205.15187236160412</v>
      </c>
      <c r="AM104" s="28"/>
      <c r="AN104" s="28"/>
    </row>
    <row r="105" spans="1:40" x14ac:dyDescent="0.25">
      <c r="A105" t="s">
        <v>31</v>
      </c>
      <c r="B105">
        <v>1.1000000000000001</v>
      </c>
      <c r="C105">
        <f t="shared" ref="C105:AL105" si="49">B105*C20/B20</f>
        <v>1.1000000000000001</v>
      </c>
      <c r="D105">
        <f t="shared" si="49"/>
        <v>1.0621271563459795</v>
      </c>
      <c r="E105">
        <f t="shared" si="49"/>
        <v>1.0845460852710747</v>
      </c>
      <c r="F105">
        <f t="shared" si="49"/>
        <v>1.0864417153920838</v>
      </c>
      <c r="G105">
        <f t="shared" si="49"/>
        <v>1.0975314494284758</v>
      </c>
      <c r="H105">
        <f t="shared" si="49"/>
        <v>1.1093628934148023</v>
      </c>
      <c r="I105">
        <f t="shared" si="49"/>
        <v>1.126849938288973</v>
      </c>
      <c r="J105">
        <f t="shared" si="49"/>
        <v>1.1466194301691905</v>
      </c>
      <c r="K105">
        <f t="shared" si="49"/>
        <v>1.1682680246976269</v>
      </c>
      <c r="L105">
        <f t="shared" si="49"/>
        <v>1.1955465023875838</v>
      </c>
      <c r="M105">
        <f t="shared" si="49"/>
        <v>1.2287417004446122</v>
      </c>
      <c r="N105">
        <f t="shared" si="49"/>
        <v>1.2680427639607881</v>
      </c>
      <c r="O105">
        <f t="shared" si="49"/>
        <v>1.3091080967073034</v>
      </c>
      <c r="P105">
        <f t="shared" si="49"/>
        <v>1.3537851681871111</v>
      </c>
      <c r="Q105">
        <f t="shared" si="49"/>
        <v>1.4038611176495108</v>
      </c>
      <c r="R105">
        <f t="shared" si="49"/>
        <v>1.4582528354695206</v>
      </c>
      <c r="S105">
        <f t="shared" si="49"/>
        <v>1.5157825966964551</v>
      </c>
      <c r="T105">
        <f t="shared" si="49"/>
        <v>1.576100628547034</v>
      </c>
      <c r="U105">
        <f t="shared" si="49"/>
        <v>1.6400148304491193</v>
      </c>
      <c r="V105">
        <f t="shared" si="49"/>
        <v>1.7048868024167498</v>
      </c>
      <c r="W105">
        <f t="shared" si="49"/>
        <v>1.7700281716762429</v>
      </c>
      <c r="X105">
        <f t="shared" si="49"/>
        <v>1.8372261116908863</v>
      </c>
      <c r="Y105">
        <f t="shared" si="49"/>
        <v>1.9034460277922007</v>
      </c>
      <c r="Z105">
        <f t="shared" si="49"/>
        <v>1.9721383470142675</v>
      </c>
      <c r="AA105">
        <f t="shared" si="49"/>
        <v>2.0441623445981416</v>
      </c>
      <c r="AB105">
        <f t="shared" si="49"/>
        <v>2.119795723725403</v>
      </c>
      <c r="AC105">
        <f t="shared" si="49"/>
        <v>2.1992457173706361</v>
      </c>
      <c r="AD105">
        <f t="shared" si="49"/>
        <v>2.2773474419416297</v>
      </c>
      <c r="AE105">
        <f t="shared" si="49"/>
        <v>2.3593329776417682</v>
      </c>
      <c r="AF105">
        <f t="shared" si="49"/>
        <v>2.4472132704182634</v>
      </c>
      <c r="AG105">
        <f t="shared" si="49"/>
        <v>2.5403029858703916</v>
      </c>
      <c r="AH105">
        <f t="shared" si="49"/>
        <v>2.6320427028120634</v>
      </c>
      <c r="AI105">
        <f t="shared" si="49"/>
        <v>2.7220560170937662</v>
      </c>
      <c r="AJ105">
        <f t="shared" si="49"/>
        <v>2.8099622298133404</v>
      </c>
      <c r="AK105">
        <f t="shared" si="49"/>
        <v>2.895378736918985</v>
      </c>
      <c r="AL105">
        <f t="shared" si="49"/>
        <v>2.9779237212689957</v>
      </c>
      <c r="AM105" s="28"/>
      <c r="AN105" s="28"/>
    </row>
    <row r="106" spans="1:40" x14ac:dyDescent="0.25">
      <c r="A106" t="s">
        <v>32</v>
      </c>
      <c r="B106">
        <v>706.01</v>
      </c>
      <c r="C106">
        <f t="shared" ref="C106:AL106" si="50">B106*C21/B21</f>
        <v>672.39284076522722</v>
      </c>
      <c r="D106">
        <f t="shared" si="50"/>
        <v>681.70217604711354</v>
      </c>
      <c r="E106">
        <f t="shared" si="50"/>
        <v>696.09125605657391</v>
      </c>
      <c r="F106">
        <f t="shared" si="50"/>
        <v>697.3079231672408</v>
      </c>
      <c r="G106">
        <f t="shared" si="50"/>
        <v>704.42561691908918</v>
      </c>
      <c r="H106">
        <f t="shared" si="50"/>
        <v>712.01936034525863</v>
      </c>
      <c r="I106">
        <f t="shared" si="50"/>
        <v>723.24302266490702</v>
      </c>
      <c r="J106">
        <f t="shared" si="50"/>
        <v>735.93162172159089</v>
      </c>
      <c r="K106">
        <f t="shared" si="50"/>
        <v>749.82628010615576</v>
      </c>
      <c r="L106">
        <f t="shared" si="50"/>
        <v>767.33435104605246</v>
      </c>
      <c r="M106">
        <f t="shared" si="50"/>
        <v>788.63993448263659</v>
      </c>
      <c r="N106">
        <f t="shared" si="50"/>
        <v>813.86442889450529</v>
      </c>
      <c r="O106">
        <f t="shared" si="50"/>
        <v>840.22127941483916</v>
      </c>
      <c r="P106">
        <f t="shared" si="50"/>
        <v>868.89624235616554</v>
      </c>
      <c r="Q106">
        <f t="shared" si="50"/>
        <v>901.03635242884627</v>
      </c>
      <c r="R106">
        <f t="shared" si="50"/>
        <v>935.94644033621466</v>
      </c>
      <c r="S106">
        <f t="shared" si="50"/>
        <v>972.87061008514934</v>
      </c>
      <c r="T106">
        <f t="shared" si="50"/>
        <v>1011.584367964083</v>
      </c>
      <c r="U106">
        <f t="shared" si="50"/>
        <v>1052.6062458594386</v>
      </c>
      <c r="V106">
        <f t="shared" si="50"/>
        <v>1094.2428467038628</v>
      </c>
      <c r="W106">
        <f t="shared" si="50"/>
        <v>1136.0523540774036</v>
      </c>
      <c r="X106">
        <f t="shared" si="50"/>
        <v>1179.1818246498929</v>
      </c>
      <c r="Y106">
        <f t="shared" si="50"/>
        <v>1221.6835728014282</v>
      </c>
      <c r="Z106">
        <f t="shared" si="50"/>
        <v>1265.7721767050384</v>
      </c>
      <c r="AA106">
        <f t="shared" si="50"/>
        <v>1311.9991426452118</v>
      </c>
      <c r="AB106">
        <f t="shared" si="50"/>
        <v>1360.5427080976099</v>
      </c>
      <c r="AC106">
        <f t="shared" si="50"/>
        <v>1411.5358808371288</v>
      </c>
      <c r="AD106">
        <f t="shared" si="50"/>
        <v>1461.6636977138264</v>
      </c>
      <c r="AE106">
        <f t="shared" si="50"/>
        <v>1514.284250495331</v>
      </c>
      <c r="AF106">
        <f t="shared" si="50"/>
        <v>1570.688219134543</v>
      </c>
      <c r="AG106">
        <f t="shared" si="50"/>
        <v>1630.4357373221403</v>
      </c>
      <c r="AH106">
        <f t="shared" si="50"/>
        <v>1689.3167896475859</v>
      </c>
      <c r="AI106">
        <f t="shared" si="50"/>
        <v>1747.0897896621541</v>
      </c>
      <c r="AJ106">
        <f t="shared" si="50"/>
        <v>1803.5103944277419</v>
      </c>
      <c r="AK106">
        <f t="shared" si="50"/>
        <v>1858.3330382292481</v>
      </c>
      <c r="AL106">
        <f t="shared" si="50"/>
        <v>1911.3126604119304</v>
      </c>
      <c r="AM106" s="28"/>
      <c r="AN106" s="28"/>
    </row>
    <row r="107" spans="1:40" x14ac:dyDescent="0.25">
      <c r="A107" t="s">
        <v>33</v>
      </c>
      <c r="B107">
        <v>124.42</v>
      </c>
      <c r="C107">
        <f t="shared" ref="C107:AL107" si="51">B107*C22/B22</f>
        <v>120.25282296650717</v>
      </c>
      <c r="D107">
        <f t="shared" si="51"/>
        <v>120.13623708415159</v>
      </c>
      <c r="E107">
        <f t="shared" si="51"/>
        <v>122.67202175402464</v>
      </c>
      <c r="F107">
        <f t="shared" si="51"/>
        <v>122.88643475371185</v>
      </c>
      <c r="G107">
        <f t="shared" si="51"/>
        <v>124.14078448899174</v>
      </c>
      <c r="H107">
        <f t="shared" si="51"/>
        <v>125.47902836242697</v>
      </c>
      <c r="I107">
        <f t="shared" si="51"/>
        <v>127.45697211083089</v>
      </c>
      <c r="J107">
        <f t="shared" si="51"/>
        <v>129.69308136513695</v>
      </c>
      <c r="K107">
        <f t="shared" si="51"/>
        <v>132.1417342117079</v>
      </c>
      <c r="L107">
        <f t="shared" si="51"/>
        <v>135.22717802460281</v>
      </c>
      <c r="M107">
        <f t="shared" si="51"/>
        <v>138.98185669938053</v>
      </c>
      <c r="N107">
        <f t="shared" si="51"/>
        <v>143.42716426545564</v>
      </c>
      <c r="O107">
        <f t="shared" si="51"/>
        <v>148.07202672029331</v>
      </c>
      <c r="P107">
        <f t="shared" si="51"/>
        <v>153.12540965985482</v>
      </c>
      <c r="Q107">
        <f t="shared" si="51"/>
        <v>158.78945477995643</v>
      </c>
      <c r="R107">
        <f t="shared" si="51"/>
        <v>164.94165253556156</v>
      </c>
      <c r="S107">
        <f t="shared" si="51"/>
        <v>171.44879152815719</v>
      </c>
      <c r="T107">
        <f t="shared" si="51"/>
        <v>178.27130927620175</v>
      </c>
      <c r="U107">
        <f t="shared" si="51"/>
        <v>185.50058654952667</v>
      </c>
      <c r="V107">
        <f t="shared" si="51"/>
        <v>192.8381963242654</v>
      </c>
      <c r="W107">
        <f t="shared" si="51"/>
        <v>200.20627738178007</v>
      </c>
      <c r="X107">
        <f t="shared" si="51"/>
        <v>207.80697528779999</v>
      </c>
      <c r="Y107">
        <f t="shared" si="51"/>
        <v>215.29704979809591</v>
      </c>
      <c r="Z107">
        <f t="shared" si="51"/>
        <v>223.06677557774094</v>
      </c>
      <c r="AA107">
        <f t="shared" si="51"/>
        <v>231.21334446809146</v>
      </c>
      <c r="AB107">
        <f t="shared" si="51"/>
        <v>239.76816722355863</v>
      </c>
      <c r="AC107">
        <f t="shared" si="51"/>
        <v>248.75468377750397</v>
      </c>
      <c r="AD107">
        <f t="shared" si="51"/>
        <v>257.58869884216131</v>
      </c>
      <c r="AE107">
        <f t="shared" si="51"/>
        <v>266.86200825289882</v>
      </c>
      <c r="AF107">
        <f t="shared" si="51"/>
        <v>276.8020682776729</v>
      </c>
      <c r="AG107">
        <f t="shared" si="51"/>
        <v>287.33136136544908</v>
      </c>
      <c r="AH107">
        <f t="shared" si="51"/>
        <v>297.70795734897894</v>
      </c>
      <c r="AI107">
        <f t="shared" si="51"/>
        <v>307.88928149709665</v>
      </c>
      <c r="AJ107">
        <f t="shared" si="51"/>
        <v>317.83227330306886</v>
      </c>
      <c r="AK107">
        <f t="shared" si="51"/>
        <v>327.49365677041828</v>
      </c>
      <c r="AL107">
        <f t="shared" si="51"/>
        <v>336.8302449093531</v>
      </c>
      <c r="AM107" s="28"/>
      <c r="AN107" s="28"/>
    </row>
    <row r="108" spans="1:40" x14ac:dyDescent="0.25">
      <c r="A108" t="s">
        <v>34</v>
      </c>
      <c r="B108">
        <v>646.41</v>
      </c>
      <c r="C108">
        <f t="shared" ref="C108:AL108" si="52">B108*C23/B23</f>
        <v>616.38080922190193</v>
      </c>
      <c r="D108">
        <f t="shared" si="52"/>
        <v>624.15419557600399</v>
      </c>
      <c r="E108">
        <f t="shared" si="52"/>
        <v>637.32857725461383</v>
      </c>
      <c r="F108">
        <f t="shared" si="52"/>
        <v>638.4425356787242</v>
      </c>
      <c r="G108">
        <f t="shared" si="52"/>
        <v>644.95936747732799</v>
      </c>
      <c r="H108">
        <f t="shared" si="52"/>
        <v>651.91206175660193</v>
      </c>
      <c r="I108">
        <f t="shared" si="52"/>
        <v>662.1882441903407</v>
      </c>
      <c r="J108">
        <f t="shared" si="52"/>
        <v>673.80569623242388</v>
      </c>
      <c r="K108">
        <f t="shared" si="52"/>
        <v>686.5273944043571</v>
      </c>
      <c r="L108">
        <f t="shared" si="52"/>
        <v>702.55746782577967</v>
      </c>
      <c r="M108">
        <f t="shared" si="52"/>
        <v>722.0644750767284</v>
      </c>
      <c r="N108">
        <f t="shared" si="52"/>
        <v>745.15956641081152</v>
      </c>
      <c r="O108">
        <f t="shared" si="52"/>
        <v>769.29142253869782</v>
      </c>
      <c r="P108">
        <f t="shared" si="52"/>
        <v>795.54570051620908</v>
      </c>
      <c r="Q108">
        <f t="shared" si="52"/>
        <v>824.97260459983613</v>
      </c>
      <c r="R108">
        <f t="shared" si="52"/>
        <v>856.93565034168398</v>
      </c>
      <c r="S108">
        <f t="shared" si="52"/>
        <v>890.74275302777733</v>
      </c>
      <c r="T108">
        <f t="shared" si="52"/>
        <v>926.18837027189795</v>
      </c>
      <c r="U108">
        <f t="shared" si="52"/>
        <v>963.7472605005587</v>
      </c>
      <c r="V108">
        <f t="shared" si="52"/>
        <v>1001.8689799547367</v>
      </c>
      <c r="W108">
        <f t="shared" si="52"/>
        <v>1040.1490095029449</v>
      </c>
      <c r="X108">
        <f t="shared" si="52"/>
        <v>1079.637573507368</v>
      </c>
      <c r="Y108">
        <f t="shared" si="52"/>
        <v>1118.5514062046868</v>
      </c>
      <c r="Z108">
        <f t="shared" si="52"/>
        <v>1158.9181353577196</v>
      </c>
      <c r="AA108">
        <f t="shared" si="52"/>
        <v>1201.2427101560761</v>
      </c>
      <c r="AB108">
        <f t="shared" si="52"/>
        <v>1245.6883216121244</v>
      </c>
      <c r="AC108">
        <f t="shared" si="52"/>
        <v>1292.3767492414108</v>
      </c>
      <c r="AD108">
        <f t="shared" si="52"/>
        <v>1338.2728726777161</v>
      </c>
      <c r="AE108">
        <f t="shared" si="52"/>
        <v>1386.4513000703766</v>
      </c>
      <c r="AF108">
        <f t="shared" si="52"/>
        <v>1438.0937546646078</v>
      </c>
      <c r="AG108">
        <f t="shared" si="52"/>
        <v>1492.7975028149808</v>
      </c>
      <c r="AH108">
        <f t="shared" si="52"/>
        <v>1546.7079304770407</v>
      </c>
      <c r="AI108">
        <f t="shared" si="52"/>
        <v>1599.6038454632551</v>
      </c>
      <c r="AJ108">
        <f t="shared" si="52"/>
        <v>1651.2615317942184</v>
      </c>
      <c r="AK108">
        <f t="shared" si="52"/>
        <v>1701.4561539379999</v>
      </c>
      <c r="AL108">
        <f t="shared" si="52"/>
        <v>1749.9633387868093</v>
      </c>
      <c r="AM108" s="28"/>
      <c r="AN108" s="28"/>
    </row>
    <row r="109" spans="1:40" x14ac:dyDescent="0.25">
      <c r="A109" t="s">
        <v>36</v>
      </c>
      <c r="B109">
        <v>27.78</v>
      </c>
      <c r="C109">
        <f t="shared" ref="C109:AL109" si="53">B109*C24/B24</f>
        <v>26.29382716049383</v>
      </c>
      <c r="D109">
        <f t="shared" si="53"/>
        <v>26.823538548446646</v>
      </c>
      <c r="E109">
        <f t="shared" si="53"/>
        <v>27.389718408027687</v>
      </c>
      <c r="F109">
        <f t="shared" si="53"/>
        <v>27.437591685083714</v>
      </c>
      <c r="G109">
        <f t="shared" si="53"/>
        <v>27.717657877384596</v>
      </c>
      <c r="H109">
        <f t="shared" si="53"/>
        <v>28.016455617330191</v>
      </c>
      <c r="I109">
        <f t="shared" si="53"/>
        <v>28.458082986970609</v>
      </c>
      <c r="J109">
        <f t="shared" si="53"/>
        <v>28.957352518272831</v>
      </c>
      <c r="K109">
        <f t="shared" si="53"/>
        <v>29.504077932818252</v>
      </c>
      <c r="L109">
        <f t="shared" si="53"/>
        <v>30.192983487570068</v>
      </c>
      <c r="M109">
        <f t="shared" si="53"/>
        <v>31.031313125773927</v>
      </c>
      <c r="N109">
        <f t="shared" si="53"/>
        <v>32.023843620755173</v>
      </c>
      <c r="O109">
        <f t="shared" si="53"/>
        <v>33.060929933208079</v>
      </c>
      <c r="P109">
        <f t="shared" si="53"/>
        <v>34.189229065670858</v>
      </c>
      <c r="Q109">
        <f t="shared" si="53"/>
        <v>35.453874407548554</v>
      </c>
      <c r="R109">
        <f t="shared" si="53"/>
        <v>36.8275125175848</v>
      </c>
      <c r="S109">
        <f t="shared" si="53"/>
        <v>38.280400487479575</v>
      </c>
      <c r="T109">
        <f t="shared" si="53"/>
        <v>39.803704964578735</v>
      </c>
      <c r="U109">
        <f t="shared" si="53"/>
        <v>41.417829081705939</v>
      </c>
      <c r="V109">
        <f t="shared" si="53"/>
        <v>43.056141246488465</v>
      </c>
      <c r="W109">
        <f t="shared" si="53"/>
        <v>44.701256917423663</v>
      </c>
      <c r="X109">
        <f t="shared" si="53"/>
        <v>46.398310347975297</v>
      </c>
      <c r="Y109">
        <f t="shared" si="53"/>
        <v>48.070664229152129</v>
      </c>
      <c r="Z109">
        <f t="shared" si="53"/>
        <v>49.805457527323959</v>
      </c>
      <c r="AA109">
        <f t="shared" si="53"/>
        <v>51.624390848123966</v>
      </c>
      <c r="AB109">
        <f t="shared" si="53"/>
        <v>53.534477459174262</v>
      </c>
      <c r="AC109">
        <f t="shared" si="53"/>
        <v>55.540950935051143</v>
      </c>
      <c r="AD109">
        <f t="shared" si="53"/>
        <v>57.513374488307704</v>
      </c>
      <c r="AE109">
        <f t="shared" si="53"/>
        <v>59.583881926262109</v>
      </c>
      <c r="AF109">
        <f t="shared" si="53"/>
        <v>61.803258774744869</v>
      </c>
      <c r="AG109">
        <f t="shared" si="53"/>
        <v>64.154197224981331</v>
      </c>
      <c r="AH109">
        <f t="shared" si="53"/>
        <v>66.471042076471917</v>
      </c>
      <c r="AI109">
        <f t="shared" si="53"/>
        <v>68.74428741351349</v>
      </c>
      <c r="AJ109">
        <f t="shared" si="53"/>
        <v>70.964318858376899</v>
      </c>
      <c r="AK109">
        <f t="shared" si="53"/>
        <v>73.121473919644927</v>
      </c>
      <c r="AL109">
        <f t="shared" si="53"/>
        <v>75.206109978957016</v>
      </c>
      <c r="AM109" s="28"/>
      <c r="AN109" s="28"/>
    </row>
    <row r="110" spans="1:40" x14ac:dyDescent="0.25">
      <c r="A110" t="s">
        <v>37</v>
      </c>
      <c r="B110">
        <v>951.8</v>
      </c>
      <c r="C110">
        <f t="shared" ref="C110:AL110" si="54">B110*C25/B25</f>
        <v>597.95725388601034</v>
      </c>
      <c r="D110">
        <f t="shared" si="54"/>
        <v>919.02966128191179</v>
      </c>
      <c r="E110">
        <f t="shared" si="54"/>
        <v>938.42814905546243</v>
      </c>
      <c r="F110">
        <f t="shared" si="54"/>
        <v>940.06838610016825</v>
      </c>
      <c r="G110">
        <f t="shared" si="54"/>
        <v>949.66403051456655</v>
      </c>
      <c r="H110">
        <f t="shared" si="54"/>
        <v>959.90145632018982</v>
      </c>
      <c r="I110">
        <f t="shared" si="54"/>
        <v>975.03251933040417</v>
      </c>
      <c r="J110">
        <f t="shared" si="54"/>
        <v>992.13852148639592</v>
      </c>
      <c r="K110">
        <f t="shared" si="54"/>
        <v>1010.8704599156376</v>
      </c>
      <c r="L110">
        <f t="shared" si="54"/>
        <v>1034.4737827022745</v>
      </c>
      <c r="M110">
        <f t="shared" si="54"/>
        <v>1063.1966822574377</v>
      </c>
      <c r="N110">
        <f t="shared" si="54"/>
        <v>1097.2028206707982</v>
      </c>
      <c r="O110">
        <f t="shared" si="54"/>
        <v>1132.7355331327376</v>
      </c>
      <c r="P110">
        <f t="shared" si="54"/>
        <v>1171.3933846186294</v>
      </c>
      <c r="Q110">
        <f t="shared" si="54"/>
        <v>1214.7227379807314</v>
      </c>
      <c r="R110">
        <f t="shared" si="54"/>
        <v>1261.7864079998999</v>
      </c>
      <c r="S110">
        <f t="shared" si="54"/>
        <v>1311.5653413960783</v>
      </c>
      <c r="T110">
        <f t="shared" si="54"/>
        <v>1363.7568893191519</v>
      </c>
      <c r="U110">
        <f t="shared" si="54"/>
        <v>1419.0601051104288</v>
      </c>
      <c r="V110">
        <f t="shared" si="54"/>
        <v>1475.1920532184204</v>
      </c>
      <c r="W110">
        <f t="shared" si="54"/>
        <v>1531.5571034558616</v>
      </c>
      <c r="X110">
        <f t="shared" si="54"/>
        <v>1589.7016482794411</v>
      </c>
      <c r="Y110">
        <f t="shared" si="54"/>
        <v>1646.9999356841965</v>
      </c>
      <c r="Z110">
        <f t="shared" si="54"/>
        <v>1706.4375260801628</v>
      </c>
      <c r="AA110">
        <f t="shared" si="54"/>
        <v>1768.7579268986458</v>
      </c>
      <c r="AB110">
        <f t="shared" si="54"/>
        <v>1834.2014271289436</v>
      </c>
      <c r="AC110">
        <f t="shared" si="54"/>
        <v>1902.9473398121552</v>
      </c>
      <c r="AD110">
        <f t="shared" si="54"/>
        <v>1970.5266320364026</v>
      </c>
      <c r="AE110">
        <f t="shared" si="54"/>
        <v>2041.4664801085769</v>
      </c>
      <c r="AF110">
        <f t="shared" si="54"/>
        <v>2117.5069007128209</v>
      </c>
      <c r="AG110">
        <f t="shared" si="54"/>
        <v>2198.0548926831257</v>
      </c>
      <c r="AH110">
        <f t="shared" si="54"/>
        <v>2277.4347677604742</v>
      </c>
      <c r="AI110">
        <f t="shared" si="54"/>
        <v>2355.3208336998605</v>
      </c>
      <c r="AJ110">
        <f t="shared" si="54"/>
        <v>2431.3836821239429</v>
      </c>
      <c r="AK110">
        <f t="shared" si="54"/>
        <v>2505.2922561813543</v>
      </c>
      <c r="AL110">
        <f t="shared" si="54"/>
        <v>2576.7161799125724</v>
      </c>
      <c r="AM110" s="28"/>
      <c r="AN110" s="28"/>
    </row>
    <row r="111" spans="1:40" x14ac:dyDescent="0.25">
      <c r="A111" t="s">
        <v>38</v>
      </c>
      <c r="B111">
        <v>5306.56</v>
      </c>
      <c r="C111">
        <f t="shared" ref="C111:AL111" si="55">B111*C26/B26</f>
        <v>5081.4673170731712</v>
      </c>
      <c r="D111">
        <f t="shared" si="55"/>
        <v>5054.5812465261952</v>
      </c>
      <c r="E111">
        <f t="shared" si="55"/>
        <v>5033.7662241480202</v>
      </c>
      <c r="F111">
        <f t="shared" si="55"/>
        <v>5058.9177093296885</v>
      </c>
      <c r="G111">
        <f t="shared" si="55"/>
        <v>5097.0785834426324</v>
      </c>
      <c r="H111">
        <f t="shared" si="55"/>
        <v>5166.4619909904914</v>
      </c>
      <c r="I111">
        <f t="shared" si="55"/>
        <v>5130.9029944916319</v>
      </c>
      <c r="J111">
        <f t="shared" si="55"/>
        <v>5117.0263128784536</v>
      </c>
      <c r="K111">
        <f t="shared" si="55"/>
        <v>5153.4526017980397</v>
      </c>
      <c r="L111">
        <f t="shared" si="55"/>
        <v>5182.0732573586465</v>
      </c>
      <c r="M111">
        <f t="shared" si="55"/>
        <v>5215.8976684909312</v>
      </c>
      <c r="N111">
        <f t="shared" si="55"/>
        <v>5192.4807683298895</v>
      </c>
      <c r="O111">
        <f t="shared" si="55"/>
        <v>5187.2770126711794</v>
      </c>
      <c r="P111">
        <f t="shared" si="55"/>
        <v>5120.4954827451256</v>
      </c>
      <c r="Q111">
        <f t="shared" si="55"/>
        <v>5100.5477529664695</v>
      </c>
      <c r="R111">
        <f t="shared" si="55"/>
        <v>5006.0128599935151</v>
      </c>
      <c r="S111">
        <f t="shared" si="55"/>
        <v>4912.3452596174693</v>
      </c>
      <c r="T111">
        <f t="shared" si="55"/>
        <v>4861.1749964106284</v>
      </c>
      <c r="U111">
        <f t="shared" si="55"/>
        <v>4764.9055182521861</v>
      </c>
      <c r="V111">
        <f t="shared" si="55"/>
        <v>4668.6360400954954</v>
      </c>
      <c r="W111">
        <f t="shared" si="55"/>
        <v>4570.6319767501764</v>
      </c>
      <c r="X111">
        <f t="shared" si="55"/>
        <v>4519.4617135471017</v>
      </c>
      <c r="Y111">
        <f t="shared" si="55"/>
        <v>4469.1587429401852</v>
      </c>
      <c r="Z111">
        <f t="shared" si="55"/>
        <v>4418.8557723342437</v>
      </c>
      <c r="AA111">
        <f t="shared" si="55"/>
        <v>4369.4200943244314</v>
      </c>
      <c r="AB111">
        <f t="shared" si="55"/>
        <v>4319.1171237204753</v>
      </c>
      <c r="AC111">
        <f t="shared" si="55"/>
        <v>4269.6814457126366</v>
      </c>
      <c r="AD111">
        <f t="shared" si="55"/>
        <v>4220.2457677058028</v>
      </c>
      <c r="AE111">
        <f t="shared" si="55"/>
        <v>4169.9427971049136</v>
      </c>
      <c r="AF111">
        <f t="shared" si="55"/>
        <v>4120.5071191001234</v>
      </c>
      <c r="AG111">
        <f t="shared" si="55"/>
        <v>4071.0714410963742</v>
      </c>
      <c r="AH111">
        <f t="shared" si="55"/>
        <v>4022.2185838032183</v>
      </c>
      <c r="AI111">
        <f t="shared" si="55"/>
        <v>3973.9519607975794</v>
      </c>
      <c r="AJ111">
        <f t="shared" si="55"/>
        <v>3926.2645372680086</v>
      </c>
      <c r="AK111">
        <f t="shared" si="55"/>
        <v>3879.1493628207932</v>
      </c>
      <c r="AL111">
        <f t="shared" si="55"/>
        <v>3832.599570466944</v>
      </c>
      <c r="AM111" s="28"/>
      <c r="AN111" s="28"/>
    </row>
    <row r="112" spans="1:40" x14ac:dyDescent="0.25">
      <c r="A112" t="s">
        <v>177</v>
      </c>
      <c r="B112">
        <v>192.87</v>
      </c>
      <c r="C112">
        <f t="shared" ref="C112:AL112" si="56">B112*C27/B27</f>
        <v>146.21713788514691</v>
      </c>
      <c r="D112">
        <f t="shared" si="56"/>
        <v>186.22951331313547</v>
      </c>
      <c r="E112">
        <f t="shared" si="56"/>
        <v>190.16036678748375</v>
      </c>
      <c r="F112">
        <f t="shared" si="56"/>
        <v>190.49273967970103</v>
      </c>
      <c r="G112">
        <f t="shared" si="56"/>
        <v>192.43717331933644</v>
      </c>
      <c r="H112">
        <f t="shared" si="56"/>
        <v>194.51165568446629</v>
      </c>
      <c r="I112">
        <f t="shared" si="56"/>
        <v>197.57777054344928</v>
      </c>
      <c r="J112">
        <f t="shared" si="56"/>
        <v>201.04408136066522</v>
      </c>
      <c r="K112">
        <f t="shared" si="56"/>
        <v>204.83986720311933</v>
      </c>
      <c r="L112">
        <f t="shared" si="56"/>
        <v>209.62277628681204</v>
      </c>
      <c r="M112">
        <f t="shared" si="56"/>
        <v>215.44310160432028</v>
      </c>
      <c r="N112">
        <f t="shared" si="56"/>
        <v>222.33400716828834</v>
      </c>
      <c r="O112">
        <f t="shared" si="56"/>
        <v>229.53425328357963</v>
      </c>
      <c r="P112">
        <f t="shared" si="56"/>
        <v>237.36776853477099</v>
      </c>
      <c r="Q112">
        <f t="shared" si="56"/>
        <v>246.1479034191465</v>
      </c>
      <c r="R112">
        <f t="shared" si="56"/>
        <v>255.68474943364222</v>
      </c>
      <c r="S112">
        <f t="shared" si="56"/>
        <v>265.77180856804119</v>
      </c>
      <c r="T112">
        <f t="shared" si="56"/>
        <v>276.34775293442408</v>
      </c>
      <c r="U112">
        <f t="shared" si="56"/>
        <v>287.554236680656</v>
      </c>
      <c r="V112">
        <f t="shared" si="56"/>
        <v>298.92865234738048</v>
      </c>
      <c r="W112">
        <f t="shared" si="56"/>
        <v>310.35030315563364</v>
      </c>
      <c r="X112">
        <f t="shared" si="56"/>
        <v>322.13254560165569</v>
      </c>
      <c r="Y112">
        <f t="shared" si="56"/>
        <v>333.74330489116528</v>
      </c>
      <c r="Z112">
        <f t="shared" si="56"/>
        <v>345.78756635331069</v>
      </c>
      <c r="AA112">
        <f t="shared" si="56"/>
        <v>358.41599218422141</v>
      </c>
      <c r="AB112">
        <f t="shared" si="56"/>
        <v>371.67727384992588</v>
      </c>
      <c r="AC112">
        <f t="shared" si="56"/>
        <v>385.60774682661327</v>
      </c>
      <c r="AD112">
        <f t="shared" si="56"/>
        <v>399.30181920662022</v>
      </c>
      <c r="AE112">
        <f t="shared" si="56"/>
        <v>413.67686490706183</v>
      </c>
      <c r="AF112">
        <f t="shared" si="56"/>
        <v>429.08547587779145</v>
      </c>
      <c r="AG112">
        <f t="shared" si="56"/>
        <v>445.4074880771114</v>
      </c>
      <c r="AH112">
        <f t="shared" si="56"/>
        <v>461.49279644669349</v>
      </c>
      <c r="AI112">
        <f t="shared" si="56"/>
        <v>477.27540365170444</v>
      </c>
      <c r="AJ112">
        <f t="shared" si="56"/>
        <v>492.68855933099917</v>
      </c>
      <c r="AK112">
        <f t="shared" si="56"/>
        <v>507.66517908142265</v>
      </c>
      <c r="AL112">
        <f t="shared" si="56"/>
        <v>522.1383164737739</v>
      </c>
      <c r="AM112" s="28"/>
      <c r="AN112" s="28"/>
    </row>
    <row r="113" spans="1:40" x14ac:dyDescent="0.25">
      <c r="A113" t="s">
        <v>178</v>
      </c>
      <c r="B113">
        <v>15.43</v>
      </c>
      <c r="C113">
        <f t="shared" ref="C113:AL113" si="57">B113*C28/B28</f>
        <v>14.62441767068273</v>
      </c>
      <c r="D113">
        <f t="shared" si="57"/>
        <v>14.898747293107691</v>
      </c>
      <c r="E113">
        <f t="shared" si="57"/>
        <v>15.213223723393348</v>
      </c>
      <c r="F113">
        <f t="shared" si="57"/>
        <v>15.239814244090772</v>
      </c>
      <c r="G113">
        <f t="shared" si="57"/>
        <v>15.395372967892163</v>
      </c>
      <c r="H113">
        <f t="shared" si="57"/>
        <v>15.561335859445817</v>
      </c>
      <c r="I113">
        <f t="shared" si="57"/>
        <v>15.806631407089865</v>
      </c>
      <c r="J113">
        <f t="shared" si="57"/>
        <v>16.083943461373281</v>
      </c>
      <c r="K113">
        <f t="shared" si="57"/>
        <v>16.387614200985798</v>
      </c>
      <c r="L113">
        <f t="shared" si="57"/>
        <v>16.770256847127644</v>
      </c>
      <c r="M113">
        <f t="shared" si="57"/>
        <v>17.235894943509415</v>
      </c>
      <c r="N113">
        <f t="shared" si="57"/>
        <v>17.787181679922686</v>
      </c>
      <c r="O113">
        <f t="shared" si="57"/>
        <v>18.363216301994257</v>
      </c>
      <c r="P113">
        <f t="shared" si="57"/>
        <v>18.989913768297377</v>
      </c>
      <c r="Q113">
        <f t="shared" si="57"/>
        <v>19.692342768483584</v>
      </c>
      <c r="R113">
        <f t="shared" si="57"/>
        <v>20.455310228449722</v>
      </c>
      <c r="S113">
        <f t="shared" si="57"/>
        <v>21.262295879114813</v>
      </c>
      <c r="T113">
        <f t="shared" si="57"/>
        <v>22.108393362255207</v>
      </c>
      <c r="U113">
        <f t="shared" si="57"/>
        <v>23.004935303481727</v>
      </c>
      <c r="V113">
        <f t="shared" si="57"/>
        <v>23.914912146627671</v>
      </c>
      <c r="W113">
        <f t="shared" si="57"/>
        <v>24.828667899058562</v>
      </c>
      <c r="X113">
        <f t="shared" si="57"/>
        <v>25.771271730354872</v>
      </c>
      <c r="Y113">
        <f t="shared" si="57"/>
        <v>26.70015655348513</v>
      </c>
      <c r="Z113">
        <f t="shared" si="57"/>
        <v>27.663722449481938</v>
      </c>
      <c r="AA113">
        <f t="shared" si="57"/>
        <v>28.674022706499372</v>
      </c>
      <c r="AB113">
        <f t="shared" si="57"/>
        <v>29.734952742802683</v>
      </c>
      <c r="AC113">
        <f t="shared" si="57"/>
        <v>30.849419471844445</v>
      </c>
      <c r="AD113">
        <f t="shared" si="57"/>
        <v>31.944973662872119</v>
      </c>
      <c r="AE113">
        <f t="shared" si="57"/>
        <v>33.095007131829512</v>
      </c>
      <c r="AF113">
        <f t="shared" si="57"/>
        <v>34.327727965957983</v>
      </c>
      <c r="AG113">
        <f t="shared" si="57"/>
        <v>35.633522792709201</v>
      </c>
      <c r="AH113">
        <f t="shared" si="57"/>
        <v>36.920380822172831</v>
      </c>
      <c r="AI113">
        <f t="shared" si="57"/>
        <v>38.183022130687988</v>
      </c>
      <c r="AJ113">
        <f t="shared" si="57"/>
        <v>39.416106550927104</v>
      </c>
      <c r="AK113">
        <f t="shared" si="57"/>
        <v>40.614267191509015</v>
      </c>
      <c r="AL113">
        <f t="shared" si="57"/>
        <v>41.772148199255078</v>
      </c>
      <c r="AM113" s="28"/>
      <c r="AN113" s="28"/>
    </row>
    <row r="114" spans="1:40" x14ac:dyDescent="0.25">
      <c r="A114" t="s">
        <v>182</v>
      </c>
      <c r="B114">
        <v>1</v>
      </c>
      <c r="C114">
        <f t="shared" ref="C114:AL114" si="58">B114*C29/B29</f>
        <v>1</v>
      </c>
      <c r="D114">
        <f t="shared" si="58"/>
        <v>0.96557014213270842</v>
      </c>
      <c r="E114">
        <f t="shared" si="58"/>
        <v>0.98595098661006764</v>
      </c>
      <c r="F114">
        <f t="shared" si="58"/>
        <v>0.98767428672007584</v>
      </c>
      <c r="G114">
        <f t="shared" si="58"/>
        <v>0.99775586311679587</v>
      </c>
      <c r="H114">
        <f t="shared" si="58"/>
        <v>1.0085117212861836</v>
      </c>
      <c r="I114">
        <f t="shared" si="58"/>
        <v>1.0244090348081571</v>
      </c>
      <c r="J114">
        <f t="shared" si="58"/>
        <v>1.0423813001538094</v>
      </c>
      <c r="K114">
        <f t="shared" si="58"/>
        <v>1.0620618406342059</v>
      </c>
      <c r="L114">
        <f t="shared" si="58"/>
        <v>1.0868604567159847</v>
      </c>
      <c r="M114">
        <f t="shared" si="58"/>
        <v>1.1170379094951013</v>
      </c>
      <c r="N114">
        <f t="shared" si="58"/>
        <v>1.1527661490552614</v>
      </c>
      <c r="O114">
        <f t="shared" si="58"/>
        <v>1.1900982697339115</v>
      </c>
      <c r="P114">
        <f t="shared" si="58"/>
        <v>1.2307137892610094</v>
      </c>
      <c r="Q114">
        <f t="shared" si="58"/>
        <v>1.2762373796813726</v>
      </c>
      <c r="R114">
        <f t="shared" si="58"/>
        <v>1.3256843958813815</v>
      </c>
      <c r="S114">
        <f t="shared" si="58"/>
        <v>1.3779841788149583</v>
      </c>
      <c r="T114">
        <f t="shared" si="58"/>
        <v>1.4328187532245755</v>
      </c>
      <c r="U114">
        <f t="shared" si="58"/>
        <v>1.4909225731355618</v>
      </c>
      <c r="V114">
        <f t="shared" si="58"/>
        <v>1.5498970931061351</v>
      </c>
      <c r="W114">
        <f t="shared" si="58"/>
        <v>1.6091165197056743</v>
      </c>
      <c r="X114">
        <f t="shared" si="58"/>
        <v>1.6702055560826228</v>
      </c>
      <c r="Y114">
        <f t="shared" si="58"/>
        <v>1.7304054798110904</v>
      </c>
      <c r="Z114">
        <f t="shared" si="58"/>
        <v>1.7928530427402414</v>
      </c>
      <c r="AA114">
        <f t="shared" si="58"/>
        <v>1.858329404180127</v>
      </c>
      <c r="AB114">
        <f t="shared" si="58"/>
        <v>1.9270870215685465</v>
      </c>
      <c r="AC114">
        <f t="shared" si="58"/>
        <v>1.999314288518758</v>
      </c>
      <c r="AD114">
        <f t="shared" si="58"/>
        <v>2.0703158563105708</v>
      </c>
      <c r="AE114">
        <f t="shared" si="58"/>
        <v>2.1448481614925154</v>
      </c>
      <c r="AF114">
        <f t="shared" si="58"/>
        <v>2.2247393367438741</v>
      </c>
      <c r="AG114">
        <f t="shared" si="58"/>
        <v>2.3093663507912634</v>
      </c>
      <c r="AH114">
        <f t="shared" si="58"/>
        <v>2.3927660934655108</v>
      </c>
      <c r="AI114">
        <f t="shared" si="58"/>
        <v>2.4745963791761496</v>
      </c>
      <c r="AJ114">
        <f t="shared" si="58"/>
        <v>2.5545111180121256</v>
      </c>
      <c r="AK114">
        <f t="shared" si="58"/>
        <v>2.6321624881081669</v>
      </c>
      <c r="AL114">
        <f t="shared" si="58"/>
        <v>2.7072033829718123</v>
      </c>
      <c r="AM114" s="28"/>
      <c r="AN114" s="28"/>
    </row>
    <row r="115" spans="1:40" x14ac:dyDescent="0.25">
      <c r="A115" t="s">
        <v>183</v>
      </c>
      <c r="B115">
        <v>0.25</v>
      </c>
      <c r="C115">
        <f t="shared" ref="C115:AL115" si="59">B115*C30/B30</f>
        <v>0.25</v>
      </c>
      <c r="D115">
        <f t="shared" si="59"/>
        <v>0.24139253553317708</v>
      </c>
      <c r="E115">
        <f t="shared" si="59"/>
        <v>0.24648774665251694</v>
      </c>
      <c r="F115">
        <f t="shared" si="59"/>
        <v>0.24691857168001896</v>
      </c>
      <c r="G115">
        <f t="shared" si="59"/>
        <v>0.24943896577919897</v>
      </c>
      <c r="H115">
        <f t="shared" si="59"/>
        <v>0.2521279303215459</v>
      </c>
      <c r="I115">
        <f t="shared" si="59"/>
        <v>0.25610225870203929</v>
      </c>
      <c r="J115">
        <f t="shared" si="59"/>
        <v>0.26059532503845234</v>
      </c>
      <c r="K115">
        <f t="shared" si="59"/>
        <v>0.26551546015855154</v>
      </c>
      <c r="L115">
        <f t="shared" si="59"/>
        <v>0.27171511417899624</v>
      </c>
      <c r="M115">
        <f t="shared" si="59"/>
        <v>0.27925947737377543</v>
      </c>
      <c r="N115">
        <f t="shared" si="59"/>
        <v>0.28819153726381547</v>
      </c>
      <c r="O115">
        <f t="shared" si="59"/>
        <v>0.29752456743347799</v>
      </c>
      <c r="P115">
        <f t="shared" si="59"/>
        <v>0.30767844731525251</v>
      </c>
      <c r="Q115">
        <f t="shared" si="59"/>
        <v>0.31905934492034332</v>
      </c>
      <c r="R115">
        <f t="shared" si="59"/>
        <v>0.33142109897034555</v>
      </c>
      <c r="S115">
        <f t="shared" si="59"/>
        <v>0.34449604470373973</v>
      </c>
      <c r="T115">
        <f t="shared" si="59"/>
        <v>0.35820468830614405</v>
      </c>
      <c r="U115">
        <f t="shared" si="59"/>
        <v>0.37273064328389066</v>
      </c>
      <c r="V115">
        <f t="shared" si="59"/>
        <v>0.38747427327653394</v>
      </c>
      <c r="W115">
        <f t="shared" si="59"/>
        <v>0.40227912992641868</v>
      </c>
      <c r="X115">
        <f t="shared" si="59"/>
        <v>0.41755138902065581</v>
      </c>
      <c r="Y115">
        <f t="shared" si="59"/>
        <v>0.43260136995277276</v>
      </c>
      <c r="Z115">
        <f t="shared" si="59"/>
        <v>0.44821326068506062</v>
      </c>
      <c r="AA115">
        <f t="shared" si="59"/>
        <v>0.46458235104503193</v>
      </c>
      <c r="AB115">
        <f t="shared" si="59"/>
        <v>0.48177175539213679</v>
      </c>
      <c r="AC115">
        <f t="shared" si="59"/>
        <v>0.49982857212968973</v>
      </c>
      <c r="AD115">
        <f t="shared" si="59"/>
        <v>0.51757896407764292</v>
      </c>
      <c r="AE115">
        <f t="shared" si="59"/>
        <v>0.53621204037312897</v>
      </c>
      <c r="AF115">
        <f t="shared" si="59"/>
        <v>0.55618483418596876</v>
      </c>
      <c r="AG115">
        <f t="shared" si="59"/>
        <v>0.57734158769781607</v>
      </c>
      <c r="AH115">
        <f t="shared" si="59"/>
        <v>0.59819152336637793</v>
      </c>
      <c r="AI115">
        <f t="shared" si="59"/>
        <v>0.61864909479403762</v>
      </c>
      <c r="AJ115">
        <f t="shared" si="59"/>
        <v>0.63862777950303173</v>
      </c>
      <c r="AK115">
        <f t="shared" si="59"/>
        <v>0.65804062202704205</v>
      </c>
      <c r="AL115">
        <f t="shared" si="59"/>
        <v>0.67680084574295352</v>
      </c>
      <c r="AM115" s="28"/>
      <c r="AN115" s="28"/>
    </row>
  </sheetData>
  <dataValidations count="1">
    <dataValidation type="list" allowBlank="1" showInputMessage="1" showErrorMessage="1" sqref="C3" xr:uid="{87A59576-404A-41A6-9C82-DD1E65834A6E}">
      <formula1>$A$4:$A$5</formula1>
    </dataValidation>
  </dataValidations>
  <hyperlinks>
    <hyperlink ref="L47" r:id="rId1" xr:uid="{7B7C5118-FF9B-444C-8D0C-88D94D2EBB5E}"/>
  </hyperlinks>
  <pageMargins left="0.7" right="0.7" top="0.75" bottom="0.75" header="0.3" footer="0.3"/>
  <pageSetup orientation="portrait" horizontalDpi="300" verticalDpi="30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5"/>
  <sheetViews>
    <sheetView workbookViewId="0">
      <selection activeCell="C10" sqref="C10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45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46</v>
      </c>
      <c r="C8" t="str">
        <f>"Drivers!"&amp;ADDRESS(ROW(Drivers!A34),COLUMN(Drivers!A34),4)</f>
        <v>Drivers!A34</v>
      </c>
      <c r="E8">
        <v>1</v>
      </c>
    </row>
    <row r="9" spans="1:6" x14ac:dyDescent="0.25">
      <c r="A9" t="s">
        <v>4</v>
      </c>
      <c r="B9" t="s">
        <v>248</v>
      </c>
      <c r="C9" t="str">
        <f>"Drivers!"&amp;ADDRESS(ROW(Drivers!A38),COLUMN(Drivers!A38),4)</f>
        <v>Drivers!A38</v>
      </c>
      <c r="E9">
        <v>1</v>
      </c>
    </row>
    <row r="10" spans="1:6" x14ac:dyDescent="0.25">
      <c r="A10" t="s">
        <v>4</v>
      </c>
      <c r="B10" t="s">
        <v>238</v>
      </c>
      <c r="C10" t="str">
        <f>"Drivers!"&amp;ADDRESS(ROW(Drivers!A43),COLUMN(Drivers!A43),4)</f>
        <v>Drivers!A43</v>
      </c>
      <c r="E10">
        <v>1</v>
      </c>
    </row>
    <row r="11" spans="1:6" x14ac:dyDescent="0.25">
      <c r="A11" t="s">
        <v>4</v>
      </c>
      <c r="B11" t="s">
        <v>68</v>
      </c>
      <c r="C11" t="str">
        <f>"Drivers!"&amp;ADDRESS(ROW(Drivers!A54),COLUMN(Drivers!A54),4)</f>
        <v>Drivers!A54</v>
      </c>
      <c r="D11">
        <v>1</v>
      </c>
      <c r="E11">
        <v>1</v>
      </c>
    </row>
    <row r="12" spans="1:6" x14ac:dyDescent="0.25">
      <c r="A12" t="s">
        <v>4</v>
      </c>
      <c r="B12" t="s">
        <v>13</v>
      </c>
      <c r="C12" t="str">
        <f>"Drivers!"&amp;ADDRESS(ROW(Drivers!A61),COLUMN(Drivers!A61),4)</f>
        <v>Drivers!A61</v>
      </c>
      <c r="E12">
        <v>1</v>
      </c>
    </row>
    <row r="13" spans="1:6" x14ac:dyDescent="0.25">
      <c r="A13" t="s">
        <v>3</v>
      </c>
      <c r="B13" t="s">
        <v>17</v>
      </c>
      <c r="C13" t="str">
        <f>"Drivers!"&amp;ADDRESS(ROW(Drivers!A66),COLUMN(Drivers!A66),4)</f>
        <v>Drivers!A66</v>
      </c>
      <c r="D13">
        <v>2</v>
      </c>
      <c r="E13">
        <v>1</v>
      </c>
    </row>
    <row r="14" spans="1:6" x14ac:dyDescent="0.25">
      <c r="A14" t="s">
        <v>4</v>
      </c>
      <c r="B14" t="s">
        <v>180</v>
      </c>
      <c r="C14" t="str">
        <f>"Drivers!"&amp;ADDRESS(ROW(Drivers!A85),COLUMN(Drivers!A85),4)</f>
        <v>Drivers!A85</v>
      </c>
      <c r="D14">
        <v>1</v>
      </c>
      <c r="E14">
        <v>1</v>
      </c>
    </row>
    <row r="15" spans="1:6" x14ac:dyDescent="0.25">
      <c r="A15" t="s">
        <v>4</v>
      </c>
      <c r="B15" t="s">
        <v>236</v>
      </c>
      <c r="C15" t="str">
        <f>"Drivers!"&amp;ADDRESS(ROW(Drivers!A94),COLUMN(Drivers!A94),4)</f>
        <v>Drivers!A94</v>
      </c>
      <c r="D15">
        <v>1</v>
      </c>
      <c r="E15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sheetPr codeName="Sheet3"/>
  <dimension ref="A6:F15"/>
  <sheetViews>
    <sheetView workbookViewId="0">
      <selection activeCell="M7" sqref="M7"/>
    </sheetView>
  </sheetViews>
  <sheetFormatPr defaultRowHeight="15" x14ac:dyDescent="0.25"/>
  <cols>
    <col min="3" max="3" width="17.425781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  <row r="15" spans="1:6" x14ac:dyDescent="0.25">
      <c r="A15" t="s">
        <v>4</v>
      </c>
      <c r="B15" t="s">
        <v>180</v>
      </c>
      <c r="C15" t="s">
        <v>181</v>
      </c>
      <c r="D15">
        <v>1</v>
      </c>
      <c r="E1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sheetPr codeName="Sheet4"/>
  <dimension ref="A1:AQ328"/>
  <sheetViews>
    <sheetView topLeftCell="A89" zoomScale="70" zoomScaleNormal="70" workbookViewId="0">
      <selection activeCell="J113" sqref="J113"/>
    </sheetView>
  </sheetViews>
  <sheetFormatPr defaultRowHeight="15" x14ac:dyDescent="0.25"/>
  <cols>
    <col min="2" max="2" width="13.5703125" customWidth="1"/>
    <col min="3" max="21" width="10.7109375" bestFit="1" customWidth="1"/>
    <col min="22" max="40" width="11.5703125" bestFit="1" customWidth="1"/>
  </cols>
  <sheetData>
    <row r="1" spans="1:43" x14ac:dyDescent="0.25">
      <c r="A1" s="20" t="s">
        <v>134</v>
      </c>
      <c r="B1" s="2" t="s">
        <v>136</v>
      </c>
    </row>
    <row r="2" spans="1:43" ht="18" thickBot="1" x14ac:dyDescent="0.35">
      <c r="A2" s="23" t="s">
        <v>142</v>
      </c>
      <c r="B2" s="4"/>
      <c r="C2" s="4"/>
      <c r="D2" s="4"/>
      <c r="AQ2" s="20" t="s">
        <v>140</v>
      </c>
    </row>
    <row r="3" spans="1:43" ht="15.75" thickTop="1" x14ac:dyDescent="0.25">
      <c r="B3">
        <v>2019</v>
      </c>
      <c r="C3">
        <v>2020</v>
      </c>
      <c r="D3">
        <v>2021</v>
      </c>
      <c r="E3">
        <v>2022</v>
      </c>
      <c r="F3">
        <v>2023</v>
      </c>
      <c r="G3">
        <v>2024</v>
      </c>
      <c r="H3">
        <v>2025</v>
      </c>
      <c r="I3">
        <v>2026</v>
      </c>
      <c r="J3">
        <v>2027</v>
      </c>
      <c r="K3">
        <v>2028</v>
      </c>
      <c r="L3">
        <v>2029</v>
      </c>
      <c r="M3">
        <v>2030</v>
      </c>
      <c r="N3">
        <v>2031</v>
      </c>
      <c r="O3">
        <v>2032</v>
      </c>
      <c r="P3">
        <v>2033</v>
      </c>
      <c r="Q3">
        <v>2034</v>
      </c>
      <c r="R3">
        <v>2035</v>
      </c>
      <c r="S3">
        <v>2036</v>
      </c>
      <c r="T3">
        <v>2037</v>
      </c>
      <c r="U3">
        <v>2038</v>
      </c>
      <c r="V3">
        <v>2039</v>
      </c>
      <c r="W3">
        <v>2040</v>
      </c>
      <c r="X3">
        <v>2041</v>
      </c>
      <c r="Y3">
        <v>2042</v>
      </c>
      <c r="Z3">
        <v>2043</v>
      </c>
      <c r="AA3">
        <v>2044</v>
      </c>
      <c r="AB3">
        <v>2045</v>
      </c>
      <c r="AC3">
        <v>2046</v>
      </c>
      <c r="AD3">
        <v>2047</v>
      </c>
      <c r="AE3">
        <v>2048</v>
      </c>
      <c r="AF3">
        <v>2049</v>
      </c>
      <c r="AG3">
        <v>2050</v>
      </c>
      <c r="AQ3" t="s">
        <v>136</v>
      </c>
    </row>
    <row r="4" spans="1:43" x14ac:dyDescent="0.25">
      <c r="A4" s="3" t="s">
        <v>21</v>
      </c>
      <c r="B4" s="17">
        <f t="shared" ref="B4:AG4" si="0">IF($B$1="Reference",B40,B78)</f>
        <v>2742.6992888923501</v>
      </c>
      <c r="C4" s="17">
        <f t="shared" si="0"/>
        <v>2623.892630430013</v>
      </c>
      <c r="D4" s="17">
        <f t="shared" si="0"/>
        <v>2713.0909549858625</v>
      </c>
      <c r="E4" s="17">
        <f t="shared" si="0"/>
        <v>2802.21394205561</v>
      </c>
      <c r="F4" s="17">
        <f t="shared" si="0"/>
        <v>2823.8763171447204</v>
      </c>
      <c r="G4" s="17">
        <f t="shared" si="0"/>
        <v>2865.839763515025</v>
      </c>
      <c r="H4" s="17">
        <f t="shared" si="0"/>
        <v>2903.5765502969043</v>
      </c>
      <c r="I4" s="17">
        <f t="shared" si="0"/>
        <v>2949.6153150084137</v>
      </c>
      <c r="J4" s="17">
        <f t="shared" si="0"/>
        <v>3001.6719500488425</v>
      </c>
      <c r="K4" s="17">
        <f t="shared" si="0"/>
        <v>3072.4313263795839</v>
      </c>
      <c r="L4" s="17">
        <f t="shared" si="0"/>
        <v>3148.1774393760693</v>
      </c>
      <c r="M4" s="17">
        <f t="shared" si="0"/>
        <v>3239.0447618780399</v>
      </c>
      <c r="N4" s="17">
        <f t="shared" si="0"/>
        <v>3342.4114996273343</v>
      </c>
      <c r="O4" s="17">
        <f t="shared" si="0"/>
        <v>3450.0848198399458</v>
      </c>
      <c r="P4" s="17">
        <f t="shared" si="0"/>
        <v>3566.2225931357234</v>
      </c>
      <c r="Q4" s="17">
        <f t="shared" si="0"/>
        <v>3696.6545640464865</v>
      </c>
      <c r="R4" s="17">
        <f t="shared" si="0"/>
        <v>3831.1547614879955</v>
      </c>
      <c r="S4" s="17">
        <f t="shared" si="0"/>
        <v>3980.8300304213626</v>
      </c>
      <c r="T4" s="17">
        <f t="shared" si="0"/>
        <v>4140.6801768937266</v>
      </c>
      <c r="U4" s="17">
        <f t="shared" si="0"/>
        <v>4299.3385448416921</v>
      </c>
      <c r="V4" s="17">
        <f t="shared" si="0"/>
        <v>4459.7399124601388</v>
      </c>
      <c r="W4" s="17">
        <f t="shared" si="0"/>
        <v>4621.1993602487619</v>
      </c>
      <c r="X4" s="17">
        <f t="shared" si="0"/>
        <v>4793.0276020669698</v>
      </c>
      <c r="Y4" s="17">
        <f t="shared" si="0"/>
        <v>4959.7505853127068</v>
      </c>
      <c r="Z4" s="17">
        <f t="shared" si="0"/>
        <v>5129.5317125086531</v>
      </c>
      <c r="AA4" s="17">
        <f t="shared" si="0"/>
        <v>5308.2323817134811</v>
      </c>
      <c r="AB4" s="17">
        <f t="shared" si="0"/>
        <v>5498.3524736868612</v>
      </c>
      <c r="AC4" s="17">
        <f t="shared" si="0"/>
        <v>5699.9241069457121</v>
      </c>
      <c r="AD4" s="17">
        <f t="shared" si="0"/>
        <v>5919.3237968615076</v>
      </c>
      <c r="AE4" s="17">
        <f t="shared" si="0"/>
        <v>6154.1807199499617</v>
      </c>
      <c r="AF4" s="17">
        <f t="shared" si="0"/>
        <v>6409.7360940906492</v>
      </c>
      <c r="AG4" s="17">
        <f t="shared" si="0"/>
        <v>6683.3748805517698</v>
      </c>
      <c r="AH4" s="17"/>
      <c r="AI4" s="17"/>
      <c r="AJ4" s="17"/>
      <c r="AK4" s="17"/>
      <c r="AL4" s="17"/>
      <c r="AM4" s="17"/>
      <c r="AN4" s="17"/>
      <c r="AQ4" t="s">
        <v>135</v>
      </c>
    </row>
    <row r="5" spans="1:43" x14ac:dyDescent="0.25">
      <c r="A5" s="3" t="s">
        <v>70</v>
      </c>
      <c r="B5" s="17">
        <f t="shared" ref="B5:AG5" si="1">IF($B$1="Reference",B41,B79)</f>
        <v>102.77045496481313</v>
      </c>
      <c r="C5" s="17">
        <f t="shared" si="1"/>
        <v>105.71698219013261</v>
      </c>
      <c r="D5" s="17">
        <f t="shared" si="1"/>
        <v>114.1821084403482</v>
      </c>
      <c r="E5" s="17">
        <f t="shared" si="1"/>
        <v>108.7750099366377</v>
      </c>
      <c r="F5" s="17">
        <f t="shared" si="1"/>
        <v>106.71540830460093</v>
      </c>
      <c r="G5" s="17">
        <f t="shared" si="1"/>
        <v>105.67844787815569</v>
      </c>
      <c r="H5" s="17">
        <f t="shared" si="1"/>
        <v>107.43134129975681</v>
      </c>
      <c r="I5" s="17">
        <f t="shared" si="1"/>
        <v>108.54476976700271</v>
      </c>
      <c r="J5" s="17">
        <f t="shared" si="1"/>
        <v>109.94769520561633</v>
      </c>
      <c r="K5" s="17">
        <f t="shared" si="1"/>
        <v>112.25077081245851</v>
      </c>
      <c r="L5" s="17">
        <f t="shared" si="1"/>
        <v>114.69356298435909</v>
      </c>
      <c r="M5" s="17">
        <f t="shared" si="1"/>
        <v>117.89535972773864</v>
      </c>
      <c r="N5" s="17">
        <f t="shared" si="1"/>
        <v>121.15844978097707</v>
      </c>
      <c r="O5" s="17">
        <f t="shared" si="1"/>
        <v>124.11861511306854</v>
      </c>
      <c r="P5" s="17">
        <f t="shared" si="1"/>
        <v>127.09995826376888</v>
      </c>
      <c r="Q5" s="17">
        <f t="shared" si="1"/>
        <v>130.39994063312241</v>
      </c>
      <c r="R5" s="17">
        <f t="shared" si="1"/>
        <v>133.53741441429383</v>
      </c>
      <c r="S5" s="17">
        <f t="shared" si="1"/>
        <v>136.99913677199982</v>
      </c>
      <c r="T5" s="17">
        <f t="shared" si="1"/>
        <v>140.5523711747764</v>
      </c>
      <c r="U5" s="17">
        <f t="shared" si="1"/>
        <v>143.82759086829512</v>
      </c>
      <c r="V5" s="17">
        <f t="shared" si="1"/>
        <v>146.82661597480296</v>
      </c>
      <c r="W5" s="17">
        <f t="shared" si="1"/>
        <v>149.89809145224035</v>
      </c>
      <c r="X5" s="17">
        <f t="shared" si="1"/>
        <v>153.56547844367361</v>
      </c>
      <c r="Y5" s="17">
        <f t="shared" si="1"/>
        <v>156.85087639842584</v>
      </c>
      <c r="Z5" s="17">
        <f t="shared" si="1"/>
        <v>159.98382492128428</v>
      </c>
      <c r="AA5" s="17">
        <f t="shared" si="1"/>
        <v>163.22142047312292</v>
      </c>
      <c r="AB5" s="17">
        <f t="shared" si="1"/>
        <v>166.58866132989297</v>
      </c>
      <c r="AC5" s="17">
        <f t="shared" si="1"/>
        <v>170.47356401398164</v>
      </c>
      <c r="AD5" s="17">
        <f t="shared" si="1"/>
        <v>174.86444007100488</v>
      </c>
      <c r="AE5" s="17">
        <f t="shared" si="1"/>
        <v>179.60818489040312</v>
      </c>
      <c r="AF5" s="17">
        <f t="shared" si="1"/>
        <v>184.7427969348181</v>
      </c>
      <c r="AG5" s="17">
        <f t="shared" si="1"/>
        <v>190.12630010948794</v>
      </c>
      <c r="AH5" s="17"/>
      <c r="AI5" s="17"/>
      <c r="AJ5" s="17"/>
      <c r="AK5" s="17"/>
      <c r="AL5" s="17"/>
      <c r="AM5" s="17"/>
      <c r="AN5" s="17"/>
    </row>
    <row r="6" spans="1:43" x14ac:dyDescent="0.25">
      <c r="A6" s="3" t="s">
        <v>23</v>
      </c>
      <c r="B6" s="17">
        <f t="shared" ref="B6:AG6" si="2">IF($B$1="Reference",B42,B80)</f>
        <v>197.32396542856375</v>
      </c>
      <c r="C6" s="17">
        <f t="shared" si="2"/>
        <v>183.81470141206364</v>
      </c>
      <c r="D6" s="17">
        <f t="shared" si="2"/>
        <v>218.05530488443134</v>
      </c>
      <c r="E6" s="17">
        <f t="shared" si="2"/>
        <v>192.39940186477057</v>
      </c>
      <c r="F6" s="17">
        <f t="shared" si="2"/>
        <v>196.89179566772691</v>
      </c>
      <c r="G6" s="17">
        <f t="shared" si="2"/>
        <v>198.22821319422218</v>
      </c>
      <c r="H6" s="17">
        <f t="shared" si="2"/>
        <v>200.02260700961921</v>
      </c>
      <c r="I6" s="17">
        <f t="shared" si="2"/>
        <v>204.43546991973164</v>
      </c>
      <c r="J6" s="17">
        <f t="shared" si="2"/>
        <v>207.5651349980763</v>
      </c>
      <c r="K6" s="17">
        <f t="shared" si="2"/>
        <v>210.4682981827435</v>
      </c>
      <c r="L6" s="17">
        <f t="shared" si="2"/>
        <v>214.99340529196695</v>
      </c>
      <c r="M6" s="17">
        <f t="shared" si="2"/>
        <v>219.43452426116801</v>
      </c>
      <c r="N6" s="17">
        <f t="shared" si="2"/>
        <v>224.04714305710638</v>
      </c>
      <c r="O6" s="17">
        <f t="shared" si="2"/>
        <v>228.62476549423491</v>
      </c>
      <c r="P6" s="17">
        <f t="shared" si="2"/>
        <v>233.35385846020296</v>
      </c>
      <c r="Q6" s="17">
        <f t="shared" si="2"/>
        <v>238.45331410159207</v>
      </c>
      <c r="R6" s="17">
        <f t="shared" si="2"/>
        <v>243.04643497422327</v>
      </c>
      <c r="S6" s="17">
        <f t="shared" si="2"/>
        <v>248.34231653736356</v>
      </c>
      <c r="T6" s="17">
        <f t="shared" si="2"/>
        <v>253.57044333730585</v>
      </c>
      <c r="U6" s="17">
        <f t="shared" si="2"/>
        <v>258.75460937761244</v>
      </c>
      <c r="V6" s="17">
        <f t="shared" si="2"/>
        <v>262.98297713785223</v>
      </c>
      <c r="W6" s="17">
        <f t="shared" si="2"/>
        <v>267.82850720424238</v>
      </c>
      <c r="X6" s="17">
        <f t="shared" si="2"/>
        <v>273.27716231620269</v>
      </c>
      <c r="Y6" s="17">
        <f t="shared" si="2"/>
        <v>277.5723173724503</v>
      </c>
      <c r="Z6" s="17">
        <f t="shared" si="2"/>
        <v>281.42208300125822</v>
      </c>
      <c r="AA6" s="17">
        <f t="shared" si="2"/>
        <v>285.39939720829489</v>
      </c>
      <c r="AB6" s="17">
        <f t="shared" si="2"/>
        <v>289.72187597975818</v>
      </c>
      <c r="AC6" s="17">
        <f t="shared" si="2"/>
        <v>295.23716628597259</v>
      </c>
      <c r="AD6" s="17">
        <f t="shared" si="2"/>
        <v>301.46102082054131</v>
      </c>
      <c r="AE6" s="17">
        <f t="shared" si="2"/>
        <v>308.32689376306001</v>
      </c>
      <c r="AF6" s="17">
        <f t="shared" si="2"/>
        <v>315.93028962428264</v>
      </c>
      <c r="AG6" s="17">
        <f t="shared" si="2"/>
        <v>324.20877615933455</v>
      </c>
      <c r="AH6" s="17"/>
      <c r="AI6" s="17"/>
      <c r="AJ6" s="17"/>
      <c r="AK6" s="17"/>
      <c r="AL6" s="17"/>
      <c r="AM6" s="17"/>
      <c r="AN6" s="17"/>
    </row>
    <row r="7" spans="1:43" x14ac:dyDescent="0.25">
      <c r="A7" s="3" t="s">
        <v>24</v>
      </c>
      <c r="B7" s="17">
        <f t="shared" ref="B7:AG7" si="3">IF($B$1="Reference",B43,B81)</f>
        <v>155.19916098390058</v>
      </c>
      <c r="C7" s="17">
        <f t="shared" si="3"/>
        <v>145.07481074537324</v>
      </c>
      <c r="D7" s="17">
        <f t="shared" si="3"/>
        <v>153.77810225780283</v>
      </c>
      <c r="E7" s="17">
        <f t="shared" si="3"/>
        <v>159.71214040717638</v>
      </c>
      <c r="F7" s="17">
        <f t="shared" si="3"/>
        <v>162.65060543295681</v>
      </c>
      <c r="G7" s="17">
        <f t="shared" si="3"/>
        <v>165.70026809424871</v>
      </c>
      <c r="H7" s="17">
        <f t="shared" si="3"/>
        <v>165.83357320023401</v>
      </c>
      <c r="I7" s="17">
        <f t="shared" si="3"/>
        <v>165.52718986779323</v>
      </c>
      <c r="J7" s="17">
        <f t="shared" si="3"/>
        <v>167.3591499536447</v>
      </c>
      <c r="K7" s="17">
        <f t="shared" si="3"/>
        <v>181.17017033752091</v>
      </c>
      <c r="L7" s="17">
        <f t="shared" si="3"/>
        <v>186.48787416880157</v>
      </c>
      <c r="M7" s="17">
        <f t="shared" si="3"/>
        <v>191.21685007653238</v>
      </c>
      <c r="N7" s="17">
        <f t="shared" si="3"/>
        <v>196.58835154109735</v>
      </c>
      <c r="O7" s="17">
        <f t="shared" si="3"/>
        <v>201.85077444419929</v>
      </c>
      <c r="P7" s="17">
        <f t="shared" si="3"/>
        <v>207.31611855134787</v>
      </c>
      <c r="Q7" s="17">
        <f t="shared" si="3"/>
        <v>213.33631951209929</v>
      </c>
      <c r="R7" s="17">
        <f t="shared" si="3"/>
        <v>219.02825486074909</v>
      </c>
      <c r="S7" s="17">
        <f t="shared" si="3"/>
        <v>225.55139328802949</v>
      </c>
      <c r="T7" s="17">
        <f t="shared" si="3"/>
        <v>232.07400841523383</v>
      </c>
      <c r="U7" s="17">
        <f t="shared" si="3"/>
        <v>238.11493701725396</v>
      </c>
      <c r="V7" s="17">
        <f t="shared" si="3"/>
        <v>243.53727668345221</v>
      </c>
      <c r="W7" s="17">
        <f t="shared" si="3"/>
        <v>249.27955960208561</v>
      </c>
      <c r="X7" s="17">
        <f t="shared" si="3"/>
        <v>256.98270626835085</v>
      </c>
      <c r="Y7" s="17">
        <f t="shared" si="3"/>
        <v>263.43092847093243</v>
      </c>
      <c r="Z7" s="17">
        <f t="shared" si="3"/>
        <v>269.15812070387153</v>
      </c>
      <c r="AA7" s="17">
        <f t="shared" si="3"/>
        <v>274.96945380805823</v>
      </c>
      <c r="AB7" s="17">
        <f t="shared" si="3"/>
        <v>281.01156924634029</v>
      </c>
      <c r="AC7" s="17">
        <f t="shared" si="3"/>
        <v>288.10586803110579</v>
      </c>
      <c r="AD7" s="17">
        <f t="shared" si="3"/>
        <v>295.87395706738437</v>
      </c>
      <c r="AE7" s="17">
        <f t="shared" si="3"/>
        <v>304.21872479397666</v>
      </c>
      <c r="AF7" s="17">
        <f t="shared" si="3"/>
        <v>313.0809119464468</v>
      </c>
      <c r="AG7" s="17">
        <f t="shared" si="3"/>
        <v>322.22548992464431</v>
      </c>
      <c r="AH7" s="17"/>
      <c r="AI7" s="17"/>
      <c r="AJ7" s="17"/>
      <c r="AK7" s="17"/>
      <c r="AL7" s="17"/>
      <c r="AM7" s="17"/>
      <c r="AN7" s="17"/>
    </row>
    <row r="8" spans="1:43" x14ac:dyDescent="0.25">
      <c r="A8" s="3" t="s">
        <v>25</v>
      </c>
      <c r="B8" s="17">
        <f t="shared" ref="B8:AG8" si="4">IF($B$1="Reference",B44,B82)</f>
        <v>366.7083011696829</v>
      </c>
      <c r="C8" s="17">
        <f t="shared" si="4"/>
        <v>320.93675824484723</v>
      </c>
      <c r="D8" s="17">
        <f t="shared" si="4"/>
        <v>337.7908758947529</v>
      </c>
      <c r="E8" s="17">
        <f t="shared" si="4"/>
        <v>346.39419262545317</v>
      </c>
      <c r="F8" s="17">
        <f t="shared" si="4"/>
        <v>347.78472346331154</v>
      </c>
      <c r="G8" s="17">
        <f t="shared" si="4"/>
        <v>349.44687222831175</v>
      </c>
      <c r="H8" s="17">
        <f t="shared" si="4"/>
        <v>356.79001091003215</v>
      </c>
      <c r="I8" s="17">
        <f t="shared" si="4"/>
        <v>374.33763954570236</v>
      </c>
      <c r="J8" s="17">
        <f t="shared" si="4"/>
        <v>380.21035952318755</v>
      </c>
      <c r="K8" s="17">
        <f t="shared" si="4"/>
        <v>397.86747972480077</v>
      </c>
      <c r="L8" s="17">
        <f t="shared" si="4"/>
        <v>408.28203575708943</v>
      </c>
      <c r="M8" s="17">
        <f t="shared" si="4"/>
        <v>420.01678457013816</v>
      </c>
      <c r="N8" s="17">
        <f t="shared" si="4"/>
        <v>432.87054278924631</v>
      </c>
      <c r="O8" s="17">
        <f t="shared" si="4"/>
        <v>446.26881544715729</v>
      </c>
      <c r="P8" s="17">
        <f t="shared" si="4"/>
        <v>460.73128328526195</v>
      </c>
      <c r="Q8" s="17">
        <f t="shared" si="4"/>
        <v>477.26942862233068</v>
      </c>
      <c r="R8" s="17">
        <f t="shared" si="4"/>
        <v>495.27471783070825</v>
      </c>
      <c r="S8" s="17">
        <f t="shared" si="4"/>
        <v>514.27858205021403</v>
      </c>
      <c r="T8" s="17">
        <f t="shared" si="4"/>
        <v>534.39034551549548</v>
      </c>
      <c r="U8" s="17">
        <f t="shared" si="4"/>
        <v>551.4643139900362</v>
      </c>
      <c r="V8" s="17">
        <f t="shared" si="4"/>
        <v>568.15661808678044</v>
      </c>
      <c r="W8" s="17">
        <f t="shared" si="4"/>
        <v>585.963891231101</v>
      </c>
      <c r="X8" s="17">
        <f t="shared" si="4"/>
        <v>599.42331900472334</v>
      </c>
      <c r="Y8" s="17">
        <f t="shared" si="4"/>
        <v>613.8732048911013</v>
      </c>
      <c r="Z8" s="17">
        <f t="shared" si="4"/>
        <v>632.14926144626156</v>
      </c>
      <c r="AA8" s="17">
        <f t="shared" si="4"/>
        <v>652.59824871379374</v>
      </c>
      <c r="AB8" s="17">
        <f t="shared" si="4"/>
        <v>674.78067008462858</v>
      </c>
      <c r="AC8" s="17">
        <f t="shared" si="4"/>
        <v>700.98670543904632</v>
      </c>
      <c r="AD8" s="17">
        <f t="shared" si="4"/>
        <v>730.21554187960135</v>
      </c>
      <c r="AE8" s="17">
        <f t="shared" si="4"/>
        <v>761.50563344142938</v>
      </c>
      <c r="AF8" s="17">
        <f t="shared" si="4"/>
        <v>795.75578268864695</v>
      </c>
      <c r="AG8" s="17">
        <f t="shared" si="4"/>
        <v>832.20031460262578</v>
      </c>
      <c r="AH8" s="17"/>
      <c r="AI8" s="17"/>
      <c r="AJ8" s="17"/>
      <c r="AK8" s="17"/>
      <c r="AL8" s="17"/>
      <c r="AM8" s="17"/>
      <c r="AN8" s="17"/>
    </row>
    <row r="9" spans="1:43" x14ac:dyDescent="0.25">
      <c r="A9" s="3" t="s">
        <v>26</v>
      </c>
      <c r="B9" s="17">
        <f t="shared" ref="B9:AG9" si="5">IF($B$1="Reference",B45,B83)</f>
        <v>24.019985549556605</v>
      </c>
      <c r="C9" s="17">
        <f t="shared" si="5"/>
        <v>22.319194995844644</v>
      </c>
      <c r="D9" s="17">
        <f t="shared" si="5"/>
        <v>23.046547367102775</v>
      </c>
      <c r="E9" s="17">
        <f t="shared" si="5"/>
        <v>24.381351360456854</v>
      </c>
      <c r="F9" s="17">
        <f t="shared" si="5"/>
        <v>24.527043135102428</v>
      </c>
      <c r="G9" s="17">
        <f t="shared" si="5"/>
        <v>25.004164379092845</v>
      </c>
      <c r="H9" s="17">
        <f t="shared" si="5"/>
        <v>25.229839978548132</v>
      </c>
      <c r="I9" s="17">
        <f t="shared" si="5"/>
        <v>25.362480986824785</v>
      </c>
      <c r="J9" s="17">
        <f t="shared" si="5"/>
        <v>25.740358675135813</v>
      </c>
      <c r="K9" s="17">
        <f t="shared" si="5"/>
        <v>27.404249940818065</v>
      </c>
      <c r="L9" s="17">
        <f t="shared" si="5"/>
        <v>28.051336554185657</v>
      </c>
      <c r="M9" s="17">
        <f t="shared" si="5"/>
        <v>28.740997380299582</v>
      </c>
      <c r="N9" s="17">
        <f t="shared" si="5"/>
        <v>30.121628669752155</v>
      </c>
      <c r="O9" s="17">
        <f t="shared" si="5"/>
        <v>30.982040494689961</v>
      </c>
      <c r="P9" s="17">
        <f t="shared" si="5"/>
        <v>31.912126354063179</v>
      </c>
      <c r="Q9" s="17">
        <f t="shared" si="5"/>
        <v>32.965957515757701</v>
      </c>
      <c r="R9" s="17">
        <f t="shared" si="5"/>
        <v>34.026670459193944</v>
      </c>
      <c r="S9" s="17">
        <f t="shared" si="5"/>
        <v>35.219921722090653</v>
      </c>
      <c r="T9" s="17">
        <f t="shared" si="5"/>
        <v>36.453612202002589</v>
      </c>
      <c r="U9" s="17">
        <f t="shared" si="5"/>
        <v>37.655855222100676</v>
      </c>
      <c r="V9" s="17">
        <f t="shared" si="5"/>
        <v>38.774682112749197</v>
      </c>
      <c r="W9" s="17">
        <f t="shared" si="5"/>
        <v>39.955680658787145</v>
      </c>
      <c r="X9" s="17">
        <f t="shared" si="5"/>
        <v>41.265357020512972</v>
      </c>
      <c r="Y9" s="17">
        <f t="shared" si="5"/>
        <v>42.420411497147889</v>
      </c>
      <c r="Z9" s="17">
        <f t="shared" si="5"/>
        <v>43.545926398921829</v>
      </c>
      <c r="AA9" s="17">
        <f t="shared" si="5"/>
        <v>44.7144269490204</v>
      </c>
      <c r="AB9" s="17">
        <f t="shared" si="5"/>
        <v>45.969868671030142</v>
      </c>
      <c r="AC9" s="17">
        <f t="shared" si="5"/>
        <v>47.414933637664298</v>
      </c>
      <c r="AD9" s="17">
        <f t="shared" si="5"/>
        <v>49.006074810167128</v>
      </c>
      <c r="AE9" s="17">
        <f t="shared" si="5"/>
        <v>50.7241942982171</v>
      </c>
      <c r="AF9" s="17">
        <f t="shared" si="5"/>
        <v>52.594824311058666</v>
      </c>
      <c r="AG9" s="17">
        <f t="shared" si="5"/>
        <v>54.594087596720208</v>
      </c>
      <c r="AH9" s="17"/>
      <c r="AI9" s="17"/>
      <c r="AJ9" s="17"/>
      <c r="AK9" s="17"/>
      <c r="AL9" s="17"/>
      <c r="AM9" s="17"/>
      <c r="AN9" s="17"/>
    </row>
    <row r="10" spans="1:43" x14ac:dyDescent="0.25">
      <c r="A10" s="3" t="s">
        <v>27</v>
      </c>
      <c r="B10" s="17">
        <f t="shared" ref="B10:AG10" si="6">IF($B$1="Reference",B46,B84)</f>
        <v>78.804647701522597</v>
      </c>
      <c r="C10" s="17">
        <f t="shared" si="6"/>
        <v>76.877442358534296</v>
      </c>
      <c r="D10" s="17">
        <f t="shared" si="6"/>
        <v>76.054035890535658</v>
      </c>
      <c r="E10" s="17">
        <f t="shared" si="6"/>
        <v>77.174482718062336</v>
      </c>
      <c r="F10" s="17">
        <f t="shared" si="6"/>
        <v>77.579100872966222</v>
      </c>
      <c r="G10" s="17">
        <f t="shared" si="6"/>
        <v>77.915699778270181</v>
      </c>
      <c r="H10" s="17">
        <f t="shared" si="6"/>
        <v>78.171765232530873</v>
      </c>
      <c r="I10" s="17">
        <f t="shared" si="6"/>
        <v>78.623480729217917</v>
      </c>
      <c r="J10" s="17">
        <f t="shared" si="6"/>
        <v>79.111097136488894</v>
      </c>
      <c r="K10" s="17">
        <f t="shared" si="6"/>
        <v>80.70417184016631</v>
      </c>
      <c r="L10" s="17">
        <f t="shared" si="6"/>
        <v>81.068145943798768</v>
      </c>
      <c r="M10" s="17">
        <f t="shared" si="6"/>
        <v>81.753781631269845</v>
      </c>
      <c r="N10" s="17">
        <f t="shared" si="6"/>
        <v>82.730281197371241</v>
      </c>
      <c r="O10" s="17">
        <f t="shared" si="6"/>
        <v>83.77010319063848</v>
      </c>
      <c r="P10" s="17">
        <f t="shared" si="6"/>
        <v>84.873401086589496</v>
      </c>
      <c r="Q10" s="17">
        <f t="shared" si="6"/>
        <v>86.106737859207925</v>
      </c>
      <c r="R10" s="17">
        <f t="shared" si="6"/>
        <v>87.42459413317971</v>
      </c>
      <c r="S10" s="17">
        <f t="shared" si="6"/>
        <v>88.899998104892774</v>
      </c>
      <c r="T10" s="17">
        <f t="shared" si="6"/>
        <v>90.450674920901349</v>
      </c>
      <c r="U10" s="17">
        <f t="shared" si="6"/>
        <v>92.00786513037103</v>
      </c>
      <c r="V10" s="17">
        <f t="shared" si="6"/>
        <v>94.041202140744616</v>
      </c>
      <c r="W10" s="17">
        <f t="shared" si="6"/>
        <v>95.17417875718256</v>
      </c>
      <c r="X10" s="17">
        <f t="shared" si="6"/>
        <v>96.764126321087417</v>
      </c>
      <c r="Y10" s="17">
        <f t="shared" si="6"/>
        <v>97.947629785228258</v>
      </c>
      <c r="Z10" s="17">
        <f t="shared" si="6"/>
        <v>99.247030666953023</v>
      </c>
      <c r="AA10" s="17">
        <f t="shared" si="6"/>
        <v>100.75715245724095</v>
      </c>
      <c r="AB10" s="17">
        <f t="shared" si="6"/>
        <v>102.41074738134446</v>
      </c>
      <c r="AC10" s="17">
        <f t="shared" si="6"/>
        <v>100.70032013137711</v>
      </c>
      <c r="AD10" s="17">
        <f t="shared" si="6"/>
        <v>98.876005616668252</v>
      </c>
      <c r="AE10" s="17">
        <f t="shared" si="6"/>
        <v>97.374029127413934</v>
      </c>
      <c r="AF10" s="17">
        <f t="shared" si="6"/>
        <v>96.269572187171505</v>
      </c>
      <c r="AG10" s="17">
        <f t="shared" si="6"/>
        <v>95.57371541152213</v>
      </c>
      <c r="AH10" s="17"/>
      <c r="AI10" s="17"/>
      <c r="AJ10" s="17"/>
      <c r="AK10" s="17"/>
      <c r="AL10" s="17"/>
      <c r="AM10" s="17"/>
      <c r="AN10" s="17"/>
    </row>
    <row r="11" spans="1:43" x14ac:dyDescent="0.25">
      <c r="A11" s="3" t="s">
        <v>28</v>
      </c>
      <c r="B11" s="17">
        <f t="shared" ref="B11:AG11" si="7">IF($B$1="Reference",B47,B85)</f>
        <v>17.626887984268851</v>
      </c>
      <c r="C11" s="17">
        <f t="shared" si="7"/>
        <v>15.574773247914441</v>
      </c>
      <c r="D11" s="17">
        <f t="shared" si="7"/>
        <v>16.468901757942803</v>
      </c>
      <c r="E11" s="17">
        <f t="shared" si="7"/>
        <v>16.842411213781613</v>
      </c>
      <c r="F11" s="17">
        <f t="shared" si="7"/>
        <v>16.873129173336118</v>
      </c>
      <c r="G11" s="17">
        <f t="shared" si="7"/>
        <v>16.961798016485922</v>
      </c>
      <c r="H11" s="17">
        <f t="shared" si="7"/>
        <v>17.351287377279391</v>
      </c>
      <c r="I11" s="17">
        <f t="shared" si="7"/>
        <v>18.172175772465625</v>
      </c>
      <c r="J11" s="17">
        <f t="shared" si="7"/>
        <v>18.474671516843188</v>
      </c>
      <c r="K11" s="17">
        <f t="shared" si="7"/>
        <v>19.241932877483279</v>
      </c>
      <c r="L11" s="17">
        <f t="shared" si="7"/>
        <v>19.718432160196105</v>
      </c>
      <c r="M11" s="17">
        <f t="shared" si="7"/>
        <v>20.263880396287526</v>
      </c>
      <c r="N11" s="17">
        <f t="shared" si="7"/>
        <v>20.875661131024344</v>
      </c>
      <c r="O11" s="17">
        <f t="shared" si="7"/>
        <v>21.509067201730744</v>
      </c>
      <c r="P11" s="17">
        <f t="shared" si="7"/>
        <v>22.189942777879295</v>
      </c>
      <c r="Q11" s="17">
        <f t="shared" si="7"/>
        <v>22.970231892065716</v>
      </c>
      <c r="R11" s="17">
        <f t="shared" si="7"/>
        <v>23.782260643821843</v>
      </c>
      <c r="S11" s="17">
        <f t="shared" si="7"/>
        <v>24.676273778173005</v>
      </c>
      <c r="T11" s="17">
        <f t="shared" si="7"/>
        <v>25.632849821177487</v>
      </c>
      <c r="U11" s="17">
        <f t="shared" si="7"/>
        <v>26.502739894814113</v>
      </c>
      <c r="V11" s="17">
        <f t="shared" si="7"/>
        <v>27.360055907378523</v>
      </c>
      <c r="W11" s="17">
        <f t="shared" si="7"/>
        <v>28.258890919974867</v>
      </c>
      <c r="X11" s="17">
        <f t="shared" si="7"/>
        <v>29.197468395087789</v>
      </c>
      <c r="Y11" s="17">
        <f t="shared" si="7"/>
        <v>30.076202183091201</v>
      </c>
      <c r="Z11" s="17">
        <f t="shared" si="7"/>
        <v>30.998139953601914</v>
      </c>
      <c r="AA11" s="17">
        <f t="shared" si="7"/>
        <v>31.980789805750135</v>
      </c>
      <c r="AB11" s="17">
        <f t="shared" si="7"/>
        <v>33.033415965674095</v>
      </c>
      <c r="AC11" s="17">
        <f t="shared" si="7"/>
        <v>34.229269066055934</v>
      </c>
      <c r="AD11" s="17">
        <f t="shared" si="7"/>
        <v>35.540367213250683</v>
      </c>
      <c r="AE11" s="17">
        <f t="shared" si="7"/>
        <v>36.93764118211201</v>
      </c>
      <c r="AF11" s="17">
        <f t="shared" si="7"/>
        <v>38.45670987559626</v>
      </c>
      <c r="AG11" s="17">
        <f t="shared" si="7"/>
        <v>40.074721803240806</v>
      </c>
      <c r="AH11" s="17"/>
      <c r="AI11" s="17"/>
      <c r="AJ11" s="17"/>
      <c r="AK11" s="17"/>
      <c r="AL11" s="17"/>
      <c r="AM11" s="17"/>
      <c r="AN11" s="17"/>
    </row>
    <row r="12" spans="1:43" x14ac:dyDescent="0.25">
      <c r="A12" s="3" t="s">
        <v>29</v>
      </c>
      <c r="B12" s="17">
        <f t="shared" ref="B12:AG12" si="8">IF($B$1="Reference",B48,B86)</f>
        <v>20.83862043593755</v>
      </c>
      <c r="C12" s="17">
        <f t="shared" si="8"/>
        <v>19.162970457873552</v>
      </c>
      <c r="D12" s="17">
        <f t="shared" si="8"/>
        <v>19.863032016889015</v>
      </c>
      <c r="E12" s="17">
        <f t="shared" si="8"/>
        <v>19.925211095239426</v>
      </c>
      <c r="F12" s="17">
        <f t="shared" si="8"/>
        <v>19.834101089271332</v>
      </c>
      <c r="G12" s="17">
        <f t="shared" si="8"/>
        <v>19.81662016609959</v>
      </c>
      <c r="H12" s="17">
        <f t="shared" si="8"/>
        <v>20.024035065685826</v>
      </c>
      <c r="I12" s="17">
        <f t="shared" si="8"/>
        <v>20.7314786965152</v>
      </c>
      <c r="J12" s="17">
        <f t="shared" si="8"/>
        <v>21.02812096050604</v>
      </c>
      <c r="K12" s="17">
        <f t="shared" si="8"/>
        <v>22.088022949308368</v>
      </c>
      <c r="L12" s="17">
        <f t="shared" si="8"/>
        <v>22.609587148498793</v>
      </c>
      <c r="M12" s="17">
        <f t="shared" si="8"/>
        <v>23.064871709426125</v>
      </c>
      <c r="N12" s="17">
        <f t="shared" si="8"/>
        <v>23.500500945407683</v>
      </c>
      <c r="O12" s="17">
        <f t="shared" si="8"/>
        <v>23.986518709259194</v>
      </c>
      <c r="P12" s="17">
        <f t="shared" si="8"/>
        <v>24.524089189559373</v>
      </c>
      <c r="Q12" s="17">
        <f t="shared" si="8"/>
        <v>25.162916316397915</v>
      </c>
      <c r="R12" s="17">
        <f t="shared" si="8"/>
        <v>25.961729328868451</v>
      </c>
      <c r="S12" s="17">
        <f t="shared" si="8"/>
        <v>26.741130336784909</v>
      </c>
      <c r="T12" s="17">
        <f t="shared" si="8"/>
        <v>27.539311494472237</v>
      </c>
      <c r="U12" s="17">
        <f t="shared" si="8"/>
        <v>28.416777100608481</v>
      </c>
      <c r="V12" s="17">
        <f t="shared" si="8"/>
        <v>29.280416107200651</v>
      </c>
      <c r="W12" s="17">
        <f t="shared" si="8"/>
        <v>30.186503705675769</v>
      </c>
      <c r="X12" s="17">
        <f t="shared" si="8"/>
        <v>29.932581041239011</v>
      </c>
      <c r="Y12" s="17">
        <f t="shared" si="8"/>
        <v>30.178538276315535</v>
      </c>
      <c r="Z12" s="17">
        <f t="shared" si="8"/>
        <v>30.87398199455356</v>
      </c>
      <c r="AA12" s="17">
        <f t="shared" si="8"/>
        <v>31.746136053512725</v>
      </c>
      <c r="AB12" s="17">
        <f t="shared" si="8"/>
        <v>32.706595306079578</v>
      </c>
      <c r="AC12" s="17">
        <f t="shared" si="8"/>
        <v>33.829858670074827</v>
      </c>
      <c r="AD12" s="17">
        <f t="shared" si="8"/>
        <v>35.113315907883745</v>
      </c>
      <c r="AE12" s="17">
        <f t="shared" si="8"/>
        <v>36.480067986875184</v>
      </c>
      <c r="AF12" s="17">
        <f t="shared" si="8"/>
        <v>38.012762633175321</v>
      </c>
      <c r="AG12" s="17">
        <f t="shared" si="8"/>
        <v>39.652823282604146</v>
      </c>
      <c r="AH12" s="17"/>
      <c r="AI12" s="17"/>
      <c r="AJ12" s="17"/>
      <c r="AK12" s="17"/>
      <c r="AL12" s="17"/>
      <c r="AM12" s="17"/>
      <c r="AN12" s="17"/>
    </row>
    <row r="13" spans="1:43" x14ac:dyDescent="0.25">
      <c r="A13" s="3" t="s">
        <v>30</v>
      </c>
      <c r="B13" s="17">
        <f t="shared" ref="B13:AG13" si="9">IF($B$1="Reference",B49,B87)</f>
        <v>13.073651251028767</v>
      </c>
      <c r="C13" s="17">
        <f t="shared" si="9"/>
        <v>11.271192740747956</v>
      </c>
      <c r="D13" s="17">
        <f t="shared" si="9"/>
        <v>12.453355513208685</v>
      </c>
      <c r="E13" s="17">
        <f t="shared" si="9"/>
        <v>11.093628902003232</v>
      </c>
      <c r="F13" s="17">
        <f t="shared" si="9"/>
        <v>10.633195506260071</v>
      </c>
      <c r="G13" s="17">
        <f t="shared" si="9"/>
        <v>10.296369536265301</v>
      </c>
      <c r="H13" s="17">
        <f t="shared" si="9"/>
        <v>10.185906410292333</v>
      </c>
      <c r="I13" s="17">
        <f t="shared" si="9"/>
        <v>11.245149089730107</v>
      </c>
      <c r="J13" s="17">
        <f t="shared" si="9"/>
        <v>11.893689140076045</v>
      </c>
      <c r="K13" s="17">
        <f t="shared" si="9"/>
        <v>14.932821198181243</v>
      </c>
      <c r="L13" s="17">
        <f t="shared" si="9"/>
        <v>16.315639004544483</v>
      </c>
      <c r="M13" s="17">
        <f t="shared" si="9"/>
        <v>17.059808238709167</v>
      </c>
      <c r="N13" s="17">
        <f t="shared" si="9"/>
        <v>17.420690298733859</v>
      </c>
      <c r="O13" s="17">
        <f t="shared" si="9"/>
        <v>17.918306200852875</v>
      </c>
      <c r="P13" s="17">
        <f t="shared" si="9"/>
        <v>18.526935324609827</v>
      </c>
      <c r="Q13" s="17">
        <f t="shared" si="9"/>
        <v>19.363038067641988</v>
      </c>
      <c r="R13" s="17">
        <f t="shared" si="9"/>
        <v>20.807211642511401</v>
      </c>
      <c r="S13" s="17">
        <f t="shared" si="9"/>
        <v>22.034227330597993</v>
      </c>
      <c r="T13" s="17">
        <f t="shared" si="9"/>
        <v>23.144920225240188</v>
      </c>
      <c r="U13" s="17">
        <f t="shared" si="9"/>
        <v>24.486836067639864</v>
      </c>
      <c r="V13" s="17">
        <f t="shared" si="9"/>
        <v>25.407030757664895</v>
      </c>
      <c r="W13" s="17">
        <f t="shared" si="9"/>
        <v>26.685444917044961</v>
      </c>
      <c r="X13" s="17">
        <f t="shared" si="9"/>
        <v>21.817360567388683</v>
      </c>
      <c r="Y13" s="17">
        <f t="shared" si="9"/>
        <v>19.92822832545858</v>
      </c>
      <c r="Z13" s="17">
        <f t="shared" si="9"/>
        <v>20.115665966407651</v>
      </c>
      <c r="AA13" s="17">
        <f t="shared" si="9"/>
        <v>20.836820836560729</v>
      </c>
      <c r="AB13" s="17">
        <f t="shared" si="9"/>
        <v>21.761649422158985</v>
      </c>
      <c r="AC13" s="17">
        <f t="shared" si="9"/>
        <v>23.313173238683802</v>
      </c>
      <c r="AD13" s="17">
        <f t="shared" si="9"/>
        <v>25.294021424316036</v>
      </c>
      <c r="AE13" s="17">
        <f t="shared" si="9"/>
        <v>27.454964714752748</v>
      </c>
      <c r="AF13" s="17">
        <f t="shared" si="9"/>
        <v>30.0558621640639</v>
      </c>
      <c r="AG13" s="17">
        <f t="shared" si="9"/>
        <v>32.920831876359543</v>
      </c>
      <c r="AH13" s="17"/>
      <c r="AI13" s="17"/>
      <c r="AJ13" s="17"/>
      <c r="AK13" s="17"/>
      <c r="AL13" s="17"/>
      <c r="AM13" s="17"/>
      <c r="AN13" s="17"/>
    </row>
    <row r="14" spans="1:43" x14ac:dyDescent="0.25">
      <c r="A14" s="3" t="s">
        <v>31</v>
      </c>
      <c r="B14" s="17">
        <f t="shared" ref="B14:AG14" si="10">IF($B$1="Reference",B50,B88)</f>
        <v>0.12086732559633409</v>
      </c>
      <c r="C14" s="17">
        <f t="shared" si="10"/>
        <v>0.12086732559633409</v>
      </c>
      <c r="D14" s="17">
        <f t="shared" si="10"/>
        <v>0.12066457951154648</v>
      </c>
      <c r="E14" s="17">
        <f t="shared" si="10"/>
        <v>0.12060975773938744</v>
      </c>
      <c r="F14" s="17">
        <f t="shared" si="10"/>
        <v>0.12060975773938748</v>
      </c>
      <c r="G14" s="17">
        <f t="shared" si="10"/>
        <v>0.12060975773938752</v>
      </c>
      <c r="H14" s="17">
        <f t="shared" si="10"/>
        <v>0.12060975773938752</v>
      </c>
      <c r="I14" s="17">
        <f t="shared" si="10"/>
        <v>0.12060975773938752</v>
      </c>
      <c r="J14" s="17">
        <f t="shared" si="10"/>
        <v>0.12060636832264243</v>
      </c>
      <c r="K14" s="17">
        <f t="shared" si="10"/>
        <v>0.12060636832264247</v>
      </c>
      <c r="L14" s="17">
        <f t="shared" si="10"/>
        <v>0.12060636832264243</v>
      </c>
      <c r="M14" s="17">
        <f t="shared" si="10"/>
        <v>0.12060636832264245</v>
      </c>
      <c r="N14" s="17">
        <f t="shared" si="10"/>
        <v>0.12060636832264249</v>
      </c>
      <c r="O14" s="17">
        <f t="shared" si="10"/>
        <v>0.12060636832264243</v>
      </c>
      <c r="P14" s="17">
        <f t="shared" si="10"/>
        <v>0.1206063683226424</v>
      </c>
      <c r="Q14" s="17">
        <f t="shared" si="10"/>
        <v>0.12060636832264239</v>
      </c>
      <c r="R14" s="17">
        <f t="shared" si="10"/>
        <v>0.12060636832264236</v>
      </c>
      <c r="S14" s="17">
        <f t="shared" si="10"/>
        <v>0.12060636832264239</v>
      </c>
      <c r="T14" s="17">
        <f t="shared" si="10"/>
        <v>0.12060636832264235</v>
      </c>
      <c r="U14" s="17">
        <f t="shared" si="10"/>
        <v>2.520396408758065</v>
      </c>
      <c r="V14" s="17">
        <f t="shared" si="10"/>
        <v>5.0407928175161301</v>
      </c>
      <c r="W14" s="17">
        <f t="shared" si="10"/>
        <v>7.5611892262741947</v>
      </c>
      <c r="X14" s="17">
        <f t="shared" si="10"/>
        <v>8.7746857478983546</v>
      </c>
      <c r="Y14" s="17">
        <f t="shared" si="10"/>
        <v>9.9881822695225075</v>
      </c>
      <c r="Z14" s="17">
        <f t="shared" si="10"/>
        <v>11.201678791146668</v>
      </c>
      <c r="AA14" s="17">
        <f t="shared" si="10"/>
        <v>12.415175312770822</v>
      </c>
      <c r="AB14" s="17">
        <f t="shared" si="10"/>
        <v>13.628671834394979</v>
      </c>
      <c r="AC14" s="17">
        <f t="shared" si="10"/>
        <v>14.303135095585274</v>
      </c>
      <c r="AD14" s="17">
        <f t="shared" si="10"/>
        <v>14.977598356775562</v>
      </c>
      <c r="AE14" s="17">
        <f t="shared" si="10"/>
        <v>15.652061617965861</v>
      </c>
      <c r="AF14" s="17">
        <f t="shared" si="10"/>
        <v>16.32652487915615</v>
      </c>
      <c r="AG14" s="17">
        <f t="shared" si="10"/>
        <v>17.00098814034644</v>
      </c>
      <c r="AH14" s="17"/>
      <c r="AI14" s="17"/>
      <c r="AJ14" s="17"/>
      <c r="AK14" s="17"/>
      <c r="AL14" s="17"/>
      <c r="AM14" s="17"/>
      <c r="AN14" s="17"/>
    </row>
    <row r="15" spans="1:43" x14ac:dyDescent="0.25">
      <c r="A15" s="3" t="s">
        <v>32</v>
      </c>
      <c r="B15" s="17">
        <f t="shared" ref="B15:AG15" si="11">IF($B$1="Reference",B51,B89)</f>
        <v>142.2036328173553</v>
      </c>
      <c r="C15" s="17">
        <f t="shared" si="11"/>
        <v>136.44878766432581</v>
      </c>
      <c r="D15" s="17">
        <f t="shared" si="11"/>
        <v>146.14074566394675</v>
      </c>
      <c r="E15" s="17">
        <f t="shared" si="11"/>
        <v>146.4773665086895</v>
      </c>
      <c r="F15" s="17">
        <f t="shared" si="11"/>
        <v>145.04539245118301</v>
      </c>
      <c r="G15" s="17">
        <f t="shared" si="11"/>
        <v>145.87729911613849</v>
      </c>
      <c r="H15" s="17">
        <f t="shared" si="11"/>
        <v>147.14216951126389</v>
      </c>
      <c r="I15" s="17">
        <f t="shared" si="11"/>
        <v>150.00300564106288</v>
      </c>
      <c r="J15" s="17">
        <f t="shared" si="11"/>
        <v>152.19870464335671</v>
      </c>
      <c r="K15" s="17">
        <f t="shared" si="11"/>
        <v>154.19870472509317</v>
      </c>
      <c r="L15" s="17">
        <f t="shared" si="11"/>
        <v>156.38571640248085</v>
      </c>
      <c r="M15" s="17">
        <f t="shared" si="11"/>
        <v>159.44194621283864</v>
      </c>
      <c r="N15" s="17">
        <f t="shared" si="11"/>
        <v>163.30689787379572</v>
      </c>
      <c r="O15" s="17">
        <f t="shared" si="11"/>
        <v>167.86178956611161</v>
      </c>
      <c r="P15" s="17">
        <f t="shared" si="11"/>
        <v>171.53872250386354</v>
      </c>
      <c r="Q15" s="17">
        <f t="shared" si="11"/>
        <v>176.04422236485598</v>
      </c>
      <c r="R15" s="17">
        <f t="shared" si="11"/>
        <v>177.48735794895305</v>
      </c>
      <c r="S15" s="17">
        <f t="shared" si="11"/>
        <v>181.7517895464326</v>
      </c>
      <c r="T15" s="17">
        <f t="shared" si="11"/>
        <v>186.68722664354334</v>
      </c>
      <c r="U15" s="17">
        <f t="shared" si="11"/>
        <v>197.58437167828936</v>
      </c>
      <c r="V15" s="17">
        <f t="shared" si="11"/>
        <v>208.57857871701691</v>
      </c>
      <c r="W15" s="17">
        <f t="shared" si="11"/>
        <v>219.26380730730992</v>
      </c>
      <c r="X15" s="17">
        <f t="shared" si="11"/>
        <v>225.02122253194688</v>
      </c>
      <c r="Y15" s="17">
        <f t="shared" si="11"/>
        <v>231.81694807578467</v>
      </c>
      <c r="Z15" s="17">
        <f t="shared" si="11"/>
        <v>239.78786495655936</v>
      </c>
      <c r="AA15" s="17">
        <f t="shared" si="11"/>
        <v>248.0521594612481</v>
      </c>
      <c r="AB15" s="17">
        <f t="shared" si="11"/>
        <v>256.39391319737126</v>
      </c>
      <c r="AC15" s="17">
        <f t="shared" si="11"/>
        <v>264.39071189071097</v>
      </c>
      <c r="AD15" s="17">
        <f t="shared" si="11"/>
        <v>271.3407012727136</v>
      </c>
      <c r="AE15" s="17">
        <f t="shared" si="11"/>
        <v>278.60851724569528</v>
      </c>
      <c r="AF15" s="17">
        <f t="shared" si="11"/>
        <v>286.05926653394823</v>
      </c>
      <c r="AG15" s="17">
        <f t="shared" si="11"/>
        <v>293.59171280458094</v>
      </c>
      <c r="AH15" s="17"/>
      <c r="AI15" s="17"/>
      <c r="AJ15" s="17"/>
      <c r="AK15" s="17"/>
      <c r="AL15" s="17"/>
      <c r="AM15" s="17"/>
      <c r="AN15" s="17"/>
    </row>
    <row r="16" spans="1:43" x14ac:dyDescent="0.25">
      <c r="A16" s="3" t="s">
        <v>33</v>
      </c>
      <c r="B16" s="17">
        <f t="shared" ref="B16:AG16" si="12">IF($B$1="Reference",B52,B90)</f>
        <v>60.675714154100262</v>
      </c>
      <c r="C16" s="17">
        <f t="shared" si="12"/>
        <v>50.223185860644726</v>
      </c>
      <c r="D16" s="17">
        <f t="shared" si="12"/>
        <v>52.694392090327234</v>
      </c>
      <c r="E16" s="17">
        <f t="shared" si="12"/>
        <v>61.666432806024062</v>
      </c>
      <c r="F16" s="17">
        <f t="shared" si="12"/>
        <v>64.955660785385092</v>
      </c>
      <c r="G16" s="17">
        <f t="shared" si="12"/>
        <v>66.140315151319371</v>
      </c>
      <c r="H16" s="17">
        <f t="shared" si="12"/>
        <v>66.43535899033968</v>
      </c>
      <c r="I16" s="17">
        <f t="shared" si="12"/>
        <v>66.43253916933817</v>
      </c>
      <c r="J16" s="17">
        <f t="shared" si="12"/>
        <v>68.559388327301775</v>
      </c>
      <c r="K16" s="17">
        <f t="shared" si="12"/>
        <v>71.05986343939098</v>
      </c>
      <c r="L16" s="17">
        <f t="shared" si="12"/>
        <v>73.433534347769992</v>
      </c>
      <c r="M16" s="17">
        <f t="shared" si="12"/>
        <v>75.997801931251104</v>
      </c>
      <c r="N16" s="17">
        <f t="shared" si="12"/>
        <v>78.885755018735026</v>
      </c>
      <c r="O16" s="17">
        <f t="shared" si="12"/>
        <v>81.77388102277115</v>
      </c>
      <c r="P16" s="17">
        <f t="shared" si="12"/>
        <v>84.829127777420425</v>
      </c>
      <c r="Q16" s="17">
        <f t="shared" si="12"/>
        <v>88.304236578805018</v>
      </c>
      <c r="R16" s="17">
        <f t="shared" si="12"/>
        <v>91.596646480858581</v>
      </c>
      <c r="S16" s="17">
        <f t="shared" si="12"/>
        <v>95.204983824347224</v>
      </c>
      <c r="T16" s="17">
        <f t="shared" si="12"/>
        <v>98.874905337963</v>
      </c>
      <c r="U16" s="17">
        <f t="shared" si="12"/>
        <v>102.21962710070184</v>
      </c>
      <c r="V16" s="17">
        <f t="shared" si="12"/>
        <v>105.32424663502653</v>
      </c>
      <c r="W16" s="17">
        <f t="shared" si="12"/>
        <v>108.27693737090219</v>
      </c>
      <c r="X16" s="17">
        <f t="shared" si="12"/>
        <v>111.56912486917621</v>
      </c>
      <c r="Y16" s="17">
        <f t="shared" si="12"/>
        <v>114.41561344133981</v>
      </c>
      <c r="Z16" s="17">
        <f t="shared" si="12"/>
        <v>117.13004082373627</v>
      </c>
      <c r="AA16" s="17">
        <f t="shared" si="12"/>
        <v>119.84264111921489</v>
      </c>
      <c r="AB16" s="17">
        <f t="shared" si="12"/>
        <v>122.59721826342761</v>
      </c>
      <c r="AC16" s="17">
        <f t="shared" si="12"/>
        <v>125.50771629179748</v>
      </c>
      <c r="AD16" s="17">
        <f t="shared" si="12"/>
        <v>128.57440253818112</v>
      </c>
      <c r="AE16" s="17">
        <f t="shared" si="12"/>
        <v>131.68045011063694</v>
      </c>
      <c r="AF16" s="17">
        <f t="shared" si="12"/>
        <v>134.87996590545094</v>
      </c>
      <c r="AG16" s="17">
        <f t="shared" si="12"/>
        <v>138.0817300949943</v>
      </c>
      <c r="AH16" s="17"/>
      <c r="AI16" s="17"/>
      <c r="AJ16" s="17"/>
      <c r="AK16" s="17"/>
      <c r="AL16" s="17"/>
      <c r="AM16" s="17"/>
      <c r="AN16" s="17"/>
    </row>
    <row r="17" spans="1:40" x14ac:dyDescent="0.25">
      <c r="A17" s="3" t="s">
        <v>34</v>
      </c>
      <c r="B17" s="17">
        <f t="shared" ref="B17:AG17" si="13">IF($B$1="Reference",B53,B91)</f>
        <v>247.42936538345938</v>
      </c>
      <c r="C17" s="17">
        <f t="shared" si="13"/>
        <v>217.21278869819892</v>
      </c>
      <c r="D17" s="17">
        <f t="shared" si="13"/>
        <v>230.95121378088996</v>
      </c>
      <c r="E17" s="17">
        <f t="shared" si="13"/>
        <v>252.81589693997037</v>
      </c>
      <c r="F17" s="17">
        <f t="shared" si="13"/>
        <v>254.35902013525742</v>
      </c>
      <c r="G17" s="17">
        <f t="shared" si="13"/>
        <v>253.56557026498641</v>
      </c>
      <c r="H17" s="17">
        <f t="shared" si="13"/>
        <v>253.37869609441091</v>
      </c>
      <c r="I17" s="17">
        <f t="shared" si="13"/>
        <v>255.29840209298564</v>
      </c>
      <c r="J17" s="17">
        <f t="shared" si="13"/>
        <v>260.9690002056023</v>
      </c>
      <c r="K17" s="17">
        <f t="shared" si="13"/>
        <v>268.12764276659186</v>
      </c>
      <c r="L17" s="17">
        <f t="shared" si="13"/>
        <v>275.71288715868729</v>
      </c>
      <c r="M17" s="17">
        <f t="shared" si="13"/>
        <v>285.72163394371933</v>
      </c>
      <c r="N17" s="17">
        <f t="shared" si="13"/>
        <v>295.41500225811654</v>
      </c>
      <c r="O17" s="17">
        <f t="shared" si="13"/>
        <v>303.81149730475249</v>
      </c>
      <c r="P17" s="17">
        <f t="shared" si="13"/>
        <v>313.05332932592154</v>
      </c>
      <c r="Q17" s="17">
        <f t="shared" si="13"/>
        <v>325.24762153021987</v>
      </c>
      <c r="R17" s="17">
        <f t="shared" si="13"/>
        <v>336.46750066941485</v>
      </c>
      <c r="S17" s="17">
        <f t="shared" si="13"/>
        <v>347.76284507291501</v>
      </c>
      <c r="T17" s="17">
        <f t="shared" si="13"/>
        <v>360.27295199736722</v>
      </c>
      <c r="U17" s="17">
        <f t="shared" si="13"/>
        <v>374.84748361489403</v>
      </c>
      <c r="V17" s="17">
        <f t="shared" si="13"/>
        <v>390.38661220958136</v>
      </c>
      <c r="W17" s="17">
        <f t="shared" si="13"/>
        <v>405.79419437269428</v>
      </c>
      <c r="X17" s="17">
        <f t="shared" si="13"/>
        <v>422.18587872932306</v>
      </c>
      <c r="Y17" s="17">
        <f t="shared" si="13"/>
        <v>436.61613507099827</v>
      </c>
      <c r="Z17" s="17">
        <f t="shared" si="13"/>
        <v>450.76418291020468</v>
      </c>
      <c r="AA17" s="17">
        <f t="shared" si="13"/>
        <v>463.01529337066955</v>
      </c>
      <c r="AB17" s="17">
        <f t="shared" si="13"/>
        <v>474.93317371914009</v>
      </c>
      <c r="AC17" s="17">
        <f t="shared" si="13"/>
        <v>488.56893191442424</v>
      </c>
      <c r="AD17" s="17">
        <f t="shared" si="13"/>
        <v>502.85213688910846</v>
      </c>
      <c r="AE17" s="17">
        <f t="shared" si="13"/>
        <v>517.1802992829771</v>
      </c>
      <c r="AF17" s="17">
        <f t="shared" si="13"/>
        <v>532.57463611876153</v>
      </c>
      <c r="AG17" s="17">
        <f t="shared" si="13"/>
        <v>550.23298848988929</v>
      </c>
      <c r="AH17" s="17"/>
      <c r="AI17" s="17"/>
      <c r="AJ17" s="17"/>
      <c r="AK17" s="17"/>
      <c r="AL17" s="17"/>
      <c r="AM17" s="17"/>
      <c r="AN17" s="17"/>
    </row>
    <row r="18" spans="1:40" x14ac:dyDescent="0.25">
      <c r="A18" s="3" t="s">
        <v>36</v>
      </c>
      <c r="B18" s="17">
        <f t="shared" ref="B18:AG18" si="14">IF($B$1="Reference",B54,B92)</f>
        <v>7.2942674736102546</v>
      </c>
      <c r="C18" s="17">
        <f t="shared" si="14"/>
        <v>6.6299472699871007</v>
      </c>
      <c r="D18" s="17">
        <f t="shared" si="14"/>
        <v>7.0785650689638286</v>
      </c>
      <c r="E18" s="17">
        <f t="shared" si="14"/>
        <v>7.6154108701536929</v>
      </c>
      <c r="F18" s="17">
        <f t="shared" si="14"/>
        <v>7.7475033508428641</v>
      </c>
      <c r="G18" s="17">
        <f t="shared" si="14"/>
        <v>7.8035702247329706</v>
      </c>
      <c r="H18" s="17">
        <f t="shared" si="14"/>
        <v>7.864799497299912</v>
      </c>
      <c r="I18" s="17">
        <f t="shared" si="14"/>
        <v>7.9735086103682073</v>
      </c>
      <c r="J18" s="17">
        <f t="shared" si="14"/>
        <v>8.1382553624087084</v>
      </c>
      <c r="K18" s="17">
        <f t="shared" si="14"/>
        <v>8.254849116831064</v>
      </c>
      <c r="L18" s="17">
        <f t="shared" si="14"/>
        <v>8.4634388431087277</v>
      </c>
      <c r="M18" s="17">
        <f t="shared" si="14"/>
        <v>8.7420146751272831</v>
      </c>
      <c r="N18" s="17">
        <f t="shared" si="14"/>
        <v>9.0085847401483026</v>
      </c>
      <c r="O18" s="17">
        <f t="shared" si="14"/>
        <v>9.2381662774002873</v>
      </c>
      <c r="P18" s="17">
        <f t="shared" si="14"/>
        <v>9.4944882281900185</v>
      </c>
      <c r="Q18" s="17">
        <f t="shared" si="14"/>
        <v>9.8297223222318788</v>
      </c>
      <c r="R18" s="17">
        <f t="shared" si="14"/>
        <v>10.134056576524346</v>
      </c>
      <c r="S18" s="17">
        <f t="shared" si="14"/>
        <v>10.433147704508338</v>
      </c>
      <c r="T18" s="17">
        <f t="shared" si="14"/>
        <v>10.747005876764753</v>
      </c>
      <c r="U18" s="17">
        <f t="shared" si="14"/>
        <v>11.108855812119153</v>
      </c>
      <c r="V18" s="17">
        <f t="shared" si="14"/>
        <v>11.485590645773648</v>
      </c>
      <c r="W18" s="17">
        <f t="shared" si="14"/>
        <v>11.840756013263658</v>
      </c>
      <c r="X18" s="17">
        <f t="shared" si="14"/>
        <v>12.214529377854351</v>
      </c>
      <c r="Y18" s="17">
        <f t="shared" si="14"/>
        <v>12.550275923341125</v>
      </c>
      <c r="Z18" s="17">
        <f t="shared" si="14"/>
        <v>12.905043759792305</v>
      </c>
      <c r="AA18" s="17">
        <f t="shared" si="14"/>
        <v>13.217217473663608</v>
      </c>
      <c r="AB18" s="17">
        <f t="shared" si="14"/>
        <v>13.535985411782866</v>
      </c>
      <c r="AC18" s="17">
        <f t="shared" si="14"/>
        <v>13.897184038664331</v>
      </c>
      <c r="AD18" s="17">
        <f t="shared" si="14"/>
        <v>14.273587894723452</v>
      </c>
      <c r="AE18" s="17">
        <f t="shared" si="14"/>
        <v>14.653917896536141</v>
      </c>
      <c r="AF18" s="17">
        <f t="shared" si="14"/>
        <v>15.068453888260731</v>
      </c>
      <c r="AG18" s="17">
        <f t="shared" si="14"/>
        <v>15.545780890218635</v>
      </c>
      <c r="AH18" s="17"/>
      <c r="AI18" s="17"/>
      <c r="AJ18" s="17"/>
      <c r="AK18" s="17"/>
      <c r="AL18" s="17"/>
      <c r="AM18" s="17"/>
      <c r="AN18" s="17"/>
    </row>
    <row r="19" spans="1:40" x14ac:dyDescent="0.25">
      <c r="A19" s="3" t="s">
        <v>37</v>
      </c>
      <c r="B19" s="17">
        <f t="shared" ref="B19:AG19" si="15">IF($B$1="Reference",B55,B93)</f>
        <v>46.318025213526461</v>
      </c>
      <c r="C19" s="17">
        <f t="shared" si="15"/>
        <v>28.848450924973463</v>
      </c>
      <c r="D19" s="17">
        <f t="shared" si="15"/>
        <v>33.256288243860944</v>
      </c>
      <c r="E19" s="17">
        <f t="shared" si="15"/>
        <v>38.311460986223757</v>
      </c>
      <c r="F19" s="17">
        <f t="shared" si="15"/>
        <v>38.311460986223757</v>
      </c>
      <c r="G19" s="17">
        <f t="shared" si="15"/>
        <v>38.311460986223778</v>
      </c>
      <c r="H19" s="17">
        <f t="shared" si="15"/>
        <v>38.311460986223778</v>
      </c>
      <c r="I19" s="17">
        <f t="shared" si="15"/>
        <v>38.311460986223778</v>
      </c>
      <c r="J19" s="17">
        <f t="shared" si="15"/>
        <v>38.310384344417763</v>
      </c>
      <c r="K19" s="17">
        <f t="shared" si="15"/>
        <v>15.707851994016872</v>
      </c>
      <c r="L19" s="17">
        <f t="shared" si="15"/>
        <v>9.6569905959133457</v>
      </c>
      <c r="M19" s="17">
        <f t="shared" si="15"/>
        <v>9.6168986303249184</v>
      </c>
      <c r="N19" s="17">
        <f t="shared" si="15"/>
        <v>9.616898630324922</v>
      </c>
      <c r="O19" s="17">
        <f t="shared" si="15"/>
        <v>9.6168986303249167</v>
      </c>
      <c r="P19" s="17">
        <f t="shared" si="15"/>
        <v>9.6168986303249149</v>
      </c>
      <c r="Q19" s="17">
        <f t="shared" si="15"/>
        <v>9.6168986303249113</v>
      </c>
      <c r="R19" s="17">
        <f t="shared" si="15"/>
        <v>9.6168986303249095</v>
      </c>
      <c r="S19" s="17">
        <f t="shared" si="15"/>
        <v>9.6168986303249131</v>
      </c>
      <c r="T19" s="17">
        <f t="shared" si="15"/>
        <v>9.6197605832035844</v>
      </c>
      <c r="U19" s="17">
        <f t="shared" si="15"/>
        <v>9.6348234752431487</v>
      </c>
      <c r="V19" s="17">
        <f t="shared" si="15"/>
        <v>9.6498863672827113</v>
      </c>
      <c r="W19" s="17">
        <f t="shared" si="15"/>
        <v>9.6649492593222739</v>
      </c>
      <c r="X19" s="17">
        <f t="shared" si="15"/>
        <v>9.6649492593222739</v>
      </c>
      <c r="Y19" s="17">
        <f t="shared" si="15"/>
        <v>9.6649492593222703</v>
      </c>
      <c r="Z19" s="17">
        <f t="shared" si="15"/>
        <v>9.6649492593222703</v>
      </c>
      <c r="AA19" s="17">
        <f t="shared" si="15"/>
        <v>9.6649492593222686</v>
      </c>
      <c r="AB19" s="17">
        <f t="shared" si="15"/>
        <v>9.6649492593222668</v>
      </c>
      <c r="AC19" s="17">
        <f t="shared" si="15"/>
        <v>8.8740852197657407</v>
      </c>
      <c r="AD19" s="17">
        <f t="shared" si="15"/>
        <v>8.0832211802092093</v>
      </c>
      <c r="AE19" s="17">
        <f t="shared" si="15"/>
        <v>7.2923571406526815</v>
      </c>
      <c r="AF19" s="17">
        <f t="shared" si="15"/>
        <v>6.501493101096151</v>
      </c>
      <c r="AG19" s="17">
        <f t="shared" si="15"/>
        <v>5.7106290615396214</v>
      </c>
      <c r="AH19" s="17"/>
      <c r="AI19" s="17"/>
      <c r="AJ19" s="17"/>
      <c r="AK19" s="17"/>
      <c r="AL19" s="17"/>
      <c r="AM19" s="17"/>
      <c r="AN19" s="17"/>
    </row>
    <row r="20" spans="1:40" x14ac:dyDescent="0.25">
      <c r="A20" s="3" t="s">
        <v>38</v>
      </c>
      <c r="B20" s="17">
        <f t="shared" ref="B20:AG20" si="16">IF($B$1="Reference",B56,B94)</f>
        <v>112.98526133447918</v>
      </c>
      <c r="C20" s="17">
        <f t="shared" si="16"/>
        <v>109.13247881206568</v>
      </c>
      <c r="D20" s="17">
        <f t="shared" si="16"/>
        <v>109.89834480093437</v>
      </c>
      <c r="E20" s="17">
        <f t="shared" si="16"/>
        <v>108.05691691943908</v>
      </c>
      <c r="F20" s="17">
        <f t="shared" si="16"/>
        <v>104.86488366021064</v>
      </c>
      <c r="G20" s="17">
        <f t="shared" si="16"/>
        <v>103.24861035672339</v>
      </c>
      <c r="H20" s="17">
        <f t="shared" si="16"/>
        <v>101.30739673917725</v>
      </c>
      <c r="I20" s="17">
        <f t="shared" si="16"/>
        <v>100.12171938207966</v>
      </c>
      <c r="J20" s="17">
        <f t="shared" si="16"/>
        <v>98.818846361449317</v>
      </c>
      <c r="K20" s="17">
        <f t="shared" si="16"/>
        <v>97.186150682637802</v>
      </c>
      <c r="L20" s="17">
        <f t="shared" si="16"/>
        <v>94.008208763924642</v>
      </c>
      <c r="M20" s="17">
        <f t="shared" si="16"/>
        <v>88.050726956067635</v>
      </c>
      <c r="N20" s="17">
        <f t="shared" si="16"/>
        <v>84.26011526501479</v>
      </c>
      <c r="O20" s="17">
        <f t="shared" si="16"/>
        <v>84.320407224516302</v>
      </c>
      <c r="P20" s="17">
        <f t="shared" si="16"/>
        <v>83.463582308687165</v>
      </c>
      <c r="Q20" s="17">
        <f t="shared" si="16"/>
        <v>83.123185551836116</v>
      </c>
      <c r="R20" s="17">
        <f t="shared" si="16"/>
        <v>82.339979924533395</v>
      </c>
      <c r="S20" s="17">
        <f t="shared" si="16"/>
        <v>82.169965088323181</v>
      </c>
      <c r="T20" s="17">
        <f t="shared" si="16"/>
        <v>81.360523131733132</v>
      </c>
      <c r="U20" s="17">
        <f t="shared" si="16"/>
        <v>79.849690032523</v>
      </c>
      <c r="V20" s="17">
        <f t="shared" si="16"/>
        <v>78.338856933312883</v>
      </c>
      <c r="W20" s="17">
        <f t="shared" si="16"/>
        <v>76.828023834102765</v>
      </c>
      <c r="X20" s="17">
        <f t="shared" si="16"/>
        <v>74.501386929053979</v>
      </c>
      <c r="Y20" s="17">
        <f t="shared" si="16"/>
        <v>72.174750024005178</v>
      </c>
      <c r="Z20" s="17">
        <f t="shared" si="16"/>
        <v>69.848113118956377</v>
      </c>
      <c r="AA20" s="17">
        <f t="shared" si="16"/>
        <v>67.521476213907604</v>
      </c>
      <c r="AB20" s="17">
        <f t="shared" si="16"/>
        <v>65.194839308858803</v>
      </c>
      <c r="AC20" s="17">
        <f t="shared" si="16"/>
        <v>61.646264201611295</v>
      </c>
      <c r="AD20" s="17">
        <f t="shared" si="16"/>
        <v>58.097689094363737</v>
      </c>
      <c r="AE20" s="17">
        <f t="shared" si="16"/>
        <v>54.549113987116236</v>
      </c>
      <c r="AF20" s="17">
        <f t="shared" si="16"/>
        <v>51.000538879868706</v>
      </c>
      <c r="AG20" s="17">
        <f t="shared" si="16"/>
        <v>47.451963772621191</v>
      </c>
      <c r="AH20" s="17"/>
      <c r="AI20" s="17"/>
      <c r="AJ20" s="17"/>
      <c r="AK20" s="17"/>
      <c r="AL20" s="17"/>
      <c r="AM20" s="17"/>
      <c r="AN20" s="17"/>
    </row>
    <row r="21" spans="1:40" x14ac:dyDescent="0.25">
      <c r="A21" s="3" t="s">
        <v>177</v>
      </c>
      <c r="B21" s="17">
        <f t="shared" ref="B21:AG21" si="17">IF($B$1="Reference",B57,B95)</f>
        <v>97.820469381023031</v>
      </c>
      <c r="C21" s="17">
        <f t="shared" si="17"/>
        <v>73.913313960824297</v>
      </c>
      <c r="D21" s="17">
        <f t="shared" si="17"/>
        <v>78.208779943297827</v>
      </c>
      <c r="E21" s="17">
        <f t="shared" si="17"/>
        <v>82.091230889675288</v>
      </c>
      <c r="F21" s="17">
        <f t="shared" si="17"/>
        <v>86.023811694050792</v>
      </c>
      <c r="G21" s="17">
        <f t="shared" si="17"/>
        <v>89.978949716772135</v>
      </c>
      <c r="H21" s="17">
        <f t="shared" si="17"/>
        <v>93.988702547084102</v>
      </c>
      <c r="I21" s="17">
        <f t="shared" si="17"/>
        <v>94.601623278396204</v>
      </c>
      <c r="J21" s="17">
        <f t="shared" si="17"/>
        <v>95.09998757959282</v>
      </c>
      <c r="K21" s="17">
        <f t="shared" si="17"/>
        <v>96.031590322465647</v>
      </c>
      <c r="L21" s="17">
        <f t="shared" si="17"/>
        <v>96.65880709725171</v>
      </c>
      <c r="M21" s="17">
        <f t="shared" si="17"/>
        <v>97.211830092779181</v>
      </c>
      <c r="N21" s="17">
        <f t="shared" si="17"/>
        <v>99.244171901557323</v>
      </c>
      <c r="O21" s="17">
        <f t="shared" si="17"/>
        <v>101.30255439640715</v>
      </c>
      <c r="P21" s="17">
        <f t="shared" si="17"/>
        <v>103.38655369687415</v>
      </c>
      <c r="Q21" s="17">
        <f t="shared" si="17"/>
        <v>105.51922474088373</v>
      </c>
      <c r="R21" s="17">
        <f t="shared" si="17"/>
        <v>107.743033995549</v>
      </c>
      <c r="S21" s="17">
        <f t="shared" si="17"/>
        <v>109.94904815191776</v>
      </c>
      <c r="T21" s="17">
        <f t="shared" si="17"/>
        <v>112.15426021701674</v>
      </c>
      <c r="U21" s="17">
        <f t="shared" si="17"/>
        <v>114.29676564526724</v>
      </c>
      <c r="V21" s="17">
        <f t="shared" si="17"/>
        <v>116.38737183924765</v>
      </c>
      <c r="W21" s="17">
        <f t="shared" si="17"/>
        <v>118.53121289018895</v>
      </c>
      <c r="X21" s="17">
        <f t="shared" si="17"/>
        <v>141.07977324214679</v>
      </c>
      <c r="Y21" s="17">
        <f t="shared" si="17"/>
        <v>164.01261184755623</v>
      </c>
      <c r="Z21" s="17">
        <f t="shared" si="17"/>
        <v>187.26180622264692</v>
      </c>
      <c r="AA21" s="17">
        <f t="shared" si="17"/>
        <v>210.60558500127854</v>
      </c>
      <c r="AB21" s="17">
        <f t="shared" si="17"/>
        <v>233.99421131493708</v>
      </c>
      <c r="AC21" s="17">
        <f t="shared" si="17"/>
        <v>257.52657000569343</v>
      </c>
      <c r="AD21" s="17">
        <f t="shared" si="17"/>
        <v>281.14634284844976</v>
      </c>
      <c r="AE21" s="17">
        <f t="shared" si="17"/>
        <v>304.80901237165909</v>
      </c>
      <c r="AF21" s="17">
        <f t="shared" si="17"/>
        <v>328.55638361029145</v>
      </c>
      <c r="AG21" s="17">
        <f t="shared" si="17"/>
        <v>352.35921930526433</v>
      </c>
      <c r="AH21" s="17"/>
      <c r="AI21" s="17"/>
      <c r="AJ21" s="17"/>
      <c r="AK21" s="17"/>
      <c r="AL21" s="17"/>
      <c r="AM21" s="17"/>
      <c r="AN21" s="17"/>
    </row>
    <row r="22" spans="1:40" x14ac:dyDescent="0.25">
      <c r="A22" s="3" t="s">
        <v>178</v>
      </c>
      <c r="B22" s="17">
        <f t="shared" ref="B22:AG22" si="18">IF($B$1="Reference",B58,B96)</f>
        <v>2.4857265311423458</v>
      </c>
      <c r="C22" s="17">
        <f t="shared" si="18"/>
        <v>2.3216577605390492</v>
      </c>
      <c r="D22" s="17">
        <f t="shared" si="18"/>
        <v>2.3513355033208501</v>
      </c>
      <c r="E22" s="17">
        <f t="shared" si="18"/>
        <v>2.392366171014471</v>
      </c>
      <c r="F22" s="17">
        <f t="shared" si="18"/>
        <v>2.4009523026687525</v>
      </c>
      <c r="G22" s="17">
        <f t="shared" si="18"/>
        <v>2.4109595790844467</v>
      </c>
      <c r="H22" s="17">
        <f t="shared" si="18"/>
        <v>2.4202688263210699</v>
      </c>
      <c r="I22" s="17">
        <f t="shared" si="18"/>
        <v>2.4478947713248296</v>
      </c>
      <c r="J22" s="17">
        <f t="shared" si="18"/>
        <v>2.4726873349956495</v>
      </c>
      <c r="K22" s="17">
        <f t="shared" si="18"/>
        <v>2.4678605054639964</v>
      </c>
      <c r="L22" s="17">
        <f t="shared" si="18"/>
        <v>2.4761066261029905</v>
      </c>
      <c r="M22" s="17">
        <f t="shared" si="18"/>
        <v>2.5115838844657694</v>
      </c>
      <c r="N22" s="17">
        <f t="shared" si="18"/>
        <v>2.5537620220900612</v>
      </c>
      <c r="O22" s="17">
        <f t="shared" si="18"/>
        <v>2.5971746891630745</v>
      </c>
      <c r="P22" s="17">
        <f t="shared" si="18"/>
        <v>2.6441728435753356</v>
      </c>
      <c r="Q22" s="17">
        <f t="shared" si="18"/>
        <v>2.6987598328434066</v>
      </c>
      <c r="R22" s="17">
        <f t="shared" si="18"/>
        <v>2.7615519314400618</v>
      </c>
      <c r="S22" s="17">
        <f t="shared" si="18"/>
        <v>2.827499628184281</v>
      </c>
      <c r="T22" s="17">
        <f t="shared" si="18"/>
        <v>2.8946947555630618</v>
      </c>
      <c r="U22" s="17">
        <f t="shared" si="18"/>
        <v>2.9631703424198053</v>
      </c>
      <c r="V22" s="17">
        <f t="shared" si="18"/>
        <v>3.0415530903637489</v>
      </c>
      <c r="W22" s="17">
        <f t="shared" si="18"/>
        <v>3.1000799151416327</v>
      </c>
      <c r="X22" s="17">
        <f t="shared" si="18"/>
        <v>3.1092960059756716</v>
      </c>
      <c r="Y22" s="17">
        <f t="shared" si="18"/>
        <v>3.1377293344716168</v>
      </c>
      <c r="Z22" s="17">
        <f t="shared" si="18"/>
        <v>3.1910947960365301</v>
      </c>
      <c r="AA22" s="17">
        <f t="shared" si="18"/>
        <v>3.2568471137393558</v>
      </c>
      <c r="AB22" s="17">
        <f t="shared" si="18"/>
        <v>3.3294270599378994</v>
      </c>
      <c r="AC22" s="17">
        <f t="shared" si="18"/>
        <v>3.3182477195223767</v>
      </c>
      <c r="AD22" s="17">
        <f t="shared" si="18"/>
        <v>3.3106306911698304</v>
      </c>
      <c r="AE22" s="17">
        <f t="shared" si="18"/>
        <v>3.3144033825174981</v>
      </c>
      <c r="AF22" s="17">
        <f t="shared" si="18"/>
        <v>3.3350870591101076</v>
      </c>
      <c r="AG22" s="17">
        <f t="shared" si="18"/>
        <v>3.3703664657154717</v>
      </c>
      <c r="AH22" s="17"/>
      <c r="AI22" s="17"/>
      <c r="AJ22" s="17"/>
      <c r="AK22" s="17"/>
      <c r="AL22" s="17"/>
      <c r="AM22" s="17"/>
      <c r="AN22" s="17"/>
    </row>
    <row r="23" spans="1:40" x14ac:dyDescent="0.25">
      <c r="A23" s="3" t="s">
        <v>182</v>
      </c>
      <c r="B23" s="17">
        <f t="shared" ref="B23:AG23" si="19">IF($B$1="Reference",B59,B99)</f>
        <v>0.28999999999999998</v>
      </c>
      <c r="C23" s="17">
        <f t="shared" si="19"/>
        <v>0.28999999999999998</v>
      </c>
      <c r="D23" s="17">
        <f t="shared" si="19"/>
        <v>0.28951354624338443</v>
      </c>
      <c r="E23" s="17">
        <f t="shared" si="19"/>
        <v>0.28938201099307848</v>
      </c>
      <c r="F23" s="17">
        <f t="shared" si="19"/>
        <v>0.28938201099307853</v>
      </c>
      <c r="G23" s="17">
        <f t="shared" si="19"/>
        <v>0.2893820109930787</v>
      </c>
      <c r="H23" s="17">
        <f t="shared" si="19"/>
        <v>0.2893820109930787</v>
      </c>
      <c r="I23" s="17">
        <f t="shared" si="19"/>
        <v>0.2893820109930787</v>
      </c>
      <c r="J23" s="17">
        <f t="shared" si="19"/>
        <v>0.2893738786806343</v>
      </c>
      <c r="K23" s="17">
        <f t="shared" si="19"/>
        <v>0.28937387868063436</v>
      </c>
      <c r="L23" s="17">
        <f t="shared" si="19"/>
        <v>0.2893738786806343</v>
      </c>
      <c r="M23" s="17">
        <f t="shared" si="19"/>
        <v>0.28937387868063424</v>
      </c>
      <c r="N23" s="17">
        <f t="shared" si="19"/>
        <v>0.2893738786806343</v>
      </c>
      <c r="O23" s="17">
        <f t="shared" si="19"/>
        <v>0.28937387868063419</v>
      </c>
      <c r="P23" s="17">
        <f t="shared" si="19"/>
        <v>0.28937387868063413</v>
      </c>
      <c r="Q23" s="17">
        <f t="shared" si="19"/>
        <v>0.28937387868063408</v>
      </c>
      <c r="R23" s="17">
        <f t="shared" si="19"/>
        <v>0.28937387868063402</v>
      </c>
      <c r="S23" s="17">
        <f t="shared" si="19"/>
        <v>0.28937387868063408</v>
      </c>
      <c r="T23" s="17">
        <f t="shared" si="19"/>
        <v>0.28937387868063391</v>
      </c>
      <c r="U23" s="17">
        <f t="shared" si="19"/>
        <v>7.0056503058473751</v>
      </c>
      <c r="V23" s="17">
        <f t="shared" si="19"/>
        <v>14.011300611694748</v>
      </c>
      <c r="W23" s="17">
        <f t="shared" si="19"/>
        <v>21.016950917542118</v>
      </c>
      <c r="X23" s="17">
        <f t="shared" si="19"/>
        <v>23.827870240243875</v>
      </c>
      <c r="Y23" s="17">
        <f t="shared" si="19"/>
        <v>26.638789562945625</v>
      </c>
      <c r="Z23" s="17">
        <f t="shared" si="19"/>
        <v>29.449708885647372</v>
      </c>
      <c r="AA23" s="17">
        <f t="shared" si="19"/>
        <v>32.260628208349125</v>
      </c>
      <c r="AB23" s="17">
        <f t="shared" si="19"/>
        <v>35.071547531050882</v>
      </c>
      <c r="AC23" s="17">
        <f t="shared" si="19"/>
        <v>34.492007047839728</v>
      </c>
      <c r="AD23" s="17">
        <f t="shared" si="19"/>
        <v>33.912466564628545</v>
      </c>
      <c r="AE23" s="17">
        <f t="shared" si="19"/>
        <v>33.332926081417384</v>
      </c>
      <c r="AF23" s="17">
        <f t="shared" si="19"/>
        <v>32.753385598206215</v>
      </c>
      <c r="AG23" s="17">
        <f t="shared" si="19"/>
        <v>32.173845114995046</v>
      </c>
      <c r="AH23" s="17"/>
      <c r="AI23" s="17"/>
      <c r="AJ23" s="17"/>
      <c r="AK23" s="17"/>
      <c r="AL23" s="17"/>
      <c r="AM23" s="17"/>
      <c r="AN23" s="17"/>
    </row>
    <row r="24" spans="1:40" x14ac:dyDescent="0.25">
      <c r="A24" s="3" t="s">
        <v>183</v>
      </c>
      <c r="B24" s="17">
        <f t="shared" ref="B24:AG24" si="20">IF($B$1="Reference",B60,B100)</f>
        <v>7.8476290328821835E-2</v>
      </c>
      <c r="C24" s="17">
        <f t="shared" si="20"/>
        <v>7.8476290328821835E-2</v>
      </c>
      <c r="D24" s="17">
        <f t="shared" si="20"/>
        <v>7.8344652100422865E-2</v>
      </c>
      <c r="E24" s="17">
        <f t="shared" si="20"/>
        <v>7.8309057622866024E-2</v>
      </c>
      <c r="F24" s="17">
        <f t="shared" si="20"/>
        <v>7.8309057622866052E-2</v>
      </c>
      <c r="G24" s="17">
        <f t="shared" si="20"/>
        <v>7.8309057622866093E-2</v>
      </c>
      <c r="H24" s="17">
        <f t="shared" si="20"/>
        <v>7.8309057622866107E-2</v>
      </c>
      <c r="I24" s="17">
        <f t="shared" si="20"/>
        <v>7.8309057622866107E-2</v>
      </c>
      <c r="J24" s="17">
        <f t="shared" si="20"/>
        <v>7.8306856954892201E-2</v>
      </c>
      <c r="K24" s="17">
        <f t="shared" si="20"/>
        <v>7.8306856954892243E-2</v>
      </c>
      <c r="L24" s="17">
        <f t="shared" si="20"/>
        <v>7.8306856954892215E-2</v>
      </c>
      <c r="M24" s="17">
        <f t="shared" si="20"/>
        <v>7.8306856954892215E-2</v>
      </c>
      <c r="N24" s="17">
        <f t="shared" si="20"/>
        <v>7.8306856954892243E-2</v>
      </c>
      <c r="O24" s="17">
        <f t="shared" si="20"/>
        <v>7.8306856954892215E-2</v>
      </c>
      <c r="P24" s="17">
        <f t="shared" si="20"/>
        <v>7.8306856954892201E-2</v>
      </c>
      <c r="Q24" s="17">
        <f t="shared" si="20"/>
        <v>7.8306856954892187E-2</v>
      </c>
      <c r="R24" s="17">
        <f t="shared" si="20"/>
        <v>7.8306856954892159E-2</v>
      </c>
      <c r="S24" s="17">
        <f t="shared" si="20"/>
        <v>7.8306856954892187E-2</v>
      </c>
      <c r="T24" s="17">
        <f t="shared" si="20"/>
        <v>7.8306856954892146E-2</v>
      </c>
      <c r="U24" s="17">
        <f t="shared" si="20"/>
        <v>7.8306856954892146E-2</v>
      </c>
      <c r="V24" s="17">
        <f t="shared" si="20"/>
        <v>2.3901477629112673</v>
      </c>
      <c r="W24" s="17">
        <f t="shared" si="20"/>
        <v>2.3901477629112668</v>
      </c>
      <c r="X24" s="17">
        <f t="shared" si="20"/>
        <v>2.3901477629112668</v>
      </c>
      <c r="Y24" s="17">
        <f t="shared" si="20"/>
        <v>2.390147762911266</v>
      </c>
      <c r="Z24" s="17">
        <f t="shared" si="20"/>
        <v>1.612673706389012</v>
      </c>
      <c r="AA24" s="17">
        <f t="shared" si="20"/>
        <v>1.6126737063890118</v>
      </c>
      <c r="AB24" s="17">
        <f t="shared" si="20"/>
        <v>1.6126737063890113</v>
      </c>
      <c r="AC24" s="17">
        <f t="shared" si="20"/>
        <v>1.6126737063890118</v>
      </c>
      <c r="AD24" s="17">
        <f t="shared" si="20"/>
        <v>1.6126737063890111</v>
      </c>
      <c r="AE24" s="17">
        <f t="shared" si="20"/>
        <v>1.2908640373764781</v>
      </c>
      <c r="AF24" s="17">
        <f t="shared" si="20"/>
        <v>1.2908640373764779</v>
      </c>
      <c r="AG24" s="17">
        <f t="shared" si="20"/>
        <v>1.2908640373764777</v>
      </c>
      <c r="AH24" s="17"/>
      <c r="AI24" s="17"/>
      <c r="AJ24" s="17"/>
      <c r="AK24" s="17"/>
      <c r="AL24" s="17"/>
      <c r="AM24" s="17"/>
      <c r="AN24" s="17"/>
    </row>
    <row r="26" spans="1:40" ht="18" thickBot="1" x14ac:dyDescent="0.35">
      <c r="A26" s="4" t="s">
        <v>65</v>
      </c>
      <c r="B26" s="4"/>
      <c r="C26" s="4"/>
      <c r="D26" s="4"/>
      <c r="E26" s="4"/>
      <c r="F26" s="4"/>
      <c r="G26" s="4"/>
      <c r="H26" s="4"/>
    </row>
    <row r="27" spans="1:40" ht="15.75" thickTop="1" x14ac:dyDescent="0.25">
      <c r="B27" s="3">
        <v>2019</v>
      </c>
      <c r="C27" s="3">
        <v>2020</v>
      </c>
      <c r="D27" s="3">
        <v>2021</v>
      </c>
      <c r="E27" s="3">
        <v>2022</v>
      </c>
      <c r="F27" s="3">
        <v>2023</v>
      </c>
      <c r="G27" s="3">
        <v>2024</v>
      </c>
      <c r="H27" s="3">
        <v>2025</v>
      </c>
      <c r="I27" s="3">
        <v>2026</v>
      </c>
      <c r="J27" s="3">
        <v>2027</v>
      </c>
      <c r="K27" s="3">
        <v>2028</v>
      </c>
      <c r="L27" s="3">
        <v>2029</v>
      </c>
      <c r="M27" s="3">
        <v>2030</v>
      </c>
      <c r="N27" s="3">
        <v>2031</v>
      </c>
      <c r="O27" s="3">
        <v>2032</v>
      </c>
      <c r="P27" s="3">
        <v>2033</v>
      </c>
      <c r="Q27" s="3">
        <v>2034</v>
      </c>
      <c r="R27" s="3">
        <v>2035</v>
      </c>
      <c r="S27" s="3">
        <v>2036</v>
      </c>
      <c r="T27" s="3">
        <v>2037</v>
      </c>
      <c r="U27" s="3">
        <v>2038</v>
      </c>
      <c r="V27">
        <v>2039</v>
      </c>
      <c r="W27">
        <v>2040</v>
      </c>
      <c r="X27">
        <v>2041</v>
      </c>
      <c r="Y27">
        <v>2042</v>
      </c>
      <c r="Z27">
        <v>2043</v>
      </c>
      <c r="AA27">
        <v>2044</v>
      </c>
      <c r="AB27">
        <v>2045</v>
      </c>
      <c r="AC27">
        <v>2046</v>
      </c>
      <c r="AD27">
        <v>2047</v>
      </c>
      <c r="AE27">
        <v>2048</v>
      </c>
      <c r="AF27">
        <v>2049</v>
      </c>
      <c r="AG27">
        <v>2050</v>
      </c>
    </row>
    <row r="28" spans="1:40" x14ac:dyDescent="0.25">
      <c r="A28" s="3" t="s">
        <v>51</v>
      </c>
      <c r="B28" s="17">
        <f t="shared" ref="B28:K30" si="21">IF($B$1="Reference",B64,I102)</f>
        <v>0.5</v>
      </c>
      <c r="C28" s="17">
        <f t="shared" si="21"/>
        <v>0.52104177528081141</v>
      </c>
      <c r="D28" s="17">
        <f t="shared" si="21"/>
        <v>0.51652112605848799</v>
      </c>
      <c r="E28" s="17">
        <f t="shared" si="21"/>
        <v>0.49685833553094555</v>
      </c>
      <c r="F28" s="17">
        <f t="shared" si="21"/>
        <v>0.49205552970545141</v>
      </c>
      <c r="G28" s="17">
        <f t="shared" si="21"/>
        <v>0.49035234378915604</v>
      </c>
      <c r="H28" s="17">
        <f t="shared" si="21"/>
        <v>0.49083832005169392</v>
      </c>
      <c r="I28" s="17">
        <f t="shared" si="21"/>
        <v>0.4952004232650718</v>
      </c>
      <c r="J28" s="17">
        <f t="shared" si="21"/>
        <v>0.49256431550401025</v>
      </c>
      <c r="K28" s="17">
        <f t="shared" si="21"/>
        <v>0.48002313412283315</v>
      </c>
      <c r="L28" s="17">
        <f t="shared" ref="L28:U30" si="22">IF($B$1="Reference",L64,S102)</f>
        <v>0.46826578079747994</v>
      </c>
      <c r="M28" s="17">
        <f t="shared" si="22"/>
        <v>0.45810393798337951</v>
      </c>
      <c r="N28" s="17">
        <f t="shared" si="22"/>
        <v>0.44627519319958753</v>
      </c>
      <c r="O28" s="17">
        <f t="shared" si="22"/>
        <v>0.43431727923964247</v>
      </c>
      <c r="P28" s="17">
        <f t="shared" si="22"/>
        <v>0.42271991525881314</v>
      </c>
      <c r="Q28" s="17">
        <f t="shared" si="22"/>
        <v>0.41048274907165483</v>
      </c>
      <c r="R28" s="17">
        <f t="shared" si="22"/>
        <v>0.39793841431275584</v>
      </c>
      <c r="S28" s="17">
        <f t="shared" si="22"/>
        <v>0.38563378911858098</v>
      </c>
      <c r="T28" s="17">
        <f t="shared" si="22"/>
        <v>0.37296331760655599</v>
      </c>
      <c r="U28" s="17">
        <f t="shared" si="22"/>
        <v>0.36152663218630521</v>
      </c>
      <c r="V28" s="17">
        <f t="shared" ref="V28:AE30" si="23">IF($B$1="Reference",V64,AC102)</f>
        <v>0.35116931087947051</v>
      </c>
      <c r="W28" s="17">
        <f t="shared" si="23"/>
        <v>0.34151816916742883</v>
      </c>
      <c r="X28" s="17">
        <f t="shared" si="23"/>
        <v>0.33220959329403427</v>
      </c>
      <c r="Y28" s="17">
        <f t="shared" si="23"/>
        <v>0.32300453891064079</v>
      </c>
      <c r="Z28" s="17">
        <f t="shared" si="23"/>
        <v>0.31410018050094252</v>
      </c>
      <c r="AA28" s="17">
        <f t="shared" si="23"/>
        <v>0.30514862735882758</v>
      </c>
      <c r="AB28" s="17">
        <f t="shared" si="23"/>
        <v>0.29617986322436329</v>
      </c>
      <c r="AC28" s="17">
        <f t="shared" si="23"/>
        <v>0.28707693321702105</v>
      </c>
      <c r="AD28" s="17">
        <f t="shared" si="23"/>
        <v>0.27787854459994743</v>
      </c>
      <c r="AE28" s="17">
        <f t="shared" si="23"/>
        <v>0.26858750285367139</v>
      </c>
      <c r="AF28" s="17">
        <f t="shared" ref="AF28:AG30" si="24">IF($B$1="Reference",AF64,AM102)</f>
        <v>0.25918027681428457</v>
      </c>
      <c r="AG28" s="17">
        <f t="shared" si="24"/>
        <v>0.24971992653481059</v>
      </c>
    </row>
    <row r="29" spans="1:40" x14ac:dyDescent="0.25">
      <c r="A29" s="3" t="s">
        <v>52</v>
      </c>
      <c r="B29" s="17">
        <f t="shared" si="21"/>
        <v>0.3</v>
      </c>
      <c r="C29" s="17">
        <f t="shared" si="21"/>
        <v>0.27895822471918863</v>
      </c>
      <c r="D29" s="17">
        <f t="shared" si="21"/>
        <v>0.283478873941512</v>
      </c>
      <c r="E29" s="17">
        <f t="shared" si="21"/>
        <v>0.30002404137584904</v>
      </c>
      <c r="F29" s="17">
        <f t="shared" si="21"/>
        <v>0.30412470430787908</v>
      </c>
      <c r="G29" s="17">
        <f t="shared" si="21"/>
        <v>0.30513934265941839</v>
      </c>
      <c r="H29" s="17">
        <f t="shared" si="21"/>
        <v>0.30710761450601287</v>
      </c>
      <c r="I29" s="17">
        <f t="shared" si="21"/>
        <v>0.30479957673492813</v>
      </c>
      <c r="J29" s="17">
        <f t="shared" si="21"/>
        <v>0.30544822418152656</v>
      </c>
      <c r="K29" s="17">
        <f t="shared" si="21"/>
        <v>0.30827266741267056</v>
      </c>
      <c r="L29" s="17">
        <f t="shared" si="22"/>
        <v>0.31242033342183484</v>
      </c>
      <c r="M29" s="17">
        <f t="shared" si="22"/>
        <v>0.31447630621700667</v>
      </c>
      <c r="N29" s="17">
        <f t="shared" si="22"/>
        <v>0.3169321621042327</v>
      </c>
      <c r="O29" s="17">
        <f t="shared" si="22"/>
        <v>0.32000111254245933</v>
      </c>
      <c r="P29" s="17">
        <f t="shared" si="22"/>
        <v>0.32269063700704304</v>
      </c>
      <c r="Q29" s="17">
        <f t="shared" si="22"/>
        <v>0.32518991801505592</v>
      </c>
      <c r="R29" s="17">
        <f t="shared" si="22"/>
        <v>0.32806027064566307</v>
      </c>
      <c r="S29" s="17">
        <f t="shared" si="22"/>
        <v>0.33067425579387039</v>
      </c>
      <c r="T29" s="17">
        <f t="shared" si="22"/>
        <v>0.33333592313235927</v>
      </c>
      <c r="U29" s="17">
        <f t="shared" si="22"/>
        <v>0.33669579925543452</v>
      </c>
      <c r="V29" s="17">
        <f t="shared" si="23"/>
        <v>0.33914094587093702</v>
      </c>
      <c r="W29" s="17">
        <f t="shared" si="23"/>
        <v>0.34185052107198538</v>
      </c>
      <c r="X29" s="17">
        <f t="shared" si="23"/>
        <v>0.34397007037311744</v>
      </c>
      <c r="Y29" s="17">
        <f t="shared" si="23"/>
        <v>0.34637551814957229</v>
      </c>
      <c r="Z29" s="17">
        <f t="shared" si="23"/>
        <v>0.34836744746323578</v>
      </c>
      <c r="AA29" s="17">
        <f t="shared" si="23"/>
        <v>0.3502761777754072</v>
      </c>
      <c r="AB29" s="17">
        <f t="shared" si="23"/>
        <v>0.35215462423859001</v>
      </c>
      <c r="AC29" s="17">
        <f t="shared" si="23"/>
        <v>0.35392042172346466</v>
      </c>
      <c r="AD29" s="17">
        <f t="shared" si="23"/>
        <v>0.35557589059150185</v>
      </c>
      <c r="AE29" s="17">
        <f t="shared" si="23"/>
        <v>0.35727041532442155</v>
      </c>
      <c r="AF29" s="17">
        <f t="shared" si="24"/>
        <v>0.35889605662930896</v>
      </c>
      <c r="AG29" s="17">
        <f t="shared" si="24"/>
        <v>0.36059008808829385</v>
      </c>
    </row>
    <row r="30" spans="1:40" x14ac:dyDescent="0.25">
      <c r="A30" s="3" t="s">
        <v>53</v>
      </c>
      <c r="B30" s="17">
        <f t="shared" si="21"/>
        <v>0.2</v>
      </c>
      <c r="C30" s="17">
        <f t="shared" si="21"/>
        <v>0.2</v>
      </c>
      <c r="D30" s="17">
        <f t="shared" si="21"/>
        <v>0.19999999999999998</v>
      </c>
      <c r="E30" s="17">
        <f t="shared" si="21"/>
        <v>0.20311762309320541</v>
      </c>
      <c r="F30" s="17">
        <f t="shared" si="21"/>
        <v>0.20381976598666948</v>
      </c>
      <c r="G30" s="17">
        <f t="shared" si="21"/>
        <v>0.20450831355142557</v>
      </c>
      <c r="H30" s="17">
        <f t="shared" si="21"/>
        <v>0.20205406544229332</v>
      </c>
      <c r="I30" s="17">
        <f t="shared" si="21"/>
        <v>0.19999999999999998</v>
      </c>
      <c r="J30" s="17">
        <f t="shared" si="21"/>
        <v>0.20198746031446319</v>
      </c>
      <c r="K30" s="17">
        <f t="shared" si="21"/>
        <v>0.21170419846449634</v>
      </c>
      <c r="L30" s="17">
        <f t="shared" si="22"/>
        <v>0.21931388578068517</v>
      </c>
      <c r="M30" s="17">
        <f t="shared" si="22"/>
        <v>0.22741975579961379</v>
      </c>
      <c r="N30" s="17">
        <f t="shared" si="22"/>
        <v>0.23679264469617972</v>
      </c>
      <c r="O30" s="17">
        <f t="shared" si="22"/>
        <v>0.2456816082178982</v>
      </c>
      <c r="P30" s="17">
        <f t="shared" si="22"/>
        <v>0.25458944773414383</v>
      </c>
      <c r="Q30" s="17">
        <f t="shared" si="22"/>
        <v>0.26432733291328919</v>
      </c>
      <c r="R30" s="17">
        <f t="shared" si="22"/>
        <v>0.27400131504158109</v>
      </c>
      <c r="S30" s="17">
        <f t="shared" si="22"/>
        <v>0.28369195508754852</v>
      </c>
      <c r="T30" s="17">
        <f t="shared" si="22"/>
        <v>0.2937007592610848</v>
      </c>
      <c r="U30" s="17">
        <f t="shared" si="22"/>
        <v>0.30177756855826032</v>
      </c>
      <c r="V30" s="17">
        <f t="shared" si="23"/>
        <v>0.30968974324959242</v>
      </c>
      <c r="W30" s="17">
        <f t="shared" si="23"/>
        <v>0.31663130976058579</v>
      </c>
      <c r="X30" s="17">
        <f t="shared" si="23"/>
        <v>0.32382033633284829</v>
      </c>
      <c r="Y30" s="17">
        <f t="shared" si="23"/>
        <v>0.33061994293978691</v>
      </c>
      <c r="Z30" s="17">
        <f t="shared" si="23"/>
        <v>0.3375323720358217</v>
      </c>
      <c r="AA30" s="17">
        <f t="shared" si="23"/>
        <v>0.3445751948657651</v>
      </c>
      <c r="AB30" s="17">
        <f t="shared" si="23"/>
        <v>0.35166551253704664</v>
      </c>
      <c r="AC30" s="17">
        <f t="shared" si="23"/>
        <v>0.35900264505951418</v>
      </c>
      <c r="AD30" s="17">
        <f t="shared" si="23"/>
        <v>0.36654556480855072</v>
      </c>
      <c r="AE30" s="17">
        <f t="shared" si="23"/>
        <v>0.37414208182190711</v>
      </c>
      <c r="AF30" s="17">
        <f t="shared" si="24"/>
        <v>0.38192366655640653</v>
      </c>
      <c r="AG30" s="17">
        <f t="shared" si="24"/>
        <v>0.38968998537689553</v>
      </c>
    </row>
    <row r="31" spans="1:40" x14ac:dyDescent="0.25">
      <c r="A31" s="3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</row>
    <row r="33" spans="1:40" ht="18" thickBot="1" x14ac:dyDescent="0.35">
      <c r="A33" s="4" t="s">
        <v>66</v>
      </c>
      <c r="B33" s="4"/>
      <c r="C33" s="4"/>
      <c r="D33" s="4"/>
      <c r="E33" s="4"/>
      <c r="F33" s="4"/>
      <c r="G33" s="4"/>
      <c r="H33" s="4"/>
    </row>
    <row r="34" spans="1:40" ht="15.75" thickTop="1" x14ac:dyDescent="0.25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</row>
    <row r="35" spans="1:40" x14ac:dyDescent="0.25">
      <c r="A35" s="17">
        <f>IF($B$1="Reference",A71,H109)</f>
        <v>0.3670146459012677</v>
      </c>
      <c r="B35" s="17">
        <f t="shared" ref="B35:AF35" si="25">IF($B$1="Reference",B71,I109)</f>
        <v>0.33856823501224786</v>
      </c>
      <c r="C35" s="17">
        <f t="shared" si="25"/>
        <v>0.42255797132499368</v>
      </c>
      <c r="D35" s="17">
        <f t="shared" si="25"/>
        <v>0.42739295203893585</v>
      </c>
      <c r="E35" s="17">
        <f t="shared" si="25"/>
        <v>0.42629272057286832</v>
      </c>
      <c r="F35" s="17">
        <f t="shared" si="25"/>
        <v>0.42665159798166191</v>
      </c>
      <c r="G35" s="17">
        <f t="shared" si="25"/>
        <v>0.42276851647993174</v>
      </c>
      <c r="H35" s="17">
        <f t="shared" si="25"/>
        <v>0.41855766359980767</v>
      </c>
      <c r="I35" s="17">
        <f t="shared" si="25"/>
        <v>0.42334501402977476</v>
      </c>
      <c r="J35" s="17">
        <f t="shared" si="25"/>
        <v>0.43352601604953406</v>
      </c>
      <c r="K35" s="17">
        <f t="shared" si="25"/>
        <v>0.44062563363823765</v>
      </c>
      <c r="L35" s="17">
        <f t="shared" si="25"/>
        <v>0.45017242214028164</v>
      </c>
      <c r="M35" s="17">
        <f t="shared" si="25"/>
        <v>0.46166678197359839</v>
      </c>
      <c r="N35" s="17">
        <f t="shared" si="25"/>
        <v>0.47259722262437243</v>
      </c>
      <c r="O35" s="17">
        <f t="shared" si="25"/>
        <v>0.48432709592496836</v>
      </c>
      <c r="P35" s="17">
        <f t="shared" si="25"/>
        <v>0.49810139621869098</v>
      </c>
      <c r="Q35" s="17">
        <f t="shared" si="25"/>
        <v>0.51219632282960958</v>
      </c>
      <c r="R35" s="17">
        <f t="shared" si="25"/>
        <v>0.52751578225460893</v>
      </c>
      <c r="S35" s="17">
        <f t="shared" si="25"/>
        <v>0.54439121769101251</v>
      </c>
      <c r="T35" s="17">
        <f t="shared" si="25"/>
        <v>0.61417358251932652</v>
      </c>
      <c r="U35" s="17">
        <f t="shared" si="25"/>
        <v>0.63061005875574128</v>
      </c>
      <c r="V35" s="17">
        <f t="shared" si="25"/>
        <v>0.64516179920166183</v>
      </c>
      <c r="W35" s="17">
        <f t="shared" si="25"/>
        <v>0.66188475929885227</v>
      </c>
      <c r="X35" s="17">
        <f t="shared" si="25"/>
        <v>0.67766316717628683</v>
      </c>
      <c r="Y35" s="17">
        <f t="shared" si="25"/>
        <v>0.6947122212757284</v>
      </c>
      <c r="Z35" s="17">
        <f t="shared" si="25"/>
        <v>0.71309121800812003</v>
      </c>
      <c r="AA35" s="17">
        <f t="shared" si="25"/>
        <v>0.73268428510464945</v>
      </c>
      <c r="AB35" s="17">
        <f t="shared" si="25"/>
        <v>0.7542320543013229</v>
      </c>
      <c r="AC35" s="17">
        <f t="shared" si="25"/>
        <v>0.7779897857689454</v>
      </c>
      <c r="AD35" s="17">
        <f t="shared" si="25"/>
        <v>0.80349794080506487</v>
      </c>
      <c r="AE35" s="17">
        <f t="shared" si="25"/>
        <v>0.83164268387947504</v>
      </c>
      <c r="AF35" s="17">
        <f t="shared" si="25"/>
        <v>0.86168905809987639</v>
      </c>
    </row>
    <row r="37" spans="1:40" x14ac:dyDescent="0.25">
      <c r="F37" t="s">
        <v>169</v>
      </c>
    </row>
    <row r="38" spans="1:40" ht="18" thickBot="1" x14ac:dyDescent="0.35">
      <c r="A38" s="23" t="s">
        <v>137</v>
      </c>
      <c r="B38" s="23"/>
      <c r="C38" s="23"/>
      <c r="D38" s="2" t="s">
        <v>169</v>
      </c>
      <c r="F38" t="s">
        <v>170</v>
      </c>
    </row>
    <row r="39" spans="1:40" ht="15.75" thickTop="1" x14ac:dyDescent="0.25">
      <c r="B39">
        <v>2019</v>
      </c>
      <c r="C39">
        <v>2020</v>
      </c>
      <c r="D39">
        <v>2021</v>
      </c>
      <c r="E39">
        <v>2022</v>
      </c>
      <c r="F39">
        <v>2023</v>
      </c>
      <c r="G39">
        <v>2024</v>
      </c>
      <c r="H39">
        <v>2025</v>
      </c>
      <c r="I39">
        <v>2026</v>
      </c>
      <c r="J39">
        <v>2027</v>
      </c>
      <c r="K39">
        <v>2028</v>
      </c>
      <c r="L39">
        <v>2029</v>
      </c>
      <c r="M39">
        <v>2030</v>
      </c>
      <c r="N39">
        <v>2031</v>
      </c>
      <c r="O39">
        <v>2032</v>
      </c>
      <c r="P39">
        <v>2033</v>
      </c>
      <c r="Q39">
        <v>2034</v>
      </c>
      <c r="R39">
        <v>2035</v>
      </c>
      <c r="S39">
        <v>2036</v>
      </c>
      <c r="T39">
        <v>2037</v>
      </c>
      <c r="U39">
        <v>2038</v>
      </c>
      <c r="V39">
        <v>2039</v>
      </c>
      <c r="W39">
        <v>2040</v>
      </c>
      <c r="X39">
        <v>2041</v>
      </c>
      <c r="Y39">
        <v>2042</v>
      </c>
      <c r="Z39">
        <v>2043</v>
      </c>
      <c r="AA39">
        <v>2044</v>
      </c>
      <c r="AB39">
        <v>2045</v>
      </c>
      <c r="AC39">
        <v>2046</v>
      </c>
      <c r="AD39">
        <v>2047</v>
      </c>
      <c r="AE39">
        <v>2048</v>
      </c>
      <c r="AF39">
        <v>2049</v>
      </c>
      <c r="AG39">
        <v>2050</v>
      </c>
    </row>
    <row r="40" spans="1:40" x14ac:dyDescent="0.25">
      <c r="A40" s="3" t="s">
        <v>21</v>
      </c>
      <c r="B40">
        <v>2742.6992888923501</v>
      </c>
      <c r="C40">
        <v>2623.892630430013</v>
      </c>
      <c r="D40">
        <v>2713.0909549858625</v>
      </c>
      <c r="E40">
        <v>2802.21394205561</v>
      </c>
      <c r="F40">
        <v>2823.8763171447204</v>
      </c>
      <c r="G40">
        <v>2865.839763515025</v>
      </c>
      <c r="H40">
        <v>2903.5765502969043</v>
      </c>
      <c r="I40">
        <v>2949.6153150084137</v>
      </c>
      <c r="J40">
        <v>3001.6719500488425</v>
      </c>
      <c r="K40">
        <v>3072.4313263795839</v>
      </c>
      <c r="L40">
        <v>3148.1774393760693</v>
      </c>
      <c r="M40">
        <v>3239.0447618780399</v>
      </c>
      <c r="N40">
        <v>3342.4114996273343</v>
      </c>
      <c r="O40">
        <v>3450.0848198399458</v>
      </c>
      <c r="P40">
        <v>3566.2225931357234</v>
      </c>
      <c r="Q40">
        <v>3696.6545640464865</v>
      </c>
      <c r="R40">
        <v>3831.1547614879955</v>
      </c>
      <c r="S40">
        <v>3980.8300304213626</v>
      </c>
      <c r="T40">
        <v>4140.6801768937266</v>
      </c>
      <c r="U40">
        <v>4299.3385448416921</v>
      </c>
      <c r="V40">
        <v>4459.7399124601388</v>
      </c>
      <c r="W40">
        <v>4621.1993602487619</v>
      </c>
      <c r="X40">
        <v>4793.0276020669698</v>
      </c>
      <c r="Y40">
        <v>4959.7505853127068</v>
      </c>
      <c r="Z40">
        <v>5129.5317125086531</v>
      </c>
      <c r="AA40">
        <v>5308.2323817134811</v>
      </c>
      <c r="AB40">
        <v>5498.3524736868612</v>
      </c>
      <c r="AC40">
        <v>5699.9241069457121</v>
      </c>
      <c r="AD40">
        <v>5919.3237968615076</v>
      </c>
      <c r="AE40">
        <v>6154.1807199499617</v>
      </c>
      <c r="AF40">
        <v>6409.7360940906492</v>
      </c>
      <c r="AG40">
        <v>6683.3748805517698</v>
      </c>
      <c r="AH40" s="17"/>
      <c r="AI40" s="17"/>
      <c r="AJ40" s="17"/>
      <c r="AK40" s="17"/>
      <c r="AL40" s="17"/>
      <c r="AM40" s="17"/>
      <c r="AN40" s="17"/>
    </row>
    <row r="41" spans="1:40" x14ac:dyDescent="0.25">
      <c r="A41" s="3" t="s">
        <v>70</v>
      </c>
      <c r="B41">
        <v>102.77045496481313</v>
      </c>
      <c r="C41">
        <v>105.71698219013261</v>
      </c>
      <c r="D41">
        <v>114.1821084403482</v>
      </c>
      <c r="E41">
        <v>108.7750099366377</v>
      </c>
      <c r="F41">
        <v>106.71540830460093</v>
      </c>
      <c r="G41">
        <v>105.67844787815569</v>
      </c>
      <c r="H41">
        <v>107.43134129975681</v>
      </c>
      <c r="I41">
        <v>108.54476976700271</v>
      </c>
      <c r="J41">
        <v>109.94769520561633</v>
      </c>
      <c r="K41">
        <v>112.25077081245851</v>
      </c>
      <c r="L41">
        <v>114.69356298435909</v>
      </c>
      <c r="M41">
        <v>117.89535972773864</v>
      </c>
      <c r="N41">
        <v>121.15844978097707</v>
      </c>
      <c r="O41">
        <v>124.11861511306854</v>
      </c>
      <c r="P41">
        <v>127.09995826376888</v>
      </c>
      <c r="Q41">
        <v>130.39994063312241</v>
      </c>
      <c r="R41">
        <v>133.53741441429383</v>
      </c>
      <c r="S41">
        <v>136.99913677199982</v>
      </c>
      <c r="T41">
        <v>140.5523711747764</v>
      </c>
      <c r="U41">
        <v>143.82759086829512</v>
      </c>
      <c r="V41">
        <v>146.82661597480296</v>
      </c>
      <c r="W41">
        <v>149.89809145224035</v>
      </c>
      <c r="X41">
        <v>153.56547844367361</v>
      </c>
      <c r="Y41">
        <v>156.85087639842584</v>
      </c>
      <c r="Z41">
        <v>159.98382492128428</v>
      </c>
      <c r="AA41">
        <v>163.22142047312292</v>
      </c>
      <c r="AB41">
        <v>166.58866132989297</v>
      </c>
      <c r="AC41">
        <v>170.47356401398164</v>
      </c>
      <c r="AD41">
        <v>174.86444007100488</v>
      </c>
      <c r="AE41">
        <v>179.60818489040312</v>
      </c>
      <c r="AF41">
        <v>184.7427969348181</v>
      </c>
      <c r="AG41">
        <v>190.12630010948794</v>
      </c>
      <c r="AH41" s="17"/>
      <c r="AI41" s="17"/>
      <c r="AJ41" s="17"/>
      <c r="AK41" s="17"/>
      <c r="AL41" s="17"/>
      <c r="AM41" s="17"/>
      <c r="AN41" s="17"/>
    </row>
    <row r="42" spans="1:40" x14ac:dyDescent="0.25">
      <c r="A42" s="3" t="s">
        <v>23</v>
      </c>
      <c r="B42">
        <v>197.32396542856375</v>
      </c>
      <c r="C42">
        <v>183.81470141206364</v>
      </c>
      <c r="D42">
        <v>218.05530488443134</v>
      </c>
      <c r="E42">
        <v>192.39940186477057</v>
      </c>
      <c r="F42">
        <v>196.89179566772691</v>
      </c>
      <c r="G42">
        <v>198.22821319422218</v>
      </c>
      <c r="H42">
        <v>200.02260700961921</v>
      </c>
      <c r="I42">
        <v>204.43546991973164</v>
      </c>
      <c r="J42">
        <v>207.5651349980763</v>
      </c>
      <c r="K42">
        <v>210.4682981827435</v>
      </c>
      <c r="L42">
        <v>214.99340529196695</v>
      </c>
      <c r="M42">
        <v>219.43452426116801</v>
      </c>
      <c r="N42">
        <v>224.04714305710638</v>
      </c>
      <c r="O42">
        <v>228.62476549423491</v>
      </c>
      <c r="P42">
        <v>233.35385846020296</v>
      </c>
      <c r="Q42">
        <v>238.45331410159207</v>
      </c>
      <c r="R42">
        <v>243.04643497422327</v>
      </c>
      <c r="S42">
        <v>248.34231653736356</v>
      </c>
      <c r="T42">
        <v>253.57044333730585</v>
      </c>
      <c r="U42">
        <v>258.75460937761244</v>
      </c>
      <c r="V42">
        <v>262.98297713785223</v>
      </c>
      <c r="W42">
        <v>267.82850720424238</v>
      </c>
      <c r="X42">
        <v>273.27716231620269</v>
      </c>
      <c r="Y42">
        <v>277.5723173724503</v>
      </c>
      <c r="Z42">
        <v>281.42208300125822</v>
      </c>
      <c r="AA42">
        <v>285.39939720829489</v>
      </c>
      <c r="AB42">
        <v>289.72187597975818</v>
      </c>
      <c r="AC42">
        <v>295.23716628597259</v>
      </c>
      <c r="AD42">
        <v>301.46102082054131</v>
      </c>
      <c r="AE42">
        <v>308.32689376306001</v>
      </c>
      <c r="AF42">
        <v>315.93028962428264</v>
      </c>
      <c r="AG42">
        <v>324.20877615933455</v>
      </c>
      <c r="AH42" s="17"/>
      <c r="AI42" s="17"/>
      <c r="AJ42" s="17"/>
      <c r="AK42" s="17"/>
      <c r="AL42" s="17"/>
      <c r="AM42" s="17"/>
      <c r="AN42" s="17"/>
    </row>
    <row r="43" spans="1:40" x14ac:dyDescent="0.25">
      <c r="A43" s="3" t="s">
        <v>24</v>
      </c>
      <c r="B43">
        <v>155.19916098390058</v>
      </c>
      <c r="C43">
        <v>145.07481074537324</v>
      </c>
      <c r="D43">
        <v>153.77810225780283</v>
      </c>
      <c r="E43">
        <v>159.71214040717638</v>
      </c>
      <c r="F43">
        <v>162.65060543295681</v>
      </c>
      <c r="G43">
        <v>165.70026809424871</v>
      </c>
      <c r="H43">
        <v>165.83357320023401</v>
      </c>
      <c r="I43">
        <v>165.52718986779323</v>
      </c>
      <c r="J43">
        <v>167.3591499536447</v>
      </c>
      <c r="K43">
        <v>181.17017033752091</v>
      </c>
      <c r="L43">
        <v>186.48787416880157</v>
      </c>
      <c r="M43">
        <v>191.21685007653238</v>
      </c>
      <c r="N43">
        <v>196.58835154109735</v>
      </c>
      <c r="O43">
        <v>201.85077444419929</v>
      </c>
      <c r="P43">
        <v>207.31611855134787</v>
      </c>
      <c r="Q43">
        <v>213.33631951209929</v>
      </c>
      <c r="R43">
        <v>219.02825486074909</v>
      </c>
      <c r="S43">
        <v>225.55139328802949</v>
      </c>
      <c r="T43">
        <v>232.07400841523383</v>
      </c>
      <c r="U43">
        <v>238.11493701725396</v>
      </c>
      <c r="V43">
        <v>243.53727668345221</v>
      </c>
      <c r="W43">
        <v>249.27955960208561</v>
      </c>
      <c r="X43">
        <v>256.98270626835085</v>
      </c>
      <c r="Y43">
        <v>263.43092847093243</v>
      </c>
      <c r="Z43">
        <v>269.15812070387153</v>
      </c>
      <c r="AA43">
        <v>274.96945380805823</v>
      </c>
      <c r="AB43">
        <v>281.01156924634029</v>
      </c>
      <c r="AC43">
        <v>288.10586803110579</v>
      </c>
      <c r="AD43">
        <v>295.87395706738437</v>
      </c>
      <c r="AE43">
        <v>304.21872479397666</v>
      </c>
      <c r="AF43">
        <v>313.0809119464468</v>
      </c>
      <c r="AG43">
        <v>322.22548992464431</v>
      </c>
      <c r="AH43" s="17"/>
      <c r="AI43" s="17"/>
      <c r="AJ43" s="17"/>
      <c r="AK43" s="17"/>
      <c r="AL43" s="17"/>
      <c r="AM43" s="17"/>
      <c r="AN43" s="17"/>
    </row>
    <row r="44" spans="1:40" x14ac:dyDescent="0.25">
      <c r="A44" s="3" t="s">
        <v>25</v>
      </c>
      <c r="B44">
        <v>366.7083011696829</v>
      </c>
      <c r="C44">
        <v>320.93675824484723</v>
      </c>
      <c r="D44">
        <v>337.7908758947529</v>
      </c>
      <c r="E44">
        <v>346.39419262545317</v>
      </c>
      <c r="F44">
        <v>347.78472346331154</v>
      </c>
      <c r="G44">
        <v>349.44687222831175</v>
      </c>
      <c r="H44">
        <v>356.79001091003215</v>
      </c>
      <c r="I44">
        <v>374.33763954570236</v>
      </c>
      <c r="J44">
        <v>380.21035952318755</v>
      </c>
      <c r="K44">
        <v>397.86747972480077</v>
      </c>
      <c r="L44">
        <v>408.28203575708943</v>
      </c>
      <c r="M44">
        <v>420.01678457013816</v>
      </c>
      <c r="N44">
        <v>432.87054278924631</v>
      </c>
      <c r="O44">
        <v>446.26881544715729</v>
      </c>
      <c r="P44">
        <v>460.73128328526195</v>
      </c>
      <c r="Q44">
        <v>477.26942862233068</v>
      </c>
      <c r="R44">
        <v>495.27471783070825</v>
      </c>
      <c r="S44">
        <v>514.27858205021403</v>
      </c>
      <c r="T44">
        <v>534.39034551549548</v>
      </c>
      <c r="U44">
        <v>551.4643139900362</v>
      </c>
      <c r="V44">
        <v>568.15661808678044</v>
      </c>
      <c r="W44">
        <v>585.963891231101</v>
      </c>
      <c r="X44">
        <v>599.42331900472334</v>
      </c>
      <c r="Y44">
        <v>613.8732048911013</v>
      </c>
      <c r="Z44">
        <v>632.14926144626156</v>
      </c>
      <c r="AA44">
        <v>652.59824871379374</v>
      </c>
      <c r="AB44">
        <v>674.78067008462858</v>
      </c>
      <c r="AC44">
        <v>700.98670543904632</v>
      </c>
      <c r="AD44">
        <v>730.21554187960135</v>
      </c>
      <c r="AE44">
        <v>761.50563344142938</v>
      </c>
      <c r="AF44">
        <v>795.75578268864695</v>
      </c>
      <c r="AG44">
        <v>832.20031460262578</v>
      </c>
      <c r="AH44" s="17"/>
      <c r="AI44" s="17"/>
      <c r="AJ44" s="17"/>
      <c r="AK44" s="17"/>
      <c r="AL44" s="17"/>
      <c r="AM44" s="17"/>
      <c r="AN44" s="17"/>
    </row>
    <row r="45" spans="1:40" x14ac:dyDescent="0.25">
      <c r="A45" s="3" t="s">
        <v>26</v>
      </c>
      <c r="B45">
        <v>24.019985549556605</v>
      </c>
      <c r="C45">
        <v>22.319194995844644</v>
      </c>
      <c r="D45">
        <v>23.046547367102775</v>
      </c>
      <c r="E45">
        <v>24.381351360456854</v>
      </c>
      <c r="F45">
        <v>24.527043135102428</v>
      </c>
      <c r="G45">
        <v>25.004164379092845</v>
      </c>
      <c r="H45">
        <v>25.229839978548132</v>
      </c>
      <c r="I45">
        <v>25.362480986824785</v>
      </c>
      <c r="J45">
        <v>25.740358675135813</v>
      </c>
      <c r="K45">
        <v>27.404249940818065</v>
      </c>
      <c r="L45">
        <v>28.051336554185657</v>
      </c>
      <c r="M45">
        <v>28.740997380299582</v>
      </c>
      <c r="N45">
        <v>30.121628669752155</v>
      </c>
      <c r="O45">
        <v>30.982040494689961</v>
      </c>
      <c r="P45">
        <v>31.912126354063179</v>
      </c>
      <c r="Q45">
        <v>32.965957515757701</v>
      </c>
      <c r="R45">
        <v>34.026670459193944</v>
      </c>
      <c r="S45">
        <v>35.219921722090653</v>
      </c>
      <c r="T45">
        <v>36.453612202002589</v>
      </c>
      <c r="U45">
        <v>37.655855222100676</v>
      </c>
      <c r="V45">
        <v>38.774682112749197</v>
      </c>
      <c r="W45">
        <v>39.955680658787145</v>
      </c>
      <c r="X45">
        <v>41.265357020512972</v>
      </c>
      <c r="Y45">
        <v>42.420411497147889</v>
      </c>
      <c r="Z45">
        <v>43.545926398921829</v>
      </c>
      <c r="AA45">
        <v>44.7144269490204</v>
      </c>
      <c r="AB45">
        <v>45.969868671030142</v>
      </c>
      <c r="AC45">
        <v>47.414933637664298</v>
      </c>
      <c r="AD45">
        <v>49.006074810167128</v>
      </c>
      <c r="AE45">
        <v>50.7241942982171</v>
      </c>
      <c r="AF45">
        <v>52.594824311058666</v>
      </c>
      <c r="AG45">
        <v>54.594087596720208</v>
      </c>
      <c r="AH45" s="17"/>
      <c r="AI45" s="17"/>
      <c r="AJ45" s="17"/>
      <c r="AK45" s="17"/>
      <c r="AL45" s="17"/>
      <c r="AM45" s="17"/>
      <c r="AN45" s="17"/>
    </row>
    <row r="46" spans="1:40" x14ac:dyDescent="0.25">
      <c r="A46" s="3" t="s">
        <v>27</v>
      </c>
      <c r="B46">
        <v>78.804647701522597</v>
      </c>
      <c r="C46">
        <v>76.877442358534296</v>
      </c>
      <c r="D46">
        <v>76.054035890535658</v>
      </c>
      <c r="E46">
        <v>77.174482718062336</v>
      </c>
      <c r="F46">
        <v>77.579100872966222</v>
      </c>
      <c r="G46">
        <v>77.915699778270181</v>
      </c>
      <c r="H46">
        <v>78.171765232530873</v>
      </c>
      <c r="I46">
        <v>78.623480729217917</v>
      </c>
      <c r="J46">
        <v>79.111097136488894</v>
      </c>
      <c r="K46">
        <v>80.70417184016631</v>
      </c>
      <c r="L46">
        <v>81.068145943798768</v>
      </c>
      <c r="M46">
        <v>81.753781631269845</v>
      </c>
      <c r="N46">
        <v>82.730281197371241</v>
      </c>
      <c r="O46">
        <v>83.77010319063848</v>
      </c>
      <c r="P46">
        <v>84.873401086589496</v>
      </c>
      <c r="Q46">
        <v>86.106737859207925</v>
      </c>
      <c r="R46">
        <v>87.42459413317971</v>
      </c>
      <c r="S46">
        <v>88.899998104892774</v>
      </c>
      <c r="T46">
        <v>90.450674920901349</v>
      </c>
      <c r="U46">
        <v>92.00786513037103</v>
      </c>
      <c r="V46">
        <v>94.041202140744616</v>
      </c>
      <c r="W46">
        <v>95.17417875718256</v>
      </c>
      <c r="X46">
        <v>96.764126321087417</v>
      </c>
      <c r="Y46">
        <v>97.947629785228258</v>
      </c>
      <c r="Z46">
        <v>99.247030666953023</v>
      </c>
      <c r="AA46">
        <v>100.75715245724095</v>
      </c>
      <c r="AB46">
        <v>102.41074738134446</v>
      </c>
      <c r="AC46">
        <v>100.70032013137711</v>
      </c>
      <c r="AD46">
        <v>98.876005616668252</v>
      </c>
      <c r="AE46">
        <v>97.374029127413934</v>
      </c>
      <c r="AF46">
        <v>96.269572187171505</v>
      </c>
      <c r="AG46">
        <v>95.57371541152213</v>
      </c>
      <c r="AH46" s="17"/>
      <c r="AI46" s="17"/>
      <c r="AJ46" s="17"/>
      <c r="AK46" s="17"/>
      <c r="AL46" s="17"/>
      <c r="AM46" s="17"/>
      <c r="AN46" s="17"/>
    </row>
    <row r="47" spans="1:40" x14ac:dyDescent="0.25">
      <c r="A47" s="3" t="s">
        <v>28</v>
      </c>
      <c r="B47">
        <v>17.626887984268851</v>
      </c>
      <c r="C47">
        <v>15.574773247914441</v>
      </c>
      <c r="D47">
        <v>16.468901757942803</v>
      </c>
      <c r="E47">
        <v>16.842411213781613</v>
      </c>
      <c r="F47">
        <v>16.873129173336118</v>
      </c>
      <c r="G47">
        <v>16.961798016485922</v>
      </c>
      <c r="H47">
        <v>17.351287377279391</v>
      </c>
      <c r="I47">
        <v>18.172175772465625</v>
      </c>
      <c r="J47">
        <v>18.474671516843188</v>
      </c>
      <c r="K47">
        <v>19.241932877483279</v>
      </c>
      <c r="L47">
        <v>19.718432160196105</v>
      </c>
      <c r="M47">
        <v>20.263880396287526</v>
      </c>
      <c r="N47">
        <v>20.875661131024344</v>
      </c>
      <c r="O47">
        <v>21.509067201730744</v>
      </c>
      <c r="P47">
        <v>22.189942777879295</v>
      </c>
      <c r="Q47">
        <v>22.970231892065716</v>
      </c>
      <c r="R47">
        <v>23.782260643821843</v>
      </c>
      <c r="S47">
        <v>24.676273778173005</v>
      </c>
      <c r="T47">
        <v>25.632849821177487</v>
      </c>
      <c r="U47">
        <v>26.502739894814113</v>
      </c>
      <c r="V47">
        <v>27.360055907378523</v>
      </c>
      <c r="W47">
        <v>28.258890919974867</v>
      </c>
      <c r="X47">
        <v>29.197468395087789</v>
      </c>
      <c r="Y47">
        <v>30.076202183091201</v>
      </c>
      <c r="Z47">
        <v>30.998139953601914</v>
      </c>
      <c r="AA47">
        <v>31.980789805750135</v>
      </c>
      <c r="AB47">
        <v>33.033415965674095</v>
      </c>
      <c r="AC47">
        <v>34.229269066055934</v>
      </c>
      <c r="AD47">
        <v>35.540367213250683</v>
      </c>
      <c r="AE47">
        <v>36.93764118211201</v>
      </c>
      <c r="AF47">
        <v>38.45670987559626</v>
      </c>
      <c r="AG47">
        <v>40.074721803240806</v>
      </c>
      <c r="AH47" s="17"/>
      <c r="AI47" s="17"/>
      <c r="AJ47" s="17"/>
      <c r="AK47" s="17"/>
      <c r="AL47" s="17"/>
      <c r="AM47" s="17"/>
      <c r="AN47" s="17"/>
    </row>
    <row r="48" spans="1:40" x14ac:dyDescent="0.25">
      <c r="A48" s="3" t="s">
        <v>29</v>
      </c>
      <c r="B48">
        <v>20.83862043593755</v>
      </c>
      <c r="C48">
        <v>19.162970457873552</v>
      </c>
      <c r="D48">
        <v>19.863032016889015</v>
      </c>
      <c r="E48">
        <v>19.925211095239426</v>
      </c>
      <c r="F48">
        <v>19.834101089271332</v>
      </c>
      <c r="G48">
        <v>19.81662016609959</v>
      </c>
      <c r="H48">
        <v>20.024035065685826</v>
      </c>
      <c r="I48">
        <v>20.7314786965152</v>
      </c>
      <c r="J48">
        <v>21.02812096050604</v>
      </c>
      <c r="K48">
        <v>22.088022949308368</v>
      </c>
      <c r="L48">
        <v>22.609587148498793</v>
      </c>
      <c r="M48">
        <v>23.064871709426125</v>
      </c>
      <c r="N48">
        <v>23.500500945407683</v>
      </c>
      <c r="O48">
        <v>23.986518709259194</v>
      </c>
      <c r="P48">
        <v>24.524089189559373</v>
      </c>
      <c r="Q48">
        <v>25.162916316397915</v>
      </c>
      <c r="R48">
        <v>25.961729328868451</v>
      </c>
      <c r="S48">
        <v>26.741130336784909</v>
      </c>
      <c r="T48">
        <v>27.539311494472237</v>
      </c>
      <c r="U48">
        <v>28.416777100608481</v>
      </c>
      <c r="V48">
        <v>29.280416107200651</v>
      </c>
      <c r="W48">
        <v>30.186503705675769</v>
      </c>
      <c r="X48">
        <v>29.932581041239011</v>
      </c>
      <c r="Y48">
        <v>30.178538276315535</v>
      </c>
      <c r="Z48">
        <v>30.87398199455356</v>
      </c>
      <c r="AA48">
        <v>31.746136053512725</v>
      </c>
      <c r="AB48">
        <v>32.706595306079578</v>
      </c>
      <c r="AC48">
        <v>33.829858670074827</v>
      </c>
      <c r="AD48">
        <v>35.113315907883745</v>
      </c>
      <c r="AE48">
        <v>36.480067986875184</v>
      </c>
      <c r="AF48">
        <v>38.012762633175321</v>
      </c>
      <c r="AG48">
        <v>39.652823282604146</v>
      </c>
      <c r="AH48" s="17"/>
      <c r="AI48" s="17"/>
      <c r="AJ48" s="17"/>
      <c r="AK48" s="17"/>
      <c r="AL48" s="17"/>
      <c r="AM48" s="17"/>
      <c r="AN48" s="17"/>
    </row>
    <row r="49" spans="1:40" x14ac:dyDescent="0.25">
      <c r="A49" s="3" t="s">
        <v>30</v>
      </c>
      <c r="B49">
        <v>13.073651251028767</v>
      </c>
      <c r="C49">
        <v>11.271192740747956</v>
      </c>
      <c r="D49">
        <v>12.453355513208685</v>
      </c>
      <c r="E49">
        <v>11.093628902003232</v>
      </c>
      <c r="F49">
        <v>10.633195506260071</v>
      </c>
      <c r="G49">
        <v>10.296369536265301</v>
      </c>
      <c r="H49">
        <v>10.185906410292333</v>
      </c>
      <c r="I49">
        <v>11.245149089730107</v>
      </c>
      <c r="J49">
        <v>11.893689140076045</v>
      </c>
      <c r="K49">
        <v>14.932821198181243</v>
      </c>
      <c r="L49">
        <v>16.315639004544483</v>
      </c>
      <c r="M49">
        <v>17.059808238709167</v>
      </c>
      <c r="N49">
        <v>17.420690298733859</v>
      </c>
      <c r="O49">
        <v>17.918306200852875</v>
      </c>
      <c r="P49">
        <v>18.526935324609827</v>
      </c>
      <c r="Q49">
        <v>19.363038067641988</v>
      </c>
      <c r="R49">
        <v>20.807211642511401</v>
      </c>
      <c r="S49">
        <v>22.034227330597993</v>
      </c>
      <c r="T49">
        <v>23.144920225240188</v>
      </c>
      <c r="U49">
        <v>24.486836067639864</v>
      </c>
      <c r="V49">
        <v>25.407030757664895</v>
      </c>
      <c r="W49">
        <v>26.685444917044961</v>
      </c>
      <c r="X49">
        <v>21.817360567388683</v>
      </c>
      <c r="Y49">
        <v>19.92822832545858</v>
      </c>
      <c r="Z49">
        <v>20.115665966407651</v>
      </c>
      <c r="AA49">
        <v>20.836820836560729</v>
      </c>
      <c r="AB49">
        <v>21.761649422158985</v>
      </c>
      <c r="AC49">
        <v>23.313173238683802</v>
      </c>
      <c r="AD49">
        <v>25.294021424316036</v>
      </c>
      <c r="AE49">
        <v>27.454964714752748</v>
      </c>
      <c r="AF49">
        <v>30.0558621640639</v>
      </c>
      <c r="AG49">
        <v>32.920831876359543</v>
      </c>
      <c r="AH49" s="17"/>
      <c r="AI49" s="17"/>
      <c r="AJ49" s="17"/>
      <c r="AK49" s="17"/>
      <c r="AL49" s="17"/>
      <c r="AM49" s="17"/>
      <c r="AN49" s="17"/>
    </row>
    <row r="50" spans="1:40" x14ac:dyDescent="0.25">
      <c r="A50" s="3" t="s">
        <v>31</v>
      </c>
      <c r="B50">
        <v>0.12086732559633409</v>
      </c>
      <c r="C50">
        <v>0.12086732559633409</v>
      </c>
      <c r="D50">
        <v>0.12066457951154648</v>
      </c>
      <c r="E50">
        <v>0.12060975773938744</v>
      </c>
      <c r="F50">
        <v>0.12060975773938748</v>
      </c>
      <c r="G50">
        <v>0.12060975773938752</v>
      </c>
      <c r="H50">
        <v>0.12060975773938752</v>
      </c>
      <c r="I50">
        <v>0.12060975773938752</v>
      </c>
      <c r="J50">
        <v>0.12060636832264243</v>
      </c>
      <c r="K50">
        <v>0.12060636832264247</v>
      </c>
      <c r="L50">
        <v>0.12060636832264243</v>
      </c>
      <c r="M50">
        <v>0.12060636832264245</v>
      </c>
      <c r="N50">
        <v>0.12060636832264249</v>
      </c>
      <c r="O50">
        <v>0.12060636832264243</v>
      </c>
      <c r="P50">
        <v>0.1206063683226424</v>
      </c>
      <c r="Q50">
        <v>0.12060636832264239</v>
      </c>
      <c r="R50">
        <v>0.12060636832264236</v>
      </c>
      <c r="S50">
        <v>0.12060636832264239</v>
      </c>
      <c r="T50">
        <v>0.12060636832264235</v>
      </c>
      <c r="U50">
        <v>2.520396408758065</v>
      </c>
      <c r="V50">
        <v>5.0407928175161301</v>
      </c>
      <c r="W50">
        <v>7.5611892262741947</v>
      </c>
      <c r="X50">
        <v>8.7746857478983546</v>
      </c>
      <c r="Y50">
        <v>9.9881822695225075</v>
      </c>
      <c r="Z50">
        <v>11.201678791146668</v>
      </c>
      <c r="AA50">
        <v>12.415175312770822</v>
      </c>
      <c r="AB50">
        <v>13.628671834394979</v>
      </c>
      <c r="AC50">
        <v>14.303135095585274</v>
      </c>
      <c r="AD50">
        <v>14.977598356775562</v>
      </c>
      <c r="AE50">
        <v>15.652061617965861</v>
      </c>
      <c r="AF50">
        <v>16.32652487915615</v>
      </c>
      <c r="AG50">
        <v>17.00098814034644</v>
      </c>
      <c r="AH50" s="17"/>
      <c r="AI50" s="17"/>
      <c r="AJ50" s="17"/>
      <c r="AK50" s="17"/>
      <c r="AL50" s="17"/>
      <c r="AM50" s="17"/>
      <c r="AN50" s="17"/>
    </row>
    <row r="51" spans="1:40" x14ac:dyDescent="0.25">
      <c r="A51" s="3" t="s">
        <v>32</v>
      </c>
      <c r="B51">
        <v>142.2036328173553</v>
      </c>
      <c r="C51">
        <v>136.44878766432581</v>
      </c>
      <c r="D51">
        <v>146.14074566394675</v>
      </c>
      <c r="E51">
        <v>146.4773665086895</v>
      </c>
      <c r="F51">
        <v>145.04539245118301</v>
      </c>
      <c r="G51">
        <v>145.87729911613849</v>
      </c>
      <c r="H51">
        <v>147.14216951126389</v>
      </c>
      <c r="I51">
        <v>150.00300564106288</v>
      </c>
      <c r="J51">
        <v>152.19870464335671</v>
      </c>
      <c r="K51">
        <v>154.19870472509317</v>
      </c>
      <c r="L51">
        <v>156.38571640248085</v>
      </c>
      <c r="M51">
        <v>159.44194621283864</v>
      </c>
      <c r="N51">
        <v>163.30689787379572</v>
      </c>
      <c r="O51">
        <v>167.86178956611161</v>
      </c>
      <c r="P51">
        <v>171.53872250386354</v>
      </c>
      <c r="Q51">
        <v>176.04422236485598</v>
      </c>
      <c r="R51">
        <v>177.48735794895305</v>
      </c>
      <c r="S51">
        <v>181.7517895464326</v>
      </c>
      <c r="T51">
        <v>186.68722664354334</v>
      </c>
      <c r="U51">
        <v>197.58437167828936</v>
      </c>
      <c r="V51">
        <v>208.57857871701691</v>
      </c>
      <c r="W51">
        <v>219.26380730730992</v>
      </c>
      <c r="X51">
        <v>225.02122253194688</v>
      </c>
      <c r="Y51">
        <v>231.81694807578467</v>
      </c>
      <c r="Z51">
        <v>239.78786495655936</v>
      </c>
      <c r="AA51">
        <v>248.0521594612481</v>
      </c>
      <c r="AB51">
        <v>256.39391319737126</v>
      </c>
      <c r="AC51">
        <v>264.39071189071097</v>
      </c>
      <c r="AD51">
        <v>271.3407012727136</v>
      </c>
      <c r="AE51">
        <v>278.60851724569528</v>
      </c>
      <c r="AF51">
        <v>286.05926653394823</v>
      </c>
      <c r="AG51">
        <v>293.59171280458094</v>
      </c>
      <c r="AH51" s="17"/>
      <c r="AI51" s="17"/>
      <c r="AJ51" s="17"/>
      <c r="AK51" s="17"/>
      <c r="AL51" s="17"/>
      <c r="AM51" s="17"/>
      <c r="AN51" s="17"/>
    </row>
    <row r="52" spans="1:40" x14ac:dyDescent="0.25">
      <c r="A52" s="3" t="s">
        <v>33</v>
      </c>
      <c r="B52">
        <v>60.675714154100262</v>
      </c>
      <c r="C52">
        <v>50.223185860644726</v>
      </c>
      <c r="D52">
        <v>52.694392090327234</v>
      </c>
      <c r="E52">
        <v>61.666432806024062</v>
      </c>
      <c r="F52">
        <v>64.955660785385092</v>
      </c>
      <c r="G52">
        <v>66.140315151319371</v>
      </c>
      <c r="H52">
        <v>66.43535899033968</v>
      </c>
      <c r="I52">
        <v>66.43253916933817</v>
      </c>
      <c r="J52">
        <v>68.559388327301775</v>
      </c>
      <c r="K52">
        <v>71.05986343939098</v>
      </c>
      <c r="L52">
        <v>73.433534347769992</v>
      </c>
      <c r="M52">
        <v>75.997801931251104</v>
      </c>
      <c r="N52">
        <v>78.885755018735026</v>
      </c>
      <c r="O52">
        <v>81.77388102277115</v>
      </c>
      <c r="P52">
        <v>84.829127777420425</v>
      </c>
      <c r="Q52">
        <v>88.304236578805018</v>
      </c>
      <c r="R52">
        <v>91.596646480858581</v>
      </c>
      <c r="S52">
        <v>95.204983824347224</v>
      </c>
      <c r="T52">
        <v>98.874905337963</v>
      </c>
      <c r="U52">
        <v>102.21962710070184</v>
      </c>
      <c r="V52">
        <v>105.32424663502653</v>
      </c>
      <c r="W52">
        <v>108.27693737090219</v>
      </c>
      <c r="X52">
        <v>111.56912486917621</v>
      </c>
      <c r="Y52">
        <v>114.41561344133981</v>
      </c>
      <c r="Z52">
        <v>117.13004082373627</v>
      </c>
      <c r="AA52">
        <v>119.84264111921489</v>
      </c>
      <c r="AB52">
        <v>122.59721826342761</v>
      </c>
      <c r="AC52">
        <v>125.50771629179748</v>
      </c>
      <c r="AD52">
        <v>128.57440253818112</v>
      </c>
      <c r="AE52">
        <v>131.68045011063694</v>
      </c>
      <c r="AF52">
        <v>134.87996590545094</v>
      </c>
      <c r="AG52">
        <v>138.0817300949943</v>
      </c>
      <c r="AH52" s="17"/>
      <c r="AI52" s="17"/>
      <c r="AJ52" s="17"/>
      <c r="AK52" s="17"/>
      <c r="AL52" s="17"/>
      <c r="AM52" s="17"/>
      <c r="AN52" s="17"/>
    </row>
    <row r="53" spans="1:40" x14ac:dyDescent="0.25">
      <c r="A53" s="3" t="s">
        <v>34</v>
      </c>
      <c r="B53">
        <v>247.42936538345938</v>
      </c>
      <c r="C53">
        <v>217.21278869819892</v>
      </c>
      <c r="D53">
        <v>230.95121378088996</v>
      </c>
      <c r="E53">
        <v>252.81589693997037</v>
      </c>
      <c r="F53">
        <v>254.35902013525742</v>
      </c>
      <c r="G53">
        <v>253.56557026498641</v>
      </c>
      <c r="H53">
        <v>253.37869609441091</v>
      </c>
      <c r="I53">
        <v>255.29840209298564</v>
      </c>
      <c r="J53">
        <v>260.9690002056023</v>
      </c>
      <c r="K53">
        <v>268.12764276659186</v>
      </c>
      <c r="L53">
        <v>275.71288715868729</v>
      </c>
      <c r="M53">
        <v>285.72163394371933</v>
      </c>
      <c r="N53">
        <v>295.41500225811654</v>
      </c>
      <c r="O53">
        <v>303.81149730475249</v>
      </c>
      <c r="P53">
        <v>313.05332932592154</v>
      </c>
      <c r="Q53">
        <v>325.24762153021987</v>
      </c>
      <c r="R53">
        <v>336.46750066941485</v>
      </c>
      <c r="S53">
        <v>347.76284507291501</v>
      </c>
      <c r="T53">
        <v>360.27295199736722</v>
      </c>
      <c r="U53">
        <v>374.84748361489403</v>
      </c>
      <c r="V53">
        <v>390.38661220958136</v>
      </c>
      <c r="W53">
        <v>405.79419437269428</v>
      </c>
      <c r="X53">
        <v>422.18587872932306</v>
      </c>
      <c r="Y53">
        <v>436.61613507099827</v>
      </c>
      <c r="Z53">
        <v>450.76418291020468</v>
      </c>
      <c r="AA53">
        <v>463.01529337066955</v>
      </c>
      <c r="AB53">
        <v>474.93317371914009</v>
      </c>
      <c r="AC53">
        <v>488.56893191442424</v>
      </c>
      <c r="AD53">
        <v>502.85213688910846</v>
      </c>
      <c r="AE53">
        <v>517.1802992829771</v>
      </c>
      <c r="AF53">
        <v>532.57463611876153</v>
      </c>
      <c r="AG53">
        <v>550.23298848988929</v>
      </c>
      <c r="AH53" s="17"/>
      <c r="AI53" s="17"/>
      <c r="AJ53" s="17"/>
      <c r="AK53" s="17"/>
      <c r="AL53" s="17"/>
      <c r="AM53" s="17"/>
      <c r="AN53" s="17"/>
    </row>
    <row r="54" spans="1:40" x14ac:dyDescent="0.25">
      <c r="A54" s="3" t="s">
        <v>36</v>
      </c>
      <c r="B54">
        <v>7.2942674736102546</v>
      </c>
      <c r="C54">
        <v>6.6299472699871007</v>
      </c>
      <c r="D54">
        <v>7.0785650689638286</v>
      </c>
      <c r="E54">
        <v>7.6154108701536929</v>
      </c>
      <c r="F54">
        <v>7.7475033508428641</v>
      </c>
      <c r="G54">
        <v>7.8035702247329706</v>
      </c>
      <c r="H54">
        <v>7.864799497299912</v>
      </c>
      <c r="I54">
        <v>7.9735086103682073</v>
      </c>
      <c r="J54">
        <v>8.1382553624087084</v>
      </c>
      <c r="K54">
        <v>8.254849116831064</v>
      </c>
      <c r="L54">
        <v>8.4634388431087277</v>
      </c>
      <c r="M54">
        <v>8.7420146751272831</v>
      </c>
      <c r="N54">
        <v>9.0085847401483026</v>
      </c>
      <c r="O54">
        <v>9.2381662774002873</v>
      </c>
      <c r="P54">
        <v>9.4944882281900185</v>
      </c>
      <c r="Q54">
        <v>9.8297223222318788</v>
      </c>
      <c r="R54">
        <v>10.134056576524346</v>
      </c>
      <c r="S54">
        <v>10.433147704508338</v>
      </c>
      <c r="T54">
        <v>10.747005876764753</v>
      </c>
      <c r="U54">
        <v>11.108855812119153</v>
      </c>
      <c r="V54">
        <v>11.485590645773648</v>
      </c>
      <c r="W54">
        <v>11.840756013263658</v>
      </c>
      <c r="X54">
        <v>12.214529377854351</v>
      </c>
      <c r="Y54">
        <v>12.550275923341125</v>
      </c>
      <c r="Z54">
        <v>12.905043759792305</v>
      </c>
      <c r="AA54">
        <v>13.217217473663608</v>
      </c>
      <c r="AB54">
        <v>13.535985411782866</v>
      </c>
      <c r="AC54">
        <v>13.897184038664331</v>
      </c>
      <c r="AD54">
        <v>14.273587894723452</v>
      </c>
      <c r="AE54">
        <v>14.653917896536141</v>
      </c>
      <c r="AF54">
        <v>15.068453888260731</v>
      </c>
      <c r="AG54">
        <v>15.545780890218635</v>
      </c>
      <c r="AH54" s="17"/>
      <c r="AI54" s="17"/>
      <c r="AJ54" s="17"/>
      <c r="AK54" s="17"/>
      <c r="AL54" s="17"/>
      <c r="AM54" s="17"/>
      <c r="AN54" s="17"/>
    </row>
    <row r="55" spans="1:40" x14ac:dyDescent="0.25">
      <c r="A55" s="3" t="s">
        <v>37</v>
      </c>
      <c r="B55">
        <v>46.318025213526461</v>
      </c>
      <c r="C55">
        <v>28.848450924973463</v>
      </c>
      <c r="D55">
        <v>33.256288243860944</v>
      </c>
      <c r="E55">
        <v>38.311460986223757</v>
      </c>
      <c r="F55">
        <v>38.311460986223757</v>
      </c>
      <c r="G55">
        <v>38.311460986223778</v>
      </c>
      <c r="H55">
        <v>38.311460986223778</v>
      </c>
      <c r="I55">
        <v>38.311460986223778</v>
      </c>
      <c r="J55">
        <v>38.310384344417763</v>
      </c>
      <c r="K55">
        <v>15.707851994016872</v>
      </c>
      <c r="L55">
        <v>9.6569905959133457</v>
      </c>
      <c r="M55">
        <v>9.6168986303249184</v>
      </c>
      <c r="N55">
        <v>9.616898630324922</v>
      </c>
      <c r="O55">
        <v>9.6168986303249167</v>
      </c>
      <c r="P55">
        <v>9.6168986303249149</v>
      </c>
      <c r="Q55">
        <v>9.6168986303249113</v>
      </c>
      <c r="R55">
        <v>9.6168986303249095</v>
      </c>
      <c r="S55">
        <v>9.6168986303249131</v>
      </c>
      <c r="T55">
        <v>9.6197605832035844</v>
      </c>
      <c r="U55">
        <v>9.6348234752431487</v>
      </c>
      <c r="V55">
        <v>9.6498863672827113</v>
      </c>
      <c r="W55">
        <v>9.6649492593222739</v>
      </c>
      <c r="X55">
        <v>9.6649492593222739</v>
      </c>
      <c r="Y55">
        <v>9.6649492593222703</v>
      </c>
      <c r="Z55">
        <v>9.6649492593222703</v>
      </c>
      <c r="AA55">
        <v>9.6649492593222686</v>
      </c>
      <c r="AB55">
        <v>9.6649492593222668</v>
      </c>
      <c r="AC55">
        <v>8.8740852197657407</v>
      </c>
      <c r="AD55">
        <v>8.0832211802092093</v>
      </c>
      <c r="AE55">
        <v>7.2923571406526815</v>
      </c>
      <c r="AF55">
        <v>6.501493101096151</v>
      </c>
      <c r="AG55">
        <v>5.7106290615396214</v>
      </c>
      <c r="AH55" s="17"/>
      <c r="AI55" s="17"/>
      <c r="AJ55" s="17"/>
      <c r="AK55" s="17"/>
      <c r="AL55" s="17"/>
      <c r="AM55" s="17"/>
      <c r="AN55" s="17"/>
    </row>
    <row r="56" spans="1:40" x14ac:dyDescent="0.25">
      <c r="A56" s="3" t="s">
        <v>38</v>
      </c>
      <c r="B56">
        <v>112.98526133447918</v>
      </c>
      <c r="C56">
        <v>109.13247881206568</v>
      </c>
      <c r="D56">
        <v>109.89834480093437</v>
      </c>
      <c r="E56">
        <v>108.05691691943908</v>
      </c>
      <c r="F56">
        <v>104.86488366021064</v>
      </c>
      <c r="G56">
        <v>103.24861035672339</v>
      </c>
      <c r="H56">
        <v>101.30739673917725</v>
      </c>
      <c r="I56">
        <v>100.12171938207966</v>
      </c>
      <c r="J56">
        <v>98.818846361449317</v>
      </c>
      <c r="K56">
        <v>97.186150682637802</v>
      </c>
      <c r="L56">
        <v>94.008208763924642</v>
      </c>
      <c r="M56">
        <v>88.050726956067635</v>
      </c>
      <c r="N56">
        <v>84.26011526501479</v>
      </c>
      <c r="O56">
        <v>84.320407224516302</v>
      </c>
      <c r="P56">
        <v>83.463582308687165</v>
      </c>
      <c r="Q56">
        <v>83.123185551836116</v>
      </c>
      <c r="R56">
        <v>82.339979924533395</v>
      </c>
      <c r="S56">
        <v>82.169965088323181</v>
      </c>
      <c r="T56">
        <v>81.360523131733132</v>
      </c>
      <c r="U56">
        <v>79.849690032523</v>
      </c>
      <c r="V56">
        <v>78.338856933312883</v>
      </c>
      <c r="W56">
        <v>76.828023834102765</v>
      </c>
      <c r="X56">
        <v>74.501386929053979</v>
      </c>
      <c r="Y56">
        <v>72.174750024005178</v>
      </c>
      <c r="Z56">
        <v>69.848113118956377</v>
      </c>
      <c r="AA56">
        <v>67.521476213907604</v>
      </c>
      <c r="AB56">
        <v>65.194839308858803</v>
      </c>
      <c r="AC56">
        <v>61.646264201611295</v>
      </c>
      <c r="AD56">
        <v>58.097689094363737</v>
      </c>
      <c r="AE56">
        <v>54.549113987116236</v>
      </c>
      <c r="AF56">
        <v>51.000538879868706</v>
      </c>
      <c r="AG56">
        <v>47.451963772621191</v>
      </c>
      <c r="AH56" s="17"/>
      <c r="AI56" s="17"/>
      <c r="AJ56" s="17"/>
      <c r="AK56" s="17"/>
      <c r="AL56" s="17"/>
      <c r="AM56" s="17"/>
      <c r="AN56" s="17"/>
    </row>
    <row r="57" spans="1:40" x14ac:dyDescent="0.25">
      <c r="A57" s="3" t="s">
        <v>177</v>
      </c>
      <c r="B57">
        <v>97.820469381023031</v>
      </c>
      <c r="C57">
        <v>73.913313960824297</v>
      </c>
      <c r="D57">
        <v>78.208779943297827</v>
      </c>
      <c r="E57">
        <v>82.091230889675288</v>
      </c>
      <c r="F57">
        <v>86.023811694050792</v>
      </c>
      <c r="G57">
        <v>89.978949716772135</v>
      </c>
      <c r="H57">
        <v>93.988702547084102</v>
      </c>
      <c r="I57">
        <v>94.601623278396204</v>
      </c>
      <c r="J57">
        <v>95.09998757959282</v>
      </c>
      <c r="K57">
        <v>96.031590322465647</v>
      </c>
      <c r="L57">
        <v>96.65880709725171</v>
      </c>
      <c r="M57">
        <v>97.211830092779181</v>
      </c>
      <c r="N57">
        <v>99.244171901557323</v>
      </c>
      <c r="O57">
        <v>101.30255439640715</v>
      </c>
      <c r="P57">
        <v>103.38655369687415</v>
      </c>
      <c r="Q57">
        <v>105.51922474088373</v>
      </c>
      <c r="R57">
        <v>107.743033995549</v>
      </c>
      <c r="S57">
        <v>109.94904815191776</v>
      </c>
      <c r="T57">
        <v>112.15426021701674</v>
      </c>
      <c r="U57">
        <v>114.29676564526724</v>
      </c>
      <c r="V57">
        <v>116.38737183924765</v>
      </c>
      <c r="W57">
        <v>118.53121289018895</v>
      </c>
      <c r="X57">
        <v>141.07977324214679</v>
      </c>
      <c r="Y57">
        <v>164.01261184755623</v>
      </c>
      <c r="Z57">
        <v>187.26180622264692</v>
      </c>
      <c r="AA57">
        <v>210.60558500127854</v>
      </c>
      <c r="AB57">
        <v>233.99421131493708</v>
      </c>
      <c r="AC57">
        <v>257.52657000569343</v>
      </c>
      <c r="AD57">
        <v>281.14634284844976</v>
      </c>
      <c r="AE57">
        <v>304.80901237165909</v>
      </c>
      <c r="AF57">
        <v>328.55638361029145</v>
      </c>
      <c r="AG57">
        <v>352.35921930526433</v>
      </c>
      <c r="AH57" s="17"/>
      <c r="AI57" s="17"/>
      <c r="AJ57" s="17"/>
      <c r="AK57" s="17"/>
      <c r="AL57" s="17"/>
      <c r="AM57" s="17"/>
      <c r="AN57" s="17"/>
    </row>
    <row r="58" spans="1:40" x14ac:dyDescent="0.25">
      <c r="A58" s="3" t="s">
        <v>178</v>
      </c>
      <c r="B58">
        <v>2.4857265311423458</v>
      </c>
      <c r="C58">
        <v>2.3216577605390492</v>
      </c>
      <c r="D58">
        <v>2.3513355033208501</v>
      </c>
      <c r="E58">
        <v>2.392366171014471</v>
      </c>
      <c r="F58">
        <v>2.4009523026687525</v>
      </c>
      <c r="G58">
        <v>2.4109595790844467</v>
      </c>
      <c r="H58">
        <v>2.4202688263210699</v>
      </c>
      <c r="I58">
        <v>2.4478947713248296</v>
      </c>
      <c r="J58">
        <v>2.4726873349956495</v>
      </c>
      <c r="K58">
        <v>2.4678605054639964</v>
      </c>
      <c r="L58">
        <v>2.4761066261029905</v>
      </c>
      <c r="M58">
        <v>2.5115838844657694</v>
      </c>
      <c r="N58">
        <v>2.5537620220900612</v>
      </c>
      <c r="O58">
        <v>2.5971746891630745</v>
      </c>
      <c r="P58">
        <v>2.6441728435753356</v>
      </c>
      <c r="Q58">
        <v>2.6987598328434066</v>
      </c>
      <c r="R58">
        <v>2.7615519314400618</v>
      </c>
      <c r="S58">
        <v>2.827499628184281</v>
      </c>
      <c r="T58">
        <v>2.8946947555630618</v>
      </c>
      <c r="U58">
        <v>2.9631703424198053</v>
      </c>
      <c r="V58">
        <v>3.0415530903637489</v>
      </c>
      <c r="W58">
        <v>3.1000799151416327</v>
      </c>
      <c r="X58">
        <v>3.1092960059756716</v>
      </c>
      <c r="Y58">
        <v>3.1377293344716168</v>
      </c>
      <c r="Z58">
        <v>3.1910947960365301</v>
      </c>
      <c r="AA58">
        <v>3.2568471137393558</v>
      </c>
      <c r="AB58">
        <v>3.3294270599378994</v>
      </c>
      <c r="AC58">
        <v>3.3182477195223767</v>
      </c>
      <c r="AD58">
        <v>3.3106306911698304</v>
      </c>
      <c r="AE58">
        <v>3.3144033825174981</v>
      </c>
      <c r="AF58">
        <v>3.3350870591101076</v>
      </c>
      <c r="AG58">
        <v>3.3703664657154717</v>
      </c>
      <c r="AH58" s="17"/>
      <c r="AI58" s="17"/>
      <c r="AJ58" s="17"/>
      <c r="AK58" s="17"/>
      <c r="AL58" s="17"/>
      <c r="AM58" s="17"/>
      <c r="AN58" s="17"/>
    </row>
    <row r="59" spans="1:40" x14ac:dyDescent="0.25">
      <c r="A59" s="3" t="s">
        <v>182</v>
      </c>
      <c r="B59">
        <v>0.28999999999999998</v>
      </c>
      <c r="C59">
        <v>0.28999999999999998</v>
      </c>
      <c r="D59">
        <v>0.28951354624338443</v>
      </c>
      <c r="E59">
        <v>0.28938201099307848</v>
      </c>
      <c r="F59">
        <v>0.28938201099307853</v>
      </c>
      <c r="G59">
        <v>0.2893820109930787</v>
      </c>
      <c r="H59">
        <v>0.2893820109930787</v>
      </c>
      <c r="I59">
        <v>0.2893820109930787</v>
      </c>
      <c r="J59">
        <v>0.2893738786806343</v>
      </c>
      <c r="K59">
        <v>0.28937387868063436</v>
      </c>
      <c r="L59">
        <v>0.2893738786806343</v>
      </c>
      <c r="M59">
        <v>0.28937387868063424</v>
      </c>
      <c r="N59">
        <v>0.2893738786806343</v>
      </c>
      <c r="O59">
        <v>0.28937387868063419</v>
      </c>
      <c r="P59">
        <v>0.28937387868063413</v>
      </c>
      <c r="Q59">
        <v>0.28937387868063408</v>
      </c>
      <c r="R59">
        <v>0.28937387868063402</v>
      </c>
      <c r="S59">
        <v>0.28937387868063408</v>
      </c>
      <c r="T59">
        <v>0.28937387868063391</v>
      </c>
      <c r="U59">
        <v>7.0056503058473751</v>
      </c>
      <c r="V59">
        <v>14.011300611694748</v>
      </c>
      <c r="W59">
        <v>21.016950917542118</v>
      </c>
      <c r="X59">
        <v>23.827870240243875</v>
      </c>
      <c r="Y59">
        <v>26.638789562945625</v>
      </c>
      <c r="Z59">
        <v>29.449708885647372</v>
      </c>
      <c r="AA59">
        <v>32.260628208349125</v>
      </c>
      <c r="AB59">
        <v>35.071547531050882</v>
      </c>
      <c r="AC59">
        <v>34.492007047839728</v>
      </c>
      <c r="AD59">
        <v>33.912466564628545</v>
      </c>
      <c r="AE59">
        <v>33.332926081417384</v>
      </c>
      <c r="AF59">
        <v>32.753385598206215</v>
      </c>
      <c r="AG59">
        <v>32.173845114995046</v>
      </c>
      <c r="AH59" s="17"/>
      <c r="AI59" s="17"/>
      <c r="AJ59" s="17"/>
      <c r="AK59" s="17"/>
      <c r="AL59" s="17"/>
      <c r="AM59" s="17"/>
      <c r="AN59" s="17"/>
    </row>
    <row r="60" spans="1:40" x14ac:dyDescent="0.25">
      <c r="A60" s="3" t="s">
        <v>183</v>
      </c>
      <c r="B60">
        <v>7.8476290328821835E-2</v>
      </c>
      <c r="C60">
        <v>7.8476290328821835E-2</v>
      </c>
      <c r="D60">
        <v>7.8344652100422865E-2</v>
      </c>
      <c r="E60">
        <v>7.8309057622866024E-2</v>
      </c>
      <c r="F60">
        <v>7.8309057622866052E-2</v>
      </c>
      <c r="G60">
        <v>7.8309057622866093E-2</v>
      </c>
      <c r="H60">
        <v>7.8309057622866107E-2</v>
      </c>
      <c r="I60">
        <v>7.8309057622866107E-2</v>
      </c>
      <c r="J60">
        <v>7.8306856954892201E-2</v>
      </c>
      <c r="K60">
        <v>7.8306856954892243E-2</v>
      </c>
      <c r="L60">
        <v>7.8306856954892215E-2</v>
      </c>
      <c r="M60">
        <v>7.8306856954892215E-2</v>
      </c>
      <c r="N60">
        <v>7.8306856954892243E-2</v>
      </c>
      <c r="O60">
        <v>7.8306856954892215E-2</v>
      </c>
      <c r="P60">
        <v>7.8306856954892201E-2</v>
      </c>
      <c r="Q60">
        <v>7.8306856954892187E-2</v>
      </c>
      <c r="R60">
        <v>7.8306856954892159E-2</v>
      </c>
      <c r="S60">
        <v>7.8306856954892187E-2</v>
      </c>
      <c r="T60">
        <v>7.8306856954892146E-2</v>
      </c>
      <c r="U60">
        <v>7.8306856954892146E-2</v>
      </c>
      <c r="V60">
        <v>2.3901477629112673</v>
      </c>
      <c r="W60">
        <v>2.3901477629112668</v>
      </c>
      <c r="X60">
        <v>2.3901477629112668</v>
      </c>
      <c r="Y60">
        <v>2.390147762911266</v>
      </c>
      <c r="Z60">
        <v>1.612673706389012</v>
      </c>
      <c r="AA60">
        <v>1.6126737063890118</v>
      </c>
      <c r="AB60">
        <v>1.6126737063890113</v>
      </c>
      <c r="AC60">
        <v>1.6126737063890118</v>
      </c>
      <c r="AD60">
        <v>1.6126737063890111</v>
      </c>
      <c r="AE60">
        <v>1.2908640373764781</v>
      </c>
      <c r="AF60">
        <v>1.2908640373764779</v>
      </c>
      <c r="AG60">
        <v>1.2908640373764777</v>
      </c>
      <c r="AH60" s="17"/>
      <c r="AI60" s="17"/>
      <c r="AJ60" s="17"/>
      <c r="AK60" s="17"/>
      <c r="AL60" s="17"/>
      <c r="AM60" s="17"/>
      <c r="AN60" s="17"/>
    </row>
    <row r="62" spans="1:40" ht="18" thickBot="1" x14ac:dyDescent="0.35">
      <c r="A62" s="4" t="s">
        <v>138</v>
      </c>
      <c r="B62" s="4"/>
      <c r="C62" s="4"/>
      <c r="D62" s="4"/>
      <c r="E62" s="4"/>
      <c r="F62" s="4"/>
      <c r="G62" s="4"/>
      <c r="H62" s="4"/>
    </row>
    <row r="63" spans="1:40" ht="15.75" thickTop="1" x14ac:dyDescent="0.25">
      <c r="B63" s="3">
        <v>2019</v>
      </c>
      <c r="C63" s="3">
        <v>2020</v>
      </c>
      <c r="D63" s="3">
        <v>2021</v>
      </c>
      <c r="E63" s="3">
        <v>2022</v>
      </c>
      <c r="F63" s="3">
        <v>2023</v>
      </c>
      <c r="G63" s="3">
        <v>2024</v>
      </c>
      <c r="H63" s="3">
        <v>2025</v>
      </c>
      <c r="I63" s="3">
        <v>2026</v>
      </c>
      <c r="J63" s="3">
        <v>2027</v>
      </c>
      <c r="K63" s="3">
        <v>2028</v>
      </c>
      <c r="L63" s="3">
        <v>2029</v>
      </c>
      <c r="M63" s="3">
        <v>2030</v>
      </c>
      <c r="N63" s="3">
        <v>2031</v>
      </c>
      <c r="O63" s="3">
        <v>2032</v>
      </c>
      <c r="P63" s="3">
        <v>2033</v>
      </c>
      <c r="Q63" s="3">
        <v>2034</v>
      </c>
      <c r="R63" s="3">
        <v>2035</v>
      </c>
      <c r="S63" s="3">
        <v>2036</v>
      </c>
      <c r="T63" s="3">
        <v>2037</v>
      </c>
      <c r="U63" s="3">
        <v>2038</v>
      </c>
      <c r="V63">
        <v>2039</v>
      </c>
      <c r="W63">
        <v>2040</v>
      </c>
      <c r="X63">
        <v>2041</v>
      </c>
      <c r="Y63">
        <v>2042</v>
      </c>
      <c r="Z63">
        <v>2043</v>
      </c>
      <c r="AA63">
        <v>2044</v>
      </c>
      <c r="AB63">
        <v>2045</v>
      </c>
      <c r="AC63">
        <v>2046</v>
      </c>
      <c r="AD63">
        <v>2047</v>
      </c>
      <c r="AE63">
        <v>2048</v>
      </c>
      <c r="AF63">
        <v>2049</v>
      </c>
      <c r="AG63">
        <v>2050</v>
      </c>
    </row>
    <row r="64" spans="1:40" x14ac:dyDescent="0.25">
      <c r="A64" s="3" t="s">
        <v>51</v>
      </c>
      <c r="B64">
        <v>0.5</v>
      </c>
      <c r="C64">
        <v>0.52104177528081141</v>
      </c>
      <c r="D64">
        <v>0.51652112605848799</v>
      </c>
      <c r="E64">
        <v>0.49685833553094555</v>
      </c>
      <c r="F64">
        <v>0.49205552970545141</v>
      </c>
      <c r="G64">
        <v>0.49035234378915604</v>
      </c>
      <c r="H64">
        <v>0.49083832005169392</v>
      </c>
      <c r="I64">
        <v>0.4952004232650718</v>
      </c>
      <c r="J64">
        <v>0.49256431550401025</v>
      </c>
      <c r="K64">
        <v>0.48002313412283315</v>
      </c>
      <c r="L64">
        <v>0.46826578079747994</v>
      </c>
      <c r="M64">
        <v>0.45810393798337951</v>
      </c>
      <c r="N64">
        <v>0.44627519319958753</v>
      </c>
      <c r="O64">
        <v>0.43431727923964247</v>
      </c>
      <c r="P64">
        <v>0.42271991525881314</v>
      </c>
      <c r="Q64">
        <v>0.41048274907165483</v>
      </c>
      <c r="R64">
        <v>0.39793841431275584</v>
      </c>
      <c r="S64">
        <v>0.38563378911858098</v>
      </c>
      <c r="T64">
        <v>0.37296331760655599</v>
      </c>
      <c r="U64">
        <v>0.36152663218630521</v>
      </c>
      <c r="V64">
        <v>0.35116931087947051</v>
      </c>
      <c r="W64">
        <v>0.34151816916742883</v>
      </c>
      <c r="X64">
        <v>0.33220959329403427</v>
      </c>
      <c r="Y64">
        <v>0.32300453891064079</v>
      </c>
      <c r="Z64">
        <v>0.31410018050094252</v>
      </c>
      <c r="AA64">
        <v>0.30514862735882758</v>
      </c>
      <c r="AB64">
        <v>0.29617986322436329</v>
      </c>
      <c r="AC64">
        <v>0.28707693321702105</v>
      </c>
      <c r="AD64">
        <v>0.27787854459994743</v>
      </c>
      <c r="AE64">
        <v>0.26858750285367139</v>
      </c>
      <c r="AF64">
        <v>0.25918027681428457</v>
      </c>
      <c r="AG64">
        <v>0.24971992653481059</v>
      </c>
    </row>
    <row r="65" spans="1:40" x14ac:dyDescent="0.25">
      <c r="A65" s="3" t="s">
        <v>52</v>
      </c>
      <c r="B65">
        <v>0.3</v>
      </c>
      <c r="C65">
        <v>0.27895822471918863</v>
      </c>
      <c r="D65">
        <v>0.283478873941512</v>
      </c>
      <c r="E65">
        <v>0.30002404137584904</v>
      </c>
      <c r="F65">
        <v>0.30412470430787908</v>
      </c>
      <c r="G65">
        <v>0.30513934265941839</v>
      </c>
      <c r="H65">
        <v>0.30710761450601287</v>
      </c>
      <c r="I65">
        <v>0.30479957673492813</v>
      </c>
      <c r="J65">
        <v>0.30544822418152656</v>
      </c>
      <c r="K65">
        <v>0.30827266741267056</v>
      </c>
      <c r="L65">
        <v>0.31242033342183484</v>
      </c>
      <c r="M65">
        <v>0.31447630621700667</v>
      </c>
      <c r="N65">
        <v>0.3169321621042327</v>
      </c>
      <c r="O65">
        <v>0.32000111254245933</v>
      </c>
      <c r="P65">
        <v>0.32269063700704304</v>
      </c>
      <c r="Q65">
        <v>0.32518991801505592</v>
      </c>
      <c r="R65">
        <v>0.32806027064566307</v>
      </c>
      <c r="S65">
        <v>0.33067425579387039</v>
      </c>
      <c r="T65">
        <v>0.33333592313235927</v>
      </c>
      <c r="U65">
        <v>0.33669579925543452</v>
      </c>
      <c r="V65">
        <v>0.33914094587093702</v>
      </c>
      <c r="W65">
        <v>0.34185052107198538</v>
      </c>
      <c r="X65">
        <v>0.34397007037311744</v>
      </c>
      <c r="Y65">
        <v>0.34637551814957229</v>
      </c>
      <c r="Z65">
        <v>0.34836744746323578</v>
      </c>
      <c r="AA65">
        <v>0.3502761777754072</v>
      </c>
      <c r="AB65">
        <v>0.35215462423859001</v>
      </c>
      <c r="AC65">
        <v>0.35392042172346466</v>
      </c>
      <c r="AD65">
        <v>0.35557589059150185</v>
      </c>
      <c r="AE65">
        <v>0.35727041532442155</v>
      </c>
      <c r="AF65">
        <v>0.35889605662930896</v>
      </c>
      <c r="AG65">
        <v>0.36059008808829385</v>
      </c>
    </row>
    <row r="66" spans="1:40" x14ac:dyDescent="0.25">
      <c r="A66" s="3" t="s">
        <v>53</v>
      </c>
      <c r="B66">
        <v>0.2</v>
      </c>
      <c r="C66">
        <v>0.2</v>
      </c>
      <c r="D66">
        <v>0.19999999999999998</v>
      </c>
      <c r="E66">
        <v>0.20311762309320541</v>
      </c>
      <c r="F66">
        <v>0.20381976598666948</v>
      </c>
      <c r="G66">
        <v>0.20450831355142557</v>
      </c>
      <c r="H66">
        <v>0.20205406544229332</v>
      </c>
      <c r="I66">
        <v>0.19999999999999998</v>
      </c>
      <c r="J66">
        <v>0.20198746031446319</v>
      </c>
      <c r="K66">
        <v>0.21170419846449634</v>
      </c>
      <c r="L66">
        <v>0.21931388578068517</v>
      </c>
      <c r="M66">
        <v>0.22741975579961379</v>
      </c>
      <c r="N66">
        <v>0.23679264469617972</v>
      </c>
      <c r="O66">
        <v>0.2456816082178982</v>
      </c>
      <c r="P66">
        <v>0.25458944773414383</v>
      </c>
      <c r="Q66">
        <v>0.26432733291328919</v>
      </c>
      <c r="R66">
        <v>0.27400131504158109</v>
      </c>
      <c r="S66">
        <v>0.28369195508754852</v>
      </c>
      <c r="T66">
        <v>0.2937007592610848</v>
      </c>
      <c r="U66">
        <v>0.30177756855826032</v>
      </c>
      <c r="V66">
        <v>0.30968974324959242</v>
      </c>
      <c r="W66">
        <v>0.31663130976058579</v>
      </c>
      <c r="X66">
        <v>0.32382033633284829</v>
      </c>
      <c r="Y66">
        <v>0.33061994293978691</v>
      </c>
      <c r="Z66">
        <v>0.3375323720358217</v>
      </c>
      <c r="AA66">
        <v>0.3445751948657651</v>
      </c>
      <c r="AB66">
        <v>0.35166551253704664</v>
      </c>
      <c r="AC66">
        <v>0.35900264505951418</v>
      </c>
      <c r="AD66">
        <v>0.36654556480855072</v>
      </c>
      <c r="AE66">
        <v>0.37414208182190711</v>
      </c>
      <c r="AF66">
        <v>0.38192366655640653</v>
      </c>
      <c r="AG66">
        <v>0.38968998537689553</v>
      </c>
    </row>
    <row r="67" spans="1:40" x14ac:dyDescent="0.25">
      <c r="A67" s="3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</row>
    <row r="69" spans="1:40" ht="18" thickBot="1" x14ac:dyDescent="0.35">
      <c r="A69" s="4" t="s">
        <v>139</v>
      </c>
      <c r="B69" s="4"/>
      <c r="C69" s="4"/>
      <c r="D69" s="4"/>
      <c r="E69" s="4"/>
      <c r="F69" s="4"/>
      <c r="G69" s="4"/>
      <c r="H69" s="4"/>
    </row>
    <row r="70" spans="1:40" ht="15.75" thickTop="1" x14ac:dyDescent="0.25">
      <c r="A70" s="3">
        <v>2019</v>
      </c>
      <c r="B70" s="3">
        <v>2020</v>
      </c>
      <c r="C70" s="3">
        <v>2021</v>
      </c>
      <c r="D70" s="3">
        <v>2022</v>
      </c>
      <c r="E70" s="3">
        <v>2023</v>
      </c>
      <c r="F70" s="3">
        <v>2024</v>
      </c>
      <c r="G70" s="3">
        <v>2025</v>
      </c>
      <c r="H70" s="3">
        <v>2026</v>
      </c>
      <c r="I70" s="3">
        <v>2027</v>
      </c>
      <c r="J70" s="3">
        <v>2028</v>
      </c>
      <c r="K70" s="3">
        <v>2029</v>
      </c>
      <c r="L70" s="3">
        <v>2030</v>
      </c>
      <c r="M70" s="3">
        <v>2031</v>
      </c>
      <c r="N70" s="3">
        <v>2032</v>
      </c>
      <c r="O70" s="3">
        <v>2033</v>
      </c>
      <c r="P70" s="3">
        <v>2034</v>
      </c>
      <c r="Q70" s="3">
        <v>2035</v>
      </c>
      <c r="R70" s="3">
        <v>2036</v>
      </c>
      <c r="S70">
        <v>2037</v>
      </c>
      <c r="T70">
        <v>2038</v>
      </c>
      <c r="U70">
        <v>2039</v>
      </c>
      <c r="V70">
        <v>2040</v>
      </c>
      <c r="W70">
        <v>2041</v>
      </c>
      <c r="X70">
        <v>2042</v>
      </c>
      <c r="Y70">
        <v>2043</v>
      </c>
      <c r="Z70">
        <v>2044</v>
      </c>
      <c r="AA70">
        <v>2045</v>
      </c>
      <c r="AB70">
        <v>2046</v>
      </c>
      <c r="AC70">
        <v>2047</v>
      </c>
      <c r="AD70">
        <v>2048</v>
      </c>
      <c r="AE70">
        <v>2049</v>
      </c>
      <c r="AF70">
        <v>2050</v>
      </c>
    </row>
    <row r="71" spans="1:40" x14ac:dyDescent="0.25">
      <c r="A71">
        <v>0.3670146459012677</v>
      </c>
      <c r="B71">
        <v>0.33856823501224786</v>
      </c>
      <c r="C71">
        <v>0.42255797132499368</v>
      </c>
      <c r="D71">
        <v>0.42739295203893585</v>
      </c>
      <c r="E71">
        <v>0.42629272057286832</v>
      </c>
      <c r="F71">
        <v>0.42665159798166191</v>
      </c>
      <c r="G71">
        <v>0.42276851647993174</v>
      </c>
      <c r="H71">
        <v>0.41855766359980767</v>
      </c>
      <c r="I71">
        <v>0.42334501402977476</v>
      </c>
      <c r="J71">
        <v>0.43352601604953406</v>
      </c>
      <c r="K71">
        <v>0.44062563363823765</v>
      </c>
      <c r="L71">
        <v>0.45017242214028164</v>
      </c>
      <c r="M71">
        <v>0.46166678197359839</v>
      </c>
      <c r="N71">
        <v>0.47259722262437243</v>
      </c>
      <c r="O71">
        <v>0.48432709592496836</v>
      </c>
      <c r="P71">
        <v>0.49810139621869098</v>
      </c>
      <c r="Q71">
        <v>0.51219632282960958</v>
      </c>
      <c r="R71">
        <v>0.52751578225460893</v>
      </c>
      <c r="S71">
        <v>0.54439121769101251</v>
      </c>
      <c r="T71">
        <v>0.61417358251932652</v>
      </c>
      <c r="U71">
        <v>0.63061005875574128</v>
      </c>
      <c r="V71">
        <v>0.64516179920166183</v>
      </c>
      <c r="W71">
        <v>0.66188475929885227</v>
      </c>
      <c r="X71">
        <v>0.67766316717628683</v>
      </c>
      <c r="Y71">
        <v>0.6947122212757284</v>
      </c>
      <c r="Z71">
        <v>0.71309121800812003</v>
      </c>
      <c r="AA71">
        <v>0.73268428510464945</v>
      </c>
      <c r="AB71">
        <v>0.7542320543013229</v>
      </c>
      <c r="AC71">
        <v>0.7779897857689454</v>
      </c>
      <c r="AD71">
        <v>0.80349794080506487</v>
      </c>
      <c r="AE71">
        <v>0.83164268387947504</v>
      </c>
      <c r="AF71">
        <v>0.86168905809987639</v>
      </c>
      <c r="AG71" s="12"/>
      <c r="AH71" s="12"/>
      <c r="AI71" s="12"/>
      <c r="AJ71" s="12"/>
      <c r="AK71" s="12"/>
      <c r="AL71" s="12"/>
      <c r="AM71" s="12"/>
    </row>
    <row r="74" spans="1:40" x14ac:dyDescent="0.25">
      <c r="B74">
        <v>0.6</v>
      </c>
      <c r="C74">
        <v>0.4</v>
      </c>
    </row>
    <row r="75" spans="1:40" x14ac:dyDescent="0.25">
      <c r="C75" s="13"/>
    </row>
    <row r="76" spans="1:40" ht="18" thickBot="1" x14ac:dyDescent="0.35">
      <c r="A76" s="23" t="s">
        <v>141</v>
      </c>
      <c r="B76" s="23"/>
      <c r="C76" s="23"/>
      <c r="D76" s="23"/>
      <c r="E76" s="23"/>
      <c r="I76">
        <f t="shared" ref="I76:S76" si="26">I78/SUM(I78:I96)</f>
        <v>0.65012527750746507</v>
      </c>
      <c r="J76">
        <f t="shared" si="26"/>
        <v>0.64955006467432808</v>
      </c>
      <c r="K76">
        <f t="shared" si="26"/>
        <v>0.64977613747611263</v>
      </c>
      <c r="L76">
        <f t="shared" si="26"/>
        <v>0.65070417967282479</v>
      </c>
      <c r="M76">
        <f t="shared" si="26"/>
        <v>0.6515285988198799</v>
      </c>
      <c r="N76">
        <f t="shared" si="26"/>
        <v>0.65234082130967597</v>
      </c>
      <c r="O76">
        <f t="shared" si="26"/>
        <v>0.65319744479213748</v>
      </c>
      <c r="P76">
        <f t="shared" si="26"/>
        <v>0.65432083530081231</v>
      </c>
      <c r="Q76">
        <f t="shared" si="26"/>
        <v>0.65553308079637407</v>
      </c>
      <c r="R76">
        <f t="shared" si="26"/>
        <v>0.65667569723918151</v>
      </c>
      <c r="S76">
        <f t="shared" si="26"/>
        <v>0.6576616358531735</v>
      </c>
      <c r="T76">
        <f>T78/SUM(T78:T96)</f>
        <v>0.658628124207702</v>
      </c>
      <c r="U76">
        <f t="shared" ref="U76:AN76" si="27">U78/SUM(U78:U96)</f>
        <v>0.65983883949762412</v>
      </c>
      <c r="V76">
        <f t="shared" si="27"/>
        <v>0.66101229575323539</v>
      </c>
      <c r="W76">
        <f t="shared" si="27"/>
        <v>0.66217941084938514</v>
      </c>
      <c r="X76">
        <f t="shared" si="27"/>
        <v>0.66340503466274958</v>
      </c>
      <c r="Y76">
        <f t="shared" si="27"/>
        <v>0.66479731887954696</v>
      </c>
      <c r="Z76">
        <f t="shared" si="27"/>
        <v>0.66585076603101345</v>
      </c>
      <c r="AA76">
        <f t="shared" si="27"/>
        <v>0.66705910676101376</v>
      </c>
      <c r="AB76">
        <f t="shared" si="27"/>
        <v>0.66817665437815443</v>
      </c>
      <c r="AC76">
        <f t="shared" si="27"/>
        <v>0.66931537433900257</v>
      </c>
      <c r="AD76">
        <f t="shared" si="27"/>
        <v>0.67045186313307725</v>
      </c>
      <c r="AE76">
        <f t="shared" si="27"/>
        <v>0.67167611044670106</v>
      </c>
      <c r="AF76">
        <f t="shared" si="27"/>
        <v>0.67295485103125718</v>
      </c>
      <c r="AG76">
        <f t="shared" si="27"/>
        <v>0.67428166025722314</v>
      </c>
      <c r="AH76">
        <f t="shared" si="27"/>
        <v>0.67566645711647755</v>
      </c>
      <c r="AI76">
        <f t="shared" si="27"/>
        <v>0.67711542772232824</v>
      </c>
      <c r="AJ76">
        <f t="shared" si="27"/>
        <v>0.67837070115488141</v>
      </c>
      <c r="AK76">
        <f t="shared" si="27"/>
        <v>0.67963835107799764</v>
      </c>
      <c r="AL76">
        <f t="shared" si="27"/>
        <v>0.68085936282195469</v>
      </c>
      <c r="AM76">
        <f t="shared" si="27"/>
        <v>0.68205414420508592</v>
      </c>
      <c r="AN76">
        <f t="shared" si="27"/>
        <v>0.68319476488580511</v>
      </c>
    </row>
    <row r="77" spans="1:40" ht="15.75" thickTop="1" x14ac:dyDescent="0.25">
      <c r="B77">
        <v>2012</v>
      </c>
      <c r="C77">
        <v>2013</v>
      </c>
      <c r="D77">
        <v>2014</v>
      </c>
      <c r="E77">
        <v>2015</v>
      </c>
      <c r="F77">
        <v>2016</v>
      </c>
      <c r="G77">
        <v>2017</v>
      </c>
      <c r="H77">
        <v>2018</v>
      </c>
      <c r="I77">
        <v>2019</v>
      </c>
      <c r="J77">
        <v>2020</v>
      </c>
      <c r="K77">
        <v>2021</v>
      </c>
      <c r="L77">
        <v>2022</v>
      </c>
      <c r="M77">
        <v>2023</v>
      </c>
      <c r="N77">
        <v>2024</v>
      </c>
      <c r="O77">
        <v>2025</v>
      </c>
      <c r="P77">
        <v>2026</v>
      </c>
      <c r="Q77">
        <v>2027</v>
      </c>
      <c r="R77">
        <v>2028</v>
      </c>
      <c r="S77">
        <v>2029</v>
      </c>
      <c r="T77">
        <v>2030</v>
      </c>
      <c r="U77">
        <v>2031</v>
      </c>
      <c r="V77">
        <v>2032</v>
      </c>
      <c r="W77">
        <v>2033</v>
      </c>
      <c r="X77">
        <v>2034</v>
      </c>
      <c r="Y77">
        <v>2035</v>
      </c>
      <c r="Z77">
        <v>2036</v>
      </c>
      <c r="AA77">
        <v>2037</v>
      </c>
      <c r="AB77">
        <v>2038</v>
      </c>
      <c r="AC77">
        <v>2039</v>
      </c>
      <c r="AD77">
        <v>2040</v>
      </c>
      <c r="AE77">
        <v>2041</v>
      </c>
      <c r="AF77">
        <v>2042</v>
      </c>
      <c r="AG77">
        <v>2043</v>
      </c>
      <c r="AH77">
        <v>2044</v>
      </c>
      <c r="AI77">
        <v>2045</v>
      </c>
      <c r="AJ77">
        <v>2046</v>
      </c>
      <c r="AK77">
        <v>2047</v>
      </c>
      <c r="AL77">
        <v>2048</v>
      </c>
      <c r="AM77">
        <v>2049</v>
      </c>
      <c r="AN77">
        <v>2050</v>
      </c>
    </row>
    <row r="78" spans="1:40" x14ac:dyDescent="0.25">
      <c r="A78" t="s">
        <v>21</v>
      </c>
      <c r="B78" s="17">
        <v>1833.848514865675</v>
      </c>
      <c r="C78" s="17">
        <v>1885.3290641564624</v>
      </c>
      <c r="D78" s="17">
        <v>1928.39620119141</v>
      </c>
      <c r="E78" s="17">
        <v>1958.8493088941718</v>
      </c>
      <c r="F78" s="17">
        <v>1982.0850018792316</v>
      </c>
      <c r="G78" s="17">
        <v>2007.4248614758401</v>
      </c>
      <c r="H78" s="17">
        <v>2039.0412178243319</v>
      </c>
      <c r="I78" s="17">
        <v>2076.6421719562941</v>
      </c>
      <c r="J78" s="17">
        <v>1915.2315943142085</v>
      </c>
      <c r="K78" s="17">
        <v>1962.8101861547837</v>
      </c>
      <c r="L78" s="17">
        <v>2010.404875841102</v>
      </c>
      <c r="M78" s="17">
        <v>2059.207287688243</v>
      </c>
      <c r="N78" s="17">
        <v>2112.2911331940809</v>
      </c>
      <c r="O78" s="17">
        <v>2171.0739010622037</v>
      </c>
      <c r="P78" s="17">
        <v>2233.2299533244782</v>
      </c>
      <c r="Q78" s="17">
        <v>2300.2295467964586</v>
      </c>
      <c r="R78" s="17">
        <v>2371.3354894212043</v>
      </c>
      <c r="S78" s="17">
        <v>2450.3349917862779</v>
      </c>
      <c r="T78" s="17">
        <v>2531.7763216952389</v>
      </c>
      <c r="U78" s="17">
        <v>2623.0585462739341</v>
      </c>
      <c r="V78" s="17">
        <v>2719.8418952674906</v>
      </c>
      <c r="W78" s="17">
        <v>2822.4039676299853</v>
      </c>
      <c r="X78" s="17">
        <v>2927.6319924343343</v>
      </c>
      <c r="Y78" s="17">
        <v>3026.8908242379207</v>
      </c>
      <c r="Z78" s="17">
        <v>3129.3674890644361</v>
      </c>
      <c r="AA78" s="17">
        <v>3239.55378643735</v>
      </c>
      <c r="AB78" s="17">
        <v>3356.039411088097</v>
      </c>
      <c r="AC78" s="17">
        <v>3473.409555132459</v>
      </c>
      <c r="AD78" s="17">
        <v>3594.5289479496564</v>
      </c>
      <c r="AE78" s="17">
        <v>3720.9148035269563</v>
      </c>
      <c r="AF78" s="17">
        <v>3854.2956536683641</v>
      </c>
      <c r="AG78" s="17">
        <v>3995.7589124767237</v>
      </c>
      <c r="AH78" s="17">
        <v>4145.2991878494995</v>
      </c>
      <c r="AI78" s="17">
        <v>4305.728859646254</v>
      </c>
      <c r="AJ78" s="17">
        <v>4474.4706584146988</v>
      </c>
      <c r="AK78" s="17">
        <v>4651.827306349981</v>
      </c>
      <c r="AL78" s="17">
        <v>4830.5177051699948</v>
      </c>
      <c r="AM78" s="17">
        <v>5018.1870129939944</v>
      </c>
      <c r="AN78" s="17">
        <v>5216.725367304326</v>
      </c>
    </row>
    <row r="79" spans="1:40" x14ac:dyDescent="0.25">
      <c r="A79" t="s">
        <v>70</v>
      </c>
      <c r="B79" s="17">
        <v>69.817113338467777</v>
      </c>
      <c r="C79" s="17">
        <v>72.761066221971831</v>
      </c>
      <c r="D79" s="17">
        <v>75.417786274230096</v>
      </c>
      <c r="E79" s="17">
        <v>74.228063644953139</v>
      </c>
      <c r="F79" s="17">
        <v>73.253912583403391</v>
      </c>
      <c r="G79" s="17">
        <v>75.624260765221052</v>
      </c>
      <c r="H79" s="17">
        <v>74.442603519421056</v>
      </c>
      <c r="I79" s="17">
        <v>73.338661295724094</v>
      </c>
      <c r="J79" s="17">
        <v>70.375961777614208</v>
      </c>
      <c r="K79" s="17">
        <v>72.305075641796904</v>
      </c>
      <c r="L79" s="17">
        <v>74.371442907353909</v>
      </c>
      <c r="M79" s="17">
        <v>76.048826811658941</v>
      </c>
      <c r="N79" s="17">
        <v>77.801170864347739</v>
      </c>
      <c r="O79" s="17">
        <v>79.755069595965793</v>
      </c>
      <c r="P79" s="17">
        <v>81.643762512249495</v>
      </c>
      <c r="Q79" s="17">
        <v>83.518599074190277</v>
      </c>
      <c r="R79" s="17">
        <v>85.406273095829633</v>
      </c>
      <c r="S79" s="17">
        <v>87.515360564125572</v>
      </c>
      <c r="T79" s="17">
        <v>89.644668344577482</v>
      </c>
      <c r="U79" s="17">
        <v>92.074258386859</v>
      </c>
      <c r="V79" s="17">
        <v>94.467109235476059</v>
      </c>
      <c r="W79" s="17">
        <v>96.900524693578546</v>
      </c>
      <c r="X79" s="17">
        <v>99.449848341332199</v>
      </c>
      <c r="Y79" s="17">
        <v>101.58253196976366</v>
      </c>
      <c r="Z79" s="17">
        <v>103.81481786586789</v>
      </c>
      <c r="AA79" s="17">
        <v>106.29138004793593</v>
      </c>
      <c r="AB79" s="17">
        <v>108.94541199133269</v>
      </c>
      <c r="AC79" s="17">
        <v>111.52402257339763</v>
      </c>
      <c r="AD79" s="17">
        <v>114.08413621905542</v>
      </c>
      <c r="AE79" s="17">
        <v>116.66136699777962</v>
      </c>
      <c r="AF79" s="17">
        <v>119.42230056034572</v>
      </c>
      <c r="AG79" s="17">
        <v>122.4108523280607</v>
      </c>
      <c r="AH79" s="17">
        <v>125.6282721642884</v>
      </c>
      <c r="AI79" s="17">
        <v>129.0904668169519</v>
      </c>
      <c r="AJ79" s="17">
        <v>132.77592532882883</v>
      </c>
      <c r="AK79" s="17">
        <v>136.63731853615764</v>
      </c>
      <c r="AL79" s="17">
        <v>140.52207915499699</v>
      </c>
      <c r="AM79" s="17">
        <v>144.57664789311821</v>
      </c>
      <c r="AN79" s="17">
        <v>148.89999948370686</v>
      </c>
    </row>
    <row r="80" spans="1:40" x14ac:dyDescent="0.25">
      <c r="A80" t="s">
        <v>23</v>
      </c>
      <c r="B80" s="24">
        <v>123.2692368267648</v>
      </c>
      <c r="C80" s="24">
        <v>126.6845991055519</v>
      </c>
      <c r="D80" s="24">
        <v>127.52463678443432</v>
      </c>
      <c r="E80" s="24">
        <v>131.73277495808907</v>
      </c>
      <c r="F80" s="24">
        <v>129.91819475444953</v>
      </c>
      <c r="G80" s="24">
        <v>133.91893616252753</v>
      </c>
      <c r="H80" s="24">
        <v>133.1583190218615</v>
      </c>
      <c r="I80" s="24">
        <v>131.43894998775974</v>
      </c>
      <c r="J80" s="24">
        <v>120.28537088063834</v>
      </c>
      <c r="K80" s="24">
        <v>122.18845484351343</v>
      </c>
      <c r="L80" s="24">
        <v>123.94700863537518</v>
      </c>
      <c r="M80" s="24">
        <v>125.68777893924542</v>
      </c>
      <c r="N80" s="24">
        <v>127.64407947093463</v>
      </c>
      <c r="O80" s="24">
        <v>129.98831762953361</v>
      </c>
      <c r="P80" s="24">
        <v>132.45594613273045</v>
      </c>
      <c r="Q80" s="24">
        <v>135.07304974634042</v>
      </c>
      <c r="R80" s="24">
        <v>137.90253620238548</v>
      </c>
      <c r="S80" s="24">
        <v>141.47736692280355</v>
      </c>
      <c r="T80" s="24">
        <v>145.28841789644645</v>
      </c>
      <c r="U80" s="24">
        <v>149.79895254222379</v>
      </c>
      <c r="V80" s="24">
        <v>154.64188805095469</v>
      </c>
      <c r="W80" s="24">
        <v>159.90153643428582</v>
      </c>
      <c r="X80" s="24">
        <v>165.17928999845921</v>
      </c>
      <c r="Y80" s="24">
        <v>170.59426790947836</v>
      </c>
      <c r="Z80" s="24">
        <v>175.57059167292519</v>
      </c>
      <c r="AA80" s="24">
        <v>180.94176531655955</v>
      </c>
      <c r="AB80" s="24">
        <v>186.68028911367384</v>
      </c>
      <c r="AC80" s="24">
        <v>192.31753526931348</v>
      </c>
      <c r="AD80" s="24">
        <v>198.04149186947072</v>
      </c>
      <c r="AE80" s="24">
        <v>203.43988232241091</v>
      </c>
      <c r="AF80" s="24">
        <v>208.95885886699676</v>
      </c>
      <c r="AG80" s="24">
        <v>214.67351343900046</v>
      </c>
      <c r="AH80" s="24">
        <v>220.57450838685693</v>
      </c>
      <c r="AI80" s="24">
        <v>226.82030044627388</v>
      </c>
      <c r="AJ80" s="24">
        <v>233.72661814650394</v>
      </c>
      <c r="AK80" s="24">
        <v>241.01957701759684</v>
      </c>
      <c r="AL80" s="24">
        <v>248.21855932620224</v>
      </c>
      <c r="AM80" s="24">
        <v>255.75284504117138</v>
      </c>
      <c r="AN80" s="24">
        <v>263.7579496831184</v>
      </c>
    </row>
    <row r="81" spans="1:40" x14ac:dyDescent="0.25">
      <c r="A81" t="s">
        <v>145</v>
      </c>
      <c r="B81" s="24">
        <v>82.179491217843207</v>
      </c>
      <c r="C81" s="24">
        <v>84.456399403701269</v>
      </c>
      <c r="D81" s="24">
        <v>85.016424522956228</v>
      </c>
      <c r="E81" s="24">
        <v>87.821849972059397</v>
      </c>
      <c r="F81" s="24">
        <v>86.612129836299687</v>
      </c>
      <c r="G81" s="24">
        <v>89.279290775018353</v>
      </c>
      <c r="H81" s="24">
        <v>88.772212681241015</v>
      </c>
      <c r="I81" s="24">
        <v>87.625966658506499</v>
      </c>
      <c r="J81" s="24">
        <v>80.190247253758912</v>
      </c>
      <c r="K81" s="24">
        <v>81.458969895675637</v>
      </c>
      <c r="L81" s="24">
        <v>82.631339090250137</v>
      </c>
      <c r="M81" s="24">
        <v>83.791852626163632</v>
      </c>
      <c r="N81" s="24">
        <v>85.096052980623085</v>
      </c>
      <c r="O81" s="24">
        <v>86.658878419689074</v>
      </c>
      <c r="P81" s="24">
        <v>88.303964088486964</v>
      </c>
      <c r="Q81" s="24">
        <v>90.048699830893625</v>
      </c>
      <c r="R81" s="24">
        <v>91.935024134923651</v>
      </c>
      <c r="S81" s="24">
        <v>94.318244615202374</v>
      </c>
      <c r="T81" s="24">
        <v>96.858945264297645</v>
      </c>
      <c r="U81" s="24">
        <v>99.865968361482544</v>
      </c>
      <c r="V81" s="24">
        <v>103.0945920339698</v>
      </c>
      <c r="W81" s="24">
        <v>106.60102428952389</v>
      </c>
      <c r="X81" s="24">
        <v>110.11952666563948</v>
      </c>
      <c r="Y81" s="24">
        <v>113.72951193965226</v>
      </c>
      <c r="Z81" s="24">
        <v>117.04706111528347</v>
      </c>
      <c r="AA81" s="24">
        <v>120.62784354437304</v>
      </c>
      <c r="AB81" s="24">
        <v>124.45352607578258</v>
      </c>
      <c r="AC81" s="24">
        <v>128.21169017954233</v>
      </c>
      <c r="AD81" s="24">
        <v>132.02766124631384</v>
      </c>
      <c r="AE81" s="24">
        <v>135.6265882149406</v>
      </c>
      <c r="AF81" s="24">
        <v>139.30590591133119</v>
      </c>
      <c r="AG81" s="24">
        <v>143.1156756260003</v>
      </c>
      <c r="AH81" s="24">
        <v>147.04967225790463</v>
      </c>
      <c r="AI81" s="24">
        <v>151.21353363084924</v>
      </c>
      <c r="AJ81" s="24">
        <v>155.81774543100266</v>
      </c>
      <c r="AK81" s="24">
        <v>160.67971801173124</v>
      </c>
      <c r="AL81" s="24">
        <v>165.47903955080153</v>
      </c>
      <c r="AM81" s="24">
        <v>170.50189669411429</v>
      </c>
      <c r="AN81" s="24">
        <v>175.83863312207893</v>
      </c>
    </row>
    <row r="82" spans="1:40" x14ac:dyDescent="0.25">
      <c r="A82" t="s">
        <v>24</v>
      </c>
      <c r="B82" s="17">
        <v>93.09690942833106</v>
      </c>
      <c r="C82" s="17">
        <v>94.993446234646797</v>
      </c>
      <c r="D82" s="17">
        <v>96.334376455091899</v>
      </c>
      <c r="E82" s="17">
        <v>96.558459479520835</v>
      </c>
      <c r="F82" s="17">
        <v>97.644967398178593</v>
      </c>
      <c r="G82" s="17">
        <v>97.997517901418121</v>
      </c>
      <c r="H82" s="17">
        <v>98.770585701709422</v>
      </c>
      <c r="I82" s="17">
        <v>98.119583228591793</v>
      </c>
      <c r="J82" s="17">
        <v>92.704310909525347</v>
      </c>
      <c r="K82" s="17">
        <v>95.302015170250399</v>
      </c>
      <c r="L82" s="17">
        <v>97.873951127403927</v>
      </c>
      <c r="M82" s="17">
        <v>100.12304266959772</v>
      </c>
      <c r="N82" s="17">
        <v>102.48999010149339</v>
      </c>
      <c r="O82" s="17">
        <v>105.13398818583012</v>
      </c>
      <c r="P82" s="17">
        <v>107.75894250019913</v>
      </c>
      <c r="Q82" s="17">
        <v>110.43921652400797</v>
      </c>
      <c r="R82" s="17">
        <v>113.19311523175173</v>
      </c>
      <c r="S82" s="17">
        <v>116.19313454817348</v>
      </c>
      <c r="T82" s="17">
        <v>119.23091943008865</v>
      </c>
      <c r="U82" s="17">
        <v>122.76632748694639</v>
      </c>
      <c r="V82" s="17">
        <v>126.32151836598254</v>
      </c>
      <c r="W82" s="17">
        <v>129.99892814021447</v>
      </c>
      <c r="X82" s="17">
        <v>133.68380546488083</v>
      </c>
      <c r="Y82" s="17">
        <v>136.8905028847235</v>
      </c>
      <c r="Z82" s="17">
        <v>140.13262803543526</v>
      </c>
      <c r="AA82" s="17">
        <v>143.70523135706333</v>
      </c>
      <c r="AB82" s="17">
        <v>147.55938741644732</v>
      </c>
      <c r="AC82" s="17">
        <v>151.2430267254413</v>
      </c>
      <c r="AD82" s="17">
        <v>154.93056846812195</v>
      </c>
      <c r="AE82" s="17">
        <v>158.63092160480687</v>
      </c>
      <c r="AF82" s="17">
        <v>162.59199205284796</v>
      </c>
      <c r="AG82" s="17">
        <v>166.74722658664146</v>
      </c>
      <c r="AH82" s="17">
        <v>171.06846318621436</v>
      </c>
      <c r="AI82" s="17">
        <v>175.62977545331631</v>
      </c>
      <c r="AJ82" s="17">
        <v>180.47592934772433</v>
      </c>
      <c r="AK82" s="17">
        <v>185.50041239958938</v>
      </c>
      <c r="AL82" s="17">
        <v>190.83749920687805</v>
      </c>
      <c r="AM82" s="17">
        <v>196.44758768505764</v>
      </c>
      <c r="AN82" s="17">
        <v>202.48030442577863</v>
      </c>
    </row>
    <row r="83" spans="1:40" x14ac:dyDescent="0.25">
      <c r="A83" t="s">
        <v>25</v>
      </c>
      <c r="B83" s="17">
        <v>235.49802282756241</v>
      </c>
      <c r="C83" s="17">
        <v>241.94953807611751</v>
      </c>
      <c r="D83" s="17">
        <v>246.10207883069049</v>
      </c>
      <c r="E83" s="17">
        <v>249.26808877833665</v>
      </c>
      <c r="F83" s="17">
        <v>251.54882204993891</v>
      </c>
      <c r="G83" s="17">
        <v>253.07599948298898</v>
      </c>
      <c r="H83" s="17">
        <v>255.77309263879329</v>
      </c>
      <c r="I83" s="17">
        <v>256.23572258235538</v>
      </c>
      <c r="J83" s="17">
        <v>231.28138030647995</v>
      </c>
      <c r="K83" s="17">
        <v>237.95223439188939</v>
      </c>
      <c r="L83" s="17">
        <v>244.39448085745738</v>
      </c>
      <c r="M83" s="17">
        <v>250.91023744131132</v>
      </c>
      <c r="N83" s="17">
        <v>257.90899781538928</v>
      </c>
      <c r="O83" s="17">
        <v>265.6989056250797</v>
      </c>
      <c r="P83" s="17">
        <v>273.7401089972098</v>
      </c>
      <c r="Q83" s="17">
        <v>282.31823624896856</v>
      </c>
      <c r="R83" s="17">
        <v>291.33525297704807</v>
      </c>
      <c r="S83" s="17">
        <v>301.11957791504847</v>
      </c>
      <c r="T83" s="17">
        <v>311.0814313326411</v>
      </c>
      <c r="U83" s="17">
        <v>322.48376378096827</v>
      </c>
      <c r="V83" s="17">
        <v>334.43472148589382</v>
      </c>
      <c r="W83" s="17">
        <v>347.05083056743183</v>
      </c>
      <c r="X83" s="17">
        <v>359.8365174716975</v>
      </c>
      <c r="Y83" s="17">
        <v>371.51150356847677</v>
      </c>
      <c r="Z83" s="17">
        <v>383.8079346198117</v>
      </c>
      <c r="AA83" s="17">
        <v>397.22959296384062</v>
      </c>
      <c r="AB83" s="17">
        <v>411.58997837708171</v>
      </c>
      <c r="AC83" s="17">
        <v>425.94796779644503</v>
      </c>
      <c r="AD83" s="17">
        <v>440.74900411880907</v>
      </c>
      <c r="AE83" s="17">
        <v>455.86997686754319</v>
      </c>
      <c r="AF83" s="17">
        <v>471.87371914278049</v>
      </c>
      <c r="AG83" s="17">
        <v>488.83584467351818</v>
      </c>
      <c r="AH83" s="17">
        <v>506.72022872761801</v>
      </c>
      <c r="AI83" s="17">
        <v>525.87420201505483</v>
      </c>
      <c r="AJ83" s="17">
        <v>546.07585540462924</v>
      </c>
      <c r="AK83" s="17">
        <v>567.29726712327658</v>
      </c>
      <c r="AL83" s="17">
        <v>588.40836182194505</v>
      </c>
      <c r="AM83" s="17">
        <v>610.59115744265955</v>
      </c>
      <c r="AN83" s="17">
        <v>634.10648718903576</v>
      </c>
    </row>
    <row r="84" spans="1:40" x14ac:dyDescent="0.25">
      <c r="A84" t="s">
        <v>26</v>
      </c>
      <c r="B84" s="17">
        <v>17.781500762507285</v>
      </c>
      <c r="C84" s="17">
        <v>18.189599532275118</v>
      </c>
      <c r="D84" s="17">
        <v>18.519494173147685</v>
      </c>
      <c r="E84" s="17">
        <v>18.692324513083456</v>
      </c>
      <c r="F84" s="17">
        <v>18.990365626538715</v>
      </c>
      <c r="G84" s="17">
        <v>19.082967766641026</v>
      </c>
      <c r="H84" s="17">
        <v>19.374189074838732</v>
      </c>
      <c r="I84" s="17">
        <v>19.413900420182642</v>
      </c>
      <c r="J84" s="17">
        <v>17.944003758260617</v>
      </c>
      <c r="K84" s="17">
        <v>18.435100578531209</v>
      </c>
      <c r="L84" s="17">
        <v>18.907868430352945</v>
      </c>
      <c r="M84" s="17">
        <v>19.407017680170156</v>
      </c>
      <c r="N84" s="17">
        <v>19.925075221594977</v>
      </c>
      <c r="O84" s="17">
        <v>20.502240282253414</v>
      </c>
      <c r="P84" s="17">
        <v>21.132006843043495</v>
      </c>
      <c r="Q84" s="17">
        <v>21.781675172171447</v>
      </c>
      <c r="R84" s="17">
        <v>22.442962656122312</v>
      </c>
      <c r="S84" s="17">
        <v>23.189338930232626</v>
      </c>
      <c r="T84" s="17">
        <v>23.9533665831209</v>
      </c>
      <c r="U84" s="17">
        <v>24.81049190716378</v>
      </c>
      <c r="V84" s="17">
        <v>25.691187591926983</v>
      </c>
      <c r="W84" s="17">
        <v>26.587351472537012</v>
      </c>
      <c r="X84" s="17">
        <v>27.495469643756088</v>
      </c>
      <c r="Y84" s="17">
        <v>27.916764265085412</v>
      </c>
      <c r="Z84" s="17">
        <v>28.799944714158059</v>
      </c>
      <c r="AA84" s="17">
        <v>29.731851075810045</v>
      </c>
      <c r="AB84" s="17">
        <v>30.723433081292058</v>
      </c>
      <c r="AC84" s="17">
        <v>31.70480445277974</v>
      </c>
      <c r="AD84" s="17">
        <v>32.70552444689114</v>
      </c>
      <c r="AE84" s="17">
        <v>33.725394497516078</v>
      </c>
      <c r="AF84" s="17">
        <v>34.811384430668774</v>
      </c>
      <c r="AG84" s="17">
        <v>35.962542885195298</v>
      </c>
      <c r="AH84" s="17">
        <v>37.177908897611594</v>
      </c>
      <c r="AI84" s="17">
        <v>38.482911477928582</v>
      </c>
      <c r="AJ84" s="17">
        <v>39.852267972425778</v>
      </c>
      <c r="AK84" s="17">
        <v>41.285346907622447</v>
      </c>
      <c r="AL84" s="17">
        <v>42.729995212034616</v>
      </c>
      <c r="AM84" s="17">
        <v>44.252236985534118</v>
      </c>
      <c r="AN84" s="17">
        <v>45.862569254611302</v>
      </c>
    </row>
    <row r="85" spans="1:40" x14ac:dyDescent="0.25">
      <c r="A85" t="s">
        <v>27</v>
      </c>
      <c r="B85" s="17">
        <v>52.810230956689715</v>
      </c>
      <c r="C85" s="17">
        <v>54.245119171813215</v>
      </c>
      <c r="D85" s="17">
        <v>55.18306790095383</v>
      </c>
      <c r="E85" s="17">
        <v>55.676327175452201</v>
      </c>
      <c r="F85" s="17">
        <v>56.133957764403732</v>
      </c>
      <c r="G85" s="17">
        <v>56.466694909022188</v>
      </c>
      <c r="H85" s="17">
        <v>57.032194159691336</v>
      </c>
      <c r="I85" s="17">
        <v>57.003629108320098</v>
      </c>
      <c r="J85" s="17">
        <v>52.255194601806359</v>
      </c>
      <c r="K85" s="17">
        <v>53.62355966559889</v>
      </c>
      <c r="L85" s="17">
        <v>54.966221313123441</v>
      </c>
      <c r="M85" s="17">
        <v>56.279539490650862</v>
      </c>
      <c r="N85" s="17">
        <v>57.699574969640054</v>
      </c>
      <c r="O85" s="17">
        <v>59.302932577207542</v>
      </c>
      <c r="P85" s="17">
        <v>60.948400502738096</v>
      </c>
      <c r="Q85" s="17">
        <v>62.674516435258795</v>
      </c>
      <c r="R85" s="17">
        <v>64.500156359871809</v>
      </c>
      <c r="S85" s="17">
        <v>66.540037042527302</v>
      </c>
      <c r="T85" s="17">
        <v>68.617005000770646</v>
      </c>
      <c r="U85" s="17">
        <v>70.974904755369693</v>
      </c>
      <c r="V85" s="17">
        <v>73.425239401493684</v>
      </c>
      <c r="W85" s="17">
        <v>75.997213183651027</v>
      </c>
      <c r="X85" s="17">
        <v>78.594699331415796</v>
      </c>
      <c r="Y85" s="17">
        <v>80.959331818107628</v>
      </c>
      <c r="Z85" s="17">
        <v>83.425132814381897</v>
      </c>
      <c r="AA85" s="17">
        <v>86.073823732962524</v>
      </c>
      <c r="AB85" s="17">
        <v>88.909499209733525</v>
      </c>
      <c r="AC85" s="17">
        <v>91.711372118068766</v>
      </c>
      <c r="AD85" s="17">
        <v>94.5770877473757</v>
      </c>
      <c r="AE85" s="17">
        <v>97.476691137003115</v>
      </c>
      <c r="AF85" s="17">
        <v>100.56625787510568</v>
      </c>
      <c r="AG85" s="17">
        <v>103.8467132857627</v>
      </c>
      <c r="AH85" s="17">
        <v>107.30747576555298</v>
      </c>
      <c r="AI85" s="17">
        <v>111.01926991252481</v>
      </c>
      <c r="AJ85" s="17">
        <v>114.98756274097082</v>
      </c>
      <c r="AK85" s="17">
        <v>119.14641325192684</v>
      </c>
      <c r="AL85" s="17">
        <v>123.32639329043802</v>
      </c>
      <c r="AM85" s="17">
        <v>127.70966554090654</v>
      </c>
      <c r="AN85" s="17">
        <v>132.36719475450298</v>
      </c>
    </row>
    <row r="86" spans="1:40" x14ac:dyDescent="0.25">
      <c r="A86" t="s">
        <v>28</v>
      </c>
      <c r="B86" s="17">
        <v>14.11335055811956</v>
      </c>
      <c r="C86" s="17">
        <v>14.529285948229166</v>
      </c>
      <c r="D86" s="17">
        <v>14.792917934511397</v>
      </c>
      <c r="E86" s="17">
        <v>15.037620245798024</v>
      </c>
      <c r="F86" s="17">
        <v>15.211889470186245</v>
      </c>
      <c r="G86" s="17">
        <v>15.372585006286357</v>
      </c>
      <c r="H86" s="17">
        <v>15.57343100248616</v>
      </c>
      <c r="I86" s="17">
        <v>15.632663118419302</v>
      </c>
      <c r="J86" s="17">
        <v>14.281790439496202</v>
      </c>
      <c r="K86" s="17">
        <v>14.678591596985113</v>
      </c>
      <c r="L86" s="17">
        <v>15.06461521129952</v>
      </c>
      <c r="M86" s="17">
        <v>15.46083557534152</v>
      </c>
      <c r="N86" s="17">
        <v>15.890762760607563</v>
      </c>
      <c r="O86" s="17">
        <v>16.370572396708098</v>
      </c>
      <c r="P86" s="17">
        <v>16.864063367703142</v>
      </c>
      <c r="Q86" s="17">
        <v>17.3952194321595</v>
      </c>
      <c r="R86" s="17">
        <v>17.952401379573427</v>
      </c>
      <c r="S86" s="17">
        <v>18.559266429108813</v>
      </c>
      <c r="T86" s="17">
        <v>19.177459569098534</v>
      </c>
      <c r="U86" s="17">
        <v>19.877574709061882</v>
      </c>
      <c r="V86" s="17">
        <v>20.61069469066333</v>
      </c>
      <c r="W86" s="17">
        <v>21.382940226614938</v>
      </c>
      <c r="X86" s="17">
        <v>22.163541490088175</v>
      </c>
      <c r="Y86" s="17">
        <v>22.879945957790131</v>
      </c>
      <c r="Z86" s="17">
        <v>23.637355820597676</v>
      </c>
      <c r="AA86" s="17">
        <v>24.460798193899048</v>
      </c>
      <c r="AB86" s="17">
        <v>25.343805679701738</v>
      </c>
      <c r="AC86" s="17">
        <v>26.232665727560232</v>
      </c>
      <c r="AD86" s="17">
        <v>27.155103698050855</v>
      </c>
      <c r="AE86" s="17">
        <v>28.094159252556153</v>
      </c>
      <c r="AF86" s="17">
        <v>29.084906230815911</v>
      </c>
      <c r="AG86" s="17">
        <v>30.143829470957463</v>
      </c>
      <c r="AH86" s="17">
        <v>31.260506113270068</v>
      </c>
      <c r="AI86" s="17">
        <v>32.456430029256332</v>
      </c>
      <c r="AJ86" s="17">
        <v>33.714449511721448</v>
      </c>
      <c r="AK86" s="17">
        <v>35.03400388217112</v>
      </c>
      <c r="AL86" s="17">
        <v>36.353176091755827</v>
      </c>
      <c r="AM86" s="17">
        <v>37.73572981913145</v>
      </c>
      <c r="AN86" s="17">
        <v>39.194910433110081</v>
      </c>
    </row>
    <row r="87" spans="1:40" x14ac:dyDescent="0.25">
      <c r="A87" t="s">
        <v>29</v>
      </c>
      <c r="B87" s="17">
        <v>13.345629432701729</v>
      </c>
      <c r="C87" s="17">
        <v>13.88856633822615</v>
      </c>
      <c r="D87" s="17">
        <v>14.23042630100378</v>
      </c>
      <c r="E87" s="17">
        <v>14.650080326208252</v>
      </c>
      <c r="F87" s="17">
        <v>14.737373657407572</v>
      </c>
      <c r="G87" s="17">
        <v>14.865669908290192</v>
      </c>
      <c r="H87" s="17">
        <v>14.890586998774422</v>
      </c>
      <c r="I87" s="17">
        <v>14.775538776469551</v>
      </c>
      <c r="J87" s="17">
        <v>12.847283577010501</v>
      </c>
      <c r="K87" s="17">
        <v>13.20942691569933</v>
      </c>
      <c r="L87" s="17">
        <v>13.489589011782209</v>
      </c>
      <c r="M87" s="17">
        <v>13.773528288625783</v>
      </c>
      <c r="N87" s="17">
        <v>14.078274783100348</v>
      </c>
      <c r="O87" s="17">
        <v>14.470582529453081</v>
      </c>
      <c r="P87" s="17">
        <v>14.825189683200671</v>
      </c>
      <c r="Q87" s="17">
        <v>15.189003854507641</v>
      </c>
      <c r="R87" s="17">
        <v>15.574353325980528</v>
      </c>
      <c r="S87" s="17">
        <v>16.059010445012778</v>
      </c>
      <c r="T87" s="17">
        <v>16.545121416580706</v>
      </c>
      <c r="U87" s="17">
        <v>17.139271863896138</v>
      </c>
      <c r="V87" s="17">
        <v>17.740782754841227</v>
      </c>
      <c r="W87" s="17">
        <v>18.375930295126619</v>
      </c>
      <c r="X87" s="17">
        <v>18.985030537859622</v>
      </c>
      <c r="Y87" s="17">
        <v>19.522983188324005</v>
      </c>
      <c r="Z87" s="17">
        <v>20.050091930418269</v>
      </c>
      <c r="AA87" s="17">
        <v>20.746246324700902</v>
      </c>
      <c r="AB87" s="17">
        <v>21.36292428421223</v>
      </c>
      <c r="AC87" s="17">
        <v>21.959544985491799</v>
      </c>
      <c r="AD87" s="17">
        <v>22.56015403253036</v>
      </c>
      <c r="AE87" s="17">
        <v>23.116520568045249</v>
      </c>
      <c r="AF87" s="17">
        <v>23.706573048006632</v>
      </c>
      <c r="AG87" s="17">
        <v>24.330010177173204</v>
      </c>
      <c r="AH87" s="17">
        <v>24.981849403465421</v>
      </c>
      <c r="AI87" s="17">
        <v>25.67805925953359</v>
      </c>
      <c r="AJ87" s="17">
        <v>26.484367100883127</v>
      </c>
      <c r="AK87" s="17">
        <v>27.32545250660927</v>
      </c>
      <c r="AL87" s="17">
        <v>28.139565213567323</v>
      </c>
      <c r="AM87" s="17">
        <v>28.984092527487629</v>
      </c>
      <c r="AN87" s="17">
        <v>29.878966996482575</v>
      </c>
    </row>
    <row r="88" spans="1:40" x14ac:dyDescent="0.25">
      <c r="A88" t="s">
        <v>30</v>
      </c>
      <c r="B88" s="17">
        <v>10.112362730184675</v>
      </c>
      <c r="C88" s="17">
        <v>8.5040411249539964</v>
      </c>
      <c r="D88" s="17">
        <v>7.784491547386529</v>
      </c>
      <c r="E88" s="17">
        <v>7.8869957375456359</v>
      </c>
      <c r="F88" s="17">
        <v>7.6498178254625797</v>
      </c>
      <c r="G88" s="17">
        <v>7.3431413818304856</v>
      </c>
      <c r="H88" s="17">
        <v>7.1864565939413234</v>
      </c>
      <c r="I88" s="17">
        <v>6.8812332740651714</v>
      </c>
      <c r="J88" s="17">
        <v>5.5992862977534568</v>
      </c>
      <c r="K88" s="17">
        <v>5.7341894840445793</v>
      </c>
      <c r="L88" s="17">
        <v>5.7866222491391648</v>
      </c>
      <c r="M88" s="17">
        <v>5.840496142866928</v>
      </c>
      <c r="N88" s="17">
        <v>5.9286574884635952</v>
      </c>
      <c r="O88" s="17">
        <v>6.0812507942852525</v>
      </c>
      <c r="P88" s="17">
        <v>6.2192974202882096</v>
      </c>
      <c r="Q88" s="17">
        <v>6.3662963283424023</v>
      </c>
      <c r="R88" s="17">
        <v>6.5276887149857554</v>
      </c>
      <c r="S88" s="17">
        <v>6.7871544589385726</v>
      </c>
      <c r="T88" s="17">
        <v>7.0701556814234481</v>
      </c>
      <c r="U88" s="17">
        <v>7.4309073946525315</v>
      </c>
      <c r="V88" s="17">
        <v>7.8155635114134849</v>
      </c>
      <c r="W88" s="17">
        <v>8.2355530532491592</v>
      </c>
      <c r="X88" s="17">
        <v>8.6546524623416072</v>
      </c>
      <c r="Y88" s="17">
        <v>9.0576796935178692</v>
      </c>
      <c r="Z88" s="17">
        <v>9.4348472755690143</v>
      </c>
      <c r="AA88" s="17">
        <v>9.8425637018627921</v>
      </c>
      <c r="AB88" s="17">
        <v>10.285140631781458</v>
      </c>
      <c r="AC88" s="17">
        <v>10.710157672238857</v>
      </c>
      <c r="AD88" s="17">
        <v>11.128823515036686</v>
      </c>
      <c r="AE88" s="17">
        <v>11.46733687246021</v>
      </c>
      <c r="AF88" s="17">
        <v>11.783562378235207</v>
      </c>
      <c r="AG88" s="17">
        <v>12.081804636314359</v>
      </c>
      <c r="AH88" s="17">
        <v>12.360430121812234</v>
      </c>
      <c r="AI88" s="17">
        <v>12.630138347688771</v>
      </c>
      <c r="AJ88" s="17">
        <v>12.960341207680875</v>
      </c>
      <c r="AK88" s="17">
        <v>13.300477852696885</v>
      </c>
      <c r="AL88" s="17">
        <v>13.620251502395988</v>
      </c>
      <c r="AM88" s="17">
        <v>13.940449308014085</v>
      </c>
      <c r="AN88" s="17">
        <v>14.271458563899428</v>
      </c>
    </row>
    <row r="89" spans="1:40" x14ac:dyDescent="0.25">
      <c r="A89" t="s">
        <v>31</v>
      </c>
      <c r="B89" s="17">
        <v>1.2396211872289537E-4</v>
      </c>
      <c r="C89" s="17">
        <v>1.3695422009881513E-4</v>
      </c>
      <c r="D89" s="17">
        <v>1.4914555552202771E-4</v>
      </c>
      <c r="E89" s="17">
        <v>1.4546157642812341E-4</v>
      </c>
      <c r="F89" s="17">
        <v>1.4279518961318394E-4</v>
      </c>
      <c r="G89" s="17">
        <v>1.3966781494797052E-4</v>
      </c>
      <c r="H89" s="17">
        <v>1.4671108490655016E-4</v>
      </c>
      <c r="I89" s="17">
        <v>1.4680049685268729E-4</v>
      </c>
      <c r="J89" s="17">
        <v>1.1252323073074771E-4</v>
      </c>
      <c r="K89" s="17">
        <v>1.2307790272328019E-4</v>
      </c>
      <c r="L89" s="17">
        <v>1.2639716564333281E-4</v>
      </c>
      <c r="M89" s="17">
        <v>1.2948644109559701E-4</v>
      </c>
      <c r="N89" s="17">
        <v>1.3374558197776801E-4</v>
      </c>
      <c r="O89" s="17">
        <v>1.4220168231537909E-4</v>
      </c>
      <c r="P89" s="17">
        <v>1.4584764604876969E-4</v>
      </c>
      <c r="Q89" s="17">
        <v>1.4860971012578352E-4</v>
      </c>
      <c r="R89" s="17">
        <v>1.512850982669578E-4</v>
      </c>
      <c r="S89" s="17">
        <v>1.2381549819444655E-4</v>
      </c>
      <c r="T89" s="17">
        <v>1.2379249864902822E-4</v>
      </c>
      <c r="U89" s="17">
        <v>1.2370521753358654E-4</v>
      </c>
      <c r="V89" s="17">
        <v>1.2362748054182927E-4</v>
      </c>
      <c r="W89" s="17">
        <v>1.2354349043632777E-4</v>
      </c>
      <c r="X89" s="17">
        <v>1.2350315089133343E-4</v>
      </c>
      <c r="Y89" s="17">
        <v>1.2350315089133343E-4</v>
      </c>
      <c r="Z89" s="17">
        <v>1.2350315089133332E-4</v>
      </c>
      <c r="AA89" s="17">
        <v>1.2350315089133332E-4</v>
      </c>
      <c r="AB89" s="17">
        <v>1.2349298139864001E-4</v>
      </c>
      <c r="AC89" s="17">
        <v>1.2348359525330571E-4</v>
      </c>
      <c r="AD89" s="17">
        <v>1.2347692682499546E-4</v>
      </c>
      <c r="AE89" s="17">
        <v>1.2346318171867763E-4</v>
      </c>
      <c r="AF89" s="17">
        <v>1.2346318171867763E-4</v>
      </c>
      <c r="AG89" s="17">
        <v>1.2346318171867766E-4</v>
      </c>
      <c r="AH89" s="17">
        <v>1.2346318171867766E-4</v>
      </c>
      <c r="AI89" s="17">
        <v>1.2346318171867771E-4</v>
      </c>
      <c r="AJ89" s="17">
        <v>1.2346318171867768E-4</v>
      </c>
      <c r="AK89" s="17">
        <v>1.2346318171867771E-4</v>
      </c>
      <c r="AL89" s="17">
        <v>1.234437818749194E-4</v>
      </c>
      <c r="AM89" s="17">
        <v>1.2341340744386161E-4</v>
      </c>
      <c r="AN89" s="17">
        <v>1.2337477954072176E-4</v>
      </c>
    </row>
    <row r="90" spans="1:40" x14ac:dyDescent="0.25">
      <c r="A90" t="s">
        <v>32</v>
      </c>
      <c r="B90" s="17">
        <v>84.250557323843438</v>
      </c>
      <c r="C90" s="17">
        <v>82.81129596603968</v>
      </c>
      <c r="D90" s="17">
        <v>81.075741423201265</v>
      </c>
      <c r="E90" s="17">
        <v>79.093845627180855</v>
      </c>
      <c r="F90" s="17">
        <v>77.164041185730042</v>
      </c>
      <c r="G90" s="17">
        <v>76.937717608149342</v>
      </c>
      <c r="H90" s="17">
        <v>76.724427192604097</v>
      </c>
      <c r="I90" s="17">
        <v>76.425620376368414</v>
      </c>
      <c r="J90" s="17">
        <v>70.183029353302913</v>
      </c>
      <c r="K90" s="17">
        <v>73.006988976034165</v>
      </c>
      <c r="L90" s="17">
        <v>72.820938025181761</v>
      </c>
      <c r="M90" s="17">
        <v>73.775854201320513</v>
      </c>
      <c r="N90" s="17">
        <v>74.923675022788373</v>
      </c>
      <c r="O90" s="17">
        <v>76.474595932696758</v>
      </c>
      <c r="P90" s="17">
        <v>77.320112773260362</v>
      </c>
      <c r="Q90" s="17">
        <v>78.659217596876843</v>
      </c>
      <c r="R90" s="17">
        <v>80.001452073539056</v>
      </c>
      <c r="S90" s="17">
        <v>82.191264176921962</v>
      </c>
      <c r="T90" s="17">
        <v>84.396391236931905</v>
      </c>
      <c r="U90" s="17">
        <v>86.558480898584037</v>
      </c>
      <c r="V90" s="17">
        <v>89.123317463689006</v>
      </c>
      <c r="W90" s="17">
        <v>91.908065300654314</v>
      </c>
      <c r="X90" s="17">
        <v>94.365506481626667</v>
      </c>
      <c r="Y90" s="17">
        <v>94.653432936841739</v>
      </c>
      <c r="Z90" s="17">
        <v>96.801149280843958</v>
      </c>
      <c r="AA90" s="17">
        <v>99.034931126986663</v>
      </c>
      <c r="AB90" s="17">
        <v>102.8787753256952</v>
      </c>
      <c r="AC90" s="17">
        <v>106.67814364081399</v>
      </c>
      <c r="AD90" s="17">
        <v>110.42833075004675</v>
      </c>
      <c r="AE90" s="17">
        <v>113.43078156980397</v>
      </c>
      <c r="AF90" s="17">
        <v>116.12339815187033</v>
      </c>
      <c r="AG90" s="17">
        <v>118.74876225606278</v>
      </c>
      <c r="AH90" s="17">
        <v>121.22944464966906</v>
      </c>
      <c r="AI90" s="17">
        <v>123.62815260112532</v>
      </c>
      <c r="AJ90" s="17">
        <v>126.78322335532275</v>
      </c>
      <c r="AK90" s="17">
        <v>129.84827947131691</v>
      </c>
      <c r="AL90" s="17">
        <v>133.19576547496635</v>
      </c>
      <c r="AM90" s="17">
        <v>136.8948281006675</v>
      </c>
      <c r="AN90" s="17">
        <v>140.91072639414494</v>
      </c>
    </row>
    <row r="91" spans="1:40" x14ac:dyDescent="0.25">
      <c r="A91" t="s">
        <v>33</v>
      </c>
      <c r="B91" s="17">
        <v>21.151207305916373</v>
      </c>
      <c r="C91" s="17">
        <v>22.499179969510678</v>
      </c>
      <c r="D91" s="17">
        <v>24.191488148884012</v>
      </c>
      <c r="E91" s="17">
        <v>25.430939271439531</v>
      </c>
      <c r="F91" s="17">
        <v>26.280374840429307</v>
      </c>
      <c r="G91" s="17">
        <v>28.213837417598356</v>
      </c>
      <c r="H91" s="17">
        <v>30.418235084806355</v>
      </c>
      <c r="I91" s="17">
        <v>31.872600449723471</v>
      </c>
      <c r="J91" s="17">
        <v>30.529693994834542</v>
      </c>
      <c r="K91" s="17">
        <v>31.84833808160041</v>
      </c>
      <c r="L91" s="17">
        <v>33.274928910999627</v>
      </c>
      <c r="M91" s="17">
        <v>34.81258853979967</v>
      </c>
      <c r="N91" s="17">
        <v>36.53258422607145</v>
      </c>
      <c r="O91" s="17">
        <v>38.475879371516619</v>
      </c>
      <c r="P91" s="17">
        <v>40.547758380242612</v>
      </c>
      <c r="Q91" s="17">
        <v>42.781868056686605</v>
      </c>
      <c r="R91" s="17">
        <v>45.171605268573586</v>
      </c>
      <c r="S91" s="17">
        <v>47.86493181279122</v>
      </c>
      <c r="T91" s="17">
        <v>50.736754810090829</v>
      </c>
      <c r="U91" s="17">
        <v>53.912589397002129</v>
      </c>
      <c r="V91" s="17">
        <v>57.281748620919018</v>
      </c>
      <c r="W91" s="17">
        <v>60.894907069687825</v>
      </c>
      <c r="X91" s="17">
        <v>64.610396047378245</v>
      </c>
      <c r="Y91" s="17">
        <v>68.379717303480916</v>
      </c>
      <c r="Z91" s="17">
        <v>72.259899929069761</v>
      </c>
      <c r="AA91" s="17">
        <v>76.493819486757786</v>
      </c>
      <c r="AB91" s="17">
        <v>81.444864101084079</v>
      </c>
      <c r="AC91" s="17">
        <v>86.710409160072842</v>
      </c>
      <c r="AD91" s="17">
        <v>92.434945700919826</v>
      </c>
      <c r="AE91" s="17">
        <v>98.268590350568573</v>
      </c>
      <c r="AF91" s="17">
        <v>104.34467658007476</v>
      </c>
      <c r="AG91" s="17">
        <v>110.67746380976553</v>
      </c>
      <c r="AH91" s="17">
        <v>117.27237330302799</v>
      </c>
      <c r="AI91" s="17">
        <v>124.19735283808427</v>
      </c>
      <c r="AJ91" s="17">
        <v>131.34077150611236</v>
      </c>
      <c r="AK91" s="17">
        <v>138.71734173085727</v>
      </c>
      <c r="AL91" s="17">
        <v>145.97369717802786</v>
      </c>
      <c r="AM91" s="17">
        <v>153.43314131796552</v>
      </c>
      <c r="AN91" s="17">
        <v>161.24078849811681</v>
      </c>
    </row>
    <row r="92" spans="1:40" x14ac:dyDescent="0.25">
      <c r="A92" t="s">
        <v>34</v>
      </c>
      <c r="B92" s="17">
        <v>135.95535691221784</v>
      </c>
      <c r="C92" s="17">
        <v>139.6930871386345</v>
      </c>
      <c r="D92" s="17">
        <v>142.53185682907349</v>
      </c>
      <c r="E92" s="17">
        <v>143.97840508252531</v>
      </c>
      <c r="F92" s="17">
        <v>144.89697158831373</v>
      </c>
      <c r="G92" s="17">
        <v>146.66852466159426</v>
      </c>
      <c r="H92" s="17">
        <v>148.40851369632202</v>
      </c>
      <c r="I92" s="17">
        <v>149.18900118137717</v>
      </c>
      <c r="J92" s="17">
        <v>137.77801358505732</v>
      </c>
      <c r="K92" s="17">
        <v>140.97100285380822</v>
      </c>
      <c r="L92" s="17">
        <v>144.15772666023415</v>
      </c>
      <c r="M92" s="17">
        <v>147.43807262661258</v>
      </c>
      <c r="N92" s="17">
        <v>151.04633792655628</v>
      </c>
      <c r="O92" s="17">
        <v>154.98715479368963</v>
      </c>
      <c r="P92" s="17">
        <v>159.09021555154268</v>
      </c>
      <c r="Q92" s="17">
        <v>163.47787995346616</v>
      </c>
      <c r="R92" s="17">
        <v>168.18100936864192</v>
      </c>
      <c r="S92" s="17">
        <v>173.26383315772949</v>
      </c>
      <c r="T92" s="17">
        <v>178.43307881829242</v>
      </c>
      <c r="U92" s="17">
        <v>184.05669939314808</v>
      </c>
      <c r="V92" s="17">
        <v>190.00615924048742</v>
      </c>
      <c r="W92" s="17">
        <v>196.27368424773437</v>
      </c>
      <c r="X92" s="17">
        <v>202.66173951495387</v>
      </c>
      <c r="Y92" s="17">
        <v>208.71731760101491</v>
      </c>
      <c r="Z92" s="17">
        <v>215.00842614463681</v>
      </c>
      <c r="AA92" s="17">
        <v>221.66434795418635</v>
      </c>
      <c r="AB92" s="17">
        <v>228.53362975270883</v>
      </c>
      <c r="AC92" s="17">
        <v>235.33652123064408</v>
      </c>
      <c r="AD92" s="17">
        <v>242.33227034357745</v>
      </c>
      <c r="AE92" s="17">
        <v>249.91204902037566</v>
      </c>
      <c r="AF92" s="17">
        <v>257.97422216610948</v>
      </c>
      <c r="AG92" s="17">
        <v>266.54247647722758</v>
      </c>
      <c r="AH92" s="17">
        <v>275.60146219383819</v>
      </c>
      <c r="AI92" s="17">
        <v>285.31671044817875</v>
      </c>
      <c r="AJ92" s="17">
        <v>295.37254285875559</v>
      </c>
      <c r="AK92" s="17">
        <v>305.9265384512945</v>
      </c>
      <c r="AL92" s="17">
        <v>316.4520934069472</v>
      </c>
      <c r="AM92" s="17">
        <v>327.51114587494573</v>
      </c>
      <c r="AN92" s="17">
        <v>339.27051298002249</v>
      </c>
    </row>
    <row r="93" spans="1:40" x14ac:dyDescent="0.25">
      <c r="A93" t="s">
        <v>35</v>
      </c>
      <c r="B93" s="17">
        <v>11.263564724197595</v>
      </c>
      <c r="C93" s="17">
        <v>11.564880744073186</v>
      </c>
      <c r="D93" s="17">
        <v>11.895169876208239</v>
      </c>
      <c r="E93" s="17">
        <v>12.101680341615882</v>
      </c>
      <c r="F93" s="17">
        <v>12.16381438507412</v>
      </c>
      <c r="G93" s="17">
        <v>12.307235497004221</v>
      </c>
      <c r="H93" s="17">
        <v>12.581022932216117</v>
      </c>
      <c r="I93" s="17">
        <v>12.733958410018209</v>
      </c>
      <c r="J93" s="17">
        <v>11.93755402627886</v>
      </c>
      <c r="K93" s="17">
        <v>12.277780237899368</v>
      </c>
      <c r="L93" s="17">
        <v>12.557250687384618</v>
      </c>
      <c r="M93" s="17">
        <v>12.793378222995578</v>
      </c>
      <c r="N93" s="17">
        <v>13.036322519292622</v>
      </c>
      <c r="O93" s="17">
        <v>13.286940771538248</v>
      </c>
      <c r="P93" s="17">
        <v>13.545669961198996</v>
      </c>
      <c r="Q93" s="17">
        <v>13.80676545376984</v>
      </c>
      <c r="R93" s="17">
        <v>14.076101661490402</v>
      </c>
      <c r="S93" s="17">
        <v>14.371453847552608</v>
      </c>
      <c r="T93" s="17">
        <v>14.760588271266236</v>
      </c>
      <c r="U93" s="17">
        <v>15.23474583861146</v>
      </c>
      <c r="V93" s="17">
        <v>15.647120386483884</v>
      </c>
      <c r="W93" s="17">
        <v>16.067124524632394</v>
      </c>
      <c r="X93" s="17">
        <v>16.478844045197746</v>
      </c>
      <c r="Y93" s="17">
        <v>16.842332375876932</v>
      </c>
      <c r="Z93" s="17">
        <v>17.219856768272415</v>
      </c>
      <c r="AA93" s="17">
        <v>17.622715561748304</v>
      </c>
      <c r="AB93" s="17">
        <v>18.046476500857466</v>
      </c>
      <c r="AC93" s="17">
        <v>18.480843075922849</v>
      </c>
      <c r="AD93" s="17">
        <v>18.909599207781124</v>
      </c>
      <c r="AE93" s="17">
        <v>19.370893478603456</v>
      </c>
      <c r="AF93" s="17">
        <v>19.835461372348842</v>
      </c>
      <c r="AG93" s="17">
        <v>20.319691314309026</v>
      </c>
      <c r="AH93" s="17">
        <v>20.817050191681421</v>
      </c>
      <c r="AI93" s="17">
        <v>21.351716835967462</v>
      </c>
      <c r="AJ93" s="17">
        <v>21.902618208704439</v>
      </c>
      <c r="AK93" s="17">
        <v>22.488150657253883</v>
      </c>
      <c r="AL93" s="17">
        <v>23.084221928358826</v>
      </c>
      <c r="AM93" s="17">
        <v>23.714998418964051</v>
      </c>
      <c r="AN93" s="17">
        <v>24.392267247387995</v>
      </c>
    </row>
    <row r="94" spans="1:40" x14ac:dyDescent="0.25">
      <c r="A94" t="s">
        <v>36</v>
      </c>
      <c r="B94" s="17">
        <v>1.1351531206547518</v>
      </c>
      <c r="C94" s="17">
        <v>1.15711322653161</v>
      </c>
      <c r="D94" s="17">
        <v>1.1451248217776735</v>
      </c>
      <c r="E94" s="17">
        <v>1.1378630326698174</v>
      </c>
      <c r="F94" s="17">
        <v>1.1554757657258468</v>
      </c>
      <c r="G94" s="17">
        <v>1.1680831266552429</v>
      </c>
      <c r="H94" s="17">
        <v>1.1385096642845971</v>
      </c>
      <c r="I94" s="17">
        <v>1.1200910087074947</v>
      </c>
      <c r="J94" s="17">
        <v>1.0052776357125583</v>
      </c>
      <c r="K94" s="17">
        <v>1.0086047682286392</v>
      </c>
      <c r="L94" s="17">
        <v>1.0285622829568837</v>
      </c>
      <c r="M94" s="17">
        <v>1.0596104386301191</v>
      </c>
      <c r="N94" s="17">
        <v>1.0970488295753977</v>
      </c>
      <c r="O94" s="17">
        <v>1.1409256218859241</v>
      </c>
      <c r="P94" s="17">
        <v>1.1888806263921556</v>
      </c>
      <c r="Q94" s="17">
        <v>1.2443560856314992</v>
      </c>
      <c r="R94" s="17">
        <v>1.3049653794885572</v>
      </c>
      <c r="S94" s="17">
        <v>1.3739870860164407</v>
      </c>
      <c r="T94" s="17">
        <v>1.4215948304483781</v>
      </c>
      <c r="U94" s="17">
        <v>1.4599646535277526</v>
      </c>
      <c r="V94" s="17">
        <v>1.5254299501304966</v>
      </c>
      <c r="W94" s="17">
        <v>1.5983183277509556</v>
      </c>
      <c r="X94" s="17">
        <v>1.6791177476062575</v>
      </c>
      <c r="Y94" s="17">
        <v>1.7631138939586875</v>
      </c>
      <c r="Z94" s="17">
        <v>1.8514135032974266</v>
      </c>
      <c r="AA94" s="17">
        <v>1.9449441678624204</v>
      </c>
      <c r="AB94" s="17">
        <v>2.0367871108946805</v>
      </c>
      <c r="AC94" s="17">
        <v>2.1242136295758245</v>
      </c>
      <c r="AD94" s="17">
        <v>2.2192618437892073</v>
      </c>
      <c r="AE94" s="17">
        <v>2.3215790404376215</v>
      </c>
      <c r="AF94" s="17">
        <v>2.4375591895254227</v>
      </c>
      <c r="AG94" s="17">
        <v>2.5631913825599111</v>
      </c>
      <c r="AH94" s="17">
        <v>2.7005819522225809</v>
      </c>
      <c r="AI94" s="17">
        <v>2.8476016149860821</v>
      </c>
      <c r="AJ94" s="17">
        <v>3.004329210704201</v>
      </c>
      <c r="AK94" s="17">
        <v>3.1671461042106963</v>
      </c>
      <c r="AL94" s="17">
        <v>3.3269267323454805</v>
      </c>
      <c r="AM94" s="17">
        <v>3.4931501747013538</v>
      </c>
      <c r="AN94" s="17">
        <v>3.6678480252546395</v>
      </c>
    </row>
    <row r="95" spans="1:40" x14ac:dyDescent="0.25">
      <c r="A95" t="s">
        <v>37</v>
      </c>
      <c r="B95" s="17">
        <v>27.51630822473156</v>
      </c>
      <c r="C95" s="17">
        <v>26.900456320201634</v>
      </c>
      <c r="D95" s="17">
        <v>26.289001015653074</v>
      </c>
      <c r="E95" s="17">
        <v>25.681026904731798</v>
      </c>
      <c r="F95" s="17">
        <v>25.681026904731795</v>
      </c>
      <c r="G95" s="17">
        <v>25.681026904731802</v>
      </c>
      <c r="H95" s="17">
        <v>25.677334449984691</v>
      </c>
      <c r="I95" s="17">
        <v>25.673641995237581</v>
      </c>
      <c r="J95" s="17">
        <v>25.677334449984961</v>
      </c>
      <c r="K95" s="17">
        <v>25.677334449984979</v>
      </c>
      <c r="L95" s="17">
        <v>25.677334449984979</v>
      </c>
      <c r="M95" s="17">
        <v>25.677334449984972</v>
      </c>
      <c r="N95" s="17">
        <v>25.677334449984969</v>
      </c>
      <c r="O95" s="17">
        <v>25.120332772771796</v>
      </c>
      <c r="P95" s="17">
        <v>25.120332772771782</v>
      </c>
      <c r="Q95" s="17">
        <v>25.120332772771778</v>
      </c>
      <c r="R95" s="17">
        <v>25.120332772771778</v>
      </c>
      <c r="S95" s="17">
        <v>25.115291275296332</v>
      </c>
      <c r="T95" s="17">
        <v>25.110625944293314</v>
      </c>
      <c r="U95" s="17">
        <v>24.152708560313343</v>
      </c>
      <c r="V95" s="17">
        <v>23.489379235295221</v>
      </c>
      <c r="W95" s="17">
        <v>22.778695998903089</v>
      </c>
      <c r="X95" s="17">
        <v>22.349243348614582</v>
      </c>
      <c r="Y95" s="17">
        <v>23.000161826004469</v>
      </c>
      <c r="Z95" s="17">
        <v>23.610743972709912</v>
      </c>
      <c r="AA95" s="17">
        <v>23.298125324424117</v>
      </c>
      <c r="AB95" s="17">
        <v>22.005628077297999</v>
      </c>
      <c r="AC95" s="17">
        <v>20.713474786100985</v>
      </c>
      <c r="AD95" s="17">
        <v>19.421945152491961</v>
      </c>
      <c r="AE95" s="17">
        <v>19.337063542372636</v>
      </c>
      <c r="AF95" s="17">
        <v>19.254343928894187</v>
      </c>
      <c r="AG95" s="17">
        <v>19.171624315415741</v>
      </c>
      <c r="AH95" s="17">
        <v>19.088904701937288</v>
      </c>
      <c r="AI95" s="17">
        <v>19.006185088458832</v>
      </c>
      <c r="AJ95" s="17">
        <v>18.638275745498611</v>
      </c>
      <c r="AK95" s="17">
        <v>18.270366402538393</v>
      </c>
      <c r="AL95" s="17">
        <v>17.899644035768073</v>
      </c>
      <c r="AM95" s="17">
        <v>17.527478650482823</v>
      </c>
      <c r="AN95" s="17">
        <v>17.154346707435558</v>
      </c>
    </row>
    <row r="96" spans="1:40" x14ac:dyDescent="0.25">
      <c r="A96" t="s">
        <v>38</v>
      </c>
      <c r="B96" s="17">
        <v>66.420365481469858</v>
      </c>
      <c r="C96" s="17">
        <v>67.349104545774196</v>
      </c>
      <c r="D96" s="17">
        <v>64.271865378659513</v>
      </c>
      <c r="E96" s="17">
        <v>61.203956366290036</v>
      </c>
      <c r="F96" s="17">
        <v>61.09576125595531</v>
      </c>
      <c r="G96" s="17">
        <v>60.977920555313688</v>
      </c>
      <c r="H96" s="17">
        <v>60.314891871173977</v>
      </c>
      <c r="I96" s="17">
        <v>60.095393567609911</v>
      </c>
      <c r="J96" s="17">
        <v>58.443716682751955</v>
      </c>
      <c r="K96" s="17">
        <v>58.26035937168762</v>
      </c>
      <c r="L96" s="17">
        <v>58.228585550981975</v>
      </c>
      <c r="M96" s="17">
        <v>58.491098078246964</v>
      </c>
      <c r="N96" s="17">
        <v>58.950504913566036</v>
      </c>
      <c r="O96" s="17">
        <v>59.241005432837952</v>
      </c>
      <c r="P96" s="17">
        <v>59.115594723835905</v>
      </c>
      <c r="Q96" s="17">
        <v>58.820403454768829</v>
      </c>
      <c r="R96" s="17">
        <v>59.160264117011302</v>
      </c>
      <c r="S96" s="17">
        <v>59.554930317101956</v>
      </c>
      <c r="T96" s="17">
        <v>59.911928080433661</v>
      </c>
      <c r="U96" s="17">
        <v>59.645550263735302</v>
      </c>
      <c r="V96" s="17">
        <v>59.503106096137991</v>
      </c>
      <c r="W96" s="17">
        <v>59.33824424913238</v>
      </c>
      <c r="X96" s="17">
        <v>59.099205776468253</v>
      </c>
      <c r="Y96" s="17">
        <v>58.21118967336151</v>
      </c>
      <c r="Z96" s="17">
        <v>57.963584061211357</v>
      </c>
      <c r="AA96" s="17">
        <v>57.207978417301902</v>
      </c>
      <c r="AB96" s="17">
        <v>55.843741287603805</v>
      </c>
      <c r="AC96" s="17">
        <v>54.480073675742425</v>
      </c>
      <c r="AD96" s="17">
        <v>53.117781844873782</v>
      </c>
      <c r="AE96" s="17">
        <v>52.080916463252649</v>
      </c>
      <c r="AF96" s="17">
        <v>51.049964004617202</v>
      </c>
      <c r="AG96" s="17">
        <v>50.019011545981762</v>
      </c>
      <c r="AH96" s="17">
        <v>48.988059087346336</v>
      </c>
      <c r="AI96" s="17">
        <v>47.95710662871091</v>
      </c>
      <c r="AJ96" s="17">
        <v>47.524282571642132</v>
      </c>
      <c r="AK96" s="17">
        <v>47.091458514573375</v>
      </c>
      <c r="AL96" s="17">
        <v>46.65130295830096</v>
      </c>
      <c r="AM96" s="17">
        <v>46.207174430113042</v>
      </c>
      <c r="AN96" s="17">
        <v>45.760197623106457</v>
      </c>
    </row>
    <row r="97" spans="1:40" x14ac:dyDescent="0.25"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</row>
    <row r="98" spans="1:40" x14ac:dyDescent="0.25"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</row>
    <row r="100" spans="1:40" ht="18" thickBot="1" x14ac:dyDescent="0.35">
      <c r="A100" s="4" t="s">
        <v>138</v>
      </c>
      <c r="B100" s="4"/>
      <c r="C100" s="4"/>
      <c r="D100" s="4"/>
      <c r="E100" s="4"/>
      <c r="F100" s="4"/>
      <c r="G100" s="4"/>
      <c r="H100" s="4"/>
    </row>
    <row r="101" spans="1:40" ht="15.75" thickTop="1" x14ac:dyDescent="0.25">
      <c r="B101" s="3">
        <v>2012</v>
      </c>
      <c r="C101" s="3">
        <v>2013</v>
      </c>
      <c r="D101" s="3">
        <v>2014</v>
      </c>
      <c r="E101" s="3">
        <v>2015</v>
      </c>
      <c r="F101" s="3">
        <v>2016</v>
      </c>
      <c r="G101" s="3">
        <v>2017</v>
      </c>
      <c r="H101" s="3">
        <v>2018</v>
      </c>
      <c r="I101" s="3">
        <v>2019</v>
      </c>
      <c r="J101" s="3">
        <v>2020</v>
      </c>
      <c r="K101" s="3">
        <v>2021</v>
      </c>
      <c r="L101" s="3">
        <v>2022</v>
      </c>
      <c r="M101" s="3">
        <v>2023</v>
      </c>
      <c r="N101" s="3">
        <v>2024</v>
      </c>
      <c r="O101" s="3">
        <v>2025</v>
      </c>
      <c r="P101" s="3">
        <v>2026</v>
      </c>
      <c r="Q101" s="3">
        <v>2027</v>
      </c>
      <c r="R101" s="3">
        <v>2028</v>
      </c>
      <c r="S101" s="3">
        <v>2029</v>
      </c>
      <c r="T101" s="3">
        <v>2030</v>
      </c>
      <c r="U101" s="3">
        <v>2031</v>
      </c>
      <c r="V101" s="3">
        <v>2032</v>
      </c>
      <c r="W101" s="3">
        <v>2033</v>
      </c>
      <c r="X101" s="3">
        <v>2034</v>
      </c>
      <c r="Y101" s="3">
        <v>2035</v>
      </c>
      <c r="Z101" s="3">
        <v>2036</v>
      </c>
      <c r="AA101" s="3">
        <v>2037</v>
      </c>
      <c r="AB101" s="3">
        <v>2038</v>
      </c>
      <c r="AC101">
        <v>2039</v>
      </c>
      <c r="AD101">
        <v>2040</v>
      </c>
      <c r="AE101">
        <v>2041</v>
      </c>
      <c r="AF101">
        <v>2042</v>
      </c>
      <c r="AG101">
        <v>2043</v>
      </c>
      <c r="AH101">
        <v>2044</v>
      </c>
      <c r="AI101">
        <v>2045</v>
      </c>
      <c r="AJ101">
        <v>2046</v>
      </c>
      <c r="AK101">
        <v>2047</v>
      </c>
      <c r="AL101">
        <v>2048</v>
      </c>
      <c r="AM101">
        <v>2049</v>
      </c>
      <c r="AN101">
        <v>2050</v>
      </c>
    </row>
    <row r="102" spans="1:40" x14ac:dyDescent="0.25">
      <c r="A102" s="3" t="s">
        <v>51</v>
      </c>
      <c r="B102" s="12">
        <v>0.5</v>
      </c>
      <c r="C102" s="12">
        <v>0.49361482500619441</v>
      </c>
      <c r="D102" s="12">
        <v>0.48206830798992972</v>
      </c>
      <c r="E102" s="12">
        <v>0.47202613350430117</v>
      </c>
      <c r="F102" s="12">
        <v>0.46557223068394388</v>
      </c>
      <c r="G102" s="12">
        <v>0.45639821843997963</v>
      </c>
      <c r="H102" s="12">
        <v>0.44660476008909161</v>
      </c>
      <c r="I102" s="12">
        <v>0.43972669731095931</v>
      </c>
      <c r="J102" s="12">
        <v>0.44869179830464656</v>
      </c>
      <c r="K102" s="12">
        <v>0.4608685558592584</v>
      </c>
      <c r="L102" s="12">
        <v>0.45293933531025343</v>
      </c>
      <c r="M102" s="12">
        <v>0.44496466333523621</v>
      </c>
      <c r="N102" s="12">
        <v>0.43604395407815993</v>
      </c>
      <c r="O102" s="12">
        <v>0.42640214177595159</v>
      </c>
      <c r="P102" s="12">
        <v>0.41704128628178283</v>
      </c>
      <c r="Q102" s="12">
        <v>0.40736811409437179</v>
      </c>
      <c r="R102" s="12">
        <v>0.39752040531475452</v>
      </c>
      <c r="S102" s="12">
        <v>0.38792623621073147</v>
      </c>
      <c r="T102" s="12">
        <v>0.3786915183200642</v>
      </c>
      <c r="U102" s="12">
        <v>0.3695210575010458</v>
      </c>
      <c r="V102" s="12">
        <v>0.35977357770148527</v>
      </c>
      <c r="W102" s="12">
        <v>0.35010150129371193</v>
      </c>
      <c r="X102" s="12">
        <v>0.34070620489032388</v>
      </c>
      <c r="Y102" s="12">
        <v>0.33256879940716488</v>
      </c>
      <c r="Z102" s="12">
        <v>0.32526196722319101</v>
      </c>
      <c r="AA102" s="12">
        <v>0.31743656623784111</v>
      </c>
      <c r="AB102" s="12">
        <v>0.30944759350189216</v>
      </c>
      <c r="AC102" s="12">
        <v>0.30170210809401976</v>
      </c>
      <c r="AD102" s="12">
        <v>0.29426669588993903</v>
      </c>
      <c r="AE102" s="12">
        <v>0.28705947092480621</v>
      </c>
      <c r="AF102" s="12">
        <v>0.27985912607480135</v>
      </c>
      <c r="AG102" s="12">
        <v>0.27267207752507222</v>
      </c>
      <c r="AH102" s="12">
        <v>0.2655187699863964</v>
      </c>
      <c r="AI102" s="12">
        <v>0.25835683521052188</v>
      </c>
      <c r="AJ102" s="12">
        <v>0.25160847240437884</v>
      </c>
      <c r="AK102" s="12">
        <v>0.24500439781986932</v>
      </c>
      <c r="AL102" s="12">
        <v>0.23870289310099521</v>
      </c>
      <c r="AM102" s="12">
        <v>0.23259738300263871</v>
      </c>
      <c r="AN102" s="12">
        <v>0.2264556984169197</v>
      </c>
    </row>
    <row r="103" spans="1:40" x14ac:dyDescent="0.25">
      <c r="A103" s="3" t="s">
        <v>52</v>
      </c>
      <c r="B103" s="12">
        <v>0.3</v>
      </c>
      <c r="C103" s="12">
        <v>0.29468225957952826</v>
      </c>
      <c r="D103" s="12">
        <v>0.29652686013085344</v>
      </c>
      <c r="E103" s="12">
        <v>0.29778797816876007</v>
      </c>
      <c r="F103" s="12">
        <v>0.29845066012740579</v>
      </c>
      <c r="G103" s="12">
        <v>0.29691592343442441</v>
      </c>
      <c r="H103" s="12">
        <v>0.29765219102063356</v>
      </c>
      <c r="I103" s="12">
        <v>0.298551917090845</v>
      </c>
      <c r="J103" s="12">
        <v>0.30807790666505486</v>
      </c>
      <c r="K103" s="12">
        <v>0.29101084546381101</v>
      </c>
      <c r="L103" s="12">
        <v>0.29254909838976384</v>
      </c>
      <c r="M103" s="12">
        <v>0.29362458379515177</v>
      </c>
      <c r="N103" s="12">
        <v>0.29479545876831015</v>
      </c>
      <c r="O103" s="12">
        <v>0.29612492551474839</v>
      </c>
      <c r="P103" s="12">
        <v>0.29821430926402148</v>
      </c>
      <c r="Q103" s="12">
        <v>0.30025114738936809</v>
      </c>
      <c r="R103" s="12">
        <v>0.30243161805275043</v>
      </c>
      <c r="S103" s="12">
        <v>0.30454490929663142</v>
      </c>
      <c r="T103" s="12">
        <v>0.30672648903867467</v>
      </c>
      <c r="U103" s="12">
        <v>0.30878587056708845</v>
      </c>
      <c r="V103" s="12">
        <v>0.3113776753132933</v>
      </c>
      <c r="W103" s="12">
        <v>0.31391427008417805</v>
      </c>
      <c r="X103" s="12">
        <v>0.31654756766084635</v>
      </c>
      <c r="Y103" s="12">
        <v>0.31943560967325441</v>
      </c>
      <c r="Z103" s="12">
        <v>0.32167854950189212</v>
      </c>
      <c r="AA103" s="12">
        <v>0.32413815716167887</v>
      </c>
      <c r="AB103" s="12">
        <v>0.32667347879243019</v>
      </c>
      <c r="AC103" s="12">
        <v>0.32941478752673903</v>
      </c>
      <c r="AD103" s="12">
        <v>0.33194977862338843</v>
      </c>
      <c r="AE103" s="12">
        <v>0.3347119146565295</v>
      </c>
      <c r="AF103" s="12">
        <v>0.33747750852961228</v>
      </c>
      <c r="AG103" s="12">
        <v>0.34019487891547112</v>
      </c>
      <c r="AH103" s="12">
        <v>0.34290256616818704</v>
      </c>
      <c r="AI103" s="12">
        <v>0.34553441204668883</v>
      </c>
      <c r="AJ103" s="12">
        <v>0.3486358783170348</v>
      </c>
      <c r="AK103" s="12">
        <v>0.35163376928920365</v>
      </c>
      <c r="AL103" s="12">
        <v>0.35473779187508891</v>
      </c>
      <c r="AM103" s="12">
        <v>0.35763130295873286</v>
      </c>
      <c r="AN103" s="12">
        <v>0.36050417317170641</v>
      </c>
    </row>
    <row r="104" spans="1:40" x14ac:dyDescent="0.25">
      <c r="A104" s="3" t="s">
        <v>53</v>
      </c>
      <c r="B104" s="12">
        <v>0.19999999999999998</v>
      </c>
      <c r="C104" s="12">
        <v>0.20613092634999897</v>
      </c>
      <c r="D104" s="12">
        <v>0.20997219853254745</v>
      </c>
      <c r="E104" s="12">
        <v>0.21260669534823909</v>
      </c>
      <c r="F104" s="12">
        <v>0.21196845959615526</v>
      </c>
      <c r="G104" s="12">
        <v>0.21596815697579858</v>
      </c>
      <c r="H104" s="12">
        <v>0.21840570822090161</v>
      </c>
      <c r="I104" s="12">
        <v>0.21780961373237509</v>
      </c>
      <c r="J104" s="12">
        <v>0.19278899154436505</v>
      </c>
      <c r="K104" s="12">
        <v>0.19553669373990809</v>
      </c>
      <c r="L104" s="12">
        <v>0.19978989451661469</v>
      </c>
      <c r="M104" s="12">
        <v>0.20455613793575173</v>
      </c>
      <c r="N104" s="12">
        <v>0.21017784188075633</v>
      </c>
      <c r="O104" s="12">
        <v>0.21636685904947664</v>
      </c>
      <c r="P104" s="12">
        <v>0.22306684325167825</v>
      </c>
      <c r="Q104" s="12">
        <v>0.23013203762505227</v>
      </c>
      <c r="R104" s="12">
        <v>0.23722848369486835</v>
      </c>
      <c r="S104" s="12">
        <v>0.24413891693925951</v>
      </c>
      <c r="T104" s="12">
        <v>0.250621957691326</v>
      </c>
      <c r="U104" s="12">
        <v>0.25838040126580109</v>
      </c>
      <c r="V104" s="12">
        <v>0.26618388831950496</v>
      </c>
      <c r="W104" s="12">
        <v>0.27396762998285962</v>
      </c>
      <c r="X104" s="12">
        <v>0.28137833717201771</v>
      </c>
      <c r="Y104" s="12">
        <v>0.28727685765124816</v>
      </c>
      <c r="Z104" s="12">
        <v>0.29412231319643162</v>
      </c>
      <c r="AA104" s="12">
        <v>0.30127304885663259</v>
      </c>
      <c r="AB104" s="12">
        <v>0.30851502785058504</v>
      </c>
      <c r="AC104" s="12">
        <v>0.31531092438850294</v>
      </c>
      <c r="AD104" s="12">
        <v>0.32200646376955105</v>
      </c>
      <c r="AE104" s="12">
        <v>0.32929830475714733</v>
      </c>
      <c r="AF104" s="12">
        <v>0.33658835430014045</v>
      </c>
      <c r="AG104" s="12">
        <v>0.34392190319885563</v>
      </c>
      <c r="AH104" s="12">
        <v>0.35123999212377366</v>
      </c>
      <c r="AI104" s="12">
        <v>0.35865117337681979</v>
      </c>
      <c r="AJ104" s="12">
        <v>0.36625024275029583</v>
      </c>
      <c r="AK104" s="12">
        <v>0.37382482671382988</v>
      </c>
      <c r="AL104" s="12">
        <v>0.38100700334125265</v>
      </c>
      <c r="AM104" s="12">
        <v>0.38822005789694591</v>
      </c>
      <c r="AN104" s="12">
        <v>0.39550635603522843</v>
      </c>
    </row>
    <row r="105" spans="1:40" x14ac:dyDescent="0.25">
      <c r="A105" s="3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</row>
    <row r="107" spans="1:40" ht="18" thickBot="1" x14ac:dyDescent="0.35">
      <c r="A107" s="4" t="s">
        <v>139</v>
      </c>
      <c r="B107" s="4"/>
      <c r="C107" s="4"/>
      <c r="D107" s="4"/>
      <c r="E107" s="4"/>
      <c r="F107" s="4"/>
      <c r="G107" s="4"/>
      <c r="H107" s="4"/>
    </row>
    <row r="108" spans="1:40" ht="15.75" thickTop="1" x14ac:dyDescent="0.25">
      <c r="A108" s="3">
        <v>2012</v>
      </c>
      <c r="B108" s="3">
        <v>2013</v>
      </c>
      <c r="C108" s="3">
        <v>2014</v>
      </c>
      <c r="D108" s="3">
        <v>2015</v>
      </c>
      <c r="E108" s="3">
        <v>2016</v>
      </c>
      <c r="F108" s="3">
        <v>2017</v>
      </c>
      <c r="G108" s="3">
        <v>2018</v>
      </c>
      <c r="H108" s="3">
        <v>2019</v>
      </c>
      <c r="I108" s="3">
        <v>2020</v>
      </c>
      <c r="J108" s="3">
        <v>2021</v>
      </c>
      <c r="K108" s="3">
        <v>2022</v>
      </c>
      <c r="L108" s="3">
        <v>2023</v>
      </c>
      <c r="M108" s="3">
        <v>2024</v>
      </c>
      <c r="N108" s="3">
        <v>2025</v>
      </c>
      <c r="O108" s="3">
        <v>2026</v>
      </c>
      <c r="P108" s="3">
        <v>2027</v>
      </c>
      <c r="Q108" s="3">
        <v>2028</v>
      </c>
      <c r="R108" s="3">
        <v>2029</v>
      </c>
      <c r="S108" s="3">
        <v>2030</v>
      </c>
      <c r="T108" s="3">
        <v>2031</v>
      </c>
      <c r="U108" s="3">
        <v>2032</v>
      </c>
      <c r="V108" s="3">
        <v>2033</v>
      </c>
      <c r="W108" s="3">
        <v>2034</v>
      </c>
      <c r="X108" s="3">
        <v>2035</v>
      </c>
      <c r="Y108" s="3">
        <v>2036</v>
      </c>
      <c r="Z108">
        <v>2037</v>
      </c>
      <c r="AA108">
        <v>2038</v>
      </c>
      <c r="AB108">
        <v>2039</v>
      </c>
      <c r="AC108">
        <v>2040</v>
      </c>
      <c r="AD108">
        <v>2041</v>
      </c>
      <c r="AE108">
        <v>2042</v>
      </c>
      <c r="AF108">
        <v>2043</v>
      </c>
      <c r="AG108">
        <v>2044</v>
      </c>
      <c r="AH108">
        <v>2045</v>
      </c>
      <c r="AI108">
        <v>2046</v>
      </c>
      <c r="AJ108">
        <v>2047</v>
      </c>
      <c r="AK108">
        <v>2048</v>
      </c>
      <c r="AL108">
        <v>2049</v>
      </c>
      <c r="AM108">
        <v>2050</v>
      </c>
    </row>
    <row r="109" spans="1:40" x14ac:dyDescent="0.25">
      <c r="A109">
        <v>0.30163969294989873</v>
      </c>
      <c r="B109">
        <v>0.30770118876733893</v>
      </c>
      <c r="C109">
        <v>0.31057938732953844</v>
      </c>
      <c r="D109">
        <v>0.31277940101847879</v>
      </c>
      <c r="E109">
        <v>0.31284316327620315</v>
      </c>
      <c r="F109">
        <v>0.31635831555178628</v>
      </c>
      <c r="G109">
        <v>0.31867877236635728</v>
      </c>
      <c r="H109">
        <v>0.31829026462005117</v>
      </c>
      <c r="I109">
        <v>0.29040891806001651</v>
      </c>
      <c r="J109">
        <v>0.29800403265459058</v>
      </c>
      <c r="K109">
        <v>0.30200401780692876</v>
      </c>
      <c r="L109">
        <v>0.30656034625617695</v>
      </c>
      <c r="M109">
        <v>0.31192904187570236</v>
      </c>
      <c r="N109">
        <v>0.31799947261850164</v>
      </c>
      <c r="O109">
        <v>0.32433434766527408</v>
      </c>
      <c r="P109">
        <v>0.33129984849841504</v>
      </c>
      <c r="Q109">
        <v>0.33856860928890536</v>
      </c>
      <c r="R109">
        <v>0.3460220907336497</v>
      </c>
      <c r="S109">
        <v>0.35326945484642069</v>
      </c>
      <c r="T109">
        <v>0.36227316635231788</v>
      </c>
      <c r="U109">
        <v>0.37153100120479132</v>
      </c>
      <c r="V109">
        <v>0.38125213640261274</v>
      </c>
      <c r="W109">
        <v>0.39088366365960481</v>
      </c>
      <c r="X109" s="12">
        <v>0.43438755091144643</v>
      </c>
      <c r="Y109" s="12">
        <v>0.4444480293768564</v>
      </c>
      <c r="Z109" s="12">
        <v>0.45535275868686731</v>
      </c>
      <c r="AA109" s="12">
        <v>0.46694075625504039</v>
      </c>
      <c r="AB109" s="12">
        <v>0.4781300856362905</v>
      </c>
      <c r="AC109" s="12">
        <v>0.48967453302970809</v>
      </c>
      <c r="AD109" s="12">
        <v>0.50224672606058585</v>
      </c>
      <c r="AE109" s="12">
        <v>0.51536971747141613</v>
      </c>
      <c r="AF109" s="12">
        <v>0.52924077512855172</v>
      </c>
      <c r="AG109" s="12">
        <v>0.54376194787755061</v>
      </c>
      <c r="AH109" s="12">
        <v>0.55932663957277284</v>
      </c>
      <c r="AI109" s="12">
        <v>0.57508190051994368</v>
      </c>
      <c r="AJ109" s="12">
        <v>0.59159288253939912</v>
      </c>
      <c r="AK109" s="12">
        <v>0.6076457041478186</v>
      </c>
      <c r="AL109" s="12">
        <v>0.62468417964119827</v>
      </c>
      <c r="AM109" s="12">
        <v>0.68427588534183081</v>
      </c>
    </row>
    <row r="111" spans="1:40" x14ac:dyDescent="0.25">
      <c r="C111" s="13"/>
    </row>
    <row r="112" spans="1:40" x14ac:dyDescent="0.25">
      <c r="C112">
        <v>0.4</v>
      </c>
      <c r="D112" s="22">
        <v>0.6</v>
      </c>
    </row>
    <row r="113" spans="2:41" ht="18" thickBot="1" x14ac:dyDescent="0.35">
      <c r="B113" s="23" t="s">
        <v>165</v>
      </c>
      <c r="C113" s="23"/>
      <c r="D113" s="23"/>
      <c r="E113" s="23"/>
    </row>
    <row r="114" spans="2:41" ht="15.75" thickTop="1" x14ac:dyDescent="0.25">
      <c r="C114">
        <v>2012</v>
      </c>
      <c r="D114">
        <v>2013</v>
      </c>
      <c r="E114">
        <v>2014</v>
      </c>
      <c r="F114">
        <v>2015</v>
      </c>
      <c r="G114">
        <v>2016</v>
      </c>
      <c r="H114">
        <v>2017</v>
      </c>
      <c r="I114">
        <v>2018</v>
      </c>
      <c r="J114">
        <v>2019</v>
      </c>
      <c r="K114">
        <v>2020</v>
      </c>
      <c r="L114">
        <v>2021</v>
      </c>
      <c r="M114">
        <v>2022</v>
      </c>
      <c r="N114">
        <v>2023</v>
      </c>
      <c r="O114">
        <v>2024</v>
      </c>
      <c r="P114">
        <v>2025</v>
      </c>
      <c r="Q114">
        <v>2026</v>
      </c>
      <c r="R114">
        <v>2027</v>
      </c>
      <c r="S114">
        <v>2028</v>
      </c>
      <c r="T114">
        <v>2029</v>
      </c>
      <c r="U114">
        <v>2030</v>
      </c>
      <c r="V114">
        <v>2031</v>
      </c>
      <c r="W114">
        <v>2032</v>
      </c>
      <c r="X114">
        <v>2033</v>
      </c>
      <c r="Y114">
        <v>2034</v>
      </c>
      <c r="Z114">
        <v>2035</v>
      </c>
      <c r="AA114">
        <v>2036</v>
      </c>
      <c r="AB114">
        <v>2037</v>
      </c>
      <c r="AC114">
        <v>2038</v>
      </c>
      <c r="AD114">
        <v>2039</v>
      </c>
      <c r="AE114">
        <v>2040</v>
      </c>
      <c r="AF114">
        <v>2041</v>
      </c>
      <c r="AG114">
        <v>2042</v>
      </c>
      <c r="AH114">
        <v>2043</v>
      </c>
      <c r="AI114">
        <v>2044</v>
      </c>
      <c r="AJ114">
        <v>2045</v>
      </c>
      <c r="AK114">
        <v>2046</v>
      </c>
      <c r="AL114">
        <v>2047</v>
      </c>
      <c r="AM114">
        <v>2048</v>
      </c>
      <c r="AN114">
        <v>2049</v>
      </c>
      <c r="AO114">
        <v>2050</v>
      </c>
    </row>
    <row r="115" spans="2:41" x14ac:dyDescent="0.25">
      <c r="B115" t="s">
        <v>21</v>
      </c>
      <c r="C115" s="17">
        <v>1833.8485148656705</v>
      </c>
      <c r="D115" s="17">
        <v>1886.6121543778552</v>
      </c>
      <c r="E115" s="17">
        <v>1929.9088596734236</v>
      </c>
      <c r="F115" s="17">
        <v>1960.4923036365474</v>
      </c>
      <c r="G115" s="17">
        <v>1983.2547710242566</v>
      </c>
      <c r="H115" s="17">
        <v>2006.0789129735178</v>
      </c>
      <c r="I115" s="17">
        <v>2036.972183160904</v>
      </c>
      <c r="J115" s="17">
        <v>2074.2003059734261</v>
      </c>
      <c r="K115" s="17">
        <v>1914.545399528301</v>
      </c>
      <c r="L115" s="17">
        <v>1957.2610773816891</v>
      </c>
      <c r="M115" s="17">
        <v>2002.2872838168787</v>
      </c>
      <c r="N115" s="17">
        <v>2051.2769335000403</v>
      </c>
      <c r="O115" s="17">
        <v>2104.0245070320266</v>
      </c>
      <c r="P115" s="17">
        <v>2157.2000988773989</v>
      </c>
      <c r="Q115" s="17">
        <v>2216.2386918503116</v>
      </c>
      <c r="R115" s="17">
        <v>2277.0866520702075</v>
      </c>
      <c r="S115" s="17">
        <v>2342.1075393790215</v>
      </c>
      <c r="T115" s="17">
        <v>2408.995487304207</v>
      </c>
      <c r="U115" s="17">
        <v>2468.4881674022527</v>
      </c>
      <c r="V115" s="17">
        <v>2539.0431946322601</v>
      </c>
      <c r="W115" s="17">
        <v>2611.6181489313612</v>
      </c>
      <c r="X115" s="17">
        <v>2686.3644340512401</v>
      </c>
      <c r="Y115" s="17">
        <v>2759.0891878804987</v>
      </c>
      <c r="Z115" s="17">
        <v>2835.9490382924259</v>
      </c>
      <c r="AA115" s="17">
        <v>2915.3222561629782</v>
      </c>
      <c r="AB115" s="17">
        <v>2997.7985510673598</v>
      </c>
      <c r="AC115" s="17">
        <v>3079.8807643862083</v>
      </c>
      <c r="AD115" s="17">
        <v>3164.7988750291743</v>
      </c>
      <c r="AE115" s="17">
        <v>3254.7047790794968</v>
      </c>
      <c r="AF115" s="17">
        <v>3348.9964072010525</v>
      </c>
      <c r="AG115" s="17">
        <v>3447.4307579315109</v>
      </c>
      <c r="AH115" s="17">
        <v>3549.9976521140461</v>
      </c>
      <c r="AI115" s="17">
        <v>3656.5174335620486</v>
      </c>
      <c r="AJ115" s="17">
        <v>3767.7621351917451</v>
      </c>
      <c r="AK115" s="17">
        <v>3873.7774921325872</v>
      </c>
      <c r="AL115" s="17">
        <v>3984.0902474336522</v>
      </c>
      <c r="AM115" s="17">
        <v>4099.5151623032189</v>
      </c>
      <c r="AN115" s="17">
        <v>4220.6813951424811</v>
      </c>
      <c r="AO115" s="17">
        <v>4350.0492909027143</v>
      </c>
    </row>
    <row r="116" spans="2:41" x14ac:dyDescent="0.25">
      <c r="B116" t="s">
        <v>70</v>
      </c>
      <c r="C116" s="17">
        <v>69.817113338466598</v>
      </c>
      <c r="D116" s="17">
        <v>72.819731017164969</v>
      </c>
      <c r="E116" s="17">
        <v>75.472008813799022</v>
      </c>
      <c r="F116" s="17">
        <v>74.274927600037842</v>
      </c>
      <c r="G116" s="17">
        <v>73.26059197587216</v>
      </c>
      <c r="H116" s="17">
        <v>75.493823257911487</v>
      </c>
      <c r="I116" s="17">
        <v>74.303648694490207</v>
      </c>
      <c r="J116" s="17">
        <v>73.1945218840509</v>
      </c>
      <c r="K116" s="17">
        <v>70.325700988606158</v>
      </c>
      <c r="L116" s="17">
        <v>72.079600677576877</v>
      </c>
      <c r="M116" s="17">
        <v>74.097267383773996</v>
      </c>
      <c r="N116" s="17">
        <v>75.83751945163533</v>
      </c>
      <c r="O116" s="17">
        <v>77.576110521025043</v>
      </c>
      <c r="P116" s="17">
        <v>79.396606124967263</v>
      </c>
      <c r="Q116" s="17">
        <v>81.224836721269554</v>
      </c>
      <c r="R116" s="17">
        <v>83.015421229038807</v>
      </c>
      <c r="S116" s="17">
        <v>84.71879762829046</v>
      </c>
      <c r="T116" s="17">
        <v>86.40947079839232</v>
      </c>
      <c r="U116" s="17">
        <v>87.917074260425011</v>
      </c>
      <c r="V116" s="17">
        <v>89.948274996445477</v>
      </c>
      <c r="W116" s="17">
        <v>91.858597961990753</v>
      </c>
      <c r="X116" s="17">
        <v>93.636661953392263</v>
      </c>
      <c r="Y116" s="17">
        <v>95.295599787555759</v>
      </c>
      <c r="Z116" s="17">
        <v>97.196418455885137</v>
      </c>
      <c r="AA116" s="17">
        <v>99.048946074573934</v>
      </c>
      <c r="AB116" s="17">
        <v>100.96742638628118</v>
      </c>
      <c r="AC116" s="17">
        <v>102.82399638424677</v>
      </c>
      <c r="AD116" s="17">
        <v>104.72881393465261</v>
      </c>
      <c r="AE116" s="17">
        <v>106.73410403014014</v>
      </c>
      <c r="AF116" s="17">
        <v>108.83032335584873</v>
      </c>
      <c r="AG116" s="17">
        <v>110.98712564413881</v>
      </c>
      <c r="AH116" s="17">
        <v>113.13803634297587</v>
      </c>
      <c r="AI116" s="17">
        <v>115.35753088013288</v>
      </c>
      <c r="AJ116" s="17">
        <v>117.7224288535422</v>
      </c>
      <c r="AK116" s="17">
        <v>119.86545963689662</v>
      </c>
      <c r="AL116" s="17">
        <v>122.16956564028087</v>
      </c>
      <c r="AM116" s="17">
        <v>124.66155698786915</v>
      </c>
      <c r="AN116" s="17">
        <v>127.27859211459484</v>
      </c>
      <c r="AO116" s="17">
        <v>130.07284907210411</v>
      </c>
    </row>
    <row r="117" spans="2:41" x14ac:dyDescent="0.25">
      <c r="B117" t="s">
        <v>23</v>
      </c>
      <c r="C117" s="22">
        <v>123.26923682676239</v>
      </c>
      <c r="D117" s="22">
        <v>126.76200665956938</v>
      </c>
      <c r="E117" s="22">
        <v>127.59930057711011</v>
      </c>
      <c r="F117" s="22">
        <v>131.79428653766271</v>
      </c>
      <c r="G117" s="22">
        <v>129.89446862274485</v>
      </c>
      <c r="H117" s="22">
        <v>133.66360252732119</v>
      </c>
      <c r="I117" s="22">
        <v>132.75230325518885</v>
      </c>
      <c r="J117" s="22">
        <v>131.0963621488545</v>
      </c>
      <c r="K117" s="22">
        <v>120.18809993708842</v>
      </c>
      <c r="L117" s="22">
        <v>121.9324954300825</v>
      </c>
      <c r="M117" s="22">
        <v>123.62702359051755</v>
      </c>
      <c r="N117" s="22">
        <v>125.50520057825962</v>
      </c>
      <c r="O117" s="22">
        <v>127.62005379029763</v>
      </c>
      <c r="P117" s="22">
        <v>129.71571417226133</v>
      </c>
      <c r="Q117" s="22">
        <v>132.08338347170783</v>
      </c>
      <c r="R117" s="22">
        <v>134.45700006708503</v>
      </c>
      <c r="S117" s="22">
        <v>137.09836521296253</v>
      </c>
      <c r="T117" s="22">
        <v>140.19130736183189</v>
      </c>
      <c r="U117" s="22">
        <v>142.89883193627665</v>
      </c>
      <c r="V117" s="22">
        <v>146.416830091278</v>
      </c>
      <c r="W117" s="22">
        <v>150.32704805551441</v>
      </c>
      <c r="X117" s="22">
        <v>154.27326576870362</v>
      </c>
      <c r="Y117" s="22">
        <v>158.27859136568114</v>
      </c>
      <c r="Z117" s="22">
        <v>163.20085651583867</v>
      </c>
      <c r="AA117" s="22">
        <v>167.64829971739297</v>
      </c>
      <c r="AB117" s="22">
        <v>172.15985376506998</v>
      </c>
      <c r="AC117" s="22">
        <v>176.52673826725913</v>
      </c>
      <c r="AD117" s="22">
        <v>180.99322799680004</v>
      </c>
      <c r="AE117" s="22">
        <v>185.67685214636796</v>
      </c>
      <c r="AF117" s="22">
        <v>190.335369547695</v>
      </c>
      <c r="AG117" s="22">
        <v>195.07355032108669</v>
      </c>
      <c r="AH117" s="22">
        <v>199.91629899726939</v>
      </c>
      <c r="AI117" s="22">
        <v>204.89623723508205</v>
      </c>
      <c r="AJ117" s="22">
        <v>210.08114775468417</v>
      </c>
      <c r="AK117" s="22">
        <v>214.87946388846953</v>
      </c>
      <c r="AL117" s="22">
        <v>219.8677393720516</v>
      </c>
      <c r="AM117" s="22">
        <v>225.09673017509809</v>
      </c>
      <c r="AN117" s="22">
        <v>230.59324313003228</v>
      </c>
      <c r="AO117" s="22">
        <v>236.52589767309942</v>
      </c>
    </row>
    <row r="118" spans="2:41" x14ac:dyDescent="0.25">
      <c r="B118" t="s">
        <v>145</v>
      </c>
      <c r="C118" s="17">
        <v>82.179491217841601</v>
      </c>
      <c r="D118" s="17">
        <v>84.50800443971292</v>
      </c>
      <c r="E118" s="17">
        <v>85.066200384740085</v>
      </c>
      <c r="F118" s="17">
        <v>87.862857691775162</v>
      </c>
      <c r="G118" s="17">
        <v>86.596312415163254</v>
      </c>
      <c r="H118" s="17">
        <v>89.109068351547464</v>
      </c>
      <c r="I118" s="17">
        <v>88.501535503459252</v>
      </c>
      <c r="J118" s="17">
        <v>87.397574765903016</v>
      </c>
      <c r="K118" s="17">
        <v>80.125399958058949</v>
      </c>
      <c r="L118" s="17">
        <v>81.288330286721674</v>
      </c>
      <c r="M118" s="17">
        <v>82.418015727011721</v>
      </c>
      <c r="N118" s="17">
        <v>83.67013371883975</v>
      </c>
      <c r="O118" s="17">
        <v>85.080035860198436</v>
      </c>
      <c r="P118" s="17">
        <v>86.477142781507553</v>
      </c>
      <c r="Q118" s="17">
        <v>88.05558898113857</v>
      </c>
      <c r="R118" s="17">
        <v>89.638000044723356</v>
      </c>
      <c r="S118" s="17">
        <v>91.398910141975037</v>
      </c>
      <c r="T118" s="17">
        <v>93.460871574554602</v>
      </c>
      <c r="U118" s="17">
        <v>95.265887957517776</v>
      </c>
      <c r="V118" s="17">
        <v>97.611220060852006</v>
      </c>
      <c r="W118" s="17">
        <v>100.21803203700961</v>
      </c>
      <c r="X118" s="17">
        <v>102.84884384580242</v>
      </c>
      <c r="Y118" s="17">
        <v>105.5190609104541</v>
      </c>
      <c r="Z118" s="17">
        <v>108.80057101055911</v>
      </c>
      <c r="AA118" s="17">
        <v>111.76553314492865</v>
      </c>
      <c r="AB118" s="17">
        <v>114.77323584337999</v>
      </c>
      <c r="AC118" s="17">
        <v>117.68449217817277</v>
      </c>
      <c r="AD118" s="17">
        <v>120.66215199786672</v>
      </c>
      <c r="AE118" s="17">
        <v>123.78456809757866</v>
      </c>
      <c r="AF118" s="17">
        <v>126.89024636513</v>
      </c>
      <c r="AG118" s="17">
        <v>130.04903354739113</v>
      </c>
      <c r="AH118" s="17">
        <v>133.27753266484626</v>
      </c>
      <c r="AI118" s="17">
        <v>136.59749149005469</v>
      </c>
      <c r="AJ118" s="17">
        <v>140.05409850312279</v>
      </c>
      <c r="AK118" s="17">
        <v>143.25297592564638</v>
      </c>
      <c r="AL118" s="17">
        <v>146.57849291470106</v>
      </c>
      <c r="AM118" s="17">
        <v>150.06448678339873</v>
      </c>
      <c r="AN118" s="17">
        <v>153.72882875335486</v>
      </c>
      <c r="AO118" s="17">
        <v>157.68393178206631</v>
      </c>
    </row>
    <row r="119" spans="2:41" x14ac:dyDescent="0.25">
      <c r="B119" t="s">
        <v>24</v>
      </c>
      <c r="C119" s="17">
        <v>93.09690942833015</v>
      </c>
      <c r="D119" s="17">
        <v>95.064855171375669</v>
      </c>
      <c r="E119" s="17">
        <v>96.400077661477354</v>
      </c>
      <c r="F119" s="17">
        <v>96.617861286112102</v>
      </c>
      <c r="G119" s="17">
        <v>97.654818305582012</v>
      </c>
      <c r="H119" s="17">
        <v>97.862455274201025</v>
      </c>
      <c r="I119" s="17">
        <v>98.609954424293107</v>
      </c>
      <c r="J119" s="17">
        <v>97.964584789862243</v>
      </c>
      <c r="K119" s="17">
        <v>92.646489203328827</v>
      </c>
      <c r="L119" s="17">
        <v>95.03041242813778</v>
      </c>
      <c r="M119" s="17">
        <v>97.485838278771098</v>
      </c>
      <c r="N119" s="17">
        <v>99.77593398947829</v>
      </c>
      <c r="O119" s="17">
        <v>102.1635426368112</v>
      </c>
      <c r="P119" s="17">
        <v>104.60035225495045</v>
      </c>
      <c r="Q119" s="17">
        <v>107.07694947006603</v>
      </c>
      <c r="R119" s="17">
        <v>109.49041679677798</v>
      </c>
      <c r="S119" s="17">
        <v>112.02696547098452</v>
      </c>
      <c r="T119" s="17">
        <v>114.5350089727569</v>
      </c>
      <c r="U119" s="17">
        <v>116.72534002734352</v>
      </c>
      <c r="V119" s="17">
        <v>119.41291133682695</v>
      </c>
      <c r="W119" s="17">
        <v>122.13561690535352</v>
      </c>
      <c r="X119" s="17">
        <v>124.73806971931842</v>
      </c>
      <c r="Y119" s="17">
        <v>127.26382097220295</v>
      </c>
      <c r="Z119" s="17">
        <v>130.22505419824279</v>
      </c>
      <c r="AA119" s="17">
        <v>132.95638539516673</v>
      </c>
      <c r="AB119" s="17">
        <v>135.74521610666449</v>
      </c>
      <c r="AC119" s="17">
        <v>138.39843779341157</v>
      </c>
      <c r="AD119" s="17">
        <v>141.11496840750539</v>
      </c>
      <c r="AE119" s="17">
        <v>143.96077026055309</v>
      </c>
      <c r="AF119" s="17">
        <v>146.92167586011277</v>
      </c>
      <c r="AG119" s="17">
        <v>149.90266826654346</v>
      </c>
      <c r="AH119" s="17">
        <v>152.92006309932941</v>
      </c>
      <c r="AI119" s="17">
        <v>156.0911313412185</v>
      </c>
      <c r="AJ119" s="17">
        <v>159.46543030187945</v>
      </c>
      <c r="AK119" s="17">
        <v>162.50807836854915</v>
      </c>
      <c r="AL119" s="17">
        <v>165.69750350631548</v>
      </c>
      <c r="AM119" s="17">
        <v>169.0152244595489</v>
      </c>
      <c r="AN119" s="17">
        <v>172.44314538089333</v>
      </c>
      <c r="AO119" s="17">
        <v>176.11001666062612</v>
      </c>
    </row>
    <row r="120" spans="2:41" x14ac:dyDescent="0.25">
      <c r="B120" t="s">
        <v>25</v>
      </c>
      <c r="C120" s="17">
        <v>235.49802282756352</v>
      </c>
      <c r="D120" s="17">
        <v>242.13307836562956</v>
      </c>
      <c r="E120" s="17">
        <v>246.28265922314233</v>
      </c>
      <c r="F120" s="17">
        <v>249.43440425835786</v>
      </c>
      <c r="G120" s="17">
        <v>251.65581640876391</v>
      </c>
      <c r="H120" s="17">
        <v>252.75021516356861</v>
      </c>
      <c r="I120" s="17">
        <v>255.36564207593528</v>
      </c>
      <c r="J120" s="17">
        <v>255.83896455730644</v>
      </c>
      <c r="K120" s="17">
        <v>231.21220107940408</v>
      </c>
      <c r="L120" s="17">
        <v>237.27430963578766</v>
      </c>
      <c r="M120" s="17">
        <v>243.43820579760768</v>
      </c>
      <c r="N120" s="17">
        <v>250.0252729216615</v>
      </c>
      <c r="O120" s="17">
        <v>257.0393389716665</v>
      </c>
      <c r="P120" s="17">
        <v>264.01983750733473</v>
      </c>
      <c r="Q120" s="17">
        <v>271.72429020362813</v>
      </c>
      <c r="R120" s="17">
        <v>279.56215318997283</v>
      </c>
      <c r="S120" s="17">
        <v>287.85104341651504</v>
      </c>
      <c r="T120" s="17">
        <v>296.17218841670399</v>
      </c>
      <c r="U120" s="17">
        <v>303.16223965681729</v>
      </c>
      <c r="V120" s="17">
        <v>311.91377494075573</v>
      </c>
      <c r="W120" s="17">
        <v>320.90515779680265</v>
      </c>
      <c r="X120" s="17">
        <v>329.99635652965821</v>
      </c>
      <c r="Y120" s="17">
        <v>338.83792660845495</v>
      </c>
      <c r="Z120" s="17">
        <v>348.33269322166962</v>
      </c>
      <c r="AA120" s="17">
        <v>357.99703019358316</v>
      </c>
      <c r="AB120" s="17">
        <v>368.00188053319943</v>
      </c>
      <c r="AC120" s="17">
        <v>377.85666663181792</v>
      </c>
      <c r="AD120" s="17">
        <v>388.05037117851231</v>
      </c>
      <c r="AE120" s="17">
        <v>398.85002792330147</v>
      </c>
      <c r="AF120" s="17">
        <v>410.15688477532797</v>
      </c>
      <c r="AG120" s="17">
        <v>421.90224250085339</v>
      </c>
      <c r="AH120" s="17">
        <v>434.10875218597869</v>
      </c>
      <c r="AI120" s="17">
        <v>446.80324447498771</v>
      </c>
      <c r="AJ120" s="17">
        <v>460.1203754889417</v>
      </c>
      <c r="AK120" s="17">
        <v>472.65691554047356</v>
      </c>
      <c r="AL120" s="17">
        <v>485.73312943754831</v>
      </c>
      <c r="AM120" s="17">
        <v>499.4515636810321</v>
      </c>
      <c r="AN120" s="17">
        <v>513.88566194585428</v>
      </c>
      <c r="AO120" s="17">
        <v>529.36224934657764</v>
      </c>
    </row>
    <row r="121" spans="2:41" x14ac:dyDescent="0.25">
      <c r="B121" t="s">
        <v>26</v>
      </c>
      <c r="C121" s="17">
        <v>17.781500762507015</v>
      </c>
      <c r="D121" s="17">
        <v>18.21809145789609</v>
      </c>
      <c r="E121" s="17">
        <v>18.567420658015568</v>
      </c>
      <c r="F121" s="17">
        <v>18.762769995550013</v>
      </c>
      <c r="G121" s="17">
        <v>19.037714230270431</v>
      </c>
      <c r="H121" s="17">
        <v>19.074701766994909</v>
      </c>
      <c r="I121" s="17">
        <v>19.42407343994682</v>
      </c>
      <c r="J121" s="17">
        <v>19.472300898786198</v>
      </c>
      <c r="K121" s="17">
        <v>17.978595103875868</v>
      </c>
      <c r="L121" s="17">
        <v>18.425580854596319</v>
      </c>
      <c r="M121" s="17">
        <v>18.875393382474392</v>
      </c>
      <c r="N121" s="17">
        <v>19.37593948814931</v>
      </c>
      <c r="O121" s="17">
        <v>19.904043035124161</v>
      </c>
      <c r="P121" s="17">
        <v>20.434676476954504</v>
      </c>
      <c r="Q121" s="17">
        <v>21.051358228285224</v>
      </c>
      <c r="R121" s="17">
        <v>21.647594038894049</v>
      </c>
      <c r="S121" s="17">
        <v>22.266043235160069</v>
      </c>
      <c r="T121" s="17">
        <v>22.909699710557216</v>
      </c>
      <c r="U121" s="17">
        <v>23.472167600372124</v>
      </c>
      <c r="V121" s="17">
        <v>24.141799581503221</v>
      </c>
      <c r="W121" s="17">
        <v>24.822594807412035</v>
      </c>
      <c r="X121" s="17">
        <v>25.49556340544002</v>
      </c>
      <c r="Y121" s="17">
        <v>26.15349331496332</v>
      </c>
      <c r="Z121" s="17">
        <v>26.767784324168478</v>
      </c>
      <c r="AA121" s="17">
        <v>27.460886584388707</v>
      </c>
      <c r="AB121" s="17">
        <v>28.180547175783659</v>
      </c>
      <c r="AC121" s="17">
        <v>28.889625610088803</v>
      </c>
      <c r="AD121" s="17">
        <v>29.626578795924523</v>
      </c>
      <c r="AE121" s="17">
        <v>30.409324222456782</v>
      </c>
      <c r="AF121" s="17">
        <v>31.215558283358291</v>
      </c>
      <c r="AG121" s="17">
        <v>32.049998427479558</v>
      </c>
      <c r="AH121" s="17">
        <v>32.910738887097288</v>
      </c>
      <c r="AI121" s="17">
        <v>33.807840745570964</v>
      </c>
      <c r="AJ121" s="17">
        <v>34.749774821046124</v>
      </c>
      <c r="AK121" s="17">
        <v>35.625703852026675</v>
      </c>
      <c r="AL121" s="17">
        <v>36.542469856907495</v>
      </c>
      <c r="AM121" s="17">
        <v>37.50409193622648</v>
      </c>
      <c r="AN121" s="17">
        <v>38.516268854629871</v>
      </c>
      <c r="AO121" s="17">
        <v>39.601164848584354</v>
      </c>
    </row>
    <row r="122" spans="2:41" x14ac:dyDescent="0.25">
      <c r="B122" t="s">
        <v>27</v>
      </c>
      <c r="C122" s="17">
        <v>52.810230956688748</v>
      </c>
      <c r="D122" s="17">
        <v>54.282362311943913</v>
      </c>
      <c r="E122" s="17">
        <v>55.219691955007207</v>
      </c>
      <c r="F122" s="17">
        <v>55.71177904843772</v>
      </c>
      <c r="G122" s="17">
        <v>56.147972175388119</v>
      </c>
      <c r="H122" s="17">
        <v>56.388632981353197</v>
      </c>
      <c r="I122" s="17">
        <v>56.935742268541119</v>
      </c>
      <c r="J122" s="17">
        <v>56.915851520215952</v>
      </c>
      <c r="K122" s="17">
        <v>52.222577111314017</v>
      </c>
      <c r="L122" s="17">
        <v>53.485625534148674</v>
      </c>
      <c r="M122" s="17">
        <v>54.772963618611712</v>
      </c>
      <c r="N122" s="17">
        <v>56.124869079913438</v>
      </c>
      <c r="O122" s="17">
        <v>57.585957657715895</v>
      </c>
      <c r="P122" s="17">
        <v>59.079383283398805</v>
      </c>
      <c r="Q122" s="17">
        <v>60.65927250258617</v>
      </c>
      <c r="R122" s="17">
        <v>62.260045747357402</v>
      </c>
      <c r="S122" s="17">
        <v>63.990528518902622</v>
      </c>
      <c r="T122" s="17">
        <v>65.756685063171986</v>
      </c>
      <c r="U122" s="17">
        <v>67.302359421755469</v>
      </c>
      <c r="V122" s="17">
        <v>69.094850913797686</v>
      </c>
      <c r="W122" s="17">
        <v>70.970000633313632</v>
      </c>
      <c r="X122" s="17">
        <v>72.841272605878572</v>
      </c>
      <c r="Y122" s="17">
        <v>74.680009801299036</v>
      </c>
      <c r="Z122" s="17">
        <v>76.689487549255745</v>
      </c>
      <c r="AA122" s="17">
        <v>78.645651568328219</v>
      </c>
      <c r="AB122" s="17">
        <v>80.680897902695563</v>
      </c>
      <c r="AC122" s="17">
        <v>82.683267359520102</v>
      </c>
      <c r="AD122" s="17">
        <v>84.755595279062305</v>
      </c>
      <c r="AE122" s="17">
        <v>86.95293734444499</v>
      </c>
      <c r="AF122" s="17">
        <v>89.222401499368857</v>
      </c>
      <c r="AG122" s="17">
        <v>91.58017263387822</v>
      </c>
      <c r="AH122" s="17">
        <v>94.032631642963366</v>
      </c>
      <c r="AI122" s="17">
        <v>96.593962146369691</v>
      </c>
      <c r="AJ122" s="17">
        <v>99.287066617144006</v>
      </c>
      <c r="AK122" s="17">
        <v>101.82505005183501</v>
      </c>
      <c r="AL122" s="17">
        <v>104.47034535027582</v>
      </c>
      <c r="AM122" s="17">
        <v>107.23725071589587</v>
      </c>
      <c r="AN122" s="17">
        <v>110.14119878132441</v>
      </c>
      <c r="AO122" s="17">
        <v>113.25676411935609</v>
      </c>
    </row>
    <row r="123" spans="2:41" x14ac:dyDescent="0.25">
      <c r="B123" t="s">
        <v>28</v>
      </c>
      <c r="C123" s="17">
        <v>14.113350558119752</v>
      </c>
      <c r="D123" s="17">
        <v>14.548721789119966</v>
      </c>
      <c r="E123" s="17">
        <v>14.815418697580203</v>
      </c>
      <c r="F123" s="17">
        <v>15.061372702819703</v>
      </c>
      <c r="G123" s="17">
        <v>15.235873493159337</v>
      </c>
      <c r="H123" s="17">
        <v>15.371374502079824</v>
      </c>
      <c r="I123" s="17">
        <v>15.552383515448332</v>
      </c>
      <c r="J123" s="17">
        <v>15.609153497571331</v>
      </c>
      <c r="K123" s="17">
        <v>14.275724652406321</v>
      </c>
      <c r="L123" s="17">
        <v>14.632592738141414</v>
      </c>
      <c r="M123" s="17">
        <v>14.998829546275548</v>
      </c>
      <c r="N123" s="17">
        <v>15.396795523093482</v>
      </c>
      <c r="O123" s="17">
        <v>15.823820610150811</v>
      </c>
      <c r="P123" s="17">
        <v>16.253232567458738</v>
      </c>
      <c r="Q123" s="17">
        <v>16.7257349793129</v>
      </c>
      <c r="R123" s="17">
        <v>17.201748391427138</v>
      </c>
      <c r="S123" s="17">
        <v>17.708895194433161</v>
      </c>
      <c r="T123" s="17">
        <v>18.240242131053403</v>
      </c>
      <c r="U123" s="17">
        <v>18.673472788437888</v>
      </c>
      <c r="V123" s="17">
        <v>19.209896031686849</v>
      </c>
      <c r="W123" s="17">
        <v>19.759109345897627</v>
      </c>
      <c r="X123" s="17">
        <v>20.315924153008183</v>
      </c>
      <c r="Y123" s="17">
        <v>20.85546661362639</v>
      </c>
      <c r="Z123" s="17">
        <v>21.431818706447395</v>
      </c>
      <c r="AA123" s="17">
        <v>22.024541155299971</v>
      </c>
      <c r="AB123" s="17">
        <v>22.636627065976988</v>
      </c>
      <c r="AC123" s="17">
        <v>23.238211464117626</v>
      </c>
      <c r="AD123" s="17">
        <v>23.860936149160427</v>
      </c>
      <c r="AE123" s="17">
        <v>24.521037099566129</v>
      </c>
      <c r="AF123" s="17">
        <v>25.21661964013013</v>
      </c>
      <c r="AG123" s="17">
        <v>25.945207485839877</v>
      </c>
      <c r="AH123" s="17">
        <v>26.705694433212486</v>
      </c>
      <c r="AI123" s="17">
        <v>27.488632120441018</v>
      </c>
      <c r="AJ123" s="17">
        <v>28.306253513157241</v>
      </c>
      <c r="AK123" s="17">
        <v>29.07899575807043</v>
      </c>
      <c r="AL123" s="17">
        <v>29.886726463920347</v>
      </c>
      <c r="AM123" s="17">
        <v>30.734199731905431</v>
      </c>
      <c r="AN123" s="17">
        <v>31.62665662555618</v>
      </c>
      <c r="AO123" s="17">
        <v>32.582524336641313</v>
      </c>
    </row>
    <row r="124" spans="2:41" x14ac:dyDescent="0.25">
      <c r="B124" t="s">
        <v>29</v>
      </c>
      <c r="C124" s="17">
        <v>13.345629432701433</v>
      </c>
      <c r="D124" s="17">
        <v>13.899973861744526</v>
      </c>
      <c r="E124" s="17">
        <v>14.241400522629307</v>
      </c>
      <c r="F124" s="17">
        <v>14.660228740858253</v>
      </c>
      <c r="G124" s="17">
        <v>14.734307821369407</v>
      </c>
      <c r="H124" s="17">
        <v>14.820136538356026</v>
      </c>
      <c r="I124" s="17">
        <v>14.834474809054743</v>
      </c>
      <c r="J124" s="17">
        <v>14.739267553174583</v>
      </c>
      <c r="K124" s="17">
        <v>12.850963128301911</v>
      </c>
      <c r="L124" s="17">
        <v>13.194214531253461</v>
      </c>
      <c r="M124" s="17">
        <v>13.463306784285843</v>
      </c>
      <c r="N124" s="17">
        <v>13.76702952833095</v>
      </c>
      <c r="O124" s="17">
        <v>14.094770559289131</v>
      </c>
      <c r="P124" s="17">
        <v>14.441316908885499</v>
      </c>
      <c r="Q124" s="17">
        <v>14.774137977640024</v>
      </c>
      <c r="R124" s="17">
        <v>15.111490993070266</v>
      </c>
      <c r="S124" s="17">
        <v>15.48015276320328</v>
      </c>
      <c r="T124" s="17">
        <v>15.903436587208263</v>
      </c>
      <c r="U124" s="17">
        <v>16.2345529006253</v>
      </c>
      <c r="V124" s="17">
        <v>16.68332773177854</v>
      </c>
      <c r="W124" s="17">
        <v>17.177801343588126</v>
      </c>
      <c r="X124" s="17">
        <v>17.632404747738843</v>
      </c>
      <c r="Y124" s="17">
        <v>18.108047442152905</v>
      </c>
      <c r="Z124" s="17">
        <v>18.687220599592028</v>
      </c>
      <c r="AA124" s="17">
        <v>19.123335619478652</v>
      </c>
      <c r="AB124" s="17">
        <v>19.574212861738804</v>
      </c>
      <c r="AC124" s="17">
        <v>20.016445254151499</v>
      </c>
      <c r="AD124" s="17">
        <v>20.474336821456458</v>
      </c>
      <c r="AE124" s="17">
        <v>20.962217277389243</v>
      </c>
      <c r="AF124" s="17">
        <v>21.465139347092094</v>
      </c>
      <c r="AG124" s="17">
        <v>21.98329495211933</v>
      </c>
      <c r="AH124" s="17">
        <v>22.520032154344616</v>
      </c>
      <c r="AI124" s="17">
        <v>23.078435912261451</v>
      </c>
      <c r="AJ124" s="17">
        <v>23.667355045881628</v>
      </c>
      <c r="AK124" s="17">
        <v>24.216532537303461</v>
      </c>
      <c r="AL124" s="17">
        <v>24.785962003570585</v>
      </c>
      <c r="AM124" s="17">
        <v>25.381861674959502</v>
      </c>
      <c r="AN124" s="17">
        <v>26.007023223198622</v>
      </c>
      <c r="AO124" s="17">
        <v>26.682114624908355</v>
      </c>
    </row>
    <row r="125" spans="2:41" x14ac:dyDescent="0.25">
      <c r="B125" t="s">
        <v>30</v>
      </c>
      <c r="C125" s="17">
        <v>10.112362730183554</v>
      </c>
      <c r="D125" s="17">
        <v>8.5007203734218884</v>
      </c>
      <c r="E125" s="17">
        <v>7.7653014266725382</v>
      </c>
      <c r="F125" s="17">
        <v>7.8585582183696561</v>
      </c>
      <c r="G125" s="17">
        <v>7.6166575811777113</v>
      </c>
      <c r="H125" s="17">
        <v>7.2676899905857173</v>
      </c>
      <c r="I125" s="17">
        <v>7.0928076077901956</v>
      </c>
      <c r="J125" s="17">
        <v>6.7895805384473107</v>
      </c>
      <c r="K125" s="17">
        <v>5.5395441341179819</v>
      </c>
      <c r="L125" s="17">
        <v>5.6650824418180408</v>
      </c>
      <c r="M125" s="17">
        <v>5.7151179539530679</v>
      </c>
      <c r="N125" s="17">
        <v>5.7834214959080672</v>
      </c>
      <c r="O125" s="17">
        <v>5.891744250290798</v>
      </c>
      <c r="P125" s="17">
        <v>6.0386177502028104</v>
      </c>
      <c r="Q125" s="17">
        <v>6.1810468439326582</v>
      </c>
      <c r="R125" s="17">
        <v>6.3307968903523228</v>
      </c>
      <c r="S125" s="17">
        <v>6.5005469605789363</v>
      </c>
      <c r="T125" s="17">
        <v>6.7469701193181173</v>
      </c>
      <c r="U125" s="17">
        <v>6.9645438930507204</v>
      </c>
      <c r="V125" s="17">
        <v>7.2642905837274876</v>
      </c>
      <c r="W125" s="17">
        <v>7.6165217660109006</v>
      </c>
      <c r="X125" s="17">
        <v>7.9708467351610119</v>
      </c>
      <c r="Y125" s="17">
        <v>8.3506559498367015</v>
      </c>
      <c r="Z125" s="17">
        <v>8.8308793056775485</v>
      </c>
      <c r="AA125" s="17">
        <v>9.2631119812253129</v>
      </c>
      <c r="AB125" s="17">
        <v>9.7001657965888324</v>
      </c>
      <c r="AC125" s="17">
        <v>10.122199009055521</v>
      </c>
      <c r="AD125" s="17">
        <v>10.548860068139749</v>
      </c>
      <c r="AE125" s="17">
        <v>10.988663855455595</v>
      </c>
      <c r="AF125" s="17">
        <v>11.419316718040559</v>
      </c>
      <c r="AG125" s="17">
        <v>11.842864946898526</v>
      </c>
      <c r="AH125" s="17">
        <v>12.260957333092508</v>
      </c>
      <c r="AI125" s="17">
        <v>12.67630003107922</v>
      </c>
      <c r="AJ125" s="17">
        <v>13.093477295435996</v>
      </c>
      <c r="AK125" s="17">
        <v>13.462828088563523</v>
      </c>
      <c r="AL125" s="17">
        <v>13.83089229550253</v>
      </c>
      <c r="AM125" s="17">
        <v>14.201888568407229</v>
      </c>
      <c r="AN125" s="17">
        <v>14.577737580063628</v>
      </c>
      <c r="AO125" s="17">
        <v>14.97305467762345</v>
      </c>
    </row>
    <row r="126" spans="2:41" x14ac:dyDescent="0.25">
      <c r="B126" t="s">
        <v>31</v>
      </c>
      <c r="C126" s="17">
        <v>1.2396211872289537E-4</v>
      </c>
      <c r="D126" s="17">
        <v>1.3639597438124391E-4</v>
      </c>
      <c r="E126" s="17">
        <v>1.4782778941609218E-4</v>
      </c>
      <c r="F126" s="17">
        <v>1.433373755900728E-4</v>
      </c>
      <c r="G126" s="17">
        <v>1.4102836937202948E-4</v>
      </c>
      <c r="H126" s="17">
        <v>1.3573729608291313E-4</v>
      </c>
      <c r="I126" s="17">
        <v>1.4250803609018416E-4</v>
      </c>
      <c r="J126" s="17">
        <v>1.4349767581431678E-4</v>
      </c>
      <c r="K126" s="17">
        <v>1.1077458554618781E-4</v>
      </c>
      <c r="L126" s="17">
        <v>1.2272309954097676E-4</v>
      </c>
      <c r="M126" s="17">
        <v>1.265790961958254E-4</v>
      </c>
      <c r="N126" s="17">
        <v>1.3088259036532032E-4</v>
      </c>
      <c r="O126" s="17">
        <v>1.3647595294192876E-4</v>
      </c>
      <c r="P126" s="17">
        <v>1.4444262285271943E-4</v>
      </c>
      <c r="Q126" s="17">
        <v>1.4909047543167897E-4</v>
      </c>
      <c r="R126" s="17">
        <v>1.5384452910483781E-4</v>
      </c>
      <c r="S126" s="17">
        <v>1.5903968594170402E-4</v>
      </c>
      <c r="T126" s="17">
        <v>1.2376511719270039E-4</v>
      </c>
      <c r="U126" s="17">
        <v>1.2376511719270041E-4</v>
      </c>
      <c r="V126" s="17">
        <v>1.2376511719270044E-4</v>
      </c>
      <c r="W126" s="17">
        <v>1.2376511719270041E-4</v>
      </c>
      <c r="X126" s="17">
        <v>1.2376511719270041E-4</v>
      </c>
      <c r="Y126" s="17">
        <v>1.2376511719270041E-4</v>
      </c>
      <c r="Z126" s="17">
        <v>1.2376511719270041E-4</v>
      </c>
      <c r="AA126" s="17">
        <v>1.2376511719270047E-4</v>
      </c>
      <c r="AB126" s="17">
        <v>1.2376511719270047E-4</v>
      </c>
      <c r="AC126" s="17">
        <v>1.2376511719270041E-4</v>
      </c>
      <c r="AD126" s="17">
        <v>1.2376511719270041E-4</v>
      </c>
      <c r="AE126" s="17">
        <v>1.2376511719270039E-4</v>
      </c>
      <c r="AF126" s="17">
        <v>1.2376511719270041E-4</v>
      </c>
      <c r="AG126" s="17">
        <v>1.2376511719270039E-4</v>
      </c>
      <c r="AH126" s="17">
        <v>1.2376511719270047E-4</v>
      </c>
      <c r="AI126" s="17">
        <v>1.2376511719270052E-4</v>
      </c>
      <c r="AJ126" s="17">
        <v>1.2376511719270058E-4</v>
      </c>
      <c r="AK126" s="17">
        <v>1.2376511719270058E-4</v>
      </c>
      <c r="AL126" s="17">
        <v>1.2376511719270052E-4</v>
      </c>
      <c r="AM126" s="17">
        <v>1.2376511719270052E-4</v>
      </c>
      <c r="AN126" s="17">
        <v>1.237651171927005E-4</v>
      </c>
      <c r="AO126" s="17">
        <v>1.2376511719270052E-4</v>
      </c>
    </row>
    <row r="127" spans="2:41" x14ac:dyDescent="0.25">
      <c r="B127" t="s">
        <v>32</v>
      </c>
      <c r="C127" s="17">
        <v>84.250557323845101</v>
      </c>
      <c r="D127" s="17">
        <v>82.451215835678212</v>
      </c>
      <c r="E127" s="17">
        <v>80.166243478069532</v>
      </c>
      <c r="F127" s="17">
        <v>77.626015719858643</v>
      </c>
      <c r="G127" s="17">
        <v>76.22541754695969</v>
      </c>
      <c r="H127" s="17">
        <v>74.388929903020184</v>
      </c>
      <c r="I127" s="17">
        <v>74.661627930767523</v>
      </c>
      <c r="J127" s="17">
        <v>74.775428105381266</v>
      </c>
      <c r="K127" s="17">
        <v>70.522195251866989</v>
      </c>
      <c r="L127" s="17">
        <v>73.094492492143644</v>
      </c>
      <c r="M127" s="17">
        <v>73.214968744367397</v>
      </c>
      <c r="N127" s="17">
        <v>74.270210908090405</v>
      </c>
      <c r="O127" s="17">
        <v>74.302275677412496</v>
      </c>
      <c r="P127" s="17">
        <v>72.946609309788073</v>
      </c>
      <c r="Q127" s="17">
        <v>74.534785437994302</v>
      </c>
      <c r="R127" s="17">
        <v>76.951376992110681</v>
      </c>
      <c r="S127" s="17">
        <v>77.843900415805521</v>
      </c>
      <c r="T127" s="17">
        <v>79.070428521803947</v>
      </c>
      <c r="U127" s="17">
        <v>77.488568884480685</v>
      </c>
      <c r="V127" s="17">
        <v>80.001746636610036</v>
      </c>
      <c r="W127" s="17">
        <v>81.615727730669292</v>
      </c>
      <c r="X127" s="17">
        <v>83.144940101381721</v>
      </c>
      <c r="Y127" s="17">
        <v>84.082398572093226</v>
      </c>
      <c r="Z127" s="17">
        <v>84.304176107667672</v>
      </c>
      <c r="AA127" s="17">
        <v>86.706826920772002</v>
      </c>
      <c r="AB127" s="17">
        <v>88.824376735822355</v>
      </c>
      <c r="AC127" s="17">
        <v>90.953130838479012</v>
      </c>
      <c r="AD127" s="17">
        <v>93.067176333633881</v>
      </c>
      <c r="AE127" s="17">
        <v>95.21376631469569</v>
      </c>
      <c r="AF127" s="17">
        <v>96.850170559997039</v>
      </c>
      <c r="AG127" s="17">
        <v>98.234253996043691</v>
      </c>
      <c r="AH127" s="17">
        <v>99.652597349120313</v>
      </c>
      <c r="AI127" s="17">
        <v>101.07044472386205</v>
      </c>
      <c r="AJ127" s="17">
        <v>102.5096778995579</v>
      </c>
      <c r="AK127" s="17">
        <v>103.8756184684088</v>
      </c>
      <c r="AL127" s="17">
        <v>105.22907993312295</v>
      </c>
      <c r="AM127" s="17">
        <v>106.64135677829437</v>
      </c>
      <c r="AN127" s="17">
        <v>108.08092477062478</v>
      </c>
      <c r="AO127" s="17">
        <v>109.5489131273044</v>
      </c>
    </row>
    <row r="128" spans="2:41" x14ac:dyDescent="0.25">
      <c r="B128" t="s">
        <v>33</v>
      </c>
      <c r="C128" s="17">
        <v>21.151207305916397</v>
      </c>
      <c r="D128" s="17">
        <v>22.521282491755183</v>
      </c>
      <c r="E128" s="17">
        <v>24.217986565765905</v>
      </c>
      <c r="F128" s="17">
        <v>25.461135067347364</v>
      </c>
      <c r="G128" s="17">
        <v>26.297310750693875</v>
      </c>
      <c r="H128" s="17">
        <v>28.16300470040489</v>
      </c>
      <c r="I128" s="17">
        <v>30.348501189694851</v>
      </c>
      <c r="J128" s="17">
        <v>31.793574952699373</v>
      </c>
      <c r="K128" s="17">
        <v>30.484415949333048</v>
      </c>
      <c r="L128" s="17">
        <v>31.715305188613026</v>
      </c>
      <c r="M128" s="17">
        <v>33.102158131950326</v>
      </c>
      <c r="N128" s="17">
        <v>34.659094884560439</v>
      </c>
      <c r="O128" s="17">
        <v>36.39067919900473</v>
      </c>
      <c r="P128" s="17">
        <v>38.204349046553844</v>
      </c>
      <c r="Q128" s="17">
        <v>40.242752534029108</v>
      </c>
      <c r="R128" s="17">
        <v>42.352494691702802</v>
      </c>
      <c r="S128" s="17">
        <v>44.62959349611431</v>
      </c>
      <c r="T128" s="17">
        <v>47.059568403454492</v>
      </c>
      <c r="U128" s="17">
        <v>49.336141685836502</v>
      </c>
      <c r="V128" s="17">
        <v>52.129708803872987</v>
      </c>
      <c r="W128" s="17">
        <v>55.076493025987219</v>
      </c>
      <c r="X128" s="17">
        <v>58.127939356488781</v>
      </c>
      <c r="Y128" s="17">
        <v>61.165718763166645</v>
      </c>
      <c r="Z128" s="17">
        <v>64.743710634723442</v>
      </c>
      <c r="AA128" s="17">
        <v>68.410556921662561</v>
      </c>
      <c r="AB128" s="17">
        <v>72.216463325601225</v>
      </c>
      <c r="AC128" s="17">
        <v>76.013255310377787</v>
      </c>
      <c r="AD128" s="17">
        <v>79.97978335920952</v>
      </c>
      <c r="AE128" s="17">
        <v>84.167229780771748</v>
      </c>
      <c r="AF128" s="17">
        <v>88.703651014964663</v>
      </c>
      <c r="AG128" s="17">
        <v>93.495987804506427</v>
      </c>
      <c r="AH128" s="17">
        <v>98.513167089164398</v>
      </c>
      <c r="AI128" s="17">
        <v>103.74106028177358</v>
      </c>
      <c r="AJ128" s="17">
        <v>109.17954792194922</v>
      </c>
      <c r="AK128" s="17">
        <v>114.28179559976975</v>
      </c>
      <c r="AL128" s="17">
        <v>119.64957820111283</v>
      </c>
      <c r="AM128" s="17">
        <v>125.31986083075584</v>
      </c>
      <c r="AN128" s="17">
        <v>131.28607556652435</v>
      </c>
      <c r="AO128" s="17">
        <v>137.69966432544891</v>
      </c>
    </row>
    <row r="129" spans="1:41" x14ac:dyDescent="0.25">
      <c r="B129" t="s">
        <v>34</v>
      </c>
      <c r="C129" s="17">
        <v>135.95535691221758</v>
      </c>
      <c r="D129" s="17">
        <v>139.80351127853945</v>
      </c>
      <c r="E129" s="17">
        <v>142.66409200833968</v>
      </c>
      <c r="F129" s="17">
        <v>144.13036048331253</v>
      </c>
      <c r="G129" s="17">
        <v>145.0014302833948</v>
      </c>
      <c r="H129" s="17">
        <v>146.55585903275639</v>
      </c>
      <c r="I129" s="17">
        <v>148.28569594981948</v>
      </c>
      <c r="J129" s="17">
        <v>149.06461652943278</v>
      </c>
      <c r="K129" s="17">
        <v>137.82766079356369</v>
      </c>
      <c r="L129" s="17">
        <v>140.70394471007126</v>
      </c>
      <c r="M129" s="17">
        <v>143.76714641829912</v>
      </c>
      <c r="N129" s="17">
        <v>147.12848647576391</v>
      </c>
      <c r="O129" s="17">
        <v>150.76049449915379</v>
      </c>
      <c r="P129" s="17">
        <v>154.33485001807401</v>
      </c>
      <c r="Q129" s="17">
        <v>158.36097525088041</v>
      </c>
      <c r="R129" s="17">
        <v>162.47821309092055</v>
      </c>
      <c r="S129" s="17">
        <v>166.85402227556517</v>
      </c>
      <c r="T129" s="17">
        <v>171.19273800324726</v>
      </c>
      <c r="U129" s="17">
        <v>174.84705057564088</v>
      </c>
      <c r="V129" s="17">
        <v>179.31069111024703</v>
      </c>
      <c r="W129" s="17">
        <v>183.8200659769339</v>
      </c>
      <c r="X129" s="17">
        <v>188.45915175381029</v>
      </c>
      <c r="Y129" s="17">
        <v>192.83647380242422</v>
      </c>
      <c r="Z129" s="17">
        <v>197.4490556385359</v>
      </c>
      <c r="AA129" s="17">
        <v>202.3032772288403</v>
      </c>
      <c r="AB129" s="17">
        <v>207.34778110170382</v>
      </c>
      <c r="AC129" s="17">
        <v>212.31258981749002</v>
      </c>
      <c r="AD129" s="17">
        <v>217.46651232501361</v>
      </c>
      <c r="AE129" s="17">
        <v>222.94594056097739</v>
      </c>
      <c r="AF129" s="17">
        <v>228.74169932221261</v>
      </c>
      <c r="AG129" s="17">
        <v>234.76776055763202</v>
      </c>
      <c r="AH129" s="17">
        <v>241.02171215001968</v>
      </c>
      <c r="AI129" s="17">
        <v>247.53264718985847</v>
      </c>
      <c r="AJ129" s="17">
        <v>254.37037860613714</v>
      </c>
      <c r="AK129" s="17">
        <v>260.75466562266104</v>
      </c>
      <c r="AL129" s="17">
        <v>267.45156625352439</v>
      </c>
      <c r="AM129" s="17">
        <v>274.50343300227337</v>
      </c>
      <c r="AN129" s="17">
        <v>281.92696162795829</v>
      </c>
      <c r="AO129" s="17">
        <v>289.90858523747522</v>
      </c>
    </row>
    <row r="130" spans="1:41" x14ac:dyDescent="0.25">
      <c r="B130" t="s">
        <v>35</v>
      </c>
      <c r="C130" s="17">
        <v>11.263564724197627</v>
      </c>
      <c r="D130" s="17">
        <v>11.573114330999795</v>
      </c>
      <c r="E130" s="17">
        <v>11.904421804272397</v>
      </c>
      <c r="F130" s="17">
        <v>12.110094606966681</v>
      </c>
      <c r="G130" s="17">
        <v>12.166932788027333</v>
      </c>
      <c r="H130" s="17">
        <v>12.293711060955006</v>
      </c>
      <c r="I130" s="17">
        <v>12.562958323284702</v>
      </c>
      <c r="J130" s="17">
        <v>12.711588758003899</v>
      </c>
      <c r="K130" s="17">
        <v>11.921653112246329</v>
      </c>
      <c r="L130" s="17">
        <v>12.235304710288451</v>
      </c>
      <c r="M130" s="17">
        <v>12.501281403627599</v>
      </c>
      <c r="N130" s="17">
        <v>12.741742363348116</v>
      </c>
      <c r="O130" s="17">
        <v>12.98624838026327</v>
      </c>
      <c r="P130" s="17">
        <v>13.214479448270467</v>
      </c>
      <c r="Q130" s="17">
        <v>13.465168709241487</v>
      </c>
      <c r="R130" s="17">
        <v>13.703477984695741</v>
      </c>
      <c r="S130" s="17">
        <v>13.943442716705752</v>
      </c>
      <c r="T130" s="17">
        <v>14.18613399699187</v>
      </c>
      <c r="U130" s="17">
        <v>14.466589529547347</v>
      </c>
      <c r="V130" s="17">
        <v>14.845840463025313</v>
      </c>
      <c r="W130" s="17">
        <v>15.167896365378041</v>
      </c>
      <c r="X130" s="17">
        <v>15.482175648100521</v>
      </c>
      <c r="Y130" s="17">
        <v>15.753527531290876</v>
      </c>
      <c r="Z130" s="17">
        <v>16.029022897704866</v>
      </c>
      <c r="AA130" s="17">
        <v>16.344022280745968</v>
      </c>
      <c r="AB130" s="17">
        <v>16.653030576959534</v>
      </c>
      <c r="AC130" s="17">
        <v>16.95834435079685</v>
      </c>
      <c r="AD130" s="17">
        <v>17.270783697210387</v>
      </c>
      <c r="AE130" s="17">
        <v>17.605624985872634</v>
      </c>
      <c r="AF130" s="17">
        <v>17.958545368952624</v>
      </c>
      <c r="AG130" s="17">
        <v>18.326368122704476</v>
      </c>
      <c r="AH130" s="17">
        <v>18.695411513294513</v>
      </c>
      <c r="AI130" s="17">
        <v>19.063846336311084</v>
      </c>
      <c r="AJ130" s="17">
        <v>19.436090482310849</v>
      </c>
      <c r="AK130" s="17">
        <v>19.764024399763979</v>
      </c>
      <c r="AL130" s="17">
        <v>20.084817159876348</v>
      </c>
      <c r="AM130" s="17">
        <v>20.430774533226025</v>
      </c>
      <c r="AN130" s="17">
        <v>20.793147678228024</v>
      </c>
      <c r="AO130" s="17">
        <v>21.18512097954352</v>
      </c>
    </row>
    <row r="131" spans="1:41" x14ac:dyDescent="0.25">
      <c r="B131" t="s">
        <v>36</v>
      </c>
      <c r="C131" s="17">
        <v>1.1351531206547518</v>
      </c>
      <c r="D131" s="17">
        <v>1.1581435930988344</v>
      </c>
      <c r="E131" s="17">
        <v>1.1466897745006903</v>
      </c>
      <c r="F131" s="17">
        <v>1.1404041486992398</v>
      </c>
      <c r="G131" s="17">
        <v>1.158082223645845</v>
      </c>
      <c r="H131" s="17">
        <v>1.1690400702239674</v>
      </c>
      <c r="I131" s="17">
        <v>1.1399086849076014</v>
      </c>
      <c r="J131" s="17">
        <v>1.1221637155461712</v>
      </c>
      <c r="K131" s="17">
        <v>1.0096297710191362</v>
      </c>
      <c r="L131" s="17">
        <v>1.0106492879161646</v>
      </c>
      <c r="M131" s="17">
        <v>1.0302529717942739</v>
      </c>
      <c r="N131" s="17">
        <v>1.0620864750479064</v>
      </c>
      <c r="O131" s="17">
        <v>1.0998118752864574</v>
      </c>
      <c r="P131" s="17">
        <v>1.1401523216394778</v>
      </c>
      <c r="Q131" s="17">
        <v>1.1865134987803243</v>
      </c>
      <c r="R131" s="17">
        <v>1.2382503590157974</v>
      </c>
      <c r="S131" s="17">
        <v>1.2967453569894312</v>
      </c>
      <c r="T131" s="17">
        <v>1.3581112576656127</v>
      </c>
      <c r="U131" s="17">
        <v>1.393039840277065</v>
      </c>
      <c r="V131" s="17">
        <v>1.4236346020613615</v>
      </c>
      <c r="W131" s="17">
        <v>1.4718356260352397</v>
      </c>
      <c r="X131" s="17">
        <v>1.526684010572724</v>
      </c>
      <c r="Y131" s="17">
        <v>1.5859732062358185</v>
      </c>
      <c r="Z131" s="17">
        <v>1.6511561750372967</v>
      </c>
      <c r="AA131" s="17">
        <v>1.7137906368871529</v>
      </c>
      <c r="AB131" s="17">
        <v>1.7838412023456807</v>
      </c>
      <c r="AC131" s="17">
        <v>1.852760928004608</v>
      </c>
      <c r="AD131" s="17">
        <v>1.9252952057275514</v>
      </c>
      <c r="AE131" s="17">
        <v>2.0011863599229782</v>
      </c>
      <c r="AF131" s="17">
        <v>2.0799279842080454</v>
      </c>
      <c r="AG131" s="17">
        <v>2.161300898584174</v>
      </c>
      <c r="AH131" s="17">
        <v>2.2491417997344558</v>
      </c>
      <c r="AI131" s="17">
        <v>2.3449152122731407</v>
      </c>
      <c r="AJ131" s="17">
        <v>2.4496740414846618</v>
      </c>
      <c r="AK131" s="17">
        <v>2.553957149593189</v>
      </c>
      <c r="AL131" s="17">
        <v>2.6701459219060015</v>
      </c>
      <c r="AM131" s="17">
        <v>2.7900071780000926</v>
      </c>
      <c r="AN131" s="17">
        <v>2.9167674131821033</v>
      </c>
      <c r="AO131" s="17">
        <v>3.0523121519180978</v>
      </c>
    </row>
    <row r="132" spans="1:41" x14ac:dyDescent="0.25">
      <c r="B132" t="s">
        <v>37</v>
      </c>
      <c r="C132" s="17">
        <v>27.516308224731535</v>
      </c>
      <c r="D132" s="17">
        <v>26.933321910754717</v>
      </c>
      <c r="E132" s="17">
        <v>26.357240851505608</v>
      </c>
      <c r="F132" s="17">
        <v>25.784669574259389</v>
      </c>
      <c r="G132" s="17">
        <v>25.784669574259372</v>
      </c>
      <c r="H132" s="17">
        <v>25.792154377886234</v>
      </c>
      <c r="I132" s="17">
        <v>25.78096221762112</v>
      </c>
      <c r="J132" s="17">
        <v>25.777254860982886</v>
      </c>
      <c r="K132" s="17">
        <v>25.780962217621408</v>
      </c>
      <c r="L132" s="17">
        <v>25.780962217621408</v>
      </c>
      <c r="M132" s="17">
        <v>25.780962217621404</v>
      </c>
      <c r="N132" s="17">
        <v>25.780962217621397</v>
      </c>
      <c r="O132" s="17">
        <v>25.780962217621397</v>
      </c>
      <c r="P132" s="17">
        <v>25.221712610799649</v>
      </c>
      <c r="Q132" s="17">
        <v>25.221712610799649</v>
      </c>
      <c r="R132" s="17">
        <v>25.198560689428401</v>
      </c>
      <c r="S132" s="17">
        <v>25.198154966054339</v>
      </c>
      <c r="T132" s="17">
        <v>25.22443266858593</v>
      </c>
      <c r="U132" s="17">
        <v>25.198154966054339</v>
      </c>
      <c r="V132" s="17">
        <v>24.729363674487423</v>
      </c>
      <c r="W132" s="17">
        <v>24.107340422025779</v>
      </c>
      <c r="X132" s="17">
        <v>24.068889189911349</v>
      </c>
      <c r="Y132" s="17">
        <v>23.566180013629189</v>
      </c>
      <c r="Z132" s="17">
        <v>22.355593289542004</v>
      </c>
      <c r="AA132" s="17">
        <v>22.403008355083625</v>
      </c>
      <c r="AB132" s="17">
        <v>22.450423420625238</v>
      </c>
      <c r="AC132" s="17">
        <v>22.497838486166845</v>
      </c>
      <c r="AD132" s="17">
        <v>22.545253551708463</v>
      </c>
      <c r="AE132" s="17">
        <v>22.592668617250066</v>
      </c>
      <c r="AF132" s="17">
        <v>22.390297614205075</v>
      </c>
      <c r="AG132" s="17">
        <v>22.187926611160076</v>
      </c>
      <c r="AH132" s="17">
        <v>21.985555608115085</v>
      </c>
      <c r="AI132" s="17">
        <v>21.783184605070087</v>
      </c>
      <c r="AJ132" s="17">
        <v>21.580813602025103</v>
      </c>
      <c r="AK132" s="17">
        <v>21.378442598980104</v>
      </c>
      <c r="AL132" s="17">
        <v>21.176071595935095</v>
      </c>
      <c r="AM132" s="17">
        <v>20.973700592890108</v>
      </c>
      <c r="AN132" s="17">
        <v>20.771329589845102</v>
      </c>
      <c r="AO132" s="17">
        <v>20.568958586800107</v>
      </c>
    </row>
    <row r="133" spans="1:41" x14ac:dyDescent="0.25">
      <c r="B133" t="s">
        <v>38</v>
      </c>
      <c r="C133" s="17">
        <v>66.42036548153871</v>
      </c>
      <c r="D133" s="17">
        <v>67.405879473318592</v>
      </c>
      <c r="E133" s="17">
        <v>64.422201326406551</v>
      </c>
      <c r="F133" s="17">
        <v>61.447467786677329</v>
      </c>
      <c r="G133" s="17">
        <v>61.142610702865952</v>
      </c>
      <c r="H133" s="17">
        <v>61.268075561889901</v>
      </c>
      <c r="I133" s="17">
        <v>60.912459713234377</v>
      </c>
      <c r="J133" s="17">
        <v>60.468556482084786</v>
      </c>
      <c r="K133" s="17">
        <v>58.515171706745178</v>
      </c>
      <c r="L133" s="17">
        <v>58.254298294534607</v>
      </c>
      <c r="M133" s="17">
        <v>58.043794250560346</v>
      </c>
      <c r="N133" s="17">
        <v>58.268510979649157</v>
      </c>
      <c r="O133" s="17">
        <v>58.634403368923351</v>
      </c>
      <c r="P133" s="17">
        <v>59.586142400355428</v>
      </c>
      <c r="Q133" s="17">
        <v>59.40613908356876</v>
      </c>
      <c r="R133" s="17">
        <v>59.339774819221503</v>
      </c>
      <c r="S133" s="17">
        <v>59.635924277118903</v>
      </c>
      <c r="T133" s="17">
        <v>59.8003165606208</v>
      </c>
      <c r="U133" s="17">
        <v>60.405002253054697</v>
      </c>
      <c r="V133" s="17">
        <v>59.924771535685913</v>
      </c>
      <c r="W133" s="17">
        <v>59.693945281900724</v>
      </c>
      <c r="X133" s="17">
        <v>59.46503786708054</v>
      </c>
      <c r="Y133" s="17">
        <v>59.155273715860652</v>
      </c>
      <c r="Z133" s="17">
        <v>58.166723000493484</v>
      </c>
      <c r="AA133" s="17">
        <v>57.190274817346371</v>
      </c>
      <c r="AB133" s="17">
        <v>56.213826634199208</v>
      </c>
      <c r="AC133" s="17">
        <v>55.237378451052074</v>
      </c>
      <c r="AD133" s="17">
        <v>54.260930267904918</v>
      </c>
      <c r="AE133" s="17">
        <v>53.284482084757748</v>
      </c>
      <c r="AF133" s="17">
        <v>52.724292816706132</v>
      </c>
      <c r="AG133" s="17">
        <v>52.164103548654488</v>
      </c>
      <c r="AH133" s="17">
        <v>51.603914280602893</v>
      </c>
      <c r="AI133" s="17">
        <v>51.043725012551292</v>
      </c>
      <c r="AJ133" s="17">
        <v>50.483535744499683</v>
      </c>
      <c r="AK133" s="17">
        <v>49.923346476448074</v>
      </c>
      <c r="AL133" s="17">
        <v>49.363157208396451</v>
      </c>
      <c r="AM133" s="17">
        <v>48.802967940344814</v>
      </c>
      <c r="AN133" s="17">
        <v>48.242778672293184</v>
      </c>
      <c r="AO133" s="17">
        <v>47.682589404241561</v>
      </c>
    </row>
    <row r="134" spans="1:41" x14ac:dyDescent="0.25">
      <c r="C134" s="13"/>
      <c r="D134" s="22"/>
    </row>
    <row r="135" spans="1:41" ht="18" thickBot="1" x14ac:dyDescent="0.35">
      <c r="A135" s="4" t="s">
        <v>138</v>
      </c>
      <c r="B135" s="4"/>
      <c r="C135" s="4"/>
      <c r="D135" s="4"/>
      <c r="E135" s="4"/>
      <c r="F135" s="4"/>
      <c r="G135" s="4"/>
      <c r="H135" s="4"/>
    </row>
    <row r="136" spans="1:41" ht="15.75" thickTop="1" x14ac:dyDescent="0.25">
      <c r="B136" s="3">
        <v>2012</v>
      </c>
      <c r="C136" s="3">
        <v>2013</v>
      </c>
      <c r="D136" s="3">
        <v>2014</v>
      </c>
      <c r="E136" s="3">
        <v>2015</v>
      </c>
      <c r="F136" s="3">
        <v>2016</v>
      </c>
      <c r="G136" s="3">
        <v>2017</v>
      </c>
      <c r="H136" s="3">
        <v>2018</v>
      </c>
      <c r="I136" s="3">
        <v>2019</v>
      </c>
      <c r="J136" s="3">
        <v>2020</v>
      </c>
      <c r="K136" s="3">
        <v>2021</v>
      </c>
      <c r="L136" s="3">
        <v>2022</v>
      </c>
      <c r="M136" s="3">
        <v>2023</v>
      </c>
      <c r="N136" s="3">
        <v>2024</v>
      </c>
      <c r="O136" s="3">
        <v>2025</v>
      </c>
      <c r="P136" s="3">
        <v>2026</v>
      </c>
      <c r="Q136" s="3">
        <v>2027</v>
      </c>
      <c r="R136" s="3">
        <v>2028</v>
      </c>
      <c r="S136" s="3">
        <v>2029</v>
      </c>
      <c r="T136" s="3">
        <v>2030</v>
      </c>
      <c r="U136" s="3">
        <v>2031</v>
      </c>
      <c r="V136" s="3">
        <v>2032</v>
      </c>
      <c r="W136" s="3">
        <v>2033</v>
      </c>
      <c r="X136" s="3">
        <v>2034</v>
      </c>
      <c r="Y136" s="3">
        <v>2035</v>
      </c>
      <c r="Z136" s="3">
        <v>2036</v>
      </c>
      <c r="AA136" s="3">
        <v>2037</v>
      </c>
      <c r="AB136" s="3">
        <v>2038</v>
      </c>
      <c r="AC136">
        <v>2039</v>
      </c>
      <c r="AD136">
        <v>2040</v>
      </c>
      <c r="AE136">
        <v>2041</v>
      </c>
      <c r="AF136">
        <v>2042</v>
      </c>
      <c r="AG136">
        <v>2043</v>
      </c>
      <c r="AH136">
        <v>2044</v>
      </c>
      <c r="AI136">
        <v>2045</v>
      </c>
      <c r="AJ136">
        <v>2046</v>
      </c>
      <c r="AK136">
        <v>2047</v>
      </c>
      <c r="AL136">
        <v>2048</v>
      </c>
      <c r="AM136">
        <v>2049</v>
      </c>
      <c r="AN136">
        <v>2050</v>
      </c>
    </row>
    <row r="137" spans="1:41" x14ac:dyDescent="0.25">
      <c r="A137" s="3" t="s">
        <v>51</v>
      </c>
      <c r="B137" s="12">
        <v>0.5</v>
      </c>
      <c r="C137" s="12">
        <v>0.49361482500619441</v>
      </c>
      <c r="D137" s="12">
        <v>0.48206830798992972</v>
      </c>
      <c r="E137" s="12">
        <v>0.47202613350430117</v>
      </c>
      <c r="F137" s="12">
        <v>0.46557223068394388</v>
      </c>
      <c r="G137" s="12">
        <v>0.45639821843997963</v>
      </c>
      <c r="H137" s="12">
        <v>0.44660476008909161</v>
      </c>
      <c r="I137" s="12">
        <v>0.43972669731095931</v>
      </c>
      <c r="J137" s="12">
        <v>0.44869179830464656</v>
      </c>
      <c r="K137" s="12">
        <v>0.4608685558592584</v>
      </c>
      <c r="L137" s="12">
        <v>0.45293933531025343</v>
      </c>
      <c r="M137" s="12">
        <v>0.44496466333523621</v>
      </c>
      <c r="N137" s="12">
        <v>0.43604395407815993</v>
      </c>
      <c r="O137" s="12">
        <v>0.42640214177595159</v>
      </c>
      <c r="P137" s="12">
        <v>0.41704128628178283</v>
      </c>
      <c r="Q137" s="12">
        <v>0.40736811409437179</v>
      </c>
      <c r="R137" s="12">
        <v>0.39752040531475452</v>
      </c>
      <c r="S137" s="12">
        <v>0.38792623621073147</v>
      </c>
      <c r="T137" s="12">
        <v>0.3786915183200642</v>
      </c>
      <c r="U137" s="12">
        <v>0.3695210575010458</v>
      </c>
      <c r="V137" s="12">
        <v>0.35977357770148527</v>
      </c>
      <c r="W137" s="12">
        <v>0.35010150129371193</v>
      </c>
      <c r="X137" s="12">
        <v>0.34070620489032388</v>
      </c>
      <c r="Y137" s="12">
        <v>0.33256879940716488</v>
      </c>
      <c r="Z137" s="12">
        <v>0.32526196722319101</v>
      </c>
      <c r="AA137" s="12">
        <v>0.31743656623784111</v>
      </c>
      <c r="AB137" s="12">
        <v>0.30944759350189216</v>
      </c>
      <c r="AC137" s="12">
        <v>0.30170210809401976</v>
      </c>
      <c r="AD137" s="12">
        <v>0.29426669588993903</v>
      </c>
      <c r="AE137" s="12">
        <v>0.28705947092480621</v>
      </c>
      <c r="AF137" s="12">
        <v>0.27985912607480135</v>
      </c>
      <c r="AG137" s="12">
        <v>0.27267207752507222</v>
      </c>
      <c r="AH137" s="12">
        <v>0.2655187699863964</v>
      </c>
      <c r="AI137" s="12">
        <v>0.25835683521052188</v>
      </c>
      <c r="AJ137" s="12">
        <v>0.25160847240437884</v>
      </c>
      <c r="AK137" s="12">
        <v>0.24500439781986932</v>
      </c>
      <c r="AL137" s="12">
        <v>0.23870289310099521</v>
      </c>
      <c r="AM137" s="12">
        <v>0.23259738300263871</v>
      </c>
      <c r="AN137" s="12">
        <v>0.2264556984169197</v>
      </c>
    </row>
    <row r="138" spans="1:41" x14ac:dyDescent="0.25">
      <c r="A138" s="3" t="s">
        <v>52</v>
      </c>
      <c r="B138" s="12">
        <v>0.3</v>
      </c>
      <c r="C138" s="12">
        <v>0.29468225957952826</v>
      </c>
      <c r="D138" s="12">
        <v>0.29652686013085344</v>
      </c>
      <c r="E138" s="12">
        <v>0.29778797816876007</v>
      </c>
      <c r="F138" s="12">
        <v>0.29845066012740579</v>
      </c>
      <c r="G138" s="12">
        <v>0.29691592343442441</v>
      </c>
      <c r="H138" s="12">
        <v>0.29765219102063356</v>
      </c>
      <c r="I138" s="12">
        <v>0.298551917090845</v>
      </c>
      <c r="J138" s="12">
        <v>0.30807790666505486</v>
      </c>
      <c r="K138" s="12">
        <v>0.29101084546381101</v>
      </c>
      <c r="L138" s="12">
        <v>0.29254909838976384</v>
      </c>
      <c r="M138" s="12">
        <v>0.29362458379515177</v>
      </c>
      <c r="N138" s="12">
        <v>0.29479545876831015</v>
      </c>
      <c r="O138" s="12">
        <v>0.29612492551474839</v>
      </c>
      <c r="P138" s="12">
        <v>0.29821430926402148</v>
      </c>
      <c r="Q138" s="12">
        <v>0.30025114738936809</v>
      </c>
      <c r="R138" s="12">
        <v>0.30243161805275043</v>
      </c>
      <c r="S138" s="12">
        <v>0.30454490929663142</v>
      </c>
      <c r="T138" s="12">
        <v>0.30672648903867467</v>
      </c>
      <c r="U138" s="12">
        <v>0.30878587056708845</v>
      </c>
      <c r="V138" s="12">
        <v>0.3113776753132933</v>
      </c>
      <c r="W138" s="12">
        <v>0.31391427008417805</v>
      </c>
      <c r="X138" s="12">
        <v>0.31654756766084635</v>
      </c>
      <c r="Y138" s="12">
        <v>0.31943560967325441</v>
      </c>
      <c r="Z138" s="12">
        <v>0.32167854950189212</v>
      </c>
      <c r="AA138" s="12">
        <v>0.32413815716167887</v>
      </c>
      <c r="AB138" s="12">
        <v>0.32667347879243019</v>
      </c>
      <c r="AC138" s="12">
        <v>0.32941478752673903</v>
      </c>
      <c r="AD138" s="12">
        <v>0.33194977862338843</v>
      </c>
      <c r="AE138" s="12">
        <v>0.3347119146565295</v>
      </c>
      <c r="AF138" s="12">
        <v>0.33747750852961228</v>
      </c>
      <c r="AG138" s="12">
        <v>0.34019487891547112</v>
      </c>
      <c r="AH138" s="12">
        <v>0.34290256616818704</v>
      </c>
      <c r="AI138" s="12">
        <v>0.34553441204668883</v>
      </c>
      <c r="AJ138" s="12">
        <v>0.3486358783170348</v>
      </c>
      <c r="AK138" s="12">
        <v>0.35163376928920365</v>
      </c>
      <c r="AL138" s="12">
        <v>0.35473779187508891</v>
      </c>
      <c r="AM138" s="12">
        <v>0.35763130295873286</v>
      </c>
      <c r="AN138" s="12">
        <v>0.36050417317170641</v>
      </c>
    </row>
    <row r="139" spans="1:41" x14ac:dyDescent="0.25">
      <c r="A139" s="3" t="s">
        <v>53</v>
      </c>
      <c r="B139" s="12">
        <v>0.19999999999999998</v>
      </c>
      <c r="C139" s="12">
        <v>0.20613092634999897</v>
      </c>
      <c r="D139" s="12">
        <v>0.20997219853254745</v>
      </c>
      <c r="E139" s="12">
        <v>0.21260669534823909</v>
      </c>
      <c r="F139" s="12">
        <v>0.21196845959615526</v>
      </c>
      <c r="G139" s="12">
        <v>0.21596815697579858</v>
      </c>
      <c r="H139" s="12">
        <v>0.21840570822090161</v>
      </c>
      <c r="I139" s="12">
        <v>0.21780961373237509</v>
      </c>
      <c r="J139" s="12">
        <v>0.19278899154436505</v>
      </c>
      <c r="K139" s="12">
        <v>0.19553669373990809</v>
      </c>
      <c r="L139" s="12">
        <v>0.19978989451661469</v>
      </c>
      <c r="M139" s="12">
        <v>0.20455613793575173</v>
      </c>
      <c r="N139" s="12">
        <v>0.21017784188075633</v>
      </c>
      <c r="O139" s="12">
        <v>0.21636685904947664</v>
      </c>
      <c r="P139" s="12">
        <v>0.22306684325167825</v>
      </c>
      <c r="Q139" s="12">
        <v>0.23013203762505227</v>
      </c>
      <c r="R139" s="12">
        <v>0.23722848369486835</v>
      </c>
      <c r="S139" s="12">
        <v>0.24413891693925951</v>
      </c>
      <c r="T139" s="12">
        <v>0.250621957691326</v>
      </c>
      <c r="U139" s="12">
        <v>0.25838040126580109</v>
      </c>
      <c r="V139" s="12">
        <v>0.26618388831950496</v>
      </c>
      <c r="W139" s="12">
        <v>0.27396762998285962</v>
      </c>
      <c r="X139" s="12">
        <v>0.28137833717201771</v>
      </c>
      <c r="Y139" s="12">
        <v>0.28727685765124816</v>
      </c>
      <c r="Z139" s="12">
        <v>0.29412231319643162</v>
      </c>
      <c r="AA139" s="12">
        <v>0.30127304885663259</v>
      </c>
      <c r="AB139" s="12">
        <v>0.30851502785058504</v>
      </c>
      <c r="AC139" s="12">
        <v>0.31531092438850294</v>
      </c>
      <c r="AD139" s="12">
        <v>0.32200646376955105</v>
      </c>
      <c r="AE139" s="12">
        <v>0.32929830475714733</v>
      </c>
      <c r="AF139" s="12">
        <v>0.33658835430014045</v>
      </c>
      <c r="AG139" s="12">
        <v>0.34392190319885563</v>
      </c>
      <c r="AH139" s="12">
        <v>0.35123999212377366</v>
      </c>
      <c r="AI139" s="12">
        <v>0.35865117337681979</v>
      </c>
      <c r="AJ139" s="12">
        <v>0.36625024275029583</v>
      </c>
      <c r="AK139" s="12">
        <v>0.37382482671382988</v>
      </c>
      <c r="AL139" s="12">
        <v>0.38100700334125265</v>
      </c>
      <c r="AM139" s="12">
        <v>0.38822005789694591</v>
      </c>
      <c r="AN139" s="12">
        <v>0.39550635603522843</v>
      </c>
    </row>
    <row r="140" spans="1:41" x14ac:dyDescent="0.25">
      <c r="A140" s="3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</row>
    <row r="142" spans="1:41" ht="18" thickBot="1" x14ac:dyDescent="0.35">
      <c r="A142" s="4" t="s">
        <v>139</v>
      </c>
      <c r="B142" s="4"/>
      <c r="C142" s="4"/>
      <c r="D142" s="4"/>
      <c r="E142" s="4"/>
      <c r="F142" s="4"/>
      <c r="G142" s="4"/>
      <c r="H142" s="4"/>
    </row>
    <row r="143" spans="1:41" ht="15.75" thickTop="1" x14ac:dyDescent="0.25">
      <c r="A143" s="3">
        <v>2012</v>
      </c>
      <c r="B143" s="3">
        <v>2013</v>
      </c>
      <c r="C143" s="3">
        <v>2014</v>
      </c>
      <c r="D143" s="3">
        <v>2015</v>
      </c>
      <c r="E143" s="3">
        <v>2016</v>
      </c>
      <c r="F143" s="3">
        <v>2017</v>
      </c>
      <c r="G143" s="3">
        <v>2018</v>
      </c>
      <c r="H143" s="3">
        <v>2019</v>
      </c>
      <c r="I143" s="3">
        <v>2020</v>
      </c>
      <c r="J143" s="3">
        <v>2021</v>
      </c>
      <c r="K143" s="3">
        <v>2022</v>
      </c>
      <c r="L143" s="3">
        <v>2023</v>
      </c>
      <c r="M143" s="3">
        <v>2024</v>
      </c>
      <c r="N143" s="3">
        <v>2025</v>
      </c>
      <c r="O143" s="3">
        <v>2026</v>
      </c>
      <c r="P143" s="3">
        <v>2027</v>
      </c>
      <c r="Q143" s="3">
        <v>2028</v>
      </c>
      <c r="R143" s="3">
        <v>2029</v>
      </c>
      <c r="S143" s="3">
        <v>2030</v>
      </c>
      <c r="T143" s="3">
        <v>2031</v>
      </c>
      <c r="U143" s="3">
        <v>2032</v>
      </c>
      <c r="V143" s="3">
        <v>2033</v>
      </c>
      <c r="W143" s="3">
        <v>2034</v>
      </c>
      <c r="X143" s="3">
        <v>2035</v>
      </c>
      <c r="Y143" s="3">
        <v>2036</v>
      </c>
      <c r="Z143">
        <v>2037</v>
      </c>
      <c r="AA143">
        <v>2038</v>
      </c>
      <c r="AB143">
        <v>2039</v>
      </c>
      <c r="AC143">
        <v>2040</v>
      </c>
      <c r="AD143">
        <v>2041</v>
      </c>
      <c r="AE143">
        <v>2042</v>
      </c>
      <c r="AF143">
        <v>2043</v>
      </c>
      <c r="AG143">
        <v>2044</v>
      </c>
      <c r="AH143">
        <v>2045</v>
      </c>
      <c r="AI143">
        <v>2046</v>
      </c>
      <c r="AJ143">
        <v>2047</v>
      </c>
      <c r="AK143">
        <v>2048</v>
      </c>
      <c r="AL143">
        <v>2049</v>
      </c>
      <c r="AM143">
        <v>2050</v>
      </c>
    </row>
    <row r="144" spans="1:41" x14ac:dyDescent="0.25">
      <c r="A144">
        <v>0.30163969294989873</v>
      </c>
      <c r="B144">
        <v>0.30770118876733893</v>
      </c>
      <c r="C144">
        <v>0.31057938732953844</v>
      </c>
      <c r="D144">
        <v>0.31277940101847879</v>
      </c>
      <c r="E144">
        <v>0.31284316327620315</v>
      </c>
      <c r="F144">
        <v>0.31635831555178628</v>
      </c>
      <c r="G144">
        <v>0.31867877236635728</v>
      </c>
      <c r="H144">
        <v>0.31829026462005117</v>
      </c>
      <c r="I144">
        <v>0.29040891806001651</v>
      </c>
      <c r="J144">
        <v>0.29800403265459058</v>
      </c>
      <c r="K144">
        <v>0.30200401780692876</v>
      </c>
      <c r="L144">
        <v>0.30656034625617695</v>
      </c>
      <c r="M144">
        <v>0.31192904187570236</v>
      </c>
      <c r="N144">
        <v>0.31799947261850164</v>
      </c>
      <c r="O144">
        <v>0.32433434766527408</v>
      </c>
      <c r="P144">
        <v>0.33129984849841504</v>
      </c>
      <c r="Q144">
        <v>0.33856860928890536</v>
      </c>
      <c r="R144">
        <v>0.3460220907336497</v>
      </c>
      <c r="S144">
        <v>0.35326945484642069</v>
      </c>
      <c r="T144">
        <v>0.36227316635231788</v>
      </c>
      <c r="U144">
        <v>0.37153100120479132</v>
      </c>
      <c r="V144">
        <v>0.38125213640261274</v>
      </c>
      <c r="W144">
        <v>0.39088366365960481</v>
      </c>
      <c r="X144" s="12">
        <v>0.43438755091144643</v>
      </c>
      <c r="Y144" s="12">
        <v>0.4444480293768564</v>
      </c>
      <c r="Z144" s="12">
        <v>0.45535275868686731</v>
      </c>
      <c r="AA144" s="12">
        <v>0.46694075625504039</v>
      </c>
      <c r="AB144" s="12">
        <v>0.4781300856362905</v>
      </c>
      <c r="AC144" s="12">
        <v>0.48967453302970809</v>
      </c>
      <c r="AD144" s="12">
        <v>0.50224672606058585</v>
      </c>
      <c r="AE144" s="12">
        <v>0.51536971747141613</v>
      </c>
      <c r="AF144" s="12">
        <v>0.52924077512855172</v>
      </c>
      <c r="AG144" s="12">
        <v>0.54376194787755061</v>
      </c>
      <c r="AH144" s="12">
        <v>0.55932663957277284</v>
      </c>
      <c r="AI144" s="12">
        <v>0.57508190051994368</v>
      </c>
      <c r="AJ144" s="12">
        <v>0.59159288253939912</v>
      </c>
      <c r="AK144" s="12">
        <v>0.6076457041478186</v>
      </c>
      <c r="AL144" s="12">
        <v>0.62468417964119827</v>
      </c>
      <c r="AM144" s="12">
        <v>0.68427588534183081</v>
      </c>
    </row>
    <row r="146" spans="1:41" ht="18" thickBot="1" x14ac:dyDescent="0.35">
      <c r="B146" s="23" t="s">
        <v>167</v>
      </c>
      <c r="C146" s="23"/>
      <c r="D146" s="23"/>
      <c r="E146" s="23"/>
    </row>
    <row r="147" spans="1:41" ht="15.75" thickTop="1" x14ac:dyDescent="0.25">
      <c r="C147">
        <v>2012</v>
      </c>
      <c r="D147">
        <v>2013</v>
      </c>
      <c r="E147">
        <v>2014</v>
      </c>
      <c r="F147">
        <v>2015</v>
      </c>
      <c r="G147">
        <v>2016</v>
      </c>
      <c r="H147">
        <v>2017</v>
      </c>
      <c r="I147">
        <v>2018</v>
      </c>
      <c r="J147">
        <v>2019</v>
      </c>
      <c r="K147">
        <v>2020</v>
      </c>
      <c r="L147">
        <v>2021</v>
      </c>
      <c r="M147">
        <v>2022</v>
      </c>
      <c r="N147">
        <v>2023</v>
      </c>
      <c r="O147">
        <v>2024</v>
      </c>
      <c r="P147">
        <v>2025</v>
      </c>
      <c r="Q147">
        <v>2026</v>
      </c>
      <c r="R147">
        <v>2027</v>
      </c>
      <c r="S147">
        <v>2028</v>
      </c>
      <c r="T147">
        <v>2029</v>
      </c>
      <c r="U147">
        <v>2030</v>
      </c>
      <c r="V147">
        <v>2031</v>
      </c>
      <c r="W147">
        <v>2032</v>
      </c>
      <c r="X147">
        <v>2033</v>
      </c>
      <c r="Y147">
        <v>2034</v>
      </c>
      <c r="Z147">
        <v>2035</v>
      </c>
      <c r="AA147">
        <v>2036</v>
      </c>
      <c r="AB147">
        <v>2037</v>
      </c>
      <c r="AC147">
        <v>2038</v>
      </c>
      <c r="AD147">
        <v>2039</v>
      </c>
      <c r="AE147">
        <v>2040</v>
      </c>
      <c r="AF147">
        <v>2041</v>
      </c>
      <c r="AG147">
        <v>2042</v>
      </c>
      <c r="AH147">
        <v>2043</v>
      </c>
      <c r="AI147">
        <v>2044</v>
      </c>
      <c r="AJ147">
        <v>2045</v>
      </c>
      <c r="AK147">
        <v>2046</v>
      </c>
      <c r="AL147">
        <v>2047</v>
      </c>
      <c r="AM147">
        <v>2048</v>
      </c>
      <c r="AN147">
        <v>2049</v>
      </c>
      <c r="AO147">
        <v>2050</v>
      </c>
    </row>
    <row r="148" spans="1:41" x14ac:dyDescent="0.25">
      <c r="A148">
        <f>MATCH(B148,$A$182:$A$200,0)</f>
        <v>4</v>
      </c>
      <c r="B148" t="s">
        <v>21</v>
      </c>
      <c r="C148" cm="1">
        <f t="array" ref="C148">INDEX(C$182:C$200,$A148)</f>
        <v>1833.85</v>
      </c>
      <c r="D148" cm="1">
        <f t="array" ref="D148">INDEX(D$182:D$200,$A148)</f>
        <v>1881.9</v>
      </c>
      <c r="E148" cm="1">
        <f t="array" ref="E148">INDEX(E$182:E$200,$A148)</f>
        <v>1929.34</v>
      </c>
      <c r="F148" cm="1">
        <f t="array" ref="F148">INDEX(F$182:F$200,$A148)</f>
        <v>1956.68</v>
      </c>
      <c r="G148" cm="1">
        <f t="array" ref="G148">INDEX(G$182:G$200,$A148)</f>
        <v>1983.97</v>
      </c>
      <c r="H148" cm="1">
        <f t="array" ref="H148">INDEX(H$182:H$200,$A148)</f>
        <v>2015.63</v>
      </c>
      <c r="I148" cm="1">
        <f t="array" ref="I148">INDEX(I$182:I$200,$A148)</f>
        <v>2048.7199999999998</v>
      </c>
      <c r="J148" cm="1">
        <f t="array" ref="J148">INDEX(J$182:J$200,$A148)</f>
        <v>2068.14</v>
      </c>
      <c r="K148" cm="1">
        <f t="array" ref="K148">INDEX(K$182:K$200,$A148)</f>
        <v>1924.06</v>
      </c>
      <c r="L148" cm="1">
        <f t="array" ref="L148">INDEX(L$182:L$200,$A148)</f>
        <v>1969.68</v>
      </c>
      <c r="M148" cm="1">
        <f t="array" ref="M148">INDEX(M$182:M$200,$A148)</f>
        <v>2013.21</v>
      </c>
      <c r="N148" cm="1">
        <f t="array" ref="N148">INDEX(N$182:N$200,$A148)</f>
        <v>2052.89</v>
      </c>
      <c r="O148" cm="1">
        <f t="array" ref="O148">INDEX(O$182:O$200,$A148)</f>
        <v>2097.59</v>
      </c>
      <c r="P148" cm="1">
        <f t="array" ref="P148">INDEX(P$182:P$200,$A148)</f>
        <v>2142.04</v>
      </c>
      <c r="Q148" cm="1">
        <f t="array" ref="Q148">INDEX(Q$182:Q$200,$A148)</f>
        <v>2187.36</v>
      </c>
      <c r="R148" cm="1">
        <f t="array" ref="R148">INDEX(R$182:R$200,$A148)</f>
        <v>2232.96</v>
      </c>
      <c r="S148" cm="1">
        <f t="array" ref="S148">INDEX(S$182:S$200,$A148)</f>
        <v>2276.1999999999998</v>
      </c>
      <c r="T148" cm="1">
        <f t="array" ref="T148">INDEX(T$182:T$200,$A148)</f>
        <v>2325.7600000000002</v>
      </c>
      <c r="U148" cm="1">
        <f t="array" ref="U148">INDEX(U$182:U$200,$A148)</f>
        <v>2379.34</v>
      </c>
      <c r="V148" cm="1">
        <f t="array" ref="V148">INDEX(V$182:V$200,$A148)</f>
        <v>2444.09</v>
      </c>
      <c r="W148" cm="1">
        <f t="array" ref="W148">INDEX(W$182:W$200,$A148)</f>
        <v>2512.85</v>
      </c>
      <c r="X148" cm="1">
        <f t="array" ref="X148">INDEX(X$182:X$200,$A148)</f>
        <v>2586.39</v>
      </c>
      <c r="Y148" cm="1">
        <f t="array" ref="Y148">INDEX(Y$182:Y$200,$A148)</f>
        <v>2669.29</v>
      </c>
      <c r="Z148" cm="1">
        <f t="array" ref="Z148">INDEX(Z$182:Z$200,$A148)</f>
        <v>2753.03</v>
      </c>
      <c r="AA148" cm="1">
        <f t="array" ref="AA148">INDEX(AA$182:AA$200,$A148)</f>
        <v>2843.24</v>
      </c>
      <c r="AB148" cm="1">
        <f t="array" ref="AB148">INDEX(AB$182:AB$200,$A148)</f>
        <v>2938.39</v>
      </c>
      <c r="AC148" cm="1">
        <f t="array" ref="AC148">INDEX(AC$182:AC$200,$A148)</f>
        <v>3036.29</v>
      </c>
      <c r="AD148" cm="1">
        <f t="array" ref="AD148">INDEX(AD$182:AD$200,$A148)</f>
        <v>3138.34</v>
      </c>
      <c r="AE148" cm="1">
        <f t="array" ref="AE148">INDEX(AE$182:AE$200,$A148)</f>
        <v>3244.95</v>
      </c>
      <c r="AF148" cm="1">
        <f t="array" ref="AF148">INDEX(AF$182:AF$200,$A148)</f>
        <v>3354.92</v>
      </c>
      <c r="AG148" cm="1">
        <f t="array" ref="AG148">INDEX(AG$182:AG$200,$A148)</f>
        <v>3465.43</v>
      </c>
      <c r="AH148" cm="1">
        <f t="array" ref="AH148">INDEX(AH$182:AH$200,$A148)</f>
        <v>3580.36</v>
      </c>
      <c r="AI148" cm="1">
        <f t="array" ref="AI148">INDEX(AI$182:AI$200,$A148)</f>
        <v>3700.03</v>
      </c>
      <c r="AJ148" cm="1">
        <f t="array" ref="AJ148">INDEX(AJ$182:AJ$200,$A148)</f>
        <v>3827.31</v>
      </c>
      <c r="AK148" cm="1">
        <f t="array" ref="AK148">INDEX(AK$182:AK$200,$A148)</f>
        <v>3959.52</v>
      </c>
      <c r="AL148" cm="1">
        <f t="array" ref="AL148">INDEX(AL$182:AL$200,$A148)</f>
        <v>4091.05</v>
      </c>
      <c r="AM148" cm="1">
        <f t="array" ref="AM148">INDEX(AM$182:AM$200,$A148)</f>
        <v>4228.6000000000004</v>
      </c>
      <c r="AN148" cm="1">
        <f t="array" ref="AN148">INDEX(AN$182:AN$200,$A148)</f>
        <v>4373.84</v>
      </c>
      <c r="AO148" cm="1">
        <f t="array" ref="AO148">INDEX(AO$182:AO$200,$A148)</f>
        <v>4547.05</v>
      </c>
    </row>
    <row r="149" spans="1:41" x14ac:dyDescent="0.25">
      <c r="A149">
        <f t="shared" ref="A149:A166" si="28">MATCH(B149,$A$182:$A$200,0)</f>
        <v>1</v>
      </c>
      <c r="B149" t="s">
        <v>70</v>
      </c>
      <c r="C149" cm="1">
        <f t="array" ref="C149">INDEX(C$182:C$200,$A149)</f>
        <v>69.819999999999993</v>
      </c>
      <c r="D149" cm="1">
        <f t="array" ref="D149">INDEX(D$182:D$200,$A149)</f>
        <v>72.86</v>
      </c>
      <c r="E149" cm="1">
        <f t="array" ref="E149">INDEX(E$182:E$200,$A149)</f>
        <v>75.87</v>
      </c>
      <c r="F149" cm="1">
        <f t="array" ref="F149">INDEX(F$182:F$200,$A149)</f>
        <v>74.64</v>
      </c>
      <c r="G149" cm="1">
        <f t="array" ref="G149">INDEX(G$182:G$200,$A149)</f>
        <v>73.959999999999994</v>
      </c>
      <c r="H149" cm="1">
        <f t="array" ref="H149">INDEX(H$182:H$200,$A149)</f>
        <v>76.72</v>
      </c>
      <c r="I149" cm="1">
        <f t="array" ref="I149">INDEX(I$182:I$200,$A149)</f>
        <v>75.61</v>
      </c>
      <c r="J149" cm="1">
        <f t="array" ref="J149">INDEX(J$182:J$200,$A149)</f>
        <v>74.11</v>
      </c>
      <c r="K149" cm="1">
        <f t="array" ref="K149">INDEX(K$182:K$200,$A149)</f>
        <v>73.06</v>
      </c>
      <c r="L149" cm="1">
        <f t="array" ref="L149">INDEX(L$182:L$200,$A149)</f>
        <v>75.239999999999995</v>
      </c>
      <c r="M149" cm="1">
        <f t="array" ref="M149">INDEX(M$182:M$200,$A149)</f>
        <v>77.23</v>
      </c>
      <c r="N149" cm="1">
        <f t="array" ref="N149">INDEX(N$182:N$200,$A149)</f>
        <v>78.58</v>
      </c>
      <c r="O149" cm="1">
        <f t="array" ref="O149">INDEX(O$182:O$200,$A149)</f>
        <v>80.14</v>
      </c>
      <c r="P149" cm="1">
        <f t="array" ref="P149">INDEX(P$182:P$200,$A149)</f>
        <v>81.66</v>
      </c>
      <c r="Q149" cm="1">
        <f t="array" ref="Q149">INDEX(Q$182:Q$200,$A149)</f>
        <v>83.01</v>
      </c>
      <c r="R149" cm="1">
        <f t="array" ref="R149">INDEX(R$182:R$200,$A149)</f>
        <v>84.26</v>
      </c>
      <c r="S149" cm="1">
        <f t="array" ref="S149">INDEX(S$182:S$200,$A149)</f>
        <v>85.97</v>
      </c>
      <c r="T149" cm="1">
        <f t="array" ref="T149">INDEX(T$182:T$200,$A149)</f>
        <v>87.4</v>
      </c>
      <c r="U149" cm="1">
        <f t="array" ref="U149">INDEX(U$182:U$200,$A149)</f>
        <v>88.8</v>
      </c>
      <c r="V149" cm="1">
        <f t="array" ref="V149">INDEX(V$182:V$200,$A149)</f>
        <v>90.44</v>
      </c>
      <c r="W149" cm="1">
        <f t="array" ref="W149">INDEX(W$182:W$200,$A149)</f>
        <v>92.09</v>
      </c>
      <c r="X149" cm="1">
        <f t="array" ref="X149">INDEX(X$182:X$200,$A149)</f>
        <v>93.77</v>
      </c>
      <c r="Y149" cm="1">
        <f t="array" ref="Y149">INDEX(Y$182:Y$200,$A149)</f>
        <v>95.87</v>
      </c>
      <c r="Z149" cm="1">
        <f t="array" ref="Z149">INDEX(Z$182:Z$200,$A149)</f>
        <v>97.95</v>
      </c>
      <c r="AA149" cm="1">
        <f t="array" ref="AA149">INDEX(AA$182:AA$200,$A149)</f>
        <v>100.25</v>
      </c>
      <c r="AB149" cm="1">
        <f t="array" ref="AB149">INDEX(AB$182:AB$200,$A149)</f>
        <v>102.58</v>
      </c>
      <c r="AC149" cm="1">
        <f t="array" ref="AC149">INDEX(AC$182:AC$200,$A149)</f>
        <v>104.93</v>
      </c>
      <c r="AD149" cm="1">
        <f t="array" ref="AD149">INDEX(AD$182:AD$200,$A149)</f>
        <v>107.29</v>
      </c>
      <c r="AE149" cm="1">
        <f t="array" ref="AE149">INDEX(AE$182:AE$200,$A149)</f>
        <v>109.71</v>
      </c>
      <c r="AF149" cm="1">
        <f t="array" ref="AF149">INDEX(AF$182:AF$200,$A149)</f>
        <v>112.22</v>
      </c>
      <c r="AG149" cm="1">
        <f t="array" ref="AG149">INDEX(AG$182:AG$200,$A149)</f>
        <v>114.59</v>
      </c>
      <c r="AH149" cm="1">
        <f t="array" ref="AH149">INDEX(AH$182:AH$200,$A149)</f>
        <v>117.07</v>
      </c>
      <c r="AI149" cm="1">
        <f t="array" ref="AI149">INDEX(AI$182:AI$200,$A149)</f>
        <v>119.7</v>
      </c>
      <c r="AJ149" cm="1">
        <f t="array" ref="AJ149">INDEX(AJ$182:AJ$200,$A149)</f>
        <v>122.57</v>
      </c>
      <c r="AK149" cm="1">
        <f t="array" ref="AK149">INDEX(AK$182:AK$200,$A149)</f>
        <v>125.55</v>
      </c>
      <c r="AL149" cm="1">
        <f t="array" ref="AL149">INDEX(AL$182:AL$200,$A149)</f>
        <v>128.41</v>
      </c>
      <c r="AM149" cm="1">
        <f t="array" ref="AM149">INDEX(AM$182:AM$200,$A149)</f>
        <v>131.38999999999999</v>
      </c>
      <c r="AN149" cm="1">
        <f t="array" ref="AN149">INDEX(AN$182:AN$200,$A149)</f>
        <v>134.63</v>
      </c>
      <c r="AO149" cm="1">
        <f t="array" ref="AO149">INDEX(AO$182:AO$200,$A149)</f>
        <v>138.71</v>
      </c>
    </row>
    <row r="150" spans="1:41" x14ac:dyDescent="0.25">
      <c r="A150">
        <f t="shared" si="28"/>
        <v>12</v>
      </c>
      <c r="B150" t="s">
        <v>23</v>
      </c>
      <c r="C150" cm="1">
        <f t="array" ref="C150">INDEX(C$182:C$200,$A150)</f>
        <v>123.26999999999998</v>
      </c>
      <c r="D150" cm="1">
        <f t="array" ref="D150">INDEX(D$182:D$200,$A150)</f>
        <v>125.80799999999999</v>
      </c>
      <c r="E150" cm="1">
        <f t="array" ref="E150">INDEX(E$182:E$200,$A150)</f>
        <v>125.928</v>
      </c>
      <c r="F150" cm="1">
        <f t="array" ref="F150">INDEX(F$182:F$200,$A150)</f>
        <v>128.83799999999999</v>
      </c>
      <c r="G150" cm="1">
        <f t="array" ref="G150">INDEX(G$182:G$200,$A150)</f>
        <v>126.498</v>
      </c>
      <c r="H150" cm="1">
        <f t="array" ref="H150">INDEX(H$182:H$200,$A150)</f>
        <v>129.738</v>
      </c>
      <c r="I150" cm="1">
        <f t="array" ref="I150">INDEX(I$182:I$200,$A150)</f>
        <v>128.71199999999999</v>
      </c>
      <c r="J150" cm="1">
        <f t="array" ref="J150">INDEX(J$182:J$200,$A150)</f>
        <v>126.50399999999999</v>
      </c>
      <c r="K150" cm="1">
        <f t="array" ref="K150">INDEX(K$182:K$200,$A150)</f>
        <v>118.98</v>
      </c>
      <c r="L150" cm="1">
        <f t="array" ref="L150">INDEX(L$182:L$200,$A150)</f>
        <v>121.03799999999998</v>
      </c>
      <c r="M150" cm="1">
        <f t="array" ref="M150">INDEX(M$182:M$200,$A150)</f>
        <v>122.64599999999999</v>
      </c>
      <c r="N150" cm="1">
        <f t="array" ref="N150">INDEX(N$182:N$200,$A150)</f>
        <v>123.93</v>
      </c>
      <c r="O150" cm="1">
        <f t="array" ref="O150">INDEX(O$182:O$200,$A150)</f>
        <v>125.322</v>
      </c>
      <c r="P150" cm="1">
        <f t="array" ref="P150">INDEX(P$182:P$200,$A150)</f>
        <v>126.78</v>
      </c>
      <c r="Q150" cm="1">
        <f t="array" ref="Q150">INDEX(Q$182:Q$200,$A150)</f>
        <v>127.99199999999999</v>
      </c>
      <c r="R150" cm="1">
        <f t="array" ref="R150">INDEX(R$182:R$200,$A150)</f>
        <v>129.15599999999998</v>
      </c>
      <c r="S150" cm="1">
        <f t="array" ref="S150">INDEX(S$182:S$200,$A150)</f>
        <v>131.04</v>
      </c>
      <c r="T150" cm="1">
        <f t="array" ref="T150">INDEX(T$182:T$200,$A150)</f>
        <v>132.066</v>
      </c>
      <c r="U150" cm="1">
        <f t="array" ref="U150">INDEX(U$182:U$200,$A150)</f>
        <v>132.99599999999998</v>
      </c>
      <c r="V150" cm="1">
        <f t="array" ref="V150">INDEX(V$182:V$200,$A150)</f>
        <v>134.298</v>
      </c>
      <c r="W150" cm="1">
        <f t="array" ref="W150">INDEX(W$182:W$200,$A150)</f>
        <v>135.6</v>
      </c>
      <c r="X150" cm="1">
        <f t="array" ref="X150">INDEX(X$182:X$200,$A150)</f>
        <v>136.94399999999999</v>
      </c>
      <c r="Y150" cm="1">
        <f t="array" ref="Y150">INDEX(Y$182:Y$200,$A150)</f>
        <v>138.828</v>
      </c>
      <c r="Z150" cm="1">
        <f t="array" ref="Z150">INDEX(Z$182:Z$200,$A150)</f>
        <v>140.66999999999999</v>
      </c>
      <c r="AA150" cm="1">
        <f t="array" ref="AA150">INDEX(AA$182:AA$200,$A150)</f>
        <v>142.67399999999998</v>
      </c>
      <c r="AB150" cm="1">
        <f t="array" ref="AB150">INDEX(AB$182:AB$200,$A150)</f>
        <v>144.61199999999999</v>
      </c>
      <c r="AC150" cm="1">
        <f t="array" ref="AC150">INDEX(AC$182:AC$200,$A150)</f>
        <v>146.84399999999999</v>
      </c>
      <c r="AD150" cm="1">
        <f t="array" ref="AD150">INDEX(AD$182:AD$200,$A150)</f>
        <v>149.184</v>
      </c>
      <c r="AE150" cm="1">
        <f t="array" ref="AE150">INDEX(AE$182:AE$200,$A150)</f>
        <v>151.65</v>
      </c>
      <c r="AF150" cm="1">
        <f t="array" ref="AF150">INDEX(AF$182:AF$200,$A150)</f>
        <v>154.33799999999999</v>
      </c>
      <c r="AG150" cm="1">
        <f t="array" ref="AG150">INDEX(AG$182:AG$200,$A150)</f>
        <v>157.03800000000001</v>
      </c>
      <c r="AH150" cm="1">
        <f t="array" ref="AH150">INDEX(AH$182:AH$200,$A150)</f>
        <v>159.93600000000001</v>
      </c>
      <c r="AI150" cm="1">
        <f t="array" ref="AI150">INDEX(AI$182:AI$200,$A150)</f>
        <v>163.05599999999998</v>
      </c>
      <c r="AJ150" cm="1">
        <f t="array" ref="AJ150">INDEX(AJ$182:AJ$200,$A150)</f>
        <v>166.488</v>
      </c>
      <c r="AK150" cm="1">
        <f t="array" ref="AK150">INDEX(AK$182:AK$200,$A150)</f>
        <v>170.28</v>
      </c>
      <c r="AL150" cm="1">
        <f t="array" ref="AL150">INDEX(AL$182:AL$200,$A150)</f>
        <v>174.072</v>
      </c>
      <c r="AM150" cm="1">
        <f t="array" ref="AM150">INDEX(AM$182:AM$200,$A150)</f>
        <v>178.14</v>
      </c>
      <c r="AN150" cm="1">
        <f t="array" ref="AN150">INDEX(AN$182:AN$200,$A150)</f>
        <v>182.57400000000001</v>
      </c>
      <c r="AO150" cm="1">
        <f t="array" ref="AO150">INDEX(AO$182:AO$200,$A150)</f>
        <v>188.22599999999997</v>
      </c>
    </row>
    <row r="151" spans="1:41" x14ac:dyDescent="0.25">
      <c r="A151">
        <f t="shared" si="28"/>
        <v>18</v>
      </c>
      <c r="B151" t="s">
        <v>145</v>
      </c>
      <c r="C151" cm="1">
        <f t="array" ref="C151">INDEX(C$182:C$200,$A151)</f>
        <v>82.18</v>
      </c>
      <c r="D151" cm="1">
        <f t="array" ref="D151">INDEX(D$182:D$200,$A151)</f>
        <v>83.872000000000014</v>
      </c>
      <c r="E151" cm="1">
        <f t="array" ref="E151">INDEX(E$182:E$200,$A151)</f>
        <v>83.951999999999998</v>
      </c>
      <c r="F151" cm="1">
        <f t="array" ref="F151">INDEX(F$182:F$200,$A151)</f>
        <v>85.891999999999996</v>
      </c>
      <c r="G151" cm="1">
        <f t="array" ref="G151">INDEX(G$182:G$200,$A151)</f>
        <v>84.332000000000008</v>
      </c>
      <c r="H151" cm="1">
        <f t="array" ref="H151">INDEX(H$182:H$200,$A151)</f>
        <v>86.492000000000004</v>
      </c>
      <c r="I151" cm="1">
        <f t="array" ref="I151">INDEX(I$182:I$200,$A151)</f>
        <v>85.808000000000007</v>
      </c>
      <c r="J151" cm="1">
        <f t="array" ref="J151">INDEX(J$182:J$200,$A151)</f>
        <v>84.336000000000013</v>
      </c>
      <c r="K151" cm="1">
        <f t="array" ref="K151">INDEX(K$182:K$200,$A151)</f>
        <v>79.320000000000007</v>
      </c>
      <c r="L151" cm="1">
        <f t="array" ref="L151">INDEX(L$182:L$200,$A151)</f>
        <v>80.692000000000007</v>
      </c>
      <c r="M151" cm="1">
        <f t="array" ref="M151">INDEX(M$182:M$200,$A151)</f>
        <v>81.76400000000001</v>
      </c>
      <c r="N151" cm="1">
        <f t="array" ref="N151">INDEX(N$182:N$200,$A151)</f>
        <v>82.62</v>
      </c>
      <c r="O151" cm="1">
        <f t="array" ref="O151">INDEX(O$182:O$200,$A151)</f>
        <v>83.548000000000002</v>
      </c>
      <c r="P151" cm="1">
        <f t="array" ref="P151">INDEX(P$182:P$200,$A151)</f>
        <v>84.52000000000001</v>
      </c>
      <c r="Q151" cm="1">
        <f t="array" ref="Q151">INDEX(Q$182:Q$200,$A151)</f>
        <v>85.328000000000003</v>
      </c>
      <c r="R151" cm="1">
        <f t="array" ref="R151">INDEX(R$182:R$200,$A151)</f>
        <v>86.103999999999999</v>
      </c>
      <c r="S151" cm="1">
        <f t="array" ref="S151">INDEX(S$182:S$200,$A151)</f>
        <v>87.360000000000014</v>
      </c>
      <c r="T151" cm="1">
        <f t="array" ref="T151">INDEX(T$182:T$200,$A151)</f>
        <v>88.044000000000011</v>
      </c>
      <c r="U151" cm="1">
        <f t="array" ref="U151">INDEX(U$182:U$200,$A151)</f>
        <v>88.664000000000001</v>
      </c>
      <c r="V151" cm="1">
        <f t="array" ref="V151">INDEX(V$182:V$200,$A151)</f>
        <v>89.532000000000011</v>
      </c>
      <c r="W151" cm="1">
        <f t="array" ref="W151">INDEX(W$182:W$200,$A151)</f>
        <v>90.4</v>
      </c>
      <c r="X151" cm="1">
        <f t="array" ref="X151">INDEX(X$182:X$200,$A151)</f>
        <v>91.296000000000006</v>
      </c>
      <c r="Y151" cm="1">
        <f t="array" ref="Y151">INDEX(Y$182:Y$200,$A151)</f>
        <v>92.552000000000007</v>
      </c>
      <c r="Z151" cm="1">
        <f t="array" ref="Z151">INDEX(Z$182:Z$200,$A151)</f>
        <v>93.78</v>
      </c>
      <c r="AA151" cm="1">
        <f t="array" ref="AA151">INDEX(AA$182:AA$200,$A151)</f>
        <v>95.116</v>
      </c>
      <c r="AB151" cm="1">
        <f t="array" ref="AB151">INDEX(AB$182:AB$200,$A151)</f>
        <v>96.408000000000015</v>
      </c>
      <c r="AC151" cm="1">
        <f t="array" ref="AC151">INDEX(AC$182:AC$200,$A151)</f>
        <v>97.896000000000015</v>
      </c>
      <c r="AD151" cm="1">
        <f t="array" ref="AD151">INDEX(AD$182:AD$200,$A151)</f>
        <v>99.456000000000003</v>
      </c>
      <c r="AE151" cm="1">
        <f t="array" ref="AE151">INDEX(AE$182:AE$200,$A151)</f>
        <v>101.10000000000001</v>
      </c>
      <c r="AF151" cm="1">
        <f t="array" ref="AF151">INDEX(AF$182:AF$200,$A151)</f>
        <v>102.89200000000001</v>
      </c>
      <c r="AG151" cm="1">
        <f t="array" ref="AG151">INDEX(AG$182:AG$200,$A151)</f>
        <v>104.69200000000001</v>
      </c>
      <c r="AH151" cm="1">
        <f t="array" ref="AH151">INDEX(AH$182:AH$200,$A151)</f>
        <v>106.62400000000001</v>
      </c>
      <c r="AI151" cm="1">
        <f t="array" ref="AI151">INDEX(AI$182:AI$200,$A151)</f>
        <v>108.70400000000001</v>
      </c>
      <c r="AJ151" cm="1">
        <f t="array" ref="AJ151">INDEX(AJ$182:AJ$200,$A151)</f>
        <v>110.99200000000002</v>
      </c>
      <c r="AK151" cm="1">
        <f t="array" ref="AK151">INDEX(AK$182:AK$200,$A151)</f>
        <v>113.52000000000001</v>
      </c>
      <c r="AL151" cm="1">
        <f t="array" ref="AL151">INDEX(AL$182:AL$200,$A151)</f>
        <v>116.048</v>
      </c>
      <c r="AM151" cm="1">
        <f t="array" ref="AM151">INDEX(AM$182:AM$200,$A151)</f>
        <v>118.75999999999999</v>
      </c>
      <c r="AN151" cm="1">
        <f t="array" ref="AN151">INDEX(AN$182:AN$200,$A151)</f>
        <v>121.71600000000001</v>
      </c>
      <c r="AO151" cm="1">
        <f t="array" ref="AO151">INDEX(AO$182:AO$200,$A151)</f>
        <v>125.48399999999999</v>
      </c>
    </row>
    <row r="152" spans="1:41" x14ac:dyDescent="0.25">
      <c r="A152">
        <f t="shared" si="28"/>
        <v>8</v>
      </c>
      <c r="B152" t="s">
        <v>24</v>
      </c>
      <c r="C152" cm="1">
        <f t="array" ref="C152">INDEX(C$182:C$200,$A152)</f>
        <v>93.1</v>
      </c>
      <c r="D152" cm="1">
        <f t="array" ref="D152">INDEX(D$182:D$200,$A152)</f>
        <v>96.24</v>
      </c>
      <c r="E152" cm="1">
        <f t="array" ref="E152">INDEX(E$182:E$200,$A152)</f>
        <v>98.9</v>
      </c>
      <c r="F152" cm="1">
        <f t="array" ref="F152">INDEX(F$182:F$200,$A152)</f>
        <v>99.85</v>
      </c>
      <c r="G152" cm="1">
        <f t="array" ref="G152">INDEX(G$182:G$200,$A152)</f>
        <v>102.21</v>
      </c>
      <c r="H152" cm="1">
        <f t="array" ref="H152">INDEX(H$182:H$200,$A152)</f>
        <v>103.61</v>
      </c>
      <c r="I152" cm="1">
        <f t="array" ref="I152">INDEX(I$182:I$200,$A152)</f>
        <v>105.24</v>
      </c>
      <c r="J152" cm="1">
        <f t="array" ref="J152">INDEX(J$182:J$200,$A152)</f>
        <v>104.54</v>
      </c>
      <c r="K152" cm="1">
        <f t="array" ref="K152">INDEX(K$182:K$200,$A152)</f>
        <v>101.85</v>
      </c>
      <c r="L152" cm="1">
        <f t="array" ref="L152">INDEX(L$182:L$200,$A152)</f>
        <v>104.95</v>
      </c>
      <c r="M152" cm="1">
        <f t="array" ref="M152">INDEX(M$182:M$200,$A152)</f>
        <v>107.71</v>
      </c>
      <c r="N152" cm="1">
        <f t="array" ref="N152">INDEX(N$182:N$200,$A152)</f>
        <v>109.84</v>
      </c>
      <c r="O152" cm="1">
        <f t="array" ref="O152">INDEX(O$182:O$200,$A152)</f>
        <v>112.24</v>
      </c>
      <c r="P152" cm="1">
        <f t="array" ref="P152">INDEX(P$182:P$200,$A152)</f>
        <v>114.63</v>
      </c>
      <c r="Q152" cm="1">
        <f t="array" ref="Q152">INDEX(Q$182:Q$200,$A152)</f>
        <v>116.8</v>
      </c>
      <c r="R152" cm="1">
        <f t="array" ref="R152">INDEX(R$182:R$200,$A152)</f>
        <v>118.95</v>
      </c>
      <c r="S152" cm="1">
        <f t="array" ref="S152">INDEX(S$182:S$200,$A152)</f>
        <v>121.8</v>
      </c>
      <c r="T152" cm="1">
        <f t="array" ref="T152">INDEX(T$182:T$200,$A152)</f>
        <v>124.07</v>
      </c>
      <c r="U152" cm="1">
        <f t="array" ref="U152">INDEX(U$182:U$200,$A152)</f>
        <v>126.27</v>
      </c>
      <c r="V152" cm="1">
        <f t="array" ref="V152">INDEX(V$182:V$200,$A152)</f>
        <v>128.88999999999999</v>
      </c>
      <c r="W152" cm="1">
        <f t="array" ref="W152">INDEX(W$182:W$200,$A152)</f>
        <v>131.65</v>
      </c>
      <c r="X152" cm="1">
        <f t="array" ref="X152">INDEX(X$182:X$200,$A152)</f>
        <v>134.56</v>
      </c>
      <c r="Y152" cm="1">
        <f t="array" ref="Y152">INDEX(Y$182:Y$200,$A152)</f>
        <v>138.11000000000001</v>
      </c>
      <c r="Z152" cm="1">
        <f t="array" ref="Z152">INDEX(Z$182:Z$200,$A152)</f>
        <v>141.66</v>
      </c>
      <c r="AA152" cm="1">
        <f t="array" ref="AA152">INDEX(AA$182:AA$200,$A152)</f>
        <v>145.46</v>
      </c>
      <c r="AB152" cm="1">
        <f t="array" ref="AB152">INDEX(AB$182:AB$200,$A152)</f>
        <v>149.24</v>
      </c>
      <c r="AC152" cm="1">
        <f t="array" ref="AC152">INDEX(AC$182:AC$200,$A152)</f>
        <v>153</v>
      </c>
      <c r="AD152" cm="1">
        <f t="array" ref="AD152">INDEX(AD$182:AD$200,$A152)</f>
        <v>156.83000000000001</v>
      </c>
      <c r="AE152" cm="1">
        <f t="array" ref="AE152">INDEX(AE$182:AE$200,$A152)</f>
        <v>160.74</v>
      </c>
      <c r="AF152" cm="1">
        <f t="array" ref="AF152">INDEX(AF$182:AF$200,$A152)</f>
        <v>164.68</v>
      </c>
      <c r="AG152" cm="1">
        <f t="array" ref="AG152">INDEX(AG$182:AG$200,$A152)</f>
        <v>168.49</v>
      </c>
      <c r="AH152" cm="1">
        <f t="array" ref="AH152">INDEX(AH$182:AH$200,$A152)</f>
        <v>172.54</v>
      </c>
      <c r="AI152" cm="1">
        <f t="array" ref="AI152">INDEX(AI$182:AI$200,$A152)</f>
        <v>176.82</v>
      </c>
      <c r="AJ152" cm="1">
        <f t="array" ref="AJ152">INDEX(AJ$182:AJ$200,$A152)</f>
        <v>181.33</v>
      </c>
      <c r="AK152" cm="1">
        <f t="array" ref="AK152">INDEX(AK$182:AK$200,$A152)</f>
        <v>185.9</v>
      </c>
      <c r="AL152" cm="1">
        <f t="array" ref="AL152">INDEX(AL$182:AL$200,$A152)</f>
        <v>190.27</v>
      </c>
      <c r="AM152" cm="1">
        <f t="array" ref="AM152">INDEX(AM$182:AM$200,$A152)</f>
        <v>194.8</v>
      </c>
      <c r="AN152" cm="1">
        <f t="array" ref="AN152">INDEX(AN$182:AN$200,$A152)</f>
        <v>199.65</v>
      </c>
      <c r="AO152" cm="1">
        <f t="array" ref="AO152">INDEX(AO$182:AO$200,$A152)</f>
        <v>205.62</v>
      </c>
    </row>
    <row r="153" spans="1:41" x14ac:dyDescent="0.25">
      <c r="A153">
        <f t="shared" si="28"/>
        <v>10</v>
      </c>
      <c r="B153" t="s">
        <v>25</v>
      </c>
      <c r="C153" cm="1">
        <f t="array" ref="C153">INDEX(C$182:C$200,$A153)</f>
        <v>235.5</v>
      </c>
      <c r="D153" cm="1">
        <f t="array" ref="D153">INDEX(D$182:D$200,$A153)</f>
        <v>241.59</v>
      </c>
      <c r="E153" cm="1">
        <f t="array" ref="E153">INDEX(E$182:E$200,$A153)</f>
        <v>246.1</v>
      </c>
      <c r="F153" cm="1">
        <f t="array" ref="F153">INDEX(F$182:F$200,$A153)</f>
        <v>248.42</v>
      </c>
      <c r="G153" cm="1">
        <f t="array" ref="G153">INDEX(G$182:G$200,$A153)</f>
        <v>251.09</v>
      </c>
      <c r="H153" cm="1">
        <f t="array" ref="H153">INDEX(H$182:H$200,$A153)</f>
        <v>253.26</v>
      </c>
      <c r="I153" cm="1">
        <f t="array" ref="I153">INDEX(I$182:I$200,$A153)</f>
        <v>255.74</v>
      </c>
      <c r="J153" cm="1">
        <f t="array" ref="J153">INDEX(J$182:J$200,$A153)</f>
        <v>254.07</v>
      </c>
      <c r="K153" cm="1">
        <f t="array" ref="K153">INDEX(K$182:K$200,$A153)</f>
        <v>233.33</v>
      </c>
      <c r="L153" cm="1">
        <f t="array" ref="L153">INDEX(L$182:L$200,$A153)</f>
        <v>239.41</v>
      </c>
      <c r="M153" cm="1">
        <f t="array" ref="M153">INDEX(M$182:M$200,$A153)</f>
        <v>244.91</v>
      </c>
      <c r="N153" cm="1">
        <f t="array" ref="N153">INDEX(N$182:N$200,$A153)</f>
        <v>249.83</v>
      </c>
      <c r="O153" cm="1">
        <f t="array" ref="O153">INDEX(O$182:O$200,$A153)</f>
        <v>255.36</v>
      </c>
      <c r="P153" cm="1">
        <f t="array" ref="P153">INDEX(P$182:P$200,$A153)</f>
        <v>260.81</v>
      </c>
      <c r="Q153" cm="1">
        <f t="array" ref="Q153">INDEX(Q$182:Q$200,$A153)</f>
        <v>266.36</v>
      </c>
      <c r="R153" cm="1">
        <f t="array" ref="R153">INDEX(R$182:R$200,$A153)</f>
        <v>271.74</v>
      </c>
      <c r="S153" cm="1">
        <f t="array" ref="S153">INDEX(S$182:S$200,$A153)</f>
        <v>277.05</v>
      </c>
      <c r="T153" cm="1">
        <f t="array" ref="T153">INDEX(T$182:T$200,$A153)</f>
        <v>282.77999999999997</v>
      </c>
      <c r="U153" cm="1">
        <f t="array" ref="U153">INDEX(U$182:U$200,$A153)</f>
        <v>288.95999999999998</v>
      </c>
      <c r="V153" cm="1">
        <f t="array" ref="V153">INDEX(V$182:V$200,$A153)</f>
        <v>296.33999999999997</v>
      </c>
      <c r="W153" cm="1">
        <f t="array" ref="W153">INDEX(W$182:W$200,$A153)</f>
        <v>304.2</v>
      </c>
      <c r="X153" cm="1">
        <f t="array" ref="X153">INDEX(X$182:X$200,$A153)</f>
        <v>312.55</v>
      </c>
      <c r="Y153" cm="1">
        <f t="array" ref="Y153">INDEX(Y$182:Y$200,$A153)</f>
        <v>321.88</v>
      </c>
      <c r="Z153" cm="1">
        <f t="array" ref="Z153">INDEX(Z$182:Z$200,$A153)</f>
        <v>331.08</v>
      </c>
      <c r="AA153" cm="1">
        <f t="array" ref="AA153">INDEX(AA$182:AA$200,$A153)</f>
        <v>340.86</v>
      </c>
      <c r="AB153" cm="1">
        <f t="array" ref="AB153">INDEX(AB$182:AB$200,$A153)</f>
        <v>351.05</v>
      </c>
      <c r="AC153" cm="1">
        <f t="array" ref="AC153">INDEX(AC$182:AC$200,$A153)</f>
        <v>361.39</v>
      </c>
      <c r="AD153" cm="1">
        <f t="array" ref="AD153">INDEX(AD$182:AD$200,$A153)</f>
        <v>372.08</v>
      </c>
      <c r="AE153" cm="1">
        <f t="array" ref="AE153">INDEX(AE$182:AE$200,$A153)</f>
        <v>383.14</v>
      </c>
      <c r="AF153" cm="1">
        <f t="array" ref="AF153">INDEX(AF$182:AF$200,$A153)</f>
        <v>394.85</v>
      </c>
      <c r="AG153" cm="1">
        <f t="array" ref="AG153">INDEX(AG$182:AG$200,$A153)</f>
        <v>406.53</v>
      </c>
      <c r="AH153" cm="1">
        <f t="array" ref="AH153">INDEX(AH$182:AH$200,$A153)</f>
        <v>418.72</v>
      </c>
      <c r="AI153" cm="1">
        <f t="array" ref="AI153">INDEX(AI$182:AI$200,$A153)</f>
        <v>431.5</v>
      </c>
      <c r="AJ153" cm="1">
        <f t="array" ref="AJ153">INDEX(AJ$182:AJ$200,$A153)</f>
        <v>445.12</v>
      </c>
      <c r="AK153" cm="1">
        <f t="array" ref="AK153">INDEX(AK$182:AK$200,$A153)</f>
        <v>459.51</v>
      </c>
      <c r="AL153" cm="1">
        <f t="array" ref="AL153">INDEX(AL$182:AL$200,$A153)</f>
        <v>473.68</v>
      </c>
      <c r="AM153" cm="1">
        <f t="array" ref="AM153">INDEX(AM$182:AM$200,$A153)</f>
        <v>488.53</v>
      </c>
      <c r="AN153" cm="1">
        <f t="array" ref="AN153">INDEX(AN$182:AN$200,$A153)</f>
        <v>504.28</v>
      </c>
      <c r="AO153" cm="1">
        <f t="array" ref="AO153">INDEX(AO$182:AO$200,$A153)</f>
        <v>523.45000000000005</v>
      </c>
    </row>
    <row r="154" spans="1:41" x14ac:dyDescent="0.25">
      <c r="A154">
        <f t="shared" si="28"/>
        <v>16</v>
      </c>
      <c r="B154" t="s">
        <v>26</v>
      </c>
      <c r="C154" cm="1">
        <f t="array" ref="C154">INDEX(C$182:C$200,$A154)</f>
        <v>17.78</v>
      </c>
      <c r="D154" cm="1">
        <f t="array" ref="D154">INDEX(D$182:D$200,$A154)</f>
        <v>18.170000000000002</v>
      </c>
      <c r="E154" cm="1">
        <f t="array" ref="E154">INDEX(E$182:E$200,$A154)</f>
        <v>18.57</v>
      </c>
      <c r="F154" cm="1">
        <f t="array" ref="F154">INDEX(F$182:F$200,$A154)</f>
        <v>18.72</v>
      </c>
      <c r="G154" cm="1">
        <f t="array" ref="G154">INDEX(G$182:G$200,$A154)</f>
        <v>19.07</v>
      </c>
      <c r="H154" cm="1">
        <f t="array" ref="H154">INDEX(H$182:H$200,$A154)</f>
        <v>19.21</v>
      </c>
      <c r="I154" cm="1">
        <f t="array" ref="I154">INDEX(I$182:I$200,$A154)</f>
        <v>19.559999999999999</v>
      </c>
      <c r="J154" cm="1">
        <f t="array" ref="J154">INDEX(J$182:J$200,$A154)</f>
        <v>19.57</v>
      </c>
      <c r="K154" cm="1">
        <f t="array" ref="K154">INDEX(K$182:K$200,$A154)</f>
        <v>18.440000000000001</v>
      </c>
      <c r="L154" cm="1">
        <f t="array" ref="L154">INDEX(L$182:L$200,$A154)</f>
        <v>18.899999999999999</v>
      </c>
      <c r="M154" cm="1">
        <f t="array" ref="M154">INDEX(M$182:M$200,$A154)</f>
        <v>19.3</v>
      </c>
      <c r="N154" cm="1">
        <f t="array" ref="N154">INDEX(N$182:N$200,$A154)</f>
        <v>19.66</v>
      </c>
      <c r="O154" cm="1">
        <f t="array" ref="O154">INDEX(O$182:O$200,$A154)</f>
        <v>20.07</v>
      </c>
      <c r="P154" cm="1">
        <f t="array" ref="P154">INDEX(P$182:P$200,$A154)</f>
        <v>20.49</v>
      </c>
      <c r="Q154" cm="1">
        <f t="array" ref="Q154">INDEX(Q$182:Q$200,$A154)</f>
        <v>20.88</v>
      </c>
      <c r="R154" cm="1">
        <f t="array" ref="R154">INDEX(R$182:R$200,$A154)</f>
        <v>21.27</v>
      </c>
      <c r="S154" cm="1">
        <f t="array" ref="S154">INDEX(S$182:S$200,$A154)</f>
        <v>21.67</v>
      </c>
      <c r="T154" cm="1">
        <f t="array" ref="T154">INDEX(T$182:T$200,$A154)</f>
        <v>22.05</v>
      </c>
      <c r="U154" cm="1">
        <f t="array" ref="U154">INDEX(U$182:U$200,$A154)</f>
        <v>22.47</v>
      </c>
      <c r="V154" cm="1">
        <f t="array" ref="V154">INDEX(V$182:V$200,$A154)</f>
        <v>22.99</v>
      </c>
      <c r="W154" cm="1">
        <f t="array" ref="W154">INDEX(W$182:W$200,$A154)</f>
        <v>23.54</v>
      </c>
      <c r="X154" cm="1">
        <f t="array" ref="X154">INDEX(X$182:X$200,$A154)</f>
        <v>24.14</v>
      </c>
      <c r="Y154" cm="1">
        <f t="array" ref="Y154">INDEX(Y$182:Y$200,$A154)</f>
        <v>24.83</v>
      </c>
      <c r="Z154" cm="1">
        <f t="array" ref="Z154">INDEX(Z$182:Z$200,$A154)</f>
        <v>25.51</v>
      </c>
      <c r="AA154" cm="1">
        <f t="array" ref="AA154">INDEX(AA$182:AA$200,$A154)</f>
        <v>26.23</v>
      </c>
      <c r="AB154" cm="1">
        <f t="array" ref="AB154">INDEX(AB$182:AB$200,$A154)</f>
        <v>26.97</v>
      </c>
      <c r="AC154" cm="1">
        <f t="array" ref="AC154">INDEX(AC$182:AC$200,$A154)</f>
        <v>27.74</v>
      </c>
      <c r="AD154" cm="1">
        <f t="array" ref="AD154">INDEX(AD$182:AD$200,$A154)</f>
        <v>28.55</v>
      </c>
      <c r="AE154" cm="1">
        <f t="array" ref="AE154">INDEX(AE$182:AE$200,$A154)</f>
        <v>29.38</v>
      </c>
      <c r="AF154" cm="1">
        <f t="array" ref="AF154">INDEX(AF$182:AF$200,$A154)</f>
        <v>30.27</v>
      </c>
      <c r="AG154" cm="1">
        <f t="array" ref="AG154">INDEX(AG$182:AG$200,$A154)</f>
        <v>31.15</v>
      </c>
      <c r="AH154" cm="1">
        <f t="array" ref="AH154">INDEX(AH$182:AH$200,$A154)</f>
        <v>32.07</v>
      </c>
      <c r="AI154" cm="1">
        <f t="array" ref="AI154">INDEX(AI$182:AI$200,$A154)</f>
        <v>33.03</v>
      </c>
      <c r="AJ154" cm="1">
        <f t="array" ref="AJ154">INDEX(AJ$182:AJ$200,$A154)</f>
        <v>34.06</v>
      </c>
      <c r="AK154" cm="1">
        <f t="array" ref="AK154">INDEX(AK$182:AK$200,$A154)</f>
        <v>35.14</v>
      </c>
      <c r="AL154" cm="1">
        <f t="array" ref="AL154">INDEX(AL$182:AL$200,$A154)</f>
        <v>36.200000000000003</v>
      </c>
      <c r="AM154" cm="1">
        <f t="array" ref="AM154">INDEX(AM$182:AM$200,$A154)</f>
        <v>37.31</v>
      </c>
      <c r="AN154" cm="1">
        <f t="array" ref="AN154">INDEX(AN$182:AN$200,$A154)</f>
        <v>38.479999999999997</v>
      </c>
      <c r="AO154" cm="1">
        <f t="array" ref="AO154">INDEX(AO$182:AO$200,$A154)</f>
        <v>39.92</v>
      </c>
    </row>
    <row r="155" spans="1:41" x14ac:dyDescent="0.25">
      <c r="A155">
        <f t="shared" si="28"/>
        <v>3</v>
      </c>
      <c r="B155" t="s">
        <v>27</v>
      </c>
      <c r="C155" cm="1">
        <f t="array" ref="C155">INDEX(C$182:C$200,$A155)</f>
        <v>52.81</v>
      </c>
      <c r="D155" cm="1">
        <f t="array" ref="D155">INDEX(D$182:D$200,$A155)</f>
        <v>54.26</v>
      </c>
      <c r="E155" cm="1">
        <f t="array" ref="E155">INDEX(E$182:E$200,$A155)</f>
        <v>55.41</v>
      </c>
      <c r="F155" cm="1">
        <f t="array" ref="F155">INDEX(F$182:F$200,$A155)</f>
        <v>55.89</v>
      </c>
      <c r="G155" cm="1">
        <f t="array" ref="G155">INDEX(G$182:G$200,$A155)</f>
        <v>56.55</v>
      </c>
      <c r="H155" cm="1">
        <f t="array" ref="H155">INDEX(H$182:H$200,$A155)</f>
        <v>57.1</v>
      </c>
      <c r="I155" cm="1">
        <f t="array" ref="I155">INDEX(I$182:I$200,$A155)</f>
        <v>57.77</v>
      </c>
      <c r="J155" cm="1">
        <f t="array" ref="J155">INDEX(J$182:J$200,$A155)</f>
        <v>57.43</v>
      </c>
      <c r="K155" cm="1">
        <f t="array" ref="K155">INDEX(K$182:K$200,$A155)</f>
        <v>53.7</v>
      </c>
      <c r="L155" cm="1">
        <f t="array" ref="L155">INDEX(L$182:L$200,$A155)</f>
        <v>54.93</v>
      </c>
      <c r="M155" cm="1">
        <f t="array" ref="M155">INDEX(M$182:M$200,$A155)</f>
        <v>56.1</v>
      </c>
      <c r="N155" cm="1">
        <f t="array" ref="N155">INDEX(N$182:N$200,$A155)</f>
        <v>57.1</v>
      </c>
      <c r="O155" cm="1">
        <f t="array" ref="O155">INDEX(O$182:O$200,$A155)</f>
        <v>58.23</v>
      </c>
      <c r="P155" cm="1">
        <f t="array" ref="P155">INDEX(P$182:P$200,$A155)</f>
        <v>59.4</v>
      </c>
      <c r="Q155" cm="1">
        <f t="array" ref="Q155">INDEX(Q$182:Q$200,$A155)</f>
        <v>60.51</v>
      </c>
      <c r="R155" cm="1">
        <f t="array" ref="R155">INDEX(R$182:R$200,$A155)</f>
        <v>61.62</v>
      </c>
      <c r="S155" cm="1">
        <f t="array" ref="S155">INDEX(S$182:S$200,$A155)</f>
        <v>62.89</v>
      </c>
      <c r="T155" cm="1">
        <f t="array" ref="T155">INDEX(T$182:T$200,$A155)</f>
        <v>63.98</v>
      </c>
      <c r="U155" cm="1">
        <f t="array" ref="U155">INDEX(U$182:U$200,$A155)</f>
        <v>65.209999999999994</v>
      </c>
      <c r="V155" cm="1">
        <f t="array" ref="V155">INDEX(V$182:V$200,$A155)</f>
        <v>66.91</v>
      </c>
      <c r="W155" cm="1">
        <f t="array" ref="W155">INDEX(W$182:W$200,$A155)</f>
        <v>68.67</v>
      </c>
      <c r="X155" cm="1">
        <f t="array" ref="X155">INDEX(X$182:X$200,$A155)</f>
        <v>70.540000000000006</v>
      </c>
      <c r="Y155" cm="1">
        <f t="array" ref="Y155">INDEX(Y$182:Y$200,$A155)</f>
        <v>72.73</v>
      </c>
      <c r="Z155" cm="1">
        <f t="array" ref="Z155">INDEX(Z$182:Z$200,$A155)</f>
        <v>74.89</v>
      </c>
      <c r="AA155" cm="1">
        <f t="array" ref="AA155">INDEX(AA$182:AA$200,$A155)</f>
        <v>77.16</v>
      </c>
      <c r="AB155" cm="1">
        <f t="array" ref="AB155">INDEX(AB$182:AB$200,$A155)</f>
        <v>79.62</v>
      </c>
      <c r="AC155" cm="1">
        <f t="array" ref="AC155">INDEX(AC$182:AC$200,$A155)</f>
        <v>82.09</v>
      </c>
      <c r="AD155" cm="1">
        <f t="array" ref="AD155">INDEX(AD$182:AD$200,$A155)</f>
        <v>84.63</v>
      </c>
      <c r="AE155" cm="1">
        <f t="array" ref="AE155">INDEX(AE$182:AE$200,$A155)</f>
        <v>87.27</v>
      </c>
      <c r="AF155" cm="1">
        <f t="array" ref="AF155">INDEX(AF$182:AF$200,$A155)</f>
        <v>89.91</v>
      </c>
      <c r="AG155" cm="1">
        <f t="array" ref="AG155">INDEX(AG$182:AG$200,$A155)</f>
        <v>92.55</v>
      </c>
      <c r="AH155" cm="1">
        <f t="array" ref="AH155">INDEX(AH$182:AH$200,$A155)</f>
        <v>95.31</v>
      </c>
      <c r="AI155" cm="1">
        <f t="array" ref="AI155">INDEX(AI$182:AI$200,$A155)</f>
        <v>98.19</v>
      </c>
      <c r="AJ155" cm="1">
        <f t="array" ref="AJ155">INDEX(AJ$182:AJ$200,$A155)</f>
        <v>101.26</v>
      </c>
      <c r="AK155" cm="1">
        <f t="array" ref="AK155">INDEX(AK$182:AK$200,$A155)</f>
        <v>104.46</v>
      </c>
      <c r="AL155" cm="1">
        <f t="array" ref="AL155">INDEX(AL$182:AL$200,$A155)</f>
        <v>107.63</v>
      </c>
      <c r="AM155" cm="1">
        <f t="array" ref="AM155">INDEX(AM$182:AM$200,$A155)</f>
        <v>110.94</v>
      </c>
      <c r="AN155" cm="1">
        <f t="array" ref="AN155">INDEX(AN$182:AN$200,$A155)</f>
        <v>114.45</v>
      </c>
      <c r="AO155" cm="1">
        <f t="array" ref="AO155">INDEX(AO$182:AO$200,$A155)</f>
        <v>118.69</v>
      </c>
    </row>
    <row r="156" spans="1:41" x14ac:dyDescent="0.25">
      <c r="A156">
        <f t="shared" si="28"/>
        <v>13</v>
      </c>
      <c r="B156" t="s">
        <v>28</v>
      </c>
      <c r="C156" cm="1">
        <f t="array" ref="C156">INDEX(C$182:C$200,$A156)</f>
        <v>14.11</v>
      </c>
      <c r="D156" cm="1">
        <f t="array" ref="D156">INDEX(D$182:D$200,$A156)</f>
        <v>14.44</v>
      </c>
      <c r="E156" cm="1">
        <f t="array" ref="E156">INDEX(E$182:E$200,$A156)</f>
        <v>14.65</v>
      </c>
      <c r="F156" cm="1">
        <f t="array" ref="F156">INDEX(F$182:F$200,$A156)</f>
        <v>14.76</v>
      </c>
      <c r="G156" cm="1">
        <f t="array" ref="G156">INDEX(G$182:G$200,$A156)</f>
        <v>14.92</v>
      </c>
      <c r="H156" cm="1">
        <f t="array" ref="H156">INDEX(H$182:H$200,$A156)</f>
        <v>15.1</v>
      </c>
      <c r="I156" cm="1">
        <f t="array" ref="I156">INDEX(I$182:I$200,$A156)</f>
        <v>15.25</v>
      </c>
      <c r="J156" cm="1">
        <f t="array" ref="J156">INDEX(J$182:J$200,$A156)</f>
        <v>15.19</v>
      </c>
      <c r="K156" cm="1">
        <f t="array" ref="K156">INDEX(K$182:K$200,$A156)</f>
        <v>14.04</v>
      </c>
      <c r="L156" cm="1">
        <f t="array" ref="L156">INDEX(L$182:L$200,$A156)</f>
        <v>14.38</v>
      </c>
      <c r="M156" cm="1">
        <f t="array" ref="M156">INDEX(M$182:M$200,$A156)</f>
        <v>14.69</v>
      </c>
      <c r="N156" cm="1">
        <f t="array" ref="N156">INDEX(N$182:N$200,$A156)</f>
        <v>14.97</v>
      </c>
      <c r="O156" cm="1">
        <f t="array" ref="O156">INDEX(O$182:O$200,$A156)</f>
        <v>15.29</v>
      </c>
      <c r="P156" cm="1">
        <f t="array" ref="P156">INDEX(P$182:P$200,$A156)</f>
        <v>15.6</v>
      </c>
      <c r="Q156" cm="1">
        <f t="array" ref="Q156">INDEX(Q$182:Q$200,$A156)</f>
        <v>15.92</v>
      </c>
      <c r="R156" cm="1">
        <f t="array" ref="R156">INDEX(R$182:R$200,$A156)</f>
        <v>16.239999999999998</v>
      </c>
      <c r="S156" cm="1">
        <f t="array" ref="S156">INDEX(S$182:S$200,$A156)</f>
        <v>16.46</v>
      </c>
      <c r="T156" cm="1">
        <f t="array" ref="T156">INDEX(T$182:T$200,$A156)</f>
        <v>16.8</v>
      </c>
      <c r="U156" cm="1">
        <f t="array" ref="U156">INDEX(U$182:U$200,$A156)</f>
        <v>17.170000000000002</v>
      </c>
      <c r="V156" cm="1">
        <f t="array" ref="V156">INDEX(V$182:V$200,$A156)</f>
        <v>17.61</v>
      </c>
      <c r="W156" cm="1">
        <f t="array" ref="W156">INDEX(W$182:W$200,$A156)</f>
        <v>18.079999999999998</v>
      </c>
      <c r="X156" cm="1">
        <f t="array" ref="X156">INDEX(X$182:X$200,$A156)</f>
        <v>18.579999999999998</v>
      </c>
      <c r="Y156" cm="1">
        <f t="array" ref="Y156">INDEX(Y$182:Y$200,$A156)</f>
        <v>19.100000000000001</v>
      </c>
      <c r="Z156" cm="1">
        <f t="array" ref="Z156">INDEX(Z$182:Z$200,$A156)</f>
        <v>19.61</v>
      </c>
      <c r="AA156" cm="1">
        <f t="array" ref="AA156">INDEX(AA$182:AA$200,$A156)</f>
        <v>20.149999999999999</v>
      </c>
      <c r="AB156" cm="1">
        <f t="array" ref="AB156">INDEX(AB$182:AB$200,$A156)</f>
        <v>20.71</v>
      </c>
      <c r="AC156" cm="1">
        <f t="array" ref="AC156">INDEX(AC$182:AC$200,$A156)</f>
        <v>21.29</v>
      </c>
      <c r="AD156" cm="1">
        <f t="array" ref="AD156">INDEX(AD$182:AD$200,$A156)</f>
        <v>21.89</v>
      </c>
      <c r="AE156" cm="1">
        <f t="array" ref="AE156">INDEX(AE$182:AE$200,$A156)</f>
        <v>22.5</v>
      </c>
      <c r="AF156" cm="1">
        <f t="array" ref="AF156">INDEX(AF$182:AF$200,$A156)</f>
        <v>23.19</v>
      </c>
      <c r="AG156" cm="1">
        <f t="array" ref="AG156">INDEX(AG$182:AG$200,$A156)</f>
        <v>23.88</v>
      </c>
      <c r="AH156" cm="1">
        <f t="array" ref="AH156">INDEX(AH$182:AH$200,$A156)</f>
        <v>24.59</v>
      </c>
      <c r="AI156" cm="1">
        <f t="array" ref="AI156">INDEX(AI$182:AI$200,$A156)</f>
        <v>25.33</v>
      </c>
      <c r="AJ156" cm="1">
        <f t="array" ref="AJ156">INDEX(AJ$182:AJ$200,$A156)</f>
        <v>26.13</v>
      </c>
      <c r="AK156" cm="1">
        <f t="array" ref="AK156">INDEX(AK$182:AK$200,$A156)</f>
        <v>26.98</v>
      </c>
      <c r="AL156" cm="1">
        <f t="array" ref="AL156">INDEX(AL$182:AL$200,$A156)</f>
        <v>27.82</v>
      </c>
      <c r="AM156" cm="1">
        <f t="array" ref="AM156">INDEX(AM$182:AM$200,$A156)</f>
        <v>28.69</v>
      </c>
      <c r="AN156" cm="1">
        <f t="array" ref="AN156">INDEX(AN$182:AN$200,$A156)</f>
        <v>29.62</v>
      </c>
      <c r="AO156" cm="1">
        <f t="array" ref="AO156">INDEX(AO$182:AO$200,$A156)</f>
        <v>30.75</v>
      </c>
    </row>
    <row r="157" spans="1:41" x14ac:dyDescent="0.25">
      <c r="A157">
        <f t="shared" si="28"/>
        <v>11</v>
      </c>
      <c r="B157" t="s">
        <v>29</v>
      </c>
      <c r="C157" cm="1">
        <f t="array" ref="C157">INDEX(C$182:C$200,$A157)</f>
        <v>13.35</v>
      </c>
      <c r="D157" cm="1">
        <f t="array" ref="D157">INDEX(D$182:D$200,$A157)</f>
        <v>13.68</v>
      </c>
      <c r="E157" cm="1">
        <f t="array" ref="E157">INDEX(E$182:E$200,$A157)</f>
        <v>13.89</v>
      </c>
      <c r="F157" cm="1">
        <f t="array" ref="F157">INDEX(F$182:F$200,$A157)</f>
        <v>14.15</v>
      </c>
      <c r="G157" cm="1">
        <f t="array" ref="G157">INDEX(G$182:G$200,$A157)</f>
        <v>14.18</v>
      </c>
      <c r="H157" cm="1">
        <f t="array" ref="H157">INDEX(H$182:H$200,$A157)</f>
        <v>14.29</v>
      </c>
      <c r="I157" cm="1">
        <f t="array" ref="I157">INDEX(I$182:I$200,$A157)</f>
        <v>14.31</v>
      </c>
      <c r="J157" cm="1">
        <f t="array" ref="J157">INDEX(J$182:J$200,$A157)</f>
        <v>14.15</v>
      </c>
      <c r="K157" cm="1">
        <f t="array" ref="K157">INDEX(K$182:K$200,$A157)</f>
        <v>13.1</v>
      </c>
      <c r="L157" cm="1">
        <f t="array" ref="L157">INDEX(L$182:L$200,$A157)</f>
        <v>13.41</v>
      </c>
      <c r="M157" cm="1">
        <f t="array" ref="M157">INDEX(M$182:M$200,$A157)</f>
        <v>13.57</v>
      </c>
      <c r="N157" cm="1">
        <f t="array" ref="N157">INDEX(N$182:N$200,$A157)</f>
        <v>13.73</v>
      </c>
      <c r="O157" cm="1">
        <f t="array" ref="O157">INDEX(O$182:O$200,$A157)</f>
        <v>13.9</v>
      </c>
      <c r="P157" cm="1">
        <f t="array" ref="P157">INDEX(P$182:P$200,$A157)</f>
        <v>14.12</v>
      </c>
      <c r="Q157" cm="1">
        <f t="array" ref="Q157">INDEX(Q$182:Q$200,$A157)</f>
        <v>14.27</v>
      </c>
      <c r="R157" cm="1">
        <f t="array" ref="R157">INDEX(R$182:R$200,$A157)</f>
        <v>14.4</v>
      </c>
      <c r="S157" cm="1">
        <f t="array" ref="S157">INDEX(S$182:S$200,$A157)</f>
        <v>14.75</v>
      </c>
      <c r="T157" cm="1">
        <f t="array" ref="T157">INDEX(T$182:T$200,$A157)</f>
        <v>14.82</v>
      </c>
      <c r="U157" cm="1">
        <f t="array" ref="U157">INDEX(U$182:U$200,$A157)</f>
        <v>14.91</v>
      </c>
      <c r="V157" cm="1">
        <f t="array" ref="V157">INDEX(V$182:V$200,$A157)</f>
        <v>15.03</v>
      </c>
      <c r="W157" cm="1">
        <f t="array" ref="W157">INDEX(W$182:W$200,$A157)</f>
        <v>15.19</v>
      </c>
      <c r="X157" cm="1">
        <f t="array" ref="X157">INDEX(X$182:X$200,$A157)</f>
        <v>15.37</v>
      </c>
      <c r="Y157" cm="1">
        <f t="array" ref="Y157">INDEX(Y$182:Y$200,$A157)</f>
        <v>15.64</v>
      </c>
      <c r="Z157" cm="1">
        <f t="array" ref="Z157">INDEX(Z$182:Z$200,$A157)</f>
        <v>15.88</v>
      </c>
      <c r="AA157" cm="1">
        <f t="array" ref="AA157">INDEX(AA$182:AA$200,$A157)</f>
        <v>16.13</v>
      </c>
      <c r="AB157" cm="1">
        <f t="array" ref="AB157">INDEX(AB$182:AB$200,$A157)</f>
        <v>16.399999999999999</v>
      </c>
      <c r="AC157" cm="1">
        <f t="array" ref="AC157">INDEX(AC$182:AC$200,$A157)</f>
        <v>16.7</v>
      </c>
      <c r="AD157" cm="1">
        <f t="array" ref="AD157">INDEX(AD$182:AD$200,$A157)</f>
        <v>17.010000000000002</v>
      </c>
      <c r="AE157" cm="1">
        <f t="array" ref="AE157">INDEX(AE$182:AE$200,$A157)</f>
        <v>17.329999999999998</v>
      </c>
      <c r="AF157" cm="1">
        <f t="array" ref="AF157">INDEX(AF$182:AF$200,$A157)</f>
        <v>17.66</v>
      </c>
      <c r="AG157" cm="1">
        <f t="array" ref="AG157">INDEX(AG$182:AG$200,$A157)</f>
        <v>17.989999999999998</v>
      </c>
      <c r="AH157" cm="1">
        <f t="array" ref="AH157">INDEX(AH$182:AH$200,$A157)</f>
        <v>18.34</v>
      </c>
      <c r="AI157" cm="1">
        <f t="array" ref="AI157">INDEX(AI$182:AI$200,$A157)</f>
        <v>18.72</v>
      </c>
      <c r="AJ157" cm="1">
        <f t="array" ref="AJ157">INDEX(AJ$182:AJ$200,$A157)</f>
        <v>19.12</v>
      </c>
      <c r="AK157" cm="1">
        <f t="array" ref="AK157">INDEX(AK$182:AK$200,$A157)</f>
        <v>19.579999999999998</v>
      </c>
      <c r="AL157" cm="1">
        <f t="array" ref="AL157">INDEX(AL$182:AL$200,$A157)</f>
        <v>20.03</v>
      </c>
      <c r="AM157" cm="1">
        <f t="array" ref="AM157">INDEX(AM$182:AM$200,$A157)</f>
        <v>20.51</v>
      </c>
      <c r="AN157" cm="1">
        <f t="array" ref="AN157">INDEX(AN$182:AN$200,$A157)</f>
        <v>21.03</v>
      </c>
      <c r="AO157" cm="1">
        <f t="array" ref="AO157">INDEX(AO$182:AO$200,$A157)</f>
        <v>21.68</v>
      </c>
    </row>
    <row r="158" spans="1:41" x14ac:dyDescent="0.25">
      <c r="A158">
        <f t="shared" si="28"/>
        <v>15</v>
      </c>
      <c r="B158" t="s">
        <v>30</v>
      </c>
      <c r="C158" cm="1">
        <f t="array" ref="C158">INDEX(C$182:C$200,$A158)</f>
        <v>10.11</v>
      </c>
      <c r="D158" cm="1">
        <f t="array" ref="D158">INDEX(D$182:D$200,$A158)</f>
        <v>8.49</v>
      </c>
      <c r="E158" cm="1">
        <f t="array" ref="E158">INDEX(E$182:E$200,$A158)</f>
        <v>7.76</v>
      </c>
      <c r="F158" cm="1">
        <f t="array" ref="F158">INDEX(F$182:F$200,$A158)</f>
        <v>7.88</v>
      </c>
      <c r="G158" cm="1">
        <f t="array" ref="G158">INDEX(G$182:G$200,$A158)</f>
        <v>7.62</v>
      </c>
      <c r="H158" cm="1">
        <f t="array" ref="H158">INDEX(H$182:H$200,$A158)</f>
        <v>7.28</v>
      </c>
      <c r="I158" cm="1">
        <f t="array" ref="I158">INDEX(I$182:I$200,$A158)</f>
        <v>7.09</v>
      </c>
      <c r="J158" cm="1">
        <f t="array" ref="J158">INDEX(J$182:J$200,$A158)</f>
        <v>6.72</v>
      </c>
      <c r="K158" cm="1">
        <f t="array" ref="K158">INDEX(K$182:K$200,$A158)</f>
        <v>6.04</v>
      </c>
      <c r="L158" cm="1">
        <f t="array" ref="L158">INDEX(L$182:L$200,$A158)</f>
        <v>6.26</v>
      </c>
      <c r="M158" cm="1">
        <f t="array" ref="M158">INDEX(M$182:M$200,$A158)</f>
        <v>6.38</v>
      </c>
      <c r="N158" cm="1">
        <f t="array" ref="N158">INDEX(N$182:N$200,$A158)</f>
        <v>6.46</v>
      </c>
      <c r="O158" cm="1">
        <f t="array" ref="O158">INDEX(O$182:O$200,$A158)</f>
        <v>6.53</v>
      </c>
      <c r="P158" cm="1">
        <f t="array" ref="P158">INDEX(P$182:P$200,$A158)</f>
        <v>6.63</v>
      </c>
      <c r="Q158" cm="1">
        <f t="array" ref="Q158">INDEX(Q$182:Q$200,$A158)</f>
        <v>6.71</v>
      </c>
      <c r="R158" cm="1">
        <f t="array" ref="R158">INDEX(R$182:R$200,$A158)</f>
        <v>6.74</v>
      </c>
      <c r="S158" cm="1">
        <f t="array" ref="S158">INDEX(S$182:S$200,$A158)</f>
        <v>7.03</v>
      </c>
      <c r="T158" cm="1">
        <f t="array" ref="T158">INDEX(T$182:T$200,$A158)</f>
        <v>7.04</v>
      </c>
      <c r="U158" cm="1">
        <f t="array" ref="U158">INDEX(U$182:U$200,$A158)</f>
        <v>7.01</v>
      </c>
      <c r="V158" cm="1">
        <f t="array" ref="V158">INDEX(V$182:V$200,$A158)</f>
        <v>6.93</v>
      </c>
      <c r="W158" cm="1">
        <f t="array" ref="W158">INDEX(W$182:W$200,$A158)</f>
        <v>6.88</v>
      </c>
      <c r="X158" cm="1">
        <f t="array" ref="X158">INDEX(X$182:X$200,$A158)</f>
        <v>6.81</v>
      </c>
      <c r="Y158" cm="1">
        <f t="array" ref="Y158">INDEX(Y$182:Y$200,$A158)</f>
        <v>6.81</v>
      </c>
      <c r="Z158" cm="1">
        <f t="array" ref="Z158">INDEX(Z$182:Z$200,$A158)</f>
        <v>6.82</v>
      </c>
      <c r="AA158" cm="1">
        <f t="array" ref="AA158">INDEX(AA$182:AA$200,$A158)</f>
        <v>6.82</v>
      </c>
      <c r="AB158" cm="1">
        <f t="array" ref="AB158">INDEX(AB$182:AB$200,$A158)</f>
        <v>6.76</v>
      </c>
      <c r="AC158" cm="1">
        <f t="array" ref="AC158">INDEX(AC$182:AC$200,$A158)</f>
        <v>6.71</v>
      </c>
      <c r="AD158" cm="1">
        <f t="array" ref="AD158">INDEX(AD$182:AD$200,$A158)</f>
        <v>6.66</v>
      </c>
      <c r="AE158" cm="1">
        <f t="array" ref="AE158">INDEX(AE$182:AE$200,$A158)</f>
        <v>6.61</v>
      </c>
      <c r="AF158" cm="1">
        <f t="array" ref="AF158">INDEX(AF$182:AF$200,$A158)</f>
        <v>6.58</v>
      </c>
      <c r="AG158" cm="1">
        <f t="array" ref="AG158">INDEX(AG$182:AG$200,$A158)</f>
        <v>6.55</v>
      </c>
      <c r="AH158" cm="1">
        <f t="array" ref="AH158">INDEX(AH$182:AH$200,$A158)</f>
        <v>6.53</v>
      </c>
      <c r="AI158" cm="1">
        <f t="array" ref="AI158">INDEX(AI$182:AI$200,$A158)</f>
        <v>6.52</v>
      </c>
      <c r="AJ158" cm="1">
        <f t="array" ref="AJ158">INDEX(AJ$182:AJ$200,$A158)</f>
        <v>6.53</v>
      </c>
      <c r="AK158" cm="1">
        <f t="array" ref="AK158">INDEX(AK$182:AK$200,$A158)</f>
        <v>6.59</v>
      </c>
      <c r="AL158" cm="1">
        <f t="array" ref="AL158">INDEX(AL$182:AL$200,$A158)</f>
        <v>6.65</v>
      </c>
      <c r="AM158" cm="1">
        <f t="array" ref="AM158">INDEX(AM$182:AM$200,$A158)</f>
        <v>6.73</v>
      </c>
      <c r="AN158" cm="1">
        <f t="array" ref="AN158">INDEX(AN$182:AN$200,$A158)</f>
        <v>6.83</v>
      </c>
      <c r="AO158" cm="1">
        <f t="array" ref="AO158">INDEX(AO$182:AO$200,$A158)</f>
        <v>6.99</v>
      </c>
    </row>
    <row r="159" spans="1:41" x14ac:dyDescent="0.25">
      <c r="A159">
        <f t="shared" si="28"/>
        <v>19</v>
      </c>
      <c r="B159" t="s">
        <v>31</v>
      </c>
      <c r="C159" cm="1">
        <f t="array" ref="C159">INDEX(C$182:C$200,$A159)</f>
        <v>0</v>
      </c>
      <c r="D159" cm="1">
        <f t="array" ref="D159">INDEX(D$182:D$200,$A159)</f>
        <v>0</v>
      </c>
      <c r="E159" cm="1">
        <f t="array" ref="E159">INDEX(E$182:E$200,$A159)</f>
        <v>0</v>
      </c>
      <c r="F159" cm="1">
        <f t="array" ref="F159">INDEX(F$182:F$200,$A159)</f>
        <v>0</v>
      </c>
      <c r="G159" cm="1">
        <f t="array" ref="G159">INDEX(G$182:G$200,$A159)</f>
        <v>0</v>
      </c>
      <c r="H159" cm="1">
        <f t="array" ref="H159">INDEX(H$182:H$200,$A159)</f>
        <v>0</v>
      </c>
      <c r="I159" cm="1">
        <f t="array" ref="I159">INDEX(I$182:I$200,$A159)</f>
        <v>0</v>
      </c>
      <c r="J159" cm="1">
        <f t="array" ref="J159">INDEX(J$182:J$200,$A159)</f>
        <v>0</v>
      </c>
      <c r="K159" cm="1">
        <f t="array" ref="K159">INDEX(K$182:K$200,$A159)</f>
        <v>0</v>
      </c>
      <c r="L159" cm="1">
        <f t="array" ref="L159">INDEX(L$182:L$200,$A159)</f>
        <v>0</v>
      </c>
      <c r="M159" cm="1">
        <f t="array" ref="M159">INDEX(M$182:M$200,$A159)</f>
        <v>0</v>
      </c>
      <c r="N159" cm="1">
        <f t="array" ref="N159">INDEX(N$182:N$200,$A159)</f>
        <v>0</v>
      </c>
      <c r="O159" cm="1">
        <f t="array" ref="O159">INDEX(O$182:O$200,$A159)</f>
        <v>0</v>
      </c>
      <c r="P159" cm="1">
        <f t="array" ref="P159">INDEX(P$182:P$200,$A159)</f>
        <v>0</v>
      </c>
      <c r="Q159" cm="1">
        <f t="array" ref="Q159">INDEX(Q$182:Q$200,$A159)</f>
        <v>0</v>
      </c>
      <c r="R159" cm="1">
        <f t="array" ref="R159">INDEX(R$182:R$200,$A159)</f>
        <v>0</v>
      </c>
      <c r="S159" cm="1">
        <f t="array" ref="S159">INDEX(S$182:S$200,$A159)</f>
        <v>0</v>
      </c>
      <c r="T159" cm="1">
        <f t="array" ref="T159">INDEX(T$182:T$200,$A159)</f>
        <v>0</v>
      </c>
      <c r="U159" cm="1">
        <f t="array" ref="U159">INDEX(U$182:U$200,$A159)</f>
        <v>0</v>
      </c>
      <c r="V159" cm="1">
        <f t="array" ref="V159">INDEX(V$182:V$200,$A159)</f>
        <v>0</v>
      </c>
      <c r="W159" cm="1">
        <f t="array" ref="W159">INDEX(W$182:W$200,$A159)</f>
        <v>0</v>
      </c>
      <c r="X159" cm="1">
        <f t="array" ref="X159">INDEX(X$182:X$200,$A159)</f>
        <v>0</v>
      </c>
      <c r="Y159" cm="1">
        <f t="array" ref="Y159">INDEX(Y$182:Y$200,$A159)</f>
        <v>0</v>
      </c>
      <c r="Z159" cm="1">
        <f t="array" ref="Z159">INDEX(Z$182:Z$200,$A159)</f>
        <v>0</v>
      </c>
      <c r="AA159" cm="1">
        <f t="array" ref="AA159">INDEX(AA$182:AA$200,$A159)</f>
        <v>0</v>
      </c>
      <c r="AB159" cm="1">
        <f t="array" ref="AB159">INDEX(AB$182:AB$200,$A159)</f>
        <v>0</v>
      </c>
      <c r="AC159" cm="1">
        <f t="array" ref="AC159">INDEX(AC$182:AC$200,$A159)</f>
        <v>0</v>
      </c>
      <c r="AD159" cm="1">
        <f t="array" ref="AD159">INDEX(AD$182:AD$200,$A159)</f>
        <v>0</v>
      </c>
      <c r="AE159" cm="1">
        <f t="array" ref="AE159">INDEX(AE$182:AE$200,$A159)</f>
        <v>0</v>
      </c>
      <c r="AF159" cm="1">
        <f t="array" ref="AF159">INDEX(AF$182:AF$200,$A159)</f>
        <v>0</v>
      </c>
      <c r="AG159" cm="1">
        <f t="array" ref="AG159">INDEX(AG$182:AG$200,$A159)</f>
        <v>0</v>
      </c>
      <c r="AH159" cm="1">
        <f t="array" ref="AH159">INDEX(AH$182:AH$200,$A159)</f>
        <v>0</v>
      </c>
      <c r="AI159" cm="1">
        <f t="array" ref="AI159">INDEX(AI$182:AI$200,$A159)</f>
        <v>0</v>
      </c>
      <c r="AJ159" cm="1">
        <f t="array" ref="AJ159">INDEX(AJ$182:AJ$200,$A159)</f>
        <v>0</v>
      </c>
      <c r="AK159" cm="1">
        <f t="array" ref="AK159">INDEX(AK$182:AK$200,$A159)</f>
        <v>0</v>
      </c>
      <c r="AL159" cm="1">
        <f t="array" ref="AL159">INDEX(AL$182:AL$200,$A159)</f>
        <v>0</v>
      </c>
      <c r="AM159" cm="1">
        <f t="array" ref="AM159">INDEX(AM$182:AM$200,$A159)</f>
        <v>0</v>
      </c>
      <c r="AN159" cm="1">
        <f t="array" ref="AN159">INDEX(AN$182:AN$200,$A159)</f>
        <v>0</v>
      </c>
      <c r="AO159" cm="1">
        <f t="array" ref="AO159">INDEX(AO$182:AO$200,$A159)</f>
        <v>0</v>
      </c>
    </row>
    <row r="160" spans="1:41" x14ac:dyDescent="0.25">
      <c r="A160">
        <f t="shared" si="28"/>
        <v>6</v>
      </c>
      <c r="B160" t="s">
        <v>32</v>
      </c>
      <c r="C160" cm="1">
        <f t="array" ref="C160">INDEX(C$182:C$200,$A160)</f>
        <v>84.25</v>
      </c>
      <c r="D160" cm="1">
        <f t="array" ref="D160">INDEX(D$182:D$200,$A160)</f>
        <v>82.71</v>
      </c>
      <c r="E160" cm="1">
        <f t="array" ref="E160">INDEX(E$182:E$200,$A160)</f>
        <v>79.56</v>
      </c>
      <c r="F160" cm="1">
        <f t="array" ref="F160">INDEX(F$182:F$200,$A160)</f>
        <v>76.53</v>
      </c>
      <c r="G160" cm="1">
        <f t="array" ref="G160">INDEX(G$182:G$200,$A160)</f>
        <v>75.13</v>
      </c>
      <c r="H160" cm="1">
        <f t="array" ref="H160">INDEX(H$182:H$200,$A160)</f>
        <v>74.03</v>
      </c>
      <c r="I160" cm="1">
        <f t="array" ref="I160">INDEX(I$182:I$200,$A160)</f>
        <v>74.44</v>
      </c>
      <c r="J160" cm="1">
        <f t="array" ref="J160">INDEX(J$182:J$200,$A160)</f>
        <v>72.650000000000006</v>
      </c>
      <c r="K160" cm="1">
        <f t="array" ref="K160">INDEX(K$182:K$200,$A160)</f>
        <v>70.260000000000005</v>
      </c>
      <c r="L160" cm="1">
        <f t="array" ref="L160">INDEX(L$182:L$200,$A160)</f>
        <v>74.099999999999994</v>
      </c>
      <c r="M160" cm="1">
        <f t="array" ref="M160">INDEX(M$182:M$200,$A160)</f>
        <v>73.67</v>
      </c>
      <c r="N160" cm="1">
        <f t="array" ref="N160">INDEX(N$182:N$200,$A160)</f>
        <v>74.25</v>
      </c>
      <c r="O160" cm="1">
        <f t="array" ref="O160">INDEX(O$182:O$200,$A160)</f>
        <v>74.66</v>
      </c>
      <c r="P160" cm="1">
        <f t="array" ref="P160">INDEX(P$182:P$200,$A160)</f>
        <v>75.03</v>
      </c>
      <c r="Q160" cm="1">
        <f t="array" ref="Q160">INDEX(Q$182:Q$200,$A160)</f>
        <v>76.28</v>
      </c>
      <c r="R160" cm="1">
        <f t="array" ref="R160">INDEX(R$182:R$200,$A160)</f>
        <v>76.319999999999993</v>
      </c>
      <c r="S160" cm="1">
        <f t="array" ref="S160">INDEX(S$182:S$200,$A160)</f>
        <v>76.67</v>
      </c>
      <c r="T160" cm="1">
        <f t="array" ref="T160">INDEX(T$182:T$200,$A160)</f>
        <v>78.13</v>
      </c>
      <c r="U160" cm="1">
        <f t="array" ref="U160">INDEX(U$182:U$200,$A160)</f>
        <v>79.61</v>
      </c>
      <c r="V160" cm="1">
        <f t="array" ref="V160">INDEX(V$182:V$200,$A160)</f>
        <v>81.23</v>
      </c>
      <c r="W160" cm="1">
        <f t="array" ref="W160">INDEX(W$182:W$200,$A160)</f>
        <v>83.69</v>
      </c>
      <c r="X160" cm="1">
        <f t="array" ref="X160">INDEX(X$182:X$200,$A160)</f>
        <v>85.48</v>
      </c>
      <c r="Y160" cm="1">
        <f t="array" ref="Y160">INDEX(Y$182:Y$200,$A160)</f>
        <v>87.67</v>
      </c>
      <c r="Z160" cm="1">
        <f t="array" ref="Z160">INDEX(Z$182:Z$200,$A160)</f>
        <v>89.95</v>
      </c>
      <c r="AA160" cm="1">
        <f t="array" ref="AA160">INDEX(AA$182:AA$200,$A160)</f>
        <v>91.79</v>
      </c>
      <c r="AB160" cm="1">
        <f t="array" ref="AB160">INDEX(AB$182:AB$200,$A160)</f>
        <v>93.81</v>
      </c>
      <c r="AC160" cm="1">
        <f t="array" ref="AC160">INDEX(AC$182:AC$200,$A160)</f>
        <v>95.03</v>
      </c>
      <c r="AD160" cm="1">
        <f t="array" ref="AD160">INDEX(AD$182:AD$200,$A160)</f>
        <v>96.4</v>
      </c>
      <c r="AE160" cm="1">
        <f t="array" ref="AE160">INDEX(AE$182:AE$200,$A160)</f>
        <v>97.78</v>
      </c>
      <c r="AF160" cm="1">
        <f t="array" ref="AF160">INDEX(AF$182:AF$200,$A160)</f>
        <v>99.48</v>
      </c>
      <c r="AG160" cm="1">
        <f t="array" ref="AG160">INDEX(AG$182:AG$200,$A160)</f>
        <v>101.08</v>
      </c>
      <c r="AH160" cm="1">
        <f t="array" ref="AH160">INDEX(AH$182:AH$200,$A160)</f>
        <v>102.69</v>
      </c>
      <c r="AI160" cm="1">
        <f t="array" ref="AI160">INDEX(AI$182:AI$200,$A160)</f>
        <v>104.32</v>
      </c>
      <c r="AJ160" cm="1">
        <f t="array" ref="AJ160">INDEX(AJ$182:AJ$200,$A160)</f>
        <v>105.99</v>
      </c>
      <c r="AK160" cm="1">
        <f t="array" ref="AK160">INDEX(AK$182:AK$200,$A160)</f>
        <v>108.49</v>
      </c>
      <c r="AL160" cm="1">
        <f t="array" ref="AL160">INDEX(AL$182:AL$200,$A160)</f>
        <v>110.57</v>
      </c>
      <c r="AM160" cm="1">
        <f t="array" ref="AM160">INDEX(AM$182:AM$200,$A160)</f>
        <v>112.67</v>
      </c>
      <c r="AN160" cm="1">
        <f t="array" ref="AN160">INDEX(AN$182:AN$200,$A160)</f>
        <v>114.79</v>
      </c>
      <c r="AO160" cm="1">
        <f t="array" ref="AO160">INDEX(AO$182:AO$200,$A160)</f>
        <v>116.96</v>
      </c>
    </row>
    <row r="161" spans="1:41" x14ac:dyDescent="0.25">
      <c r="A161">
        <f t="shared" si="28"/>
        <v>14</v>
      </c>
      <c r="B161" t="s">
        <v>33</v>
      </c>
      <c r="C161" cm="1">
        <f t="array" ref="C161">INDEX(C$182:C$200,$A161)</f>
        <v>21.15</v>
      </c>
      <c r="D161" cm="1">
        <f t="array" ref="D161">INDEX(D$182:D$200,$A161)</f>
        <v>22.36</v>
      </c>
      <c r="E161" cm="1">
        <f t="array" ref="E161">INDEX(E$182:E$200,$A161)</f>
        <v>23.93</v>
      </c>
      <c r="F161" cm="1">
        <f t="array" ref="F161">INDEX(F$182:F$200,$A161)</f>
        <v>24.86</v>
      </c>
      <c r="G161" cm="1">
        <f t="array" ref="G161">INDEX(G$182:G$200,$A161)</f>
        <v>25.68</v>
      </c>
      <c r="H161" cm="1">
        <f t="array" ref="H161">INDEX(H$182:H$200,$A161)</f>
        <v>27.65</v>
      </c>
      <c r="I161" cm="1">
        <f t="array" ref="I161">INDEX(I$182:I$200,$A161)</f>
        <v>29.64</v>
      </c>
      <c r="J161" cm="1">
        <f t="array" ref="J161">INDEX(J$182:J$200,$A161)</f>
        <v>30.75</v>
      </c>
      <c r="K161" cm="1">
        <f t="array" ref="K161">INDEX(K$182:K$200,$A161)</f>
        <v>30.26</v>
      </c>
      <c r="L161" cm="1">
        <f t="array" ref="L161">INDEX(L$182:L$200,$A161)</f>
        <v>31.64</v>
      </c>
      <c r="M161" cm="1">
        <f t="array" ref="M161">INDEX(M$182:M$200,$A161)</f>
        <v>33.06</v>
      </c>
      <c r="N161" cm="1">
        <f t="array" ref="N161">INDEX(N$182:N$200,$A161)</f>
        <v>34.409999999999997</v>
      </c>
      <c r="O161" cm="1">
        <f t="array" ref="O161">INDEX(O$182:O$200,$A161)</f>
        <v>36.049999999999997</v>
      </c>
      <c r="P161" cm="1">
        <f t="array" ref="P161">INDEX(P$182:P$200,$A161)</f>
        <v>37.840000000000003</v>
      </c>
      <c r="Q161" cm="1">
        <f t="array" ref="Q161">INDEX(Q$182:Q$200,$A161)</f>
        <v>39.71</v>
      </c>
      <c r="R161" cm="1">
        <f t="array" ref="R161">INDEX(R$182:R$200,$A161)</f>
        <v>41.68</v>
      </c>
      <c r="S161" cm="1">
        <f t="array" ref="S161">INDEX(S$182:S$200,$A161)</f>
        <v>44.08</v>
      </c>
      <c r="T161" cm="1">
        <f t="array" ref="T161">INDEX(T$182:T$200,$A161)</f>
        <v>46.58</v>
      </c>
      <c r="U161" cm="1">
        <f t="array" ref="U161">INDEX(U$182:U$200,$A161)</f>
        <v>49.3</v>
      </c>
      <c r="V161" cm="1">
        <f t="array" ref="V161">INDEX(V$182:V$200,$A161)</f>
        <v>52.42</v>
      </c>
      <c r="W161" cm="1">
        <f t="array" ref="W161">INDEX(W$182:W$200,$A161)</f>
        <v>55.71</v>
      </c>
      <c r="X161" cm="1">
        <f t="array" ref="X161">INDEX(X$182:X$200,$A161)</f>
        <v>59.21</v>
      </c>
      <c r="Y161" cm="1">
        <f t="array" ref="Y161">INDEX(Y$182:Y$200,$A161)</f>
        <v>63.34</v>
      </c>
      <c r="Z161" cm="1">
        <f t="array" ref="Z161">INDEX(Z$182:Z$200,$A161)</f>
        <v>67.680000000000007</v>
      </c>
      <c r="AA161" cm="1">
        <f t="array" ref="AA161">INDEX(AA$182:AA$200,$A161)</f>
        <v>72.56</v>
      </c>
      <c r="AB161" cm="1">
        <f t="array" ref="AB161">INDEX(AB$182:AB$200,$A161)</f>
        <v>77.790000000000006</v>
      </c>
      <c r="AC161" cm="1">
        <f t="array" ref="AC161">INDEX(AC$182:AC$200,$A161)</f>
        <v>83.35</v>
      </c>
      <c r="AD161" cm="1">
        <f t="array" ref="AD161">INDEX(AD$182:AD$200,$A161)</f>
        <v>89.31</v>
      </c>
      <c r="AE161" cm="1">
        <f t="array" ref="AE161">INDEX(AE$182:AE$200,$A161)</f>
        <v>95.69</v>
      </c>
      <c r="AF161" cm="1">
        <f t="array" ref="AF161">INDEX(AF$182:AF$200,$A161)</f>
        <v>102.28</v>
      </c>
      <c r="AG161" cm="1">
        <f t="array" ref="AG161">INDEX(AG$182:AG$200,$A161)</f>
        <v>108.82</v>
      </c>
      <c r="AH161" cm="1">
        <f t="array" ref="AH161">INDEX(AH$182:AH$200,$A161)</f>
        <v>115.61</v>
      </c>
      <c r="AI161" cm="1">
        <f t="array" ref="AI161">INDEX(AI$182:AI$200,$A161)</f>
        <v>122.69</v>
      </c>
      <c r="AJ161" cm="1">
        <f t="array" ref="AJ161">INDEX(AJ$182:AJ$200,$A161)</f>
        <v>130.12</v>
      </c>
      <c r="AK161" cm="1">
        <f t="array" ref="AK161">INDEX(AK$182:AK$200,$A161)</f>
        <v>137.75</v>
      </c>
      <c r="AL161" cm="1">
        <f t="array" ref="AL161">INDEX(AL$182:AL$200,$A161)</f>
        <v>145.12</v>
      </c>
      <c r="AM161" cm="1">
        <f t="array" ref="AM161">INDEX(AM$182:AM$200,$A161)</f>
        <v>152.74</v>
      </c>
      <c r="AN161" cm="1">
        <f t="array" ref="AN161">INDEX(AN$182:AN$200,$A161)</f>
        <v>160.78</v>
      </c>
      <c r="AO161" cm="1">
        <f t="array" ref="AO161">INDEX(AO$182:AO$200,$A161)</f>
        <v>170.59</v>
      </c>
    </row>
    <row r="162" spans="1:41" x14ac:dyDescent="0.25">
      <c r="A162">
        <f t="shared" si="28"/>
        <v>9</v>
      </c>
      <c r="B162" t="s">
        <v>34</v>
      </c>
      <c r="C162" cm="1">
        <f t="array" ref="C162">INDEX(C$182:C$200,$A162)</f>
        <v>135.96</v>
      </c>
      <c r="D162" cm="1">
        <f t="array" ref="D162">INDEX(D$182:D$200,$A162)</f>
        <v>139.76</v>
      </c>
      <c r="E162" cm="1">
        <f t="array" ref="E162">INDEX(E$182:E$200,$A162)</f>
        <v>143.13</v>
      </c>
      <c r="F162" cm="1">
        <f t="array" ref="F162">INDEX(F$182:F$200,$A162)</f>
        <v>144.43</v>
      </c>
      <c r="G162" cm="1">
        <f t="array" ref="G162">INDEX(G$182:G$200,$A162)</f>
        <v>145.78</v>
      </c>
      <c r="H162" cm="1">
        <f t="array" ref="H162">INDEX(H$182:H$200,$A162)</f>
        <v>148.19</v>
      </c>
      <c r="I162" cm="1">
        <f t="array" ref="I162">INDEX(I$182:I$200,$A162)</f>
        <v>150.15</v>
      </c>
      <c r="J162" cm="1">
        <f t="array" ref="J162">INDEX(J$182:J$200,$A162)</f>
        <v>149.86000000000001</v>
      </c>
      <c r="K162" cm="1">
        <f t="array" ref="K162">INDEX(K$182:K$200,$A162)</f>
        <v>138.71</v>
      </c>
      <c r="L162" cm="1">
        <f t="array" ref="L162">INDEX(L$182:L$200,$A162)</f>
        <v>141.72999999999999</v>
      </c>
      <c r="M162" cm="1">
        <f t="array" ref="M162">INDEX(M$182:M$200,$A162)</f>
        <v>144.58000000000001</v>
      </c>
      <c r="N162" cm="1">
        <f t="array" ref="N162">INDEX(N$182:N$200,$A162)</f>
        <v>147.09</v>
      </c>
      <c r="O162" cm="1">
        <f t="array" ref="O162">INDEX(O$182:O$200,$A162)</f>
        <v>150.05000000000001</v>
      </c>
      <c r="P162" cm="1">
        <f t="array" ref="P162">INDEX(P$182:P$200,$A162)</f>
        <v>152.99</v>
      </c>
      <c r="Q162" cm="1">
        <f t="array" ref="Q162">INDEX(Q$182:Q$200,$A162)</f>
        <v>155.99</v>
      </c>
      <c r="R162" cm="1">
        <f t="array" ref="R162">INDEX(R$182:R$200,$A162)</f>
        <v>158.99</v>
      </c>
      <c r="S162" cm="1">
        <f t="array" ref="S162">INDEX(S$182:S$200,$A162)</f>
        <v>160.97999999999999</v>
      </c>
      <c r="T162" cm="1">
        <f t="array" ref="T162">INDEX(T$182:T$200,$A162)</f>
        <v>164.16</v>
      </c>
      <c r="U162" cm="1">
        <f t="array" ref="U162">INDEX(U$182:U$200,$A162)</f>
        <v>167.7</v>
      </c>
      <c r="V162" cm="1">
        <f t="array" ref="V162">INDEX(V$182:V$200,$A162)</f>
        <v>172.12</v>
      </c>
      <c r="W162" cm="1">
        <f t="array" ref="W162">INDEX(W$182:W$200,$A162)</f>
        <v>176.73</v>
      </c>
      <c r="X162" cm="1">
        <f t="array" ref="X162">INDEX(X$182:X$200,$A162)</f>
        <v>181.62</v>
      </c>
      <c r="Y162" cm="1">
        <f t="array" ref="Y162">INDEX(Y$182:Y$200,$A162)</f>
        <v>186.95</v>
      </c>
      <c r="Z162" cm="1">
        <f t="array" ref="Z162">INDEX(Z$182:Z$200,$A162)</f>
        <v>192.27</v>
      </c>
      <c r="AA162" cm="1">
        <f t="array" ref="AA162">INDEX(AA$182:AA$200,$A162)</f>
        <v>197.94</v>
      </c>
      <c r="AB162" cm="1">
        <f t="array" ref="AB162">INDEX(AB$182:AB$200,$A162)</f>
        <v>204.15</v>
      </c>
      <c r="AC162" cm="1">
        <f t="array" ref="AC162">INDEX(AC$182:AC$200,$A162)</f>
        <v>210.42</v>
      </c>
      <c r="AD162" cm="1">
        <f t="array" ref="AD162">INDEX(AD$182:AD$200,$A162)</f>
        <v>216.93</v>
      </c>
      <c r="AE162" cm="1">
        <f t="array" ref="AE162">INDEX(AE$182:AE$200,$A162)</f>
        <v>223.69</v>
      </c>
      <c r="AF162" cm="1">
        <f t="array" ref="AF162">INDEX(AF$182:AF$200,$A162)</f>
        <v>230.57</v>
      </c>
      <c r="AG162" cm="1">
        <f t="array" ref="AG162">INDEX(AG$182:AG$200,$A162)</f>
        <v>237.37</v>
      </c>
      <c r="AH162" cm="1">
        <f t="array" ref="AH162">INDEX(AH$182:AH$200,$A162)</f>
        <v>244.47</v>
      </c>
      <c r="AI162" cm="1">
        <f t="array" ref="AI162">INDEX(AI$182:AI$200,$A162)</f>
        <v>251.92</v>
      </c>
      <c r="AJ162" cm="1">
        <f t="array" ref="AJ162">INDEX(AJ$182:AJ$200,$A162)</f>
        <v>259.85000000000002</v>
      </c>
      <c r="AK162" cm="1">
        <f t="array" ref="AK162">INDEX(AK$182:AK$200,$A162)</f>
        <v>268.14999999999998</v>
      </c>
      <c r="AL162" cm="1">
        <f t="array" ref="AL162">INDEX(AL$182:AL$200,$A162)</f>
        <v>276.3</v>
      </c>
      <c r="AM162" cm="1">
        <f t="array" ref="AM162">INDEX(AM$182:AM$200,$A162)</f>
        <v>284.83999999999997</v>
      </c>
      <c r="AN162" cm="1">
        <f t="array" ref="AN162">INDEX(AN$182:AN$200,$A162)</f>
        <v>293.93</v>
      </c>
      <c r="AO162" cm="1">
        <f t="array" ref="AO162">INDEX(AO$182:AO$200,$A162)</f>
        <v>305.06</v>
      </c>
    </row>
    <row r="163" spans="1:41" x14ac:dyDescent="0.25">
      <c r="A163">
        <f t="shared" si="28"/>
        <v>2</v>
      </c>
      <c r="B163" t="s">
        <v>35</v>
      </c>
      <c r="C163" cm="1">
        <f t="array" ref="C163">INDEX(C$182:C$200,$A163)</f>
        <v>11.26</v>
      </c>
      <c r="D163" cm="1">
        <f t="array" ref="D163">INDEX(D$182:D$200,$A163)</f>
        <v>11.58</v>
      </c>
      <c r="E163" cm="1">
        <f t="array" ref="E163">INDEX(E$182:E$200,$A163)</f>
        <v>11.98</v>
      </c>
      <c r="F163" cm="1">
        <f t="array" ref="F163">INDEX(F$182:F$200,$A163)</f>
        <v>12.2</v>
      </c>
      <c r="G163" cm="1">
        <f t="array" ref="G163">INDEX(G$182:G$200,$A163)</f>
        <v>12.33</v>
      </c>
      <c r="H163" cm="1">
        <f t="array" ref="H163">INDEX(H$182:H$200,$A163)</f>
        <v>12.56</v>
      </c>
      <c r="I163" cm="1">
        <f t="array" ref="I163">INDEX(I$182:I$200,$A163)</f>
        <v>12.87</v>
      </c>
      <c r="J163" cm="1">
        <f t="array" ref="J163">INDEX(J$182:J$200,$A163)</f>
        <v>12.94</v>
      </c>
      <c r="K163" cm="1">
        <f t="array" ref="K163">INDEX(K$182:K$200,$A163)</f>
        <v>12.19</v>
      </c>
      <c r="L163" cm="1">
        <f t="array" ref="L163">INDEX(L$182:L$200,$A163)</f>
        <v>12.53</v>
      </c>
      <c r="M163" cm="1">
        <f t="array" ref="M163">INDEX(M$182:M$200,$A163)</f>
        <v>12.82</v>
      </c>
      <c r="N163" cm="1">
        <f t="array" ref="N163">INDEX(N$182:N$200,$A163)</f>
        <v>13.05</v>
      </c>
      <c r="O163" cm="1">
        <f t="array" ref="O163">INDEX(O$182:O$200,$A163)</f>
        <v>13.31</v>
      </c>
      <c r="P163" cm="1">
        <f t="array" ref="P163">INDEX(P$182:P$200,$A163)</f>
        <v>13.56</v>
      </c>
      <c r="Q163" cm="1">
        <f t="array" ref="Q163">INDEX(Q$182:Q$200,$A163)</f>
        <v>13.81</v>
      </c>
      <c r="R163" cm="1">
        <f t="array" ref="R163">INDEX(R$182:R$200,$A163)</f>
        <v>14.05</v>
      </c>
      <c r="S163" cm="1">
        <f t="array" ref="S163">INDEX(S$182:S$200,$A163)</f>
        <v>14.19</v>
      </c>
      <c r="T163" cm="1">
        <f t="array" ref="T163">INDEX(T$182:T$200,$A163)</f>
        <v>14.47</v>
      </c>
      <c r="U163" cm="1">
        <f t="array" ref="U163">INDEX(U$182:U$200,$A163)</f>
        <v>14.75</v>
      </c>
      <c r="V163" cm="1">
        <f t="array" ref="V163">INDEX(V$182:V$200,$A163)</f>
        <v>15.11</v>
      </c>
      <c r="W163" cm="1">
        <f t="array" ref="W163">INDEX(W$182:W$200,$A163)</f>
        <v>15.46</v>
      </c>
      <c r="X163" cm="1">
        <f t="array" ref="X163">INDEX(X$182:X$200,$A163)</f>
        <v>15.82</v>
      </c>
      <c r="Y163" cm="1">
        <f t="array" ref="Y163">INDEX(Y$182:Y$200,$A163)</f>
        <v>16.18</v>
      </c>
      <c r="Z163" cm="1">
        <f t="array" ref="Z163">INDEX(Z$182:Z$200,$A163)</f>
        <v>16.559999999999999</v>
      </c>
      <c r="AA163" cm="1">
        <f t="array" ref="AA163">INDEX(AA$182:AA$200,$A163)</f>
        <v>16.95</v>
      </c>
      <c r="AB163" cm="1">
        <f t="array" ref="AB163">INDEX(AB$182:AB$200,$A163)</f>
        <v>17.38</v>
      </c>
      <c r="AC163" cm="1">
        <f t="array" ref="AC163">INDEX(AC$182:AC$200,$A163)</f>
        <v>17.8</v>
      </c>
      <c r="AD163" cm="1">
        <f t="array" ref="AD163">INDEX(AD$182:AD$200,$A163)</f>
        <v>18.23</v>
      </c>
      <c r="AE163" cm="1">
        <f t="array" ref="AE163">INDEX(AE$182:AE$200,$A163)</f>
        <v>18.670000000000002</v>
      </c>
      <c r="AF163" cm="1">
        <f t="array" ref="AF163">INDEX(AF$182:AF$200,$A163)</f>
        <v>19.12</v>
      </c>
      <c r="AG163" cm="1">
        <f t="array" ref="AG163">INDEX(AG$182:AG$200,$A163)</f>
        <v>19.55</v>
      </c>
      <c r="AH163" cm="1">
        <f t="array" ref="AH163">INDEX(AH$182:AH$200,$A163)</f>
        <v>19.98</v>
      </c>
      <c r="AI163" cm="1">
        <f t="array" ref="AI163">INDEX(AI$182:AI$200,$A163)</f>
        <v>20.420000000000002</v>
      </c>
      <c r="AJ163" cm="1">
        <f t="array" ref="AJ163">INDEX(AJ$182:AJ$200,$A163)</f>
        <v>20.87</v>
      </c>
      <c r="AK163" cm="1">
        <f t="array" ref="AK163">INDEX(AK$182:AK$200,$A163)</f>
        <v>21.33</v>
      </c>
      <c r="AL163" cm="1">
        <f t="array" ref="AL163">INDEX(AL$182:AL$200,$A163)</f>
        <v>21.77</v>
      </c>
      <c r="AM163" cm="1">
        <f t="array" ref="AM163">INDEX(AM$182:AM$200,$A163)</f>
        <v>22.21</v>
      </c>
      <c r="AN163" cm="1">
        <f t="array" ref="AN163">INDEX(AN$182:AN$200,$A163)</f>
        <v>22.68</v>
      </c>
      <c r="AO163" cm="1">
        <f t="array" ref="AO163">INDEX(AO$182:AO$200,$A163)</f>
        <v>23.27</v>
      </c>
    </row>
    <row r="164" spans="1:41" x14ac:dyDescent="0.25">
      <c r="A164">
        <f t="shared" si="28"/>
        <v>17</v>
      </c>
      <c r="B164" t="s">
        <v>36</v>
      </c>
      <c r="C164" cm="1">
        <f t="array" ref="C164">INDEX(C$182:C$200,$A164)</f>
        <v>1.1399999999999999</v>
      </c>
      <c r="D164" cm="1">
        <f t="array" ref="D164">INDEX(D$182:D$200,$A164)</f>
        <v>1.1499999999999999</v>
      </c>
      <c r="E164" cm="1">
        <f t="array" ref="E164">INDEX(E$182:E$200,$A164)</f>
        <v>1.1299999999999999</v>
      </c>
      <c r="F164" cm="1">
        <f t="array" ref="F164">INDEX(F$182:F$200,$A164)</f>
        <v>1.1200000000000001</v>
      </c>
      <c r="G164" cm="1">
        <f t="array" ref="G164">INDEX(G$182:G$200,$A164)</f>
        <v>1.1200000000000001</v>
      </c>
      <c r="H164" cm="1">
        <f t="array" ref="H164">INDEX(H$182:H$200,$A164)</f>
        <v>1.1299999999999999</v>
      </c>
      <c r="I164" cm="1">
        <f t="array" ref="I164">INDEX(I$182:I$200,$A164)</f>
        <v>1.1000000000000001</v>
      </c>
      <c r="J164" cm="1">
        <f t="array" ref="J164">INDEX(J$182:J$200,$A164)</f>
        <v>1.07</v>
      </c>
      <c r="K164" cm="1">
        <f t="array" ref="K164">INDEX(K$182:K$200,$A164)</f>
        <v>0.94</v>
      </c>
      <c r="L164" cm="1">
        <f t="array" ref="L164">INDEX(L$182:L$200,$A164)</f>
        <v>0.94</v>
      </c>
      <c r="M164" cm="1">
        <f t="array" ref="M164">INDEX(M$182:M$200,$A164)</f>
        <v>0.95</v>
      </c>
      <c r="N164" cm="1">
        <f t="array" ref="N164">INDEX(N$182:N$200,$A164)</f>
        <v>0.97</v>
      </c>
      <c r="O164" cm="1">
        <f t="array" ref="O164">INDEX(O$182:O$200,$A164)</f>
        <v>0.98</v>
      </c>
      <c r="P164" cm="1">
        <f t="array" ref="P164">INDEX(P$182:P$200,$A164)</f>
        <v>1</v>
      </c>
      <c r="Q164" cm="1">
        <f t="array" ref="Q164">INDEX(Q$182:Q$200,$A164)</f>
        <v>1.02</v>
      </c>
      <c r="R164" cm="1">
        <f t="array" ref="R164">INDEX(R$182:R$200,$A164)</f>
        <v>1.04</v>
      </c>
      <c r="S164" cm="1">
        <f t="array" ref="S164">INDEX(S$182:S$200,$A164)</f>
        <v>1.05</v>
      </c>
      <c r="T164" cm="1">
        <f t="array" ref="T164">INDEX(T$182:T$200,$A164)</f>
        <v>1.06</v>
      </c>
      <c r="U164" cm="1">
        <f t="array" ref="U164">INDEX(U$182:U$200,$A164)</f>
        <v>1.0900000000000001</v>
      </c>
      <c r="V164" cm="1">
        <f t="array" ref="V164">INDEX(V$182:V$200,$A164)</f>
        <v>1.1200000000000001</v>
      </c>
      <c r="W164" cm="1">
        <f t="array" ref="W164">INDEX(W$182:W$200,$A164)</f>
        <v>1.1599999999999999</v>
      </c>
      <c r="X164" cm="1">
        <f t="array" ref="X164">INDEX(X$182:X$200,$A164)</f>
        <v>1.2</v>
      </c>
      <c r="Y164" cm="1">
        <f t="array" ref="Y164">INDEX(Y$182:Y$200,$A164)</f>
        <v>1.25</v>
      </c>
      <c r="Z164" cm="1">
        <f t="array" ref="Z164">INDEX(Z$182:Z$200,$A164)</f>
        <v>1.29</v>
      </c>
      <c r="AA164" cm="1">
        <f t="array" ref="AA164">INDEX(AA$182:AA$200,$A164)</f>
        <v>1.34</v>
      </c>
      <c r="AB164" cm="1">
        <f t="array" ref="AB164">INDEX(AB$182:AB$200,$A164)</f>
        <v>1.4</v>
      </c>
      <c r="AC164" cm="1">
        <f t="array" ref="AC164">INDEX(AC$182:AC$200,$A164)</f>
        <v>1.46</v>
      </c>
      <c r="AD164" cm="1">
        <f t="array" ref="AD164">INDEX(AD$182:AD$200,$A164)</f>
        <v>1.52</v>
      </c>
      <c r="AE164" cm="1">
        <f t="array" ref="AE164">INDEX(AE$182:AE$200,$A164)</f>
        <v>1.59</v>
      </c>
      <c r="AF164" cm="1">
        <f t="array" ref="AF164">INDEX(AF$182:AF$200,$A164)</f>
        <v>1.67</v>
      </c>
      <c r="AG164" cm="1">
        <f t="array" ref="AG164">INDEX(AG$182:AG$200,$A164)</f>
        <v>1.74</v>
      </c>
      <c r="AH164" cm="1">
        <f t="array" ref="AH164">INDEX(AH$182:AH$200,$A164)</f>
        <v>1.83</v>
      </c>
      <c r="AI164" cm="1">
        <f t="array" ref="AI164">INDEX(AI$182:AI$200,$A164)</f>
        <v>1.92</v>
      </c>
      <c r="AJ164" cm="1">
        <f t="array" ref="AJ164">INDEX(AJ$182:AJ$200,$A164)</f>
        <v>2.02</v>
      </c>
      <c r="AK164" cm="1">
        <f t="array" ref="AK164">INDEX(AK$182:AK$200,$A164)</f>
        <v>2.13</v>
      </c>
      <c r="AL164" cm="1">
        <f t="array" ref="AL164">INDEX(AL$182:AL$200,$A164)</f>
        <v>2.25</v>
      </c>
      <c r="AM164" cm="1">
        <f t="array" ref="AM164">INDEX(AM$182:AM$200,$A164)</f>
        <v>2.38</v>
      </c>
      <c r="AN164" cm="1">
        <f t="array" ref="AN164">INDEX(AN$182:AN$200,$A164)</f>
        <v>2.5099999999999998</v>
      </c>
      <c r="AO164" cm="1">
        <f t="array" ref="AO164">INDEX(AO$182:AO$200,$A164)</f>
        <v>2.67</v>
      </c>
    </row>
    <row r="165" spans="1:41" x14ac:dyDescent="0.25">
      <c r="A165">
        <f t="shared" si="28"/>
        <v>5</v>
      </c>
      <c r="B165" t="s">
        <v>37</v>
      </c>
      <c r="C165" cm="1">
        <f t="array" ref="C165">INDEX(C$182:C$200,$A165)</f>
        <v>27.52</v>
      </c>
      <c r="D165" cm="1">
        <f t="array" ref="D165">INDEX(D$182:D$200,$A165)</f>
        <v>26.89</v>
      </c>
      <c r="E165" cm="1">
        <f t="array" ref="E165">INDEX(E$182:E$200,$A165)</f>
        <v>26.27</v>
      </c>
      <c r="F165" cm="1">
        <f t="array" ref="F165">INDEX(F$182:F$200,$A165)</f>
        <v>25.64</v>
      </c>
      <c r="G165" cm="1">
        <f t="array" ref="G165">INDEX(G$182:G$200,$A165)</f>
        <v>25.62</v>
      </c>
      <c r="H165" cm="1">
        <f t="array" ref="H165">INDEX(H$182:H$200,$A165)</f>
        <v>25.6</v>
      </c>
      <c r="I165" cm="1">
        <f t="array" ref="I165">INDEX(I$182:I$200,$A165)</f>
        <v>25.6</v>
      </c>
      <c r="J165" cm="1">
        <f t="array" ref="J165">INDEX(J$182:J$200,$A165)</f>
        <v>25.55</v>
      </c>
      <c r="K165" cm="1">
        <f t="array" ref="K165">INDEX(K$182:K$200,$A165)</f>
        <v>16.07</v>
      </c>
      <c r="L165" cm="1">
        <f t="array" ref="L165">INDEX(L$182:L$200,$A165)</f>
        <v>16.03</v>
      </c>
      <c r="M165" cm="1">
        <f t="array" ref="M165">INDEX(M$182:M$200,$A165)</f>
        <v>16.03</v>
      </c>
      <c r="N165" cm="1">
        <f t="array" ref="N165">INDEX(N$182:N$200,$A165)</f>
        <v>16.010000000000002</v>
      </c>
      <c r="O165" cm="1">
        <f t="array" ref="O165">INDEX(O$182:O$200,$A165)</f>
        <v>15.99</v>
      </c>
      <c r="P165" cm="1">
        <f t="array" ref="P165">INDEX(P$182:P$200,$A165)</f>
        <v>15.42</v>
      </c>
      <c r="Q165" cm="1">
        <f t="array" ref="Q165">INDEX(Q$182:Q$200,$A165)</f>
        <v>15.4</v>
      </c>
      <c r="R165" cm="1">
        <f t="array" ref="R165">INDEX(R$182:R$200,$A165)</f>
        <v>15.38</v>
      </c>
      <c r="S165" cm="1">
        <f t="array" ref="S165">INDEX(S$182:S$200,$A165)</f>
        <v>10.1</v>
      </c>
      <c r="T165" cm="1">
        <f t="array" ref="T165">INDEX(T$182:T$200,$A165)</f>
        <v>10.08</v>
      </c>
      <c r="U165" cm="1">
        <f t="array" ref="U165">INDEX(U$182:U$200,$A165)</f>
        <v>10.47</v>
      </c>
      <c r="V165" cm="1">
        <f t="array" ref="V165">INDEX(V$182:V$200,$A165)</f>
        <v>10.74</v>
      </c>
      <c r="W165" cm="1">
        <f t="array" ref="W165">INDEX(W$182:W$200,$A165)</f>
        <v>10.75</v>
      </c>
      <c r="X165" cm="1">
        <f t="array" ref="X165">INDEX(X$182:X$200,$A165)</f>
        <v>10.78</v>
      </c>
      <c r="Y165" cm="1">
        <f t="array" ref="Y165">INDEX(Y$182:Y$200,$A165)</f>
        <v>9.3800000000000008</v>
      </c>
      <c r="Z165" cm="1">
        <f t="array" ref="Z165">INDEX(Z$182:Z$200,$A165)</f>
        <v>7.95</v>
      </c>
      <c r="AA165" cm="1">
        <f t="array" ref="AA165">INDEX(AA$182:AA$200,$A165)</f>
        <v>6.61</v>
      </c>
      <c r="AB165" cm="1">
        <f t="array" ref="AB165">INDEX(AB$182:AB$200,$A165)</f>
        <v>5.54</v>
      </c>
      <c r="AC165" cm="1">
        <f t="array" ref="AC165">INDEX(AC$182:AC$200,$A165)</f>
        <v>4.71</v>
      </c>
      <c r="AD165" cm="1">
        <f t="array" ref="AD165">INDEX(AD$182:AD$200,$A165)</f>
        <v>3.88</v>
      </c>
      <c r="AE165" cm="1">
        <f t="array" ref="AE165">INDEX(AE$182:AE$200,$A165)</f>
        <v>3.05</v>
      </c>
      <c r="AF165" cm="1">
        <f t="array" ref="AF165">INDEX(AF$182:AF$200,$A165)</f>
        <v>2.78</v>
      </c>
      <c r="AG165" cm="1">
        <f t="array" ref="AG165">INDEX(AG$182:AG$200,$A165)</f>
        <v>2.5099999999999998</v>
      </c>
      <c r="AH165" cm="1">
        <f t="array" ref="AH165">INDEX(AH$182:AH$200,$A165)</f>
        <v>2.2400000000000002</v>
      </c>
      <c r="AI165" cm="1">
        <f t="array" ref="AI165">INDEX(AI$182:AI$200,$A165)</f>
        <v>1.97</v>
      </c>
      <c r="AJ165" cm="1">
        <f t="array" ref="AJ165">INDEX(AJ$182:AJ$200,$A165)</f>
        <v>1.7</v>
      </c>
      <c r="AK165" cm="1">
        <f t="array" ref="AK165">INDEX(AK$182:AK$200,$A165)</f>
        <v>1.68</v>
      </c>
      <c r="AL165" cm="1">
        <f t="array" ref="AL165">INDEX(AL$182:AL$200,$A165)</f>
        <v>1.65</v>
      </c>
      <c r="AM165" cm="1">
        <f t="array" ref="AM165">INDEX(AM$182:AM$200,$A165)</f>
        <v>1.63</v>
      </c>
      <c r="AN165" cm="1">
        <f t="array" ref="AN165">INDEX(AN$182:AN$200,$A165)</f>
        <v>1.61</v>
      </c>
      <c r="AO165" cm="1">
        <f t="array" ref="AO165">INDEX(AO$182:AO$200,$A165)</f>
        <v>1.58</v>
      </c>
    </row>
    <row r="166" spans="1:41" x14ac:dyDescent="0.25">
      <c r="A166">
        <f t="shared" si="28"/>
        <v>7</v>
      </c>
      <c r="B166" t="s">
        <v>38</v>
      </c>
      <c r="C166" cm="1">
        <f t="array" ref="C166">INDEX(C$182:C$200,$A166)</f>
        <v>66.42</v>
      </c>
      <c r="D166" cm="1">
        <f t="array" ref="D166">INDEX(D$182:D$200,$A166)</f>
        <v>67.81</v>
      </c>
      <c r="E166" cm="1">
        <f t="array" ref="E166">INDEX(E$182:E$200,$A166)</f>
        <v>65.680000000000007</v>
      </c>
      <c r="F166" cm="1">
        <f t="array" ref="F166">INDEX(F$182:F$200,$A166)</f>
        <v>63.54</v>
      </c>
      <c r="G166" cm="1">
        <f t="array" ref="G166">INDEX(G$182:G$200,$A166)</f>
        <v>63.36</v>
      </c>
      <c r="H166" cm="1">
        <f t="array" ref="H166">INDEX(H$182:H$200,$A166)</f>
        <v>63.29</v>
      </c>
      <c r="I166" cm="1">
        <f t="array" ref="I166">INDEX(I$182:I$200,$A166)</f>
        <v>63.16</v>
      </c>
      <c r="J166" cm="1">
        <f t="array" ref="J166">INDEX(J$182:J$200,$A166)</f>
        <v>62.72</v>
      </c>
      <c r="K166" cm="1">
        <f t="array" ref="K166">INDEX(K$182:K$200,$A166)</f>
        <v>60.32</v>
      </c>
      <c r="L166" cm="1">
        <f t="array" ref="L166">INDEX(L$182:L$200,$A166)</f>
        <v>60.32</v>
      </c>
      <c r="M166" cm="1">
        <f t="array" ref="M166">INDEX(M$182:M$200,$A166)</f>
        <v>60.4</v>
      </c>
      <c r="N166" cm="1">
        <f t="array" ref="N166">INDEX(N$182:N$200,$A166)</f>
        <v>60.18</v>
      </c>
      <c r="O166" cm="1">
        <f t="array" ref="O166">INDEX(O$182:O$200,$A166)</f>
        <v>60.35</v>
      </c>
      <c r="P166" cm="1">
        <f t="array" ref="P166">INDEX(P$182:P$200,$A166)</f>
        <v>60.75</v>
      </c>
      <c r="Q166" cm="1">
        <f t="array" ref="Q166">INDEX(Q$182:Q$200,$A166)</f>
        <v>60.82</v>
      </c>
      <c r="R166" cm="1">
        <f t="array" ref="R166">INDEX(R$182:R$200,$A166)</f>
        <v>60.78</v>
      </c>
      <c r="S166" cm="1">
        <f t="array" ref="S166">INDEX(S$182:S$200,$A166)</f>
        <v>60.57</v>
      </c>
      <c r="T166" cm="1">
        <f t="array" ref="T166">INDEX(T$182:T$200,$A166)</f>
        <v>59.99</v>
      </c>
      <c r="U166" cm="1">
        <f t="array" ref="U166">INDEX(U$182:U$200,$A166)</f>
        <v>59.52</v>
      </c>
      <c r="V166" cm="1">
        <f t="array" ref="V166">INDEX(V$182:V$200,$A166)</f>
        <v>59.08</v>
      </c>
      <c r="W166" cm="1">
        <f t="array" ref="W166">INDEX(W$182:W$200,$A166)</f>
        <v>59.01</v>
      </c>
      <c r="X166" cm="1">
        <f t="array" ref="X166">INDEX(X$182:X$200,$A166)</f>
        <v>58.82</v>
      </c>
      <c r="Y166" cm="1">
        <f t="array" ref="Y166">INDEX(Y$182:Y$200,$A166)</f>
        <v>58.76</v>
      </c>
      <c r="Z166" cm="1">
        <f t="array" ref="Z166">INDEX(Z$182:Z$200,$A166)</f>
        <v>58.76</v>
      </c>
      <c r="AA166" cm="1">
        <f t="array" ref="AA166">INDEX(AA$182:AA$200,$A166)</f>
        <v>58.54</v>
      </c>
      <c r="AB166" cm="1">
        <f t="array" ref="AB166">INDEX(AB$182:AB$200,$A166)</f>
        <v>57.86</v>
      </c>
      <c r="AC166" cm="1">
        <f t="array" ref="AC166">INDEX(AC$182:AC$200,$A166)</f>
        <v>56.62</v>
      </c>
      <c r="AD166" cm="1">
        <f t="array" ref="AD166">INDEX(AD$182:AD$200,$A166)</f>
        <v>55.36</v>
      </c>
      <c r="AE166" cm="1">
        <f t="array" ref="AE166">INDEX(AE$182:AE$200,$A166)</f>
        <v>54.1</v>
      </c>
      <c r="AF166" cm="1">
        <f t="array" ref="AF166">INDEX(AF$182:AF$200,$A166)</f>
        <v>53.56</v>
      </c>
      <c r="AG166" cm="1">
        <f t="array" ref="AG166">INDEX(AG$182:AG$200,$A166)</f>
        <v>53.03</v>
      </c>
      <c r="AH166" cm="1">
        <f t="array" ref="AH166">INDEX(AH$182:AH$200,$A166)</f>
        <v>52.5</v>
      </c>
      <c r="AI166" cm="1">
        <f t="array" ref="AI166">INDEX(AI$182:AI$200,$A166)</f>
        <v>51.96</v>
      </c>
      <c r="AJ166" cm="1">
        <f t="array" ref="AJ166">INDEX(AJ$182:AJ$200,$A166)</f>
        <v>51.43</v>
      </c>
      <c r="AK166" cm="1">
        <f t="array" ref="AK166">INDEX(AK$182:AK$200,$A166)</f>
        <v>51.14</v>
      </c>
      <c r="AL166" cm="1">
        <f t="array" ref="AL166">INDEX(AL$182:AL$200,$A166)</f>
        <v>50.86</v>
      </c>
      <c r="AM166" cm="1">
        <f t="array" ref="AM166">INDEX(AM$182:AM$200,$A166)</f>
        <v>50.58</v>
      </c>
      <c r="AN166" cm="1">
        <f t="array" ref="AN166">INDEX(AN$182:AN$200,$A166)</f>
        <v>50.3</v>
      </c>
      <c r="AO166" cm="1">
        <f t="array" ref="AO166">INDEX(AO$182:AO$200,$A166)</f>
        <v>50.03</v>
      </c>
    </row>
    <row r="167" spans="1:41" x14ac:dyDescent="0.25">
      <c r="C167" s="13"/>
      <c r="D167" s="22"/>
    </row>
    <row r="168" spans="1:41" ht="18" thickBot="1" x14ac:dyDescent="0.35">
      <c r="A168" s="4" t="s">
        <v>138</v>
      </c>
      <c r="B168" s="4"/>
      <c r="C168" s="4"/>
      <c r="D168" s="4"/>
      <c r="E168" s="4"/>
      <c r="F168" s="4"/>
      <c r="G168" s="4"/>
      <c r="H168" s="4"/>
    </row>
    <row r="169" spans="1:41" ht="15.75" thickTop="1" x14ac:dyDescent="0.25">
      <c r="B169" s="3">
        <v>2012</v>
      </c>
      <c r="C169" s="3">
        <v>2013</v>
      </c>
      <c r="D169" s="3">
        <v>2014</v>
      </c>
      <c r="E169" s="3">
        <v>2015</v>
      </c>
      <c r="F169" s="3">
        <v>2016</v>
      </c>
      <c r="G169" s="3">
        <v>2017</v>
      </c>
      <c r="H169" s="3">
        <v>2018</v>
      </c>
      <c r="I169" s="3">
        <v>2019</v>
      </c>
      <c r="J169" s="3">
        <v>2020</v>
      </c>
      <c r="K169" s="3">
        <v>2021</v>
      </c>
      <c r="L169" s="3">
        <v>2022</v>
      </c>
      <c r="M169" s="3">
        <v>2023</v>
      </c>
      <c r="N169" s="3">
        <v>2024</v>
      </c>
      <c r="O169" s="3">
        <v>2025</v>
      </c>
      <c r="P169" s="3">
        <v>2026</v>
      </c>
      <c r="Q169" s="3">
        <v>2027</v>
      </c>
      <c r="R169" s="3">
        <v>2028</v>
      </c>
      <c r="S169" s="3">
        <v>2029</v>
      </c>
      <c r="T169" s="3">
        <v>2030</v>
      </c>
      <c r="U169" s="3">
        <v>2031</v>
      </c>
      <c r="V169" s="3">
        <v>2032</v>
      </c>
      <c r="W169" s="3">
        <v>2033</v>
      </c>
      <c r="X169" s="3">
        <v>2034</v>
      </c>
      <c r="Y169" s="3">
        <v>2035</v>
      </c>
      <c r="Z169" s="3">
        <v>2036</v>
      </c>
      <c r="AA169" s="3">
        <v>2037</v>
      </c>
      <c r="AB169" s="3">
        <v>2038</v>
      </c>
      <c r="AC169">
        <v>2039</v>
      </c>
      <c r="AD169">
        <v>2040</v>
      </c>
      <c r="AE169">
        <v>2041</v>
      </c>
      <c r="AF169">
        <v>2042</v>
      </c>
      <c r="AG169">
        <v>2043</v>
      </c>
      <c r="AH169">
        <v>2044</v>
      </c>
      <c r="AI169">
        <v>2045</v>
      </c>
      <c r="AJ169">
        <v>2046</v>
      </c>
      <c r="AK169">
        <v>2047</v>
      </c>
      <c r="AL169">
        <v>2048</v>
      </c>
      <c r="AM169">
        <v>2049</v>
      </c>
      <c r="AN169">
        <v>2050</v>
      </c>
    </row>
    <row r="170" spans="1:41" x14ac:dyDescent="0.25">
      <c r="A170" s="3" t="s">
        <v>51</v>
      </c>
      <c r="B170" s="12">
        <f>B208</f>
        <v>0.5</v>
      </c>
      <c r="C170" s="12">
        <f t="shared" ref="C170:AN170" si="29">C208</f>
        <v>0.49530000000000002</v>
      </c>
      <c r="D170" s="12">
        <f t="shared" si="29"/>
        <v>0.48570000000000002</v>
      </c>
      <c r="E170" s="12">
        <f t="shared" si="29"/>
        <v>0.48010000000000003</v>
      </c>
      <c r="F170" s="12">
        <f t="shared" si="29"/>
        <v>0.4783</v>
      </c>
      <c r="G170" s="12">
        <f t="shared" si="29"/>
        <v>0.47289999999999999</v>
      </c>
      <c r="H170" s="12">
        <f t="shared" si="29"/>
        <v>0.46870000000000001</v>
      </c>
      <c r="I170" s="12">
        <f t="shared" si="29"/>
        <v>0.47139999999999999</v>
      </c>
      <c r="J170" s="12">
        <f t="shared" si="29"/>
        <v>0.48859999999999998</v>
      </c>
      <c r="K170" s="12">
        <f t="shared" si="29"/>
        <v>0.50270000000000004</v>
      </c>
      <c r="L170" s="12">
        <f t="shared" si="29"/>
        <v>0.498</v>
      </c>
      <c r="M170" s="12">
        <f t="shared" si="29"/>
        <v>0.49359999999999998</v>
      </c>
      <c r="N170" s="12">
        <f t="shared" si="29"/>
        <v>0.48820000000000002</v>
      </c>
      <c r="O170" s="12">
        <f t="shared" si="29"/>
        <v>0.48220000000000002</v>
      </c>
      <c r="P170" s="12">
        <f t="shared" si="29"/>
        <v>0.47520000000000001</v>
      </c>
      <c r="Q170" s="12">
        <f t="shared" si="29"/>
        <v>0.46839999999999998</v>
      </c>
      <c r="R170" s="12">
        <f t="shared" si="29"/>
        <v>0.4647</v>
      </c>
      <c r="S170" s="12">
        <f t="shared" si="29"/>
        <v>0.45779999999999998</v>
      </c>
      <c r="T170" s="12">
        <f t="shared" si="29"/>
        <v>0.44979999999999998</v>
      </c>
      <c r="U170" s="12">
        <f t="shared" si="29"/>
        <v>0.44130000000000003</v>
      </c>
      <c r="V170" s="12">
        <f t="shared" si="29"/>
        <v>0.43219999999999997</v>
      </c>
      <c r="W170" s="12">
        <f t="shared" si="29"/>
        <v>0.42320000000000002</v>
      </c>
      <c r="X170" s="12">
        <f t="shared" si="29"/>
        <v>0.4138</v>
      </c>
      <c r="Y170" s="12">
        <f t="shared" si="29"/>
        <v>0.40460000000000002</v>
      </c>
      <c r="Z170" s="12">
        <f t="shared" si="29"/>
        <v>0.39539999999999997</v>
      </c>
      <c r="AA170" s="12">
        <f t="shared" si="29"/>
        <v>0.38550000000000001</v>
      </c>
      <c r="AB170" s="12">
        <f t="shared" si="29"/>
        <v>0.37590000000000001</v>
      </c>
      <c r="AC170" s="12">
        <f t="shared" si="29"/>
        <v>0.36670000000000003</v>
      </c>
      <c r="AD170" s="12">
        <f t="shared" si="29"/>
        <v>0.35759999999999997</v>
      </c>
      <c r="AE170" s="12">
        <f t="shared" si="29"/>
        <v>0.34839999999999999</v>
      </c>
      <c r="AF170" s="12">
        <f t="shared" si="29"/>
        <v>0.33989999999999998</v>
      </c>
      <c r="AG170" s="12">
        <f t="shared" si="29"/>
        <v>0.33169999999999999</v>
      </c>
      <c r="AH170" s="12">
        <f t="shared" si="29"/>
        <v>0.32350000000000001</v>
      </c>
      <c r="AI170" s="12">
        <f t="shared" si="29"/>
        <v>0.31519999999999998</v>
      </c>
      <c r="AJ170" s="12">
        <f t="shared" si="29"/>
        <v>0.30669999999999997</v>
      </c>
      <c r="AK170" s="12">
        <f t="shared" si="29"/>
        <v>0.2989</v>
      </c>
      <c r="AL170" s="12">
        <f t="shared" si="29"/>
        <v>0.29149999999999998</v>
      </c>
      <c r="AM170" s="12">
        <f t="shared" si="29"/>
        <v>0.28389999999999999</v>
      </c>
      <c r="AN170" s="12">
        <f t="shared" si="29"/>
        <v>0.27539999999999998</v>
      </c>
    </row>
    <row r="171" spans="1:41" x14ac:dyDescent="0.25">
      <c r="A171" s="3" t="s">
        <v>52</v>
      </c>
      <c r="B171" s="12">
        <f>B207</f>
        <v>0.3</v>
      </c>
      <c r="C171" s="12">
        <f t="shared" ref="C171:AN171" si="30">C207</f>
        <v>0.29570000000000002</v>
      </c>
      <c r="D171" s="12">
        <f t="shared" si="30"/>
        <v>0.29930000000000001</v>
      </c>
      <c r="E171" s="12">
        <f t="shared" si="30"/>
        <v>0.3029</v>
      </c>
      <c r="F171" s="12">
        <f t="shared" si="30"/>
        <v>0.3044</v>
      </c>
      <c r="G171" s="12">
        <f t="shared" si="30"/>
        <v>0.30480000000000002</v>
      </c>
      <c r="H171" s="12">
        <f t="shared" si="30"/>
        <v>0.30819999999999997</v>
      </c>
      <c r="I171" s="12">
        <f t="shared" si="30"/>
        <v>0.31109999999999999</v>
      </c>
      <c r="J171" s="12">
        <f t="shared" si="30"/>
        <v>0.31140000000000001</v>
      </c>
      <c r="K171" s="12">
        <f t="shared" si="30"/>
        <v>0.29730000000000001</v>
      </c>
      <c r="L171" s="12">
        <f t="shared" si="30"/>
        <v>0.30199999999999999</v>
      </c>
      <c r="M171" s="12">
        <f t="shared" si="30"/>
        <v>0.30640000000000001</v>
      </c>
      <c r="N171" s="12">
        <f t="shared" si="30"/>
        <v>0.30940000000000001</v>
      </c>
      <c r="O171" s="12">
        <f t="shared" si="30"/>
        <v>0.3115</v>
      </c>
      <c r="P171" s="12">
        <f t="shared" si="30"/>
        <v>0.313</v>
      </c>
      <c r="Q171" s="12">
        <f t="shared" si="30"/>
        <v>0.31540000000000001</v>
      </c>
      <c r="R171" s="12">
        <f t="shared" si="30"/>
        <v>0.3175</v>
      </c>
      <c r="S171" s="12">
        <f t="shared" si="30"/>
        <v>0.31859999999999999</v>
      </c>
      <c r="T171" s="12">
        <f t="shared" si="30"/>
        <v>0.32069999999999999</v>
      </c>
      <c r="U171" s="12">
        <f t="shared" si="30"/>
        <v>0.32240000000000002</v>
      </c>
      <c r="V171" s="12">
        <f t="shared" si="30"/>
        <v>0.32469999999999999</v>
      </c>
      <c r="W171" s="12">
        <f t="shared" si="30"/>
        <v>0.32690000000000002</v>
      </c>
      <c r="X171" s="12">
        <f t="shared" si="30"/>
        <v>0.32890000000000003</v>
      </c>
      <c r="Y171" s="12">
        <f t="shared" si="30"/>
        <v>0.33139999999999997</v>
      </c>
      <c r="Z171" s="12">
        <f t="shared" si="30"/>
        <v>0.33339999999999997</v>
      </c>
      <c r="AA171" s="12">
        <f t="shared" si="30"/>
        <v>0.33560000000000001</v>
      </c>
      <c r="AB171" s="12">
        <f t="shared" si="30"/>
        <v>0.33800000000000002</v>
      </c>
      <c r="AC171" s="12">
        <f t="shared" si="30"/>
        <v>0.34010000000000001</v>
      </c>
      <c r="AD171" s="12">
        <f t="shared" si="30"/>
        <v>0.3422</v>
      </c>
      <c r="AE171" s="12">
        <f t="shared" si="30"/>
        <v>0.34439999999999998</v>
      </c>
      <c r="AF171" s="12">
        <f t="shared" si="30"/>
        <v>0.34649999999999997</v>
      </c>
      <c r="AG171" s="12">
        <f t="shared" si="30"/>
        <v>0.34839999999999999</v>
      </c>
      <c r="AH171" s="12">
        <f t="shared" si="30"/>
        <v>0.35020000000000001</v>
      </c>
      <c r="AI171" s="12">
        <f t="shared" si="30"/>
        <v>0.35189999999999999</v>
      </c>
      <c r="AJ171" s="12">
        <f t="shared" si="30"/>
        <v>0.35370000000000001</v>
      </c>
      <c r="AK171" s="12">
        <f t="shared" si="30"/>
        <v>0.35560000000000003</v>
      </c>
      <c r="AL171" s="12">
        <f t="shared" si="30"/>
        <v>0.35720000000000002</v>
      </c>
      <c r="AM171" s="12">
        <f t="shared" si="30"/>
        <v>0.35859999999999997</v>
      </c>
      <c r="AN171" s="12">
        <f t="shared" si="30"/>
        <v>0.35959999999999998</v>
      </c>
    </row>
    <row r="172" spans="1:41" x14ac:dyDescent="0.25">
      <c r="A172" s="3" t="s">
        <v>53</v>
      </c>
      <c r="B172" s="12">
        <f>B206</f>
        <v>0.2</v>
      </c>
      <c r="C172" s="12">
        <f t="shared" ref="C172:AN172" si="31">C206</f>
        <v>0.20899999999999999</v>
      </c>
      <c r="D172" s="12">
        <f t="shared" si="31"/>
        <v>0.215</v>
      </c>
      <c r="E172" s="12">
        <f t="shared" si="31"/>
        <v>0.217</v>
      </c>
      <c r="F172" s="12">
        <f t="shared" si="31"/>
        <v>0.2172</v>
      </c>
      <c r="G172" s="12">
        <f t="shared" si="31"/>
        <v>0.2223</v>
      </c>
      <c r="H172" s="12">
        <f t="shared" si="31"/>
        <v>0.22309999999999999</v>
      </c>
      <c r="I172" s="12">
        <f t="shared" si="31"/>
        <v>0.21759999999999999</v>
      </c>
      <c r="J172" s="12">
        <f t="shared" si="31"/>
        <v>0.2</v>
      </c>
      <c r="K172" s="12">
        <f t="shared" si="31"/>
        <v>0.2</v>
      </c>
      <c r="L172" s="12">
        <f t="shared" si="31"/>
        <v>0.2</v>
      </c>
      <c r="M172" s="12">
        <f t="shared" si="31"/>
        <v>0.2</v>
      </c>
      <c r="N172" s="12">
        <f t="shared" si="31"/>
        <v>0.20230000000000001</v>
      </c>
      <c r="O172" s="12">
        <f t="shared" si="31"/>
        <v>0.20630000000000001</v>
      </c>
      <c r="P172" s="12">
        <f t="shared" si="31"/>
        <v>0.21179999999999999</v>
      </c>
      <c r="Q172" s="12">
        <f t="shared" si="31"/>
        <v>0.2162</v>
      </c>
      <c r="R172" s="12">
        <f t="shared" si="31"/>
        <v>0.21790000000000001</v>
      </c>
      <c r="S172" s="12">
        <f t="shared" si="31"/>
        <v>0.22359999999999999</v>
      </c>
      <c r="T172" s="12">
        <f t="shared" si="31"/>
        <v>0.22939999999999999</v>
      </c>
      <c r="U172" s="12">
        <f t="shared" si="31"/>
        <v>0.23619999999999999</v>
      </c>
      <c r="V172" s="12">
        <f t="shared" si="31"/>
        <v>0.2432</v>
      </c>
      <c r="W172" s="12">
        <f t="shared" si="31"/>
        <v>0.24990000000000001</v>
      </c>
      <c r="X172" s="12">
        <f t="shared" si="31"/>
        <v>0.25719999999999998</v>
      </c>
      <c r="Y172" s="12">
        <f t="shared" si="31"/>
        <v>0.26390000000000002</v>
      </c>
      <c r="Z172" s="12">
        <f t="shared" si="31"/>
        <v>0.2712</v>
      </c>
      <c r="AA172" s="12">
        <f t="shared" si="31"/>
        <v>0.27889999999999998</v>
      </c>
      <c r="AB172" s="12">
        <f t="shared" si="31"/>
        <v>0.28599999999999998</v>
      </c>
      <c r="AC172" s="12">
        <f t="shared" si="31"/>
        <v>0.29310000000000003</v>
      </c>
      <c r="AD172" s="12">
        <f t="shared" si="31"/>
        <v>0.30020000000000002</v>
      </c>
      <c r="AE172" s="12">
        <f t="shared" si="31"/>
        <v>0.30719999999999997</v>
      </c>
      <c r="AF172" s="12">
        <f t="shared" si="31"/>
        <v>0.3135</v>
      </c>
      <c r="AG172" s="12">
        <f t="shared" si="31"/>
        <v>0.31990000000000002</v>
      </c>
      <c r="AH172" s="12">
        <f t="shared" si="31"/>
        <v>0.32629999999999998</v>
      </c>
      <c r="AI172" s="12">
        <f t="shared" si="31"/>
        <v>0.33289999999999997</v>
      </c>
      <c r="AJ172" s="12">
        <f t="shared" si="31"/>
        <v>0.33960000000000001</v>
      </c>
      <c r="AK172" s="12">
        <f t="shared" si="31"/>
        <v>0.34549999999999997</v>
      </c>
      <c r="AL172" s="12">
        <f t="shared" si="31"/>
        <v>0.35139999999999999</v>
      </c>
      <c r="AM172" s="12">
        <f t="shared" si="31"/>
        <v>0.35749999999999998</v>
      </c>
      <c r="AN172" s="12">
        <f t="shared" si="31"/>
        <v>0.36499999999999999</v>
      </c>
    </row>
    <row r="173" spans="1:41" x14ac:dyDescent="0.25">
      <c r="A173" s="3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</row>
    <row r="175" spans="1:41" ht="18" thickBot="1" x14ac:dyDescent="0.35">
      <c r="A175" s="4" t="s">
        <v>139</v>
      </c>
      <c r="B175" s="4"/>
      <c r="C175" s="4"/>
      <c r="D175" s="4"/>
      <c r="E175" s="4"/>
      <c r="F175" s="4"/>
      <c r="G175" s="4"/>
      <c r="H175" s="4"/>
    </row>
    <row r="176" spans="1:41" ht="15.75" thickTop="1" x14ac:dyDescent="0.25">
      <c r="A176" s="3">
        <v>2012</v>
      </c>
      <c r="B176" s="3">
        <v>2013</v>
      </c>
      <c r="C176" s="3">
        <v>2014</v>
      </c>
      <c r="D176" s="3">
        <v>2015</v>
      </c>
      <c r="E176" s="3">
        <v>2016</v>
      </c>
      <c r="F176" s="3">
        <v>2017</v>
      </c>
      <c r="G176" s="3">
        <v>2018</v>
      </c>
      <c r="H176" s="3">
        <v>2019</v>
      </c>
      <c r="I176" s="3">
        <v>2020</v>
      </c>
      <c r="J176" s="3">
        <v>2021</v>
      </c>
      <c r="K176" s="3">
        <v>2022</v>
      </c>
      <c r="L176" s="3">
        <v>2023</v>
      </c>
      <c r="M176" s="3">
        <v>2024</v>
      </c>
      <c r="N176" s="3">
        <v>2025</v>
      </c>
      <c r="O176" s="3">
        <v>2026</v>
      </c>
      <c r="P176" s="3">
        <v>2027</v>
      </c>
      <c r="Q176" s="3">
        <v>2028</v>
      </c>
      <c r="R176" s="3">
        <v>2029</v>
      </c>
      <c r="S176" s="3">
        <v>2030</v>
      </c>
      <c r="T176" s="3">
        <v>2031</v>
      </c>
      <c r="U176" s="3">
        <v>2032</v>
      </c>
      <c r="V176" s="3">
        <v>2033</v>
      </c>
      <c r="W176" s="3">
        <v>2034</v>
      </c>
      <c r="X176" s="3">
        <v>2035</v>
      </c>
      <c r="Y176" s="3">
        <v>2036</v>
      </c>
      <c r="Z176">
        <v>2037</v>
      </c>
      <c r="AA176">
        <v>2038</v>
      </c>
      <c r="AB176">
        <v>2039</v>
      </c>
      <c r="AC176">
        <v>2040</v>
      </c>
      <c r="AD176">
        <v>2041</v>
      </c>
      <c r="AE176">
        <v>2042</v>
      </c>
      <c r="AF176">
        <v>2043</v>
      </c>
      <c r="AG176">
        <v>2044</v>
      </c>
      <c r="AH176">
        <v>2045</v>
      </c>
      <c r="AI176">
        <v>2046</v>
      </c>
      <c r="AJ176">
        <v>2047</v>
      </c>
      <c r="AK176">
        <v>2048</v>
      </c>
      <c r="AL176">
        <v>2049</v>
      </c>
      <c r="AM176">
        <v>2050</v>
      </c>
    </row>
    <row r="177" spans="1:41" x14ac:dyDescent="0.25">
      <c r="A177">
        <v>0.30163969294989873</v>
      </c>
      <c r="B177">
        <v>0.30770118876733893</v>
      </c>
      <c r="C177">
        <v>0.31057938732953844</v>
      </c>
      <c r="D177">
        <v>0.31277940101847879</v>
      </c>
      <c r="E177">
        <v>0.31284316327620315</v>
      </c>
      <c r="F177">
        <v>0.31635831555178628</v>
      </c>
      <c r="G177">
        <v>0.31867877236635728</v>
      </c>
      <c r="H177">
        <v>0.31829026462005117</v>
      </c>
      <c r="I177">
        <v>0.29040891806001651</v>
      </c>
      <c r="J177">
        <v>0.29800403265459058</v>
      </c>
      <c r="K177">
        <v>0.30200401780692876</v>
      </c>
      <c r="L177">
        <v>0.30656034625617695</v>
      </c>
      <c r="M177">
        <v>0.31192904187570236</v>
      </c>
      <c r="N177">
        <v>0.31799947261850164</v>
      </c>
      <c r="O177">
        <v>0.32433434766527408</v>
      </c>
      <c r="P177">
        <v>0.33129984849841504</v>
      </c>
      <c r="Q177">
        <v>0.33856860928890536</v>
      </c>
      <c r="R177">
        <v>0.3460220907336497</v>
      </c>
      <c r="S177">
        <v>0.35326945484642069</v>
      </c>
      <c r="T177">
        <v>0.36227316635231788</v>
      </c>
      <c r="U177">
        <v>0.37153100120479132</v>
      </c>
      <c r="V177">
        <v>0.38125213640261274</v>
      </c>
      <c r="W177">
        <v>0.39088366365960481</v>
      </c>
      <c r="X177" s="12">
        <v>0.43438755091144643</v>
      </c>
      <c r="Y177" s="12">
        <v>0.4444480293768564</v>
      </c>
      <c r="Z177" s="12">
        <v>0.45535275868686731</v>
      </c>
      <c r="AA177" s="12">
        <v>0.46694075625504039</v>
      </c>
      <c r="AB177" s="12">
        <v>0.4781300856362905</v>
      </c>
      <c r="AC177" s="12">
        <v>0.48967453302970809</v>
      </c>
      <c r="AD177" s="12">
        <v>0.50224672606058585</v>
      </c>
      <c r="AE177" s="12">
        <v>0.51536971747141613</v>
      </c>
      <c r="AF177" s="12">
        <v>0.52924077512855172</v>
      </c>
      <c r="AG177" s="12">
        <v>0.54376194787755061</v>
      </c>
      <c r="AH177" s="12">
        <v>0.55932663957277284</v>
      </c>
      <c r="AI177" s="12">
        <v>0.57508190051994368</v>
      </c>
      <c r="AJ177" s="12">
        <v>0.59159288253939912</v>
      </c>
      <c r="AK177" s="12">
        <v>0.6076457041478186</v>
      </c>
      <c r="AL177" s="12">
        <v>0.62468417964119827</v>
      </c>
      <c r="AM177" s="12">
        <v>0.68427588534183081</v>
      </c>
    </row>
    <row r="179" spans="1:41" ht="18" thickBot="1" x14ac:dyDescent="0.35">
      <c r="B179" s="23" t="s">
        <v>168</v>
      </c>
      <c r="C179" s="23"/>
      <c r="D179" s="23"/>
      <c r="E179" s="23"/>
    </row>
    <row r="180" spans="1:41" ht="15.75" thickTop="1" x14ac:dyDescent="0.25">
      <c r="C180" s="13" t="s">
        <v>146</v>
      </c>
      <c r="D180" s="22" t="s">
        <v>146</v>
      </c>
      <c r="E180" t="s">
        <v>146</v>
      </c>
      <c r="F180" t="s">
        <v>146</v>
      </c>
      <c r="G180" t="s">
        <v>146</v>
      </c>
      <c r="H180" t="s">
        <v>146</v>
      </c>
      <c r="I180" t="s">
        <v>146</v>
      </c>
      <c r="J180" t="s">
        <v>146</v>
      </c>
      <c r="K180" t="s">
        <v>146</v>
      </c>
      <c r="L180" t="s">
        <v>146</v>
      </c>
      <c r="M180" t="s">
        <v>146</v>
      </c>
      <c r="N180" t="s">
        <v>146</v>
      </c>
      <c r="O180" t="s">
        <v>146</v>
      </c>
      <c r="P180" t="s">
        <v>146</v>
      </c>
      <c r="Q180" t="s">
        <v>146</v>
      </c>
      <c r="R180" t="s">
        <v>146</v>
      </c>
      <c r="S180" t="s">
        <v>146</v>
      </c>
      <c r="T180" t="s">
        <v>146</v>
      </c>
      <c r="U180" t="s">
        <v>146</v>
      </c>
      <c r="V180" t="s">
        <v>146</v>
      </c>
      <c r="W180" t="s">
        <v>146</v>
      </c>
      <c r="X180" t="s">
        <v>146</v>
      </c>
      <c r="Y180" t="s">
        <v>146</v>
      </c>
      <c r="Z180" t="s">
        <v>146</v>
      </c>
      <c r="AA180" t="s">
        <v>146</v>
      </c>
      <c r="AB180" t="s">
        <v>146</v>
      </c>
      <c r="AC180" t="s">
        <v>146</v>
      </c>
      <c r="AD180" t="s">
        <v>146</v>
      </c>
      <c r="AE180" t="s">
        <v>146</v>
      </c>
      <c r="AF180" t="s">
        <v>146</v>
      </c>
      <c r="AG180" t="s">
        <v>146</v>
      </c>
      <c r="AH180" t="s">
        <v>146</v>
      </c>
      <c r="AI180" t="s">
        <v>146</v>
      </c>
      <c r="AJ180" t="s">
        <v>146</v>
      </c>
      <c r="AK180" t="s">
        <v>146</v>
      </c>
      <c r="AL180" t="s">
        <v>146</v>
      </c>
      <c r="AM180" t="s">
        <v>146</v>
      </c>
      <c r="AN180" t="s">
        <v>146</v>
      </c>
      <c r="AO180" t="s">
        <v>146</v>
      </c>
    </row>
    <row r="181" spans="1:41" x14ac:dyDescent="0.25">
      <c r="B181" t="s">
        <v>147</v>
      </c>
      <c r="C181">
        <v>2012</v>
      </c>
      <c r="D181">
        <v>2013</v>
      </c>
      <c r="E181">
        <v>2014</v>
      </c>
      <c r="F181">
        <v>2015</v>
      </c>
      <c r="G181">
        <v>2016</v>
      </c>
      <c r="H181">
        <v>2017</v>
      </c>
      <c r="I181">
        <v>2018</v>
      </c>
      <c r="J181">
        <v>2019</v>
      </c>
      <c r="K181">
        <v>2020</v>
      </c>
      <c r="L181">
        <v>2021</v>
      </c>
      <c r="M181">
        <v>2022</v>
      </c>
      <c r="N181">
        <v>2023</v>
      </c>
      <c r="O181">
        <v>2024</v>
      </c>
      <c r="P181">
        <v>2025</v>
      </c>
      <c r="Q181">
        <v>2026</v>
      </c>
      <c r="R181">
        <v>2027</v>
      </c>
      <c r="S181">
        <v>2028</v>
      </c>
      <c r="T181">
        <v>2029</v>
      </c>
      <c r="U181">
        <v>2030</v>
      </c>
      <c r="V181">
        <v>2031</v>
      </c>
      <c r="W181">
        <v>2032</v>
      </c>
      <c r="X181">
        <v>2033</v>
      </c>
      <c r="Y181">
        <v>2034</v>
      </c>
      <c r="Z181">
        <v>2035</v>
      </c>
      <c r="AA181">
        <v>2036</v>
      </c>
      <c r="AB181">
        <v>2037</v>
      </c>
      <c r="AC181">
        <v>2038</v>
      </c>
      <c r="AD181">
        <v>2039</v>
      </c>
      <c r="AE181">
        <v>2040</v>
      </c>
      <c r="AF181">
        <v>2041</v>
      </c>
      <c r="AG181">
        <v>2042</v>
      </c>
      <c r="AH181">
        <v>2043</v>
      </c>
      <c r="AI181">
        <v>2044</v>
      </c>
      <c r="AJ181">
        <v>2045</v>
      </c>
      <c r="AK181">
        <v>2046</v>
      </c>
      <c r="AL181">
        <v>2047</v>
      </c>
      <c r="AM181">
        <v>2048</v>
      </c>
      <c r="AN181">
        <v>2049</v>
      </c>
      <c r="AO181">
        <v>2050</v>
      </c>
    </row>
    <row r="182" spans="1:41" x14ac:dyDescent="0.25">
      <c r="A182" t="s">
        <v>70</v>
      </c>
      <c r="B182" t="s">
        <v>148</v>
      </c>
      <c r="C182">
        <v>69.819999999999993</v>
      </c>
      <c r="D182">
        <v>72.86</v>
      </c>
      <c r="E182">
        <v>75.87</v>
      </c>
      <c r="F182">
        <v>74.64</v>
      </c>
      <c r="G182">
        <v>73.959999999999994</v>
      </c>
      <c r="H182">
        <v>76.72</v>
      </c>
      <c r="I182">
        <v>75.61</v>
      </c>
      <c r="J182">
        <v>74.11</v>
      </c>
      <c r="K182">
        <v>73.06</v>
      </c>
      <c r="L182">
        <v>75.239999999999995</v>
      </c>
      <c r="M182">
        <v>77.23</v>
      </c>
      <c r="N182">
        <v>78.58</v>
      </c>
      <c r="O182">
        <v>80.14</v>
      </c>
      <c r="P182">
        <v>81.66</v>
      </c>
      <c r="Q182">
        <v>83.01</v>
      </c>
      <c r="R182">
        <v>84.26</v>
      </c>
      <c r="S182">
        <v>85.97</v>
      </c>
      <c r="T182">
        <v>87.4</v>
      </c>
      <c r="U182">
        <v>88.8</v>
      </c>
      <c r="V182">
        <v>90.44</v>
      </c>
      <c r="W182">
        <v>92.09</v>
      </c>
      <c r="X182">
        <v>93.77</v>
      </c>
      <c r="Y182">
        <v>95.87</v>
      </c>
      <c r="Z182">
        <v>97.95</v>
      </c>
      <c r="AA182">
        <v>100.25</v>
      </c>
      <c r="AB182">
        <v>102.58</v>
      </c>
      <c r="AC182">
        <v>104.93</v>
      </c>
      <c r="AD182">
        <v>107.29</v>
      </c>
      <c r="AE182">
        <v>109.71</v>
      </c>
      <c r="AF182">
        <v>112.22</v>
      </c>
      <c r="AG182">
        <v>114.59</v>
      </c>
      <c r="AH182">
        <v>117.07</v>
      </c>
      <c r="AI182">
        <v>119.7</v>
      </c>
      <c r="AJ182">
        <v>122.57</v>
      </c>
      <c r="AK182">
        <v>125.55</v>
      </c>
      <c r="AL182">
        <v>128.41</v>
      </c>
      <c r="AM182">
        <v>131.38999999999999</v>
      </c>
      <c r="AN182">
        <v>134.63</v>
      </c>
      <c r="AO182">
        <v>138.71</v>
      </c>
    </row>
    <row r="183" spans="1:41" x14ac:dyDescent="0.25">
      <c r="A183" t="s">
        <v>35</v>
      </c>
      <c r="B183" t="s">
        <v>149</v>
      </c>
      <c r="C183">
        <v>11.26</v>
      </c>
      <c r="D183">
        <v>11.58</v>
      </c>
      <c r="E183">
        <v>11.98</v>
      </c>
      <c r="F183">
        <v>12.2</v>
      </c>
      <c r="G183">
        <v>12.33</v>
      </c>
      <c r="H183">
        <v>12.56</v>
      </c>
      <c r="I183">
        <v>12.87</v>
      </c>
      <c r="J183">
        <v>12.94</v>
      </c>
      <c r="K183">
        <v>12.19</v>
      </c>
      <c r="L183">
        <v>12.53</v>
      </c>
      <c r="M183">
        <v>12.82</v>
      </c>
      <c r="N183">
        <v>13.05</v>
      </c>
      <c r="O183">
        <v>13.31</v>
      </c>
      <c r="P183">
        <v>13.56</v>
      </c>
      <c r="Q183">
        <v>13.81</v>
      </c>
      <c r="R183">
        <v>14.05</v>
      </c>
      <c r="S183">
        <v>14.19</v>
      </c>
      <c r="T183">
        <v>14.47</v>
      </c>
      <c r="U183">
        <v>14.75</v>
      </c>
      <c r="V183">
        <v>15.11</v>
      </c>
      <c r="W183">
        <v>15.46</v>
      </c>
      <c r="X183">
        <v>15.82</v>
      </c>
      <c r="Y183">
        <v>16.18</v>
      </c>
      <c r="Z183">
        <v>16.559999999999999</v>
      </c>
      <c r="AA183">
        <v>16.95</v>
      </c>
      <c r="AB183">
        <v>17.38</v>
      </c>
      <c r="AC183">
        <v>17.8</v>
      </c>
      <c r="AD183">
        <v>18.23</v>
      </c>
      <c r="AE183">
        <v>18.670000000000002</v>
      </c>
      <c r="AF183">
        <v>19.12</v>
      </c>
      <c r="AG183">
        <v>19.55</v>
      </c>
      <c r="AH183">
        <v>19.98</v>
      </c>
      <c r="AI183">
        <v>20.420000000000002</v>
      </c>
      <c r="AJ183">
        <v>20.87</v>
      </c>
      <c r="AK183">
        <v>21.33</v>
      </c>
      <c r="AL183">
        <v>21.77</v>
      </c>
      <c r="AM183">
        <v>22.21</v>
      </c>
      <c r="AN183">
        <v>22.68</v>
      </c>
      <c r="AO183">
        <v>23.27</v>
      </c>
    </row>
    <row r="184" spans="1:41" x14ac:dyDescent="0.25">
      <c r="A184" t="s">
        <v>27</v>
      </c>
      <c r="B184" t="s">
        <v>150</v>
      </c>
      <c r="C184">
        <v>52.81</v>
      </c>
      <c r="D184">
        <v>54.26</v>
      </c>
      <c r="E184">
        <v>55.41</v>
      </c>
      <c r="F184">
        <v>55.89</v>
      </c>
      <c r="G184">
        <v>56.55</v>
      </c>
      <c r="H184">
        <v>57.1</v>
      </c>
      <c r="I184">
        <v>57.77</v>
      </c>
      <c r="J184">
        <v>57.43</v>
      </c>
      <c r="K184">
        <v>53.7</v>
      </c>
      <c r="L184">
        <v>54.93</v>
      </c>
      <c r="M184">
        <v>56.1</v>
      </c>
      <c r="N184">
        <v>57.1</v>
      </c>
      <c r="O184">
        <v>58.23</v>
      </c>
      <c r="P184">
        <v>59.4</v>
      </c>
      <c r="Q184">
        <v>60.51</v>
      </c>
      <c r="R184">
        <v>61.62</v>
      </c>
      <c r="S184">
        <v>62.89</v>
      </c>
      <c r="T184">
        <v>63.98</v>
      </c>
      <c r="U184">
        <v>65.209999999999994</v>
      </c>
      <c r="V184">
        <v>66.91</v>
      </c>
      <c r="W184">
        <v>68.67</v>
      </c>
      <c r="X184">
        <v>70.540000000000006</v>
      </c>
      <c r="Y184">
        <v>72.73</v>
      </c>
      <c r="Z184">
        <v>74.89</v>
      </c>
      <c r="AA184">
        <v>77.16</v>
      </c>
      <c r="AB184">
        <v>79.62</v>
      </c>
      <c r="AC184">
        <v>82.09</v>
      </c>
      <c r="AD184">
        <v>84.63</v>
      </c>
      <c r="AE184">
        <v>87.27</v>
      </c>
      <c r="AF184">
        <v>89.91</v>
      </c>
      <c r="AG184">
        <v>92.55</v>
      </c>
      <c r="AH184">
        <v>95.31</v>
      </c>
      <c r="AI184">
        <v>98.19</v>
      </c>
      <c r="AJ184">
        <v>101.26</v>
      </c>
      <c r="AK184">
        <v>104.46</v>
      </c>
      <c r="AL184">
        <v>107.63</v>
      </c>
      <c r="AM184">
        <v>110.94</v>
      </c>
      <c r="AN184">
        <v>114.45</v>
      </c>
      <c r="AO184">
        <v>118.69</v>
      </c>
    </row>
    <row r="185" spans="1:41" x14ac:dyDescent="0.25">
      <c r="A185" t="s">
        <v>21</v>
      </c>
      <c r="B185" t="s">
        <v>151</v>
      </c>
      <c r="C185" s="22">
        <v>1833.85</v>
      </c>
      <c r="D185" s="22">
        <v>1881.9</v>
      </c>
      <c r="E185" s="22">
        <v>1929.34</v>
      </c>
      <c r="F185" s="22">
        <v>1956.68</v>
      </c>
      <c r="G185" s="22">
        <v>1983.97</v>
      </c>
      <c r="H185" s="22">
        <v>2015.63</v>
      </c>
      <c r="I185" s="22">
        <v>2048.7199999999998</v>
      </c>
      <c r="J185" s="22">
        <v>2068.14</v>
      </c>
      <c r="K185" s="22">
        <v>1924.06</v>
      </c>
      <c r="L185" s="22">
        <v>1969.68</v>
      </c>
      <c r="M185" s="22">
        <v>2013.21</v>
      </c>
      <c r="N185" s="22">
        <v>2052.89</v>
      </c>
      <c r="O185" s="22">
        <v>2097.59</v>
      </c>
      <c r="P185" s="22">
        <v>2142.04</v>
      </c>
      <c r="Q185" s="22">
        <v>2187.36</v>
      </c>
      <c r="R185" s="22">
        <v>2232.96</v>
      </c>
      <c r="S185" s="22">
        <v>2276.1999999999998</v>
      </c>
      <c r="T185" s="22">
        <v>2325.7600000000002</v>
      </c>
      <c r="U185" s="22">
        <v>2379.34</v>
      </c>
      <c r="V185" s="22">
        <v>2444.09</v>
      </c>
      <c r="W185" s="22">
        <v>2512.85</v>
      </c>
      <c r="X185" s="22">
        <v>2586.39</v>
      </c>
      <c r="Y185" s="22">
        <v>2669.29</v>
      </c>
      <c r="Z185" s="22">
        <v>2753.03</v>
      </c>
      <c r="AA185" s="22">
        <v>2843.24</v>
      </c>
      <c r="AB185" s="22">
        <v>2938.39</v>
      </c>
      <c r="AC185" s="22">
        <v>3036.29</v>
      </c>
      <c r="AD185" s="22">
        <v>3138.34</v>
      </c>
      <c r="AE185" s="22">
        <v>3244.95</v>
      </c>
      <c r="AF185" s="22">
        <v>3354.92</v>
      </c>
      <c r="AG185" s="22">
        <v>3465.43</v>
      </c>
      <c r="AH185" s="22">
        <v>3580.36</v>
      </c>
      <c r="AI185" s="22">
        <v>3700.03</v>
      </c>
      <c r="AJ185" s="22">
        <v>3827.31</v>
      </c>
      <c r="AK185" s="22">
        <v>3959.52</v>
      </c>
      <c r="AL185" s="22">
        <v>4091.05</v>
      </c>
      <c r="AM185" s="22">
        <v>4228.6000000000004</v>
      </c>
      <c r="AN185" s="22">
        <v>4373.84</v>
      </c>
      <c r="AO185" s="22">
        <v>4547.05</v>
      </c>
    </row>
    <row r="186" spans="1:41" x14ac:dyDescent="0.25">
      <c r="A186" t="s">
        <v>37</v>
      </c>
      <c r="B186" t="s">
        <v>152</v>
      </c>
      <c r="C186">
        <v>27.52</v>
      </c>
      <c r="D186">
        <v>26.89</v>
      </c>
      <c r="E186">
        <v>26.27</v>
      </c>
      <c r="F186">
        <v>25.64</v>
      </c>
      <c r="G186">
        <v>25.62</v>
      </c>
      <c r="H186">
        <v>25.6</v>
      </c>
      <c r="I186">
        <v>25.6</v>
      </c>
      <c r="J186">
        <v>25.55</v>
      </c>
      <c r="K186">
        <v>16.07</v>
      </c>
      <c r="L186">
        <v>16.03</v>
      </c>
      <c r="M186">
        <v>16.03</v>
      </c>
      <c r="N186">
        <v>16.010000000000002</v>
      </c>
      <c r="O186">
        <v>15.99</v>
      </c>
      <c r="P186">
        <v>15.42</v>
      </c>
      <c r="Q186">
        <v>15.4</v>
      </c>
      <c r="R186">
        <v>15.38</v>
      </c>
      <c r="S186">
        <v>10.1</v>
      </c>
      <c r="T186">
        <v>10.08</v>
      </c>
      <c r="U186">
        <v>10.47</v>
      </c>
      <c r="V186">
        <v>10.74</v>
      </c>
      <c r="W186">
        <v>10.75</v>
      </c>
      <c r="X186">
        <v>10.78</v>
      </c>
      <c r="Y186">
        <v>9.3800000000000008</v>
      </c>
      <c r="Z186">
        <v>7.95</v>
      </c>
      <c r="AA186">
        <v>6.61</v>
      </c>
      <c r="AB186">
        <v>5.54</v>
      </c>
      <c r="AC186">
        <v>4.71</v>
      </c>
      <c r="AD186">
        <v>3.88</v>
      </c>
      <c r="AE186">
        <v>3.05</v>
      </c>
      <c r="AF186">
        <v>2.78</v>
      </c>
      <c r="AG186">
        <v>2.5099999999999998</v>
      </c>
      <c r="AH186">
        <v>2.2400000000000002</v>
      </c>
      <c r="AI186">
        <v>1.97</v>
      </c>
      <c r="AJ186">
        <v>1.7</v>
      </c>
      <c r="AK186">
        <v>1.68</v>
      </c>
      <c r="AL186">
        <v>1.65</v>
      </c>
      <c r="AM186">
        <v>1.63</v>
      </c>
      <c r="AN186">
        <v>1.61</v>
      </c>
      <c r="AO186">
        <v>1.58</v>
      </c>
    </row>
    <row r="187" spans="1:41" x14ac:dyDescent="0.25">
      <c r="A187" t="s">
        <v>32</v>
      </c>
      <c r="B187" t="s">
        <v>153</v>
      </c>
      <c r="C187">
        <v>84.25</v>
      </c>
      <c r="D187">
        <v>82.71</v>
      </c>
      <c r="E187">
        <v>79.56</v>
      </c>
      <c r="F187">
        <v>76.53</v>
      </c>
      <c r="G187">
        <v>75.13</v>
      </c>
      <c r="H187">
        <v>74.03</v>
      </c>
      <c r="I187">
        <v>74.44</v>
      </c>
      <c r="J187">
        <v>72.650000000000006</v>
      </c>
      <c r="K187">
        <v>70.260000000000005</v>
      </c>
      <c r="L187">
        <v>74.099999999999994</v>
      </c>
      <c r="M187">
        <v>73.67</v>
      </c>
      <c r="N187">
        <v>74.25</v>
      </c>
      <c r="O187">
        <v>74.66</v>
      </c>
      <c r="P187">
        <v>75.03</v>
      </c>
      <c r="Q187">
        <v>76.28</v>
      </c>
      <c r="R187">
        <v>76.319999999999993</v>
      </c>
      <c r="S187">
        <v>76.67</v>
      </c>
      <c r="T187">
        <v>78.13</v>
      </c>
      <c r="U187">
        <v>79.61</v>
      </c>
      <c r="V187">
        <v>81.23</v>
      </c>
      <c r="W187">
        <v>83.69</v>
      </c>
      <c r="X187">
        <v>85.48</v>
      </c>
      <c r="Y187">
        <v>87.67</v>
      </c>
      <c r="Z187">
        <v>89.95</v>
      </c>
      <c r="AA187">
        <v>91.79</v>
      </c>
      <c r="AB187">
        <v>93.81</v>
      </c>
      <c r="AC187">
        <v>95.03</v>
      </c>
      <c r="AD187">
        <v>96.4</v>
      </c>
      <c r="AE187">
        <v>97.78</v>
      </c>
      <c r="AF187">
        <v>99.48</v>
      </c>
      <c r="AG187">
        <v>101.08</v>
      </c>
      <c r="AH187">
        <v>102.69</v>
      </c>
      <c r="AI187">
        <v>104.32</v>
      </c>
      <c r="AJ187">
        <v>105.99</v>
      </c>
      <c r="AK187">
        <v>108.49</v>
      </c>
      <c r="AL187">
        <v>110.57</v>
      </c>
      <c r="AM187">
        <v>112.67</v>
      </c>
      <c r="AN187">
        <v>114.79</v>
      </c>
      <c r="AO187">
        <v>116.96</v>
      </c>
    </row>
    <row r="188" spans="1:41" x14ac:dyDescent="0.25">
      <c r="A188" t="s">
        <v>38</v>
      </c>
      <c r="B188" t="s">
        <v>154</v>
      </c>
      <c r="C188">
        <v>66.42</v>
      </c>
      <c r="D188">
        <v>67.81</v>
      </c>
      <c r="E188">
        <v>65.680000000000007</v>
      </c>
      <c r="F188">
        <v>63.54</v>
      </c>
      <c r="G188">
        <v>63.36</v>
      </c>
      <c r="H188">
        <v>63.29</v>
      </c>
      <c r="I188">
        <v>63.16</v>
      </c>
      <c r="J188">
        <v>62.72</v>
      </c>
      <c r="K188">
        <v>60.32</v>
      </c>
      <c r="L188">
        <v>60.32</v>
      </c>
      <c r="M188">
        <v>60.4</v>
      </c>
      <c r="N188">
        <v>60.18</v>
      </c>
      <c r="O188">
        <v>60.35</v>
      </c>
      <c r="P188">
        <v>60.75</v>
      </c>
      <c r="Q188">
        <v>60.82</v>
      </c>
      <c r="R188">
        <v>60.78</v>
      </c>
      <c r="S188">
        <v>60.57</v>
      </c>
      <c r="T188">
        <v>59.99</v>
      </c>
      <c r="U188">
        <v>59.52</v>
      </c>
      <c r="V188">
        <v>59.08</v>
      </c>
      <c r="W188">
        <v>59.01</v>
      </c>
      <c r="X188">
        <v>58.82</v>
      </c>
      <c r="Y188">
        <v>58.76</v>
      </c>
      <c r="Z188">
        <v>58.76</v>
      </c>
      <c r="AA188">
        <v>58.54</v>
      </c>
      <c r="AB188">
        <v>57.86</v>
      </c>
      <c r="AC188">
        <v>56.62</v>
      </c>
      <c r="AD188">
        <v>55.36</v>
      </c>
      <c r="AE188">
        <v>54.1</v>
      </c>
      <c r="AF188">
        <v>53.56</v>
      </c>
      <c r="AG188">
        <v>53.03</v>
      </c>
      <c r="AH188">
        <v>52.5</v>
      </c>
      <c r="AI188">
        <v>51.96</v>
      </c>
      <c r="AJ188">
        <v>51.43</v>
      </c>
      <c r="AK188">
        <v>51.14</v>
      </c>
      <c r="AL188">
        <v>50.86</v>
      </c>
      <c r="AM188">
        <v>50.58</v>
      </c>
      <c r="AN188">
        <v>50.3</v>
      </c>
      <c r="AO188">
        <v>50.03</v>
      </c>
    </row>
    <row r="189" spans="1:41" x14ac:dyDescent="0.25">
      <c r="A189" t="s">
        <v>24</v>
      </c>
      <c r="B189" t="s">
        <v>155</v>
      </c>
      <c r="C189">
        <v>93.1</v>
      </c>
      <c r="D189">
        <v>96.24</v>
      </c>
      <c r="E189">
        <v>98.9</v>
      </c>
      <c r="F189">
        <v>99.85</v>
      </c>
      <c r="G189">
        <v>102.21</v>
      </c>
      <c r="H189">
        <v>103.61</v>
      </c>
      <c r="I189">
        <v>105.24</v>
      </c>
      <c r="J189">
        <v>104.54</v>
      </c>
      <c r="K189">
        <v>101.85</v>
      </c>
      <c r="L189">
        <v>104.95</v>
      </c>
      <c r="M189">
        <v>107.71</v>
      </c>
      <c r="N189">
        <v>109.84</v>
      </c>
      <c r="O189">
        <v>112.24</v>
      </c>
      <c r="P189">
        <v>114.63</v>
      </c>
      <c r="Q189">
        <v>116.8</v>
      </c>
      <c r="R189">
        <v>118.95</v>
      </c>
      <c r="S189">
        <v>121.8</v>
      </c>
      <c r="T189">
        <v>124.07</v>
      </c>
      <c r="U189">
        <v>126.27</v>
      </c>
      <c r="V189">
        <v>128.88999999999999</v>
      </c>
      <c r="W189">
        <v>131.65</v>
      </c>
      <c r="X189">
        <v>134.56</v>
      </c>
      <c r="Y189">
        <v>138.11000000000001</v>
      </c>
      <c r="Z189">
        <v>141.66</v>
      </c>
      <c r="AA189">
        <v>145.46</v>
      </c>
      <c r="AB189">
        <v>149.24</v>
      </c>
      <c r="AC189">
        <v>153</v>
      </c>
      <c r="AD189">
        <v>156.83000000000001</v>
      </c>
      <c r="AE189">
        <v>160.74</v>
      </c>
      <c r="AF189">
        <v>164.68</v>
      </c>
      <c r="AG189">
        <v>168.49</v>
      </c>
      <c r="AH189">
        <v>172.54</v>
      </c>
      <c r="AI189">
        <v>176.82</v>
      </c>
      <c r="AJ189">
        <v>181.33</v>
      </c>
      <c r="AK189">
        <v>185.9</v>
      </c>
      <c r="AL189">
        <v>190.27</v>
      </c>
      <c r="AM189">
        <v>194.8</v>
      </c>
      <c r="AN189">
        <v>199.65</v>
      </c>
      <c r="AO189">
        <v>205.62</v>
      </c>
    </row>
    <row r="190" spans="1:41" x14ac:dyDescent="0.25">
      <c r="A190" t="s">
        <v>34</v>
      </c>
      <c r="B190" t="s">
        <v>156</v>
      </c>
      <c r="C190">
        <v>135.96</v>
      </c>
      <c r="D190">
        <v>139.76</v>
      </c>
      <c r="E190">
        <v>143.13</v>
      </c>
      <c r="F190">
        <v>144.43</v>
      </c>
      <c r="G190">
        <v>145.78</v>
      </c>
      <c r="H190">
        <v>148.19</v>
      </c>
      <c r="I190">
        <v>150.15</v>
      </c>
      <c r="J190">
        <v>149.86000000000001</v>
      </c>
      <c r="K190">
        <v>138.71</v>
      </c>
      <c r="L190">
        <v>141.72999999999999</v>
      </c>
      <c r="M190">
        <v>144.58000000000001</v>
      </c>
      <c r="N190">
        <v>147.09</v>
      </c>
      <c r="O190">
        <v>150.05000000000001</v>
      </c>
      <c r="P190">
        <v>152.99</v>
      </c>
      <c r="Q190">
        <v>155.99</v>
      </c>
      <c r="R190">
        <v>158.99</v>
      </c>
      <c r="S190">
        <v>160.97999999999999</v>
      </c>
      <c r="T190">
        <v>164.16</v>
      </c>
      <c r="U190">
        <v>167.7</v>
      </c>
      <c r="V190">
        <v>172.12</v>
      </c>
      <c r="W190">
        <v>176.73</v>
      </c>
      <c r="X190">
        <v>181.62</v>
      </c>
      <c r="Y190">
        <v>186.95</v>
      </c>
      <c r="Z190">
        <v>192.27</v>
      </c>
      <c r="AA190">
        <v>197.94</v>
      </c>
      <c r="AB190">
        <v>204.15</v>
      </c>
      <c r="AC190">
        <v>210.42</v>
      </c>
      <c r="AD190">
        <v>216.93</v>
      </c>
      <c r="AE190">
        <v>223.69</v>
      </c>
      <c r="AF190">
        <v>230.57</v>
      </c>
      <c r="AG190">
        <v>237.37</v>
      </c>
      <c r="AH190">
        <v>244.47</v>
      </c>
      <c r="AI190">
        <v>251.92</v>
      </c>
      <c r="AJ190">
        <v>259.85000000000002</v>
      </c>
      <c r="AK190">
        <v>268.14999999999998</v>
      </c>
      <c r="AL190">
        <v>276.3</v>
      </c>
      <c r="AM190">
        <v>284.83999999999997</v>
      </c>
      <c r="AN190">
        <v>293.93</v>
      </c>
      <c r="AO190">
        <v>305.06</v>
      </c>
    </row>
    <row r="191" spans="1:41" x14ac:dyDescent="0.25">
      <c r="A191" t="s">
        <v>25</v>
      </c>
      <c r="B191" t="s">
        <v>157</v>
      </c>
      <c r="C191">
        <v>235.5</v>
      </c>
      <c r="D191">
        <v>241.59</v>
      </c>
      <c r="E191">
        <v>246.1</v>
      </c>
      <c r="F191">
        <v>248.42</v>
      </c>
      <c r="G191">
        <v>251.09</v>
      </c>
      <c r="H191">
        <v>253.26</v>
      </c>
      <c r="I191">
        <v>255.74</v>
      </c>
      <c r="J191">
        <v>254.07</v>
      </c>
      <c r="K191">
        <v>233.33</v>
      </c>
      <c r="L191">
        <v>239.41</v>
      </c>
      <c r="M191">
        <v>244.91</v>
      </c>
      <c r="N191">
        <v>249.83</v>
      </c>
      <c r="O191">
        <v>255.36</v>
      </c>
      <c r="P191">
        <v>260.81</v>
      </c>
      <c r="Q191">
        <v>266.36</v>
      </c>
      <c r="R191">
        <v>271.74</v>
      </c>
      <c r="S191">
        <v>277.05</v>
      </c>
      <c r="T191">
        <v>282.77999999999997</v>
      </c>
      <c r="U191">
        <v>288.95999999999998</v>
      </c>
      <c r="V191">
        <v>296.33999999999997</v>
      </c>
      <c r="W191">
        <v>304.2</v>
      </c>
      <c r="X191">
        <v>312.55</v>
      </c>
      <c r="Y191">
        <v>321.88</v>
      </c>
      <c r="Z191">
        <v>331.08</v>
      </c>
      <c r="AA191">
        <v>340.86</v>
      </c>
      <c r="AB191">
        <v>351.05</v>
      </c>
      <c r="AC191">
        <v>361.39</v>
      </c>
      <c r="AD191">
        <v>372.08</v>
      </c>
      <c r="AE191">
        <v>383.14</v>
      </c>
      <c r="AF191">
        <v>394.85</v>
      </c>
      <c r="AG191">
        <v>406.53</v>
      </c>
      <c r="AH191">
        <v>418.72</v>
      </c>
      <c r="AI191">
        <v>431.5</v>
      </c>
      <c r="AJ191">
        <v>445.12</v>
      </c>
      <c r="AK191">
        <v>459.51</v>
      </c>
      <c r="AL191">
        <v>473.68</v>
      </c>
      <c r="AM191">
        <v>488.53</v>
      </c>
      <c r="AN191">
        <v>504.28</v>
      </c>
      <c r="AO191">
        <v>523.45000000000005</v>
      </c>
    </row>
    <row r="192" spans="1:41" x14ac:dyDescent="0.25">
      <c r="A192" t="s">
        <v>29</v>
      </c>
      <c r="B192" t="s">
        <v>158</v>
      </c>
      <c r="C192">
        <v>13.35</v>
      </c>
      <c r="D192">
        <v>13.68</v>
      </c>
      <c r="E192">
        <v>13.89</v>
      </c>
      <c r="F192">
        <v>14.15</v>
      </c>
      <c r="G192">
        <v>14.18</v>
      </c>
      <c r="H192">
        <v>14.29</v>
      </c>
      <c r="I192">
        <v>14.31</v>
      </c>
      <c r="J192">
        <v>14.15</v>
      </c>
      <c r="K192">
        <v>13.1</v>
      </c>
      <c r="L192">
        <v>13.41</v>
      </c>
      <c r="M192">
        <v>13.57</v>
      </c>
      <c r="N192">
        <v>13.73</v>
      </c>
      <c r="O192">
        <v>13.9</v>
      </c>
      <c r="P192">
        <v>14.12</v>
      </c>
      <c r="Q192">
        <v>14.27</v>
      </c>
      <c r="R192">
        <v>14.4</v>
      </c>
      <c r="S192">
        <v>14.75</v>
      </c>
      <c r="T192">
        <v>14.82</v>
      </c>
      <c r="U192">
        <v>14.91</v>
      </c>
      <c r="V192">
        <v>15.03</v>
      </c>
      <c r="W192">
        <v>15.19</v>
      </c>
      <c r="X192">
        <v>15.37</v>
      </c>
      <c r="Y192">
        <v>15.64</v>
      </c>
      <c r="Z192">
        <v>15.88</v>
      </c>
      <c r="AA192">
        <v>16.13</v>
      </c>
      <c r="AB192">
        <v>16.399999999999999</v>
      </c>
      <c r="AC192">
        <v>16.7</v>
      </c>
      <c r="AD192">
        <v>17.010000000000002</v>
      </c>
      <c r="AE192">
        <v>17.329999999999998</v>
      </c>
      <c r="AF192">
        <v>17.66</v>
      </c>
      <c r="AG192">
        <v>17.989999999999998</v>
      </c>
      <c r="AH192">
        <v>18.34</v>
      </c>
      <c r="AI192">
        <v>18.72</v>
      </c>
      <c r="AJ192">
        <v>19.12</v>
      </c>
      <c r="AK192">
        <v>19.579999999999998</v>
      </c>
      <c r="AL192">
        <v>20.03</v>
      </c>
      <c r="AM192">
        <v>20.51</v>
      </c>
      <c r="AN192">
        <v>21.03</v>
      </c>
      <c r="AO192">
        <v>21.68</v>
      </c>
    </row>
    <row r="193" spans="1:41" x14ac:dyDescent="0.25">
      <c r="A193" t="s">
        <v>23</v>
      </c>
      <c r="B193" t="s">
        <v>159</v>
      </c>
      <c r="C193" s="22">
        <v>123.26999999999998</v>
      </c>
      <c r="D193" s="22">
        <v>125.80799999999999</v>
      </c>
      <c r="E193" s="22">
        <v>125.928</v>
      </c>
      <c r="F193" s="22">
        <v>128.83799999999999</v>
      </c>
      <c r="G193" s="22">
        <v>126.498</v>
      </c>
      <c r="H193" s="22">
        <v>129.738</v>
      </c>
      <c r="I193" s="22">
        <v>128.71199999999999</v>
      </c>
      <c r="J193" s="22">
        <v>126.50399999999999</v>
      </c>
      <c r="K193" s="22">
        <v>118.98</v>
      </c>
      <c r="L193" s="22">
        <v>121.03799999999998</v>
      </c>
      <c r="M193" s="22">
        <v>122.64599999999999</v>
      </c>
      <c r="N193" s="22">
        <v>123.93</v>
      </c>
      <c r="O193" s="22">
        <v>125.322</v>
      </c>
      <c r="P193" s="22">
        <v>126.78</v>
      </c>
      <c r="Q193" s="22">
        <v>127.99199999999999</v>
      </c>
      <c r="R193" s="22">
        <v>129.15599999999998</v>
      </c>
      <c r="S193" s="22">
        <v>131.04</v>
      </c>
      <c r="T193" s="22">
        <v>132.066</v>
      </c>
      <c r="U193" s="22">
        <v>132.99599999999998</v>
      </c>
      <c r="V193" s="22">
        <v>134.298</v>
      </c>
      <c r="W193" s="22">
        <v>135.6</v>
      </c>
      <c r="X193" s="22">
        <v>136.94399999999999</v>
      </c>
      <c r="Y193" s="22">
        <v>138.828</v>
      </c>
      <c r="Z193" s="22">
        <v>140.66999999999999</v>
      </c>
      <c r="AA193" s="22">
        <v>142.67399999999998</v>
      </c>
      <c r="AB193" s="22">
        <v>144.61199999999999</v>
      </c>
      <c r="AC193" s="22">
        <v>146.84399999999999</v>
      </c>
      <c r="AD193" s="22">
        <v>149.184</v>
      </c>
      <c r="AE193" s="22">
        <v>151.65</v>
      </c>
      <c r="AF193" s="22">
        <v>154.33799999999999</v>
      </c>
      <c r="AG193" s="22">
        <v>157.03800000000001</v>
      </c>
      <c r="AH193" s="22">
        <v>159.93600000000001</v>
      </c>
      <c r="AI193" s="22">
        <v>163.05599999999998</v>
      </c>
      <c r="AJ193" s="22">
        <v>166.488</v>
      </c>
      <c r="AK193" s="22">
        <v>170.28</v>
      </c>
      <c r="AL193" s="22">
        <v>174.072</v>
      </c>
      <c r="AM193" s="22">
        <v>178.14</v>
      </c>
      <c r="AN193" s="22">
        <v>182.57400000000001</v>
      </c>
      <c r="AO193" s="22">
        <v>188.22599999999997</v>
      </c>
    </row>
    <row r="194" spans="1:41" x14ac:dyDescent="0.25">
      <c r="A194" t="s">
        <v>28</v>
      </c>
      <c r="B194" t="s">
        <v>160</v>
      </c>
      <c r="C194">
        <v>14.11</v>
      </c>
      <c r="D194">
        <v>14.44</v>
      </c>
      <c r="E194">
        <v>14.65</v>
      </c>
      <c r="F194">
        <v>14.76</v>
      </c>
      <c r="G194">
        <v>14.92</v>
      </c>
      <c r="H194">
        <v>15.1</v>
      </c>
      <c r="I194">
        <v>15.25</v>
      </c>
      <c r="J194">
        <v>15.19</v>
      </c>
      <c r="K194">
        <v>14.04</v>
      </c>
      <c r="L194">
        <v>14.38</v>
      </c>
      <c r="M194">
        <v>14.69</v>
      </c>
      <c r="N194">
        <v>14.97</v>
      </c>
      <c r="O194">
        <v>15.29</v>
      </c>
      <c r="P194">
        <v>15.6</v>
      </c>
      <c r="Q194">
        <v>15.92</v>
      </c>
      <c r="R194">
        <v>16.239999999999998</v>
      </c>
      <c r="S194">
        <v>16.46</v>
      </c>
      <c r="T194">
        <v>16.8</v>
      </c>
      <c r="U194">
        <v>17.170000000000002</v>
      </c>
      <c r="V194">
        <v>17.61</v>
      </c>
      <c r="W194">
        <v>18.079999999999998</v>
      </c>
      <c r="X194">
        <v>18.579999999999998</v>
      </c>
      <c r="Y194">
        <v>19.100000000000001</v>
      </c>
      <c r="Z194">
        <v>19.61</v>
      </c>
      <c r="AA194">
        <v>20.149999999999999</v>
      </c>
      <c r="AB194">
        <v>20.71</v>
      </c>
      <c r="AC194">
        <v>21.29</v>
      </c>
      <c r="AD194">
        <v>21.89</v>
      </c>
      <c r="AE194">
        <v>22.5</v>
      </c>
      <c r="AF194">
        <v>23.19</v>
      </c>
      <c r="AG194">
        <v>23.88</v>
      </c>
      <c r="AH194">
        <v>24.59</v>
      </c>
      <c r="AI194">
        <v>25.33</v>
      </c>
      <c r="AJ194">
        <v>26.13</v>
      </c>
      <c r="AK194">
        <v>26.98</v>
      </c>
      <c r="AL194">
        <v>27.82</v>
      </c>
      <c r="AM194">
        <v>28.69</v>
      </c>
      <c r="AN194">
        <v>29.62</v>
      </c>
      <c r="AO194">
        <v>30.75</v>
      </c>
    </row>
    <row r="195" spans="1:41" x14ac:dyDescent="0.25">
      <c r="A195" t="s">
        <v>33</v>
      </c>
      <c r="B195" t="s">
        <v>161</v>
      </c>
      <c r="C195">
        <v>21.15</v>
      </c>
      <c r="D195">
        <v>22.36</v>
      </c>
      <c r="E195">
        <v>23.93</v>
      </c>
      <c r="F195">
        <v>24.86</v>
      </c>
      <c r="G195">
        <v>25.68</v>
      </c>
      <c r="H195">
        <v>27.65</v>
      </c>
      <c r="I195">
        <v>29.64</v>
      </c>
      <c r="J195">
        <v>30.75</v>
      </c>
      <c r="K195">
        <v>30.26</v>
      </c>
      <c r="L195">
        <v>31.64</v>
      </c>
      <c r="M195">
        <v>33.06</v>
      </c>
      <c r="N195">
        <v>34.409999999999997</v>
      </c>
      <c r="O195">
        <v>36.049999999999997</v>
      </c>
      <c r="P195">
        <v>37.840000000000003</v>
      </c>
      <c r="Q195">
        <v>39.71</v>
      </c>
      <c r="R195">
        <v>41.68</v>
      </c>
      <c r="S195">
        <v>44.08</v>
      </c>
      <c r="T195">
        <v>46.58</v>
      </c>
      <c r="U195">
        <v>49.3</v>
      </c>
      <c r="V195">
        <v>52.42</v>
      </c>
      <c r="W195">
        <v>55.71</v>
      </c>
      <c r="X195">
        <v>59.21</v>
      </c>
      <c r="Y195">
        <v>63.34</v>
      </c>
      <c r="Z195">
        <v>67.680000000000007</v>
      </c>
      <c r="AA195">
        <v>72.56</v>
      </c>
      <c r="AB195">
        <v>77.790000000000006</v>
      </c>
      <c r="AC195">
        <v>83.35</v>
      </c>
      <c r="AD195">
        <v>89.31</v>
      </c>
      <c r="AE195">
        <v>95.69</v>
      </c>
      <c r="AF195">
        <v>102.28</v>
      </c>
      <c r="AG195">
        <v>108.82</v>
      </c>
      <c r="AH195">
        <v>115.61</v>
      </c>
      <c r="AI195">
        <v>122.69</v>
      </c>
      <c r="AJ195">
        <v>130.12</v>
      </c>
      <c r="AK195">
        <v>137.75</v>
      </c>
      <c r="AL195">
        <v>145.12</v>
      </c>
      <c r="AM195">
        <v>152.74</v>
      </c>
      <c r="AN195">
        <v>160.78</v>
      </c>
      <c r="AO195">
        <v>170.59</v>
      </c>
    </row>
    <row r="196" spans="1:41" x14ac:dyDescent="0.25">
      <c r="A196" t="s">
        <v>30</v>
      </c>
      <c r="B196" t="s">
        <v>162</v>
      </c>
      <c r="C196">
        <v>10.11</v>
      </c>
      <c r="D196">
        <v>8.49</v>
      </c>
      <c r="E196">
        <v>7.76</v>
      </c>
      <c r="F196">
        <v>7.88</v>
      </c>
      <c r="G196">
        <v>7.62</v>
      </c>
      <c r="H196">
        <v>7.28</v>
      </c>
      <c r="I196">
        <v>7.09</v>
      </c>
      <c r="J196">
        <v>6.72</v>
      </c>
      <c r="K196">
        <v>6.04</v>
      </c>
      <c r="L196">
        <v>6.26</v>
      </c>
      <c r="M196">
        <v>6.38</v>
      </c>
      <c r="N196">
        <v>6.46</v>
      </c>
      <c r="O196">
        <v>6.53</v>
      </c>
      <c r="P196">
        <v>6.63</v>
      </c>
      <c r="Q196">
        <v>6.71</v>
      </c>
      <c r="R196">
        <v>6.74</v>
      </c>
      <c r="S196">
        <v>7.03</v>
      </c>
      <c r="T196">
        <v>7.04</v>
      </c>
      <c r="U196">
        <v>7.01</v>
      </c>
      <c r="V196">
        <v>6.93</v>
      </c>
      <c r="W196">
        <v>6.88</v>
      </c>
      <c r="X196">
        <v>6.81</v>
      </c>
      <c r="Y196">
        <v>6.81</v>
      </c>
      <c r="Z196">
        <v>6.82</v>
      </c>
      <c r="AA196">
        <v>6.82</v>
      </c>
      <c r="AB196">
        <v>6.76</v>
      </c>
      <c r="AC196">
        <v>6.71</v>
      </c>
      <c r="AD196">
        <v>6.66</v>
      </c>
      <c r="AE196">
        <v>6.61</v>
      </c>
      <c r="AF196">
        <v>6.58</v>
      </c>
      <c r="AG196">
        <v>6.55</v>
      </c>
      <c r="AH196">
        <v>6.53</v>
      </c>
      <c r="AI196">
        <v>6.52</v>
      </c>
      <c r="AJ196">
        <v>6.53</v>
      </c>
      <c r="AK196">
        <v>6.59</v>
      </c>
      <c r="AL196">
        <v>6.65</v>
      </c>
      <c r="AM196">
        <v>6.73</v>
      </c>
      <c r="AN196">
        <v>6.83</v>
      </c>
      <c r="AO196">
        <v>6.99</v>
      </c>
    </row>
    <row r="197" spans="1:41" x14ac:dyDescent="0.25">
      <c r="A197" t="s">
        <v>26</v>
      </c>
      <c r="B197" t="s">
        <v>163</v>
      </c>
      <c r="C197">
        <v>17.78</v>
      </c>
      <c r="D197">
        <v>18.170000000000002</v>
      </c>
      <c r="E197">
        <v>18.57</v>
      </c>
      <c r="F197">
        <v>18.72</v>
      </c>
      <c r="G197">
        <v>19.07</v>
      </c>
      <c r="H197">
        <v>19.21</v>
      </c>
      <c r="I197">
        <v>19.559999999999999</v>
      </c>
      <c r="J197">
        <v>19.57</v>
      </c>
      <c r="K197">
        <v>18.440000000000001</v>
      </c>
      <c r="L197">
        <v>18.899999999999999</v>
      </c>
      <c r="M197">
        <v>19.3</v>
      </c>
      <c r="N197">
        <v>19.66</v>
      </c>
      <c r="O197">
        <v>20.07</v>
      </c>
      <c r="P197">
        <v>20.49</v>
      </c>
      <c r="Q197">
        <v>20.88</v>
      </c>
      <c r="R197">
        <v>21.27</v>
      </c>
      <c r="S197">
        <v>21.67</v>
      </c>
      <c r="T197">
        <v>22.05</v>
      </c>
      <c r="U197">
        <v>22.47</v>
      </c>
      <c r="V197">
        <v>22.99</v>
      </c>
      <c r="W197">
        <v>23.54</v>
      </c>
      <c r="X197">
        <v>24.14</v>
      </c>
      <c r="Y197">
        <v>24.83</v>
      </c>
      <c r="Z197">
        <v>25.51</v>
      </c>
      <c r="AA197">
        <v>26.23</v>
      </c>
      <c r="AB197">
        <v>26.97</v>
      </c>
      <c r="AC197">
        <v>27.74</v>
      </c>
      <c r="AD197">
        <v>28.55</v>
      </c>
      <c r="AE197">
        <v>29.38</v>
      </c>
      <c r="AF197">
        <v>30.27</v>
      </c>
      <c r="AG197">
        <v>31.15</v>
      </c>
      <c r="AH197">
        <v>32.07</v>
      </c>
      <c r="AI197">
        <v>33.03</v>
      </c>
      <c r="AJ197">
        <v>34.06</v>
      </c>
      <c r="AK197">
        <v>35.14</v>
      </c>
      <c r="AL197">
        <v>36.200000000000003</v>
      </c>
      <c r="AM197">
        <v>37.31</v>
      </c>
      <c r="AN197">
        <v>38.479999999999997</v>
      </c>
      <c r="AO197">
        <v>39.92</v>
      </c>
    </row>
    <row r="198" spans="1:41" x14ac:dyDescent="0.25">
      <c r="A198" t="s">
        <v>36</v>
      </c>
      <c r="B198" t="s">
        <v>164</v>
      </c>
      <c r="C198">
        <v>1.1399999999999999</v>
      </c>
      <c r="D198">
        <v>1.1499999999999999</v>
      </c>
      <c r="E198">
        <v>1.1299999999999999</v>
      </c>
      <c r="F198">
        <v>1.1200000000000001</v>
      </c>
      <c r="G198">
        <v>1.1200000000000001</v>
      </c>
      <c r="H198">
        <v>1.1299999999999999</v>
      </c>
      <c r="I198">
        <v>1.1000000000000001</v>
      </c>
      <c r="J198">
        <v>1.07</v>
      </c>
      <c r="K198">
        <v>0.94</v>
      </c>
      <c r="L198">
        <v>0.94</v>
      </c>
      <c r="M198">
        <v>0.95</v>
      </c>
      <c r="N198">
        <v>0.97</v>
      </c>
      <c r="O198">
        <v>0.98</v>
      </c>
      <c r="P198">
        <v>1</v>
      </c>
      <c r="Q198">
        <v>1.02</v>
      </c>
      <c r="R198">
        <v>1.04</v>
      </c>
      <c r="S198">
        <v>1.05</v>
      </c>
      <c r="T198">
        <v>1.06</v>
      </c>
      <c r="U198">
        <v>1.0900000000000001</v>
      </c>
      <c r="V198">
        <v>1.1200000000000001</v>
      </c>
      <c r="W198">
        <v>1.1599999999999999</v>
      </c>
      <c r="X198">
        <v>1.2</v>
      </c>
      <c r="Y198">
        <v>1.25</v>
      </c>
      <c r="Z198">
        <v>1.29</v>
      </c>
      <c r="AA198">
        <v>1.34</v>
      </c>
      <c r="AB198">
        <v>1.4</v>
      </c>
      <c r="AC198">
        <v>1.46</v>
      </c>
      <c r="AD198">
        <v>1.52</v>
      </c>
      <c r="AE198">
        <v>1.59</v>
      </c>
      <c r="AF198">
        <v>1.67</v>
      </c>
      <c r="AG198">
        <v>1.74</v>
      </c>
      <c r="AH198">
        <v>1.83</v>
      </c>
      <c r="AI198">
        <v>1.92</v>
      </c>
      <c r="AJ198">
        <v>2.02</v>
      </c>
      <c r="AK198">
        <v>2.13</v>
      </c>
      <c r="AL198">
        <v>2.25</v>
      </c>
      <c r="AM198">
        <v>2.38</v>
      </c>
      <c r="AN198">
        <v>2.5099999999999998</v>
      </c>
      <c r="AO198">
        <v>2.67</v>
      </c>
    </row>
    <row r="199" spans="1:41" x14ac:dyDescent="0.25">
      <c r="A199" t="s">
        <v>145</v>
      </c>
      <c r="B199" t="s">
        <v>171</v>
      </c>
      <c r="C199">
        <v>82.18</v>
      </c>
      <c r="D199">
        <v>83.872000000000014</v>
      </c>
      <c r="E199">
        <v>83.951999999999998</v>
      </c>
      <c r="F199">
        <v>85.891999999999996</v>
      </c>
      <c r="G199">
        <v>84.332000000000008</v>
      </c>
      <c r="H199">
        <v>86.492000000000004</v>
      </c>
      <c r="I199">
        <v>85.808000000000007</v>
      </c>
      <c r="J199">
        <v>84.336000000000013</v>
      </c>
      <c r="K199">
        <v>79.320000000000007</v>
      </c>
      <c r="L199">
        <v>80.692000000000007</v>
      </c>
      <c r="M199">
        <v>81.76400000000001</v>
      </c>
      <c r="N199">
        <v>82.62</v>
      </c>
      <c r="O199">
        <v>83.548000000000002</v>
      </c>
      <c r="P199">
        <v>84.52000000000001</v>
      </c>
      <c r="Q199">
        <v>85.328000000000003</v>
      </c>
      <c r="R199">
        <v>86.103999999999999</v>
      </c>
      <c r="S199">
        <v>87.360000000000014</v>
      </c>
      <c r="T199">
        <v>88.044000000000011</v>
      </c>
      <c r="U199">
        <v>88.664000000000001</v>
      </c>
      <c r="V199">
        <v>89.532000000000011</v>
      </c>
      <c r="W199">
        <v>90.4</v>
      </c>
      <c r="X199">
        <v>91.296000000000006</v>
      </c>
      <c r="Y199">
        <v>92.552000000000007</v>
      </c>
      <c r="Z199">
        <v>93.78</v>
      </c>
      <c r="AA199">
        <v>95.116</v>
      </c>
      <c r="AB199">
        <v>96.408000000000015</v>
      </c>
      <c r="AC199">
        <v>97.896000000000015</v>
      </c>
      <c r="AD199">
        <v>99.456000000000003</v>
      </c>
      <c r="AE199">
        <v>101.10000000000001</v>
      </c>
      <c r="AF199">
        <v>102.89200000000001</v>
      </c>
      <c r="AG199">
        <v>104.69200000000001</v>
      </c>
      <c r="AH199">
        <v>106.62400000000001</v>
      </c>
      <c r="AI199">
        <v>108.70400000000001</v>
      </c>
      <c r="AJ199">
        <v>110.99200000000002</v>
      </c>
      <c r="AK199">
        <v>113.52000000000001</v>
      </c>
      <c r="AL199">
        <v>116.048</v>
      </c>
      <c r="AM199">
        <v>118.75999999999999</v>
      </c>
      <c r="AN199">
        <v>121.71600000000001</v>
      </c>
      <c r="AO199">
        <v>125.48399999999999</v>
      </c>
    </row>
    <row r="200" spans="1:41" x14ac:dyDescent="0.25">
      <c r="A200" t="s">
        <v>31</v>
      </c>
      <c r="B200" t="s">
        <v>31</v>
      </c>
    </row>
    <row r="202" spans="1:41" x14ac:dyDescent="0.25">
      <c r="C202" s="13"/>
    </row>
    <row r="203" spans="1:41" x14ac:dyDescent="0.25">
      <c r="B203" t="s">
        <v>172</v>
      </c>
      <c r="C203" s="13" t="s">
        <v>172</v>
      </c>
      <c r="D203" t="s">
        <v>172</v>
      </c>
      <c r="E203" t="s">
        <v>172</v>
      </c>
      <c r="F203" t="s">
        <v>172</v>
      </c>
      <c r="G203" t="s">
        <v>172</v>
      </c>
      <c r="H203" t="s">
        <v>172</v>
      </c>
      <c r="I203" t="s">
        <v>172</v>
      </c>
      <c r="J203" t="s">
        <v>172</v>
      </c>
      <c r="K203" t="s">
        <v>172</v>
      </c>
      <c r="L203" t="s">
        <v>172</v>
      </c>
      <c r="M203" t="s">
        <v>172</v>
      </c>
      <c r="N203" t="s">
        <v>172</v>
      </c>
      <c r="O203" t="s">
        <v>172</v>
      </c>
      <c r="P203" t="s">
        <v>172</v>
      </c>
      <c r="Q203" t="s">
        <v>172</v>
      </c>
      <c r="R203" t="s">
        <v>172</v>
      </c>
      <c r="S203" t="s">
        <v>172</v>
      </c>
      <c r="T203" t="s">
        <v>172</v>
      </c>
      <c r="U203" t="s">
        <v>172</v>
      </c>
      <c r="V203" t="s">
        <v>172</v>
      </c>
      <c r="W203" t="s">
        <v>172</v>
      </c>
      <c r="X203" t="s">
        <v>172</v>
      </c>
      <c r="Y203" t="s">
        <v>172</v>
      </c>
      <c r="Z203" t="s">
        <v>172</v>
      </c>
      <c r="AA203" t="s">
        <v>172</v>
      </c>
      <c r="AB203" t="s">
        <v>172</v>
      </c>
      <c r="AC203" t="s">
        <v>172</v>
      </c>
      <c r="AD203" t="s">
        <v>172</v>
      </c>
      <c r="AE203" t="s">
        <v>172</v>
      </c>
      <c r="AF203" t="s">
        <v>172</v>
      </c>
      <c r="AG203" t="s">
        <v>172</v>
      </c>
      <c r="AH203" t="s">
        <v>172</v>
      </c>
      <c r="AI203" t="s">
        <v>172</v>
      </c>
      <c r="AJ203" t="s">
        <v>172</v>
      </c>
      <c r="AK203" t="s">
        <v>172</v>
      </c>
      <c r="AL203" t="s">
        <v>172</v>
      </c>
      <c r="AM203" t="s">
        <v>172</v>
      </c>
      <c r="AN203" t="s">
        <v>172</v>
      </c>
    </row>
    <row r="204" spans="1:41" x14ac:dyDescent="0.25">
      <c r="B204" t="s">
        <v>166</v>
      </c>
      <c r="C204" s="13" t="s">
        <v>166</v>
      </c>
      <c r="D204" t="s">
        <v>166</v>
      </c>
      <c r="E204" t="s">
        <v>166</v>
      </c>
      <c r="F204" t="s">
        <v>166</v>
      </c>
      <c r="G204" t="s">
        <v>166</v>
      </c>
      <c r="H204" t="s">
        <v>166</v>
      </c>
      <c r="I204" t="s">
        <v>166</v>
      </c>
      <c r="J204" t="s">
        <v>166</v>
      </c>
      <c r="K204" t="s">
        <v>166</v>
      </c>
      <c r="L204" t="s">
        <v>166</v>
      </c>
      <c r="M204" t="s">
        <v>166</v>
      </c>
      <c r="N204" t="s">
        <v>166</v>
      </c>
      <c r="O204" t="s">
        <v>166</v>
      </c>
      <c r="P204" t="s">
        <v>166</v>
      </c>
      <c r="Q204" t="s">
        <v>166</v>
      </c>
      <c r="R204" t="s">
        <v>166</v>
      </c>
      <c r="S204" t="s">
        <v>166</v>
      </c>
      <c r="T204" t="s">
        <v>166</v>
      </c>
      <c r="U204" t="s">
        <v>166</v>
      </c>
      <c r="V204" t="s">
        <v>166</v>
      </c>
      <c r="W204" t="s">
        <v>166</v>
      </c>
      <c r="X204" t="s">
        <v>166</v>
      </c>
      <c r="Y204" t="s">
        <v>166</v>
      </c>
      <c r="Z204" t="s">
        <v>166</v>
      </c>
      <c r="AA204" t="s">
        <v>166</v>
      </c>
      <c r="AB204" t="s">
        <v>166</v>
      </c>
      <c r="AC204" t="s">
        <v>166</v>
      </c>
      <c r="AD204" t="s">
        <v>166</v>
      </c>
      <c r="AE204" t="s">
        <v>166</v>
      </c>
      <c r="AF204" t="s">
        <v>166</v>
      </c>
      <c r="AG204" t="s">
        <v>166</v>
      </c>
      <c r="AH204" t="s">
        <v>166</v>
      </c>
      <c r="AI204" t="s">
        <v>166</v>
      </c>
      <c r="AJ204" t="s">
        <v>166</v>
      </c>
      <c r="AK204" t="s">
        <v>166</v>
      </c>
      <c r="AL204" t="s">
        <v>166</v>
      </c>
      <c r="AM204" t="s">
        <v>166</v>
      </c>
      <c r="AN204" t="s">
        <v>166</v>
      </c>
    </row>
    <row r="205" spans="1:41" x14ac:dyDescent="0.25">
      <c r="A205" t="s">
        <v>173</v>
      </c>
      <c r="B205">
        <v>2012</v>
      </c>
      <c r="C205" s="13">
        <v>2013</v>
      </c>
      <c r="D205">
        <v>2014</v>
      </c>
      <c r="E205">
        <v>2015</v>
      </c>
      <c r="F205">
        <v>2016</v>
      </c>
      <c r="G205">
        <v>2017</v>
      </c>
      <c r="H205">
        <v>2018</v>
      </c>
      <c r="I205">
        <v>2019</v>
      </c>
      <c r="J205">
        <v>2020</v>
      </c>
      <c r="K205">
        <v>2021</v>
      </c>
      <c r="L205">
        <v>2022</v>
      </c>
      <c r="M205">
        <v>2023</v>
      </c>
      <c r="N205">
        <v>2024</v>
      </c>
      <c r="O205">
        <v>2025</v>
      </c>
      <c r="P205">
        <v>2026</v>
      </c>
      <c r="Q205">
        <v>2027</v>
      </c>
      <c r="R205">
        <v>2028</v>
      </c>
      <c r="S205">
        <v>2029</v>
      </c>
      <c r="T205">
        <v>2030</v>
      </c>
      <c r="U205">
        <v>2031</v>
      </c>
      <c r="V205">
        <v>2032</v>
      </c>
      <c r="W205">
        <v>2033</v>
      </c>
      <c r="X205">
        <v>2034</v>
      </c>
      <c r="Y205">
        <v>2035</v>
      </c>
      <c r="Z205">
        <v>2036</v>
      </c>
      <c r="AA205">
        <v>2037</v>
      </c>
      <c r="AB205">
        <v>2038</v>
      </c>
      <c r="AC205">
        <v>2039</v>
      </c>
      <c r="AD205">
        <v>2040</v>
      </c>
      <c r="AE205">
        <v>2041</v>
      </c>
      <c r="AF205">
        <v>2042</v>
      </c>
      <c r="AG205">
        <v>2043</v>
      </c>
      <c r="AH205">
        <v>2044</v>
      </c>
      <c r="AI205">
        <v>2045</v>
      </c>
      <c r="AJ205">
        <v>2046</v>
      </c>
      <c r="AK205">
        <v>2047</v>
      </c>
      <c r="AL205">
        <v>2048</v>
      </c>
      <c r="AM205">
        <v>2049</v>
      </c>
      <c r="AN205">
        <v>2050</v>
      </c>
    </row>
    <row r="206" spans="1:41" x14ac:dyDescent="0.25">
      <c r="A206" t="s">
        <v>174</v>
      </c>
      <c r="B206" s="13">
        <v>0.2</v>
      </c>
      <c r="C206" s="13">
        <v>0.20899999999999999</v>
      </c>
      <c r="D206" s="13">
        <v>0.215</v>
      </c>
      <c r="E206" s="13">
        <v>0.217</v>
      </c>
      <c r="F206" s="13">
        <v>0.2172</v>
      </c>
      <c r="G206" s="13">
        <v>0.2223</v>
      </c>
      <c r="H206" s="13">
        <v>0.22309999999999999</v>
      </c>
      <c r="I206" s="13">
        <v>0.21759999999999999</v>
      </c>
      <c r="J206" s="13">
        <v>0.2</v>
      </c>
      <c r="K206" s="13">
        <v>0.2</v>
      </c>
      <c r="L206" s="13">
        <v>0.2</v>
      </c>
      <c r="M206" s="13">
        <v>0.2</v>
      </c>
      <c r="N206" s="13">
        <v>0.20230000000000001</v>
      </c>
      <c r="O206" s="13">
        <v>0.20630000000000001</v>
      </c>
      <c r="P206" s="13">
        <v>0.21179999999999999</v>
      </c>
      <c r="Q206" s="13">
        <v>0.2162</v>
      </c>
      <c r="R206" s="13">
        <v>0.21790000000000001</v>
      </c>
      <c r="S206" s="13">
        <v>0.22359999999999999</v>
      </c>
      <c r="T206" s="13">
        <v>0.22939999999999999</v>
      </c>
      <c r="U206" s="13">
        <v>0.23619999999999999</v>
      </c>
      <c r="V206" s="13">
        <v>0.2432</v>
      </c>
      <c r="W206" s="13">
        <v>0.24990000000000001</v>
      </c>
      <c r="X206" s="13">
        <v>0.25719999999999998</v>
      </c>
      <c r="Y206" s="13">
        <v>0.26390000000000002</v>
      </c>
      <c r="Z206" s="13">
        <v>0.2712</v>
      </c>
      <c r="AA206" s="13">
        <v>0.27889999999999998</v>
      </c>
      <c r="AB206" s="13">
        <v>0.28599999999999998</v>
      </c>
      <c r="AC206" s="13">
        <v>0.29310000000000003</v>
      </c>
      <c r="AD206" s="13">
        <v>0.30020000000000002</v>
      </c>
      <c r="AE206" s="13">
        <v>0.30719999999999997</v>
      </c>
      <c r="AF206" s="13">
        <v>0.3135</v>
      </c>
      <c r="AG206" s="13">
        <v>0.31990000000000002</v>
      </c>
      <c r="AH206" s="13">
        <v>0.32629999999999998</v>
      </c>
      <c r="AI206" s="13">
        <v>0.33289999999999997</v>
      </c>
      <c r="AJ206" s="13">
        <v>0.33960000000000001</v>
      </c>
      <c r="AK206" s="13">
        <v>0.34549999999999997</v>
      </c>
      <c r="AL206" s="13">
        <v>0.35139999999999999</v>
      </c>
      <c r="AM206" s="13">
        <v>0.35749999999999998</v>
      </c>
      <c r="AN206" s="13">
        <v>0.36499999999999999</v>
      </c>
    </row>
    <row r="207" spans="1:41" x14ac:dyDescent="0.25">
      <c r="A207" t="s">
        <v>175</v>
      </c>
      <c r="B207" s="13">
        <v>0.3</v>
      </c>
      <c r="C207" s="13">
        <v>0.29570000000000002</v>
      </c>
      <c r="D207" s="13">
        <v>0.29930000000000001</v>
      </c>
      <c r="E207" s="13">
        <v>0.3029</v>
      </c>
      <c r="F207" s="13">
        <v>0.3044</v>
      </c>
      <c r="G207" s="13">
        <v>0.30480000000000002</v>
      </c>
      <c r="H207" s="13">
        <v>0.30819999999999997</v>
      </c>
      <c r="I207" s="13">
        <v>0.31109999999999999</v>
      </c>
      <c r="J207" s="13">
        <v>0.31140000000000001</v>
      </c>
      <c r="K207" s="13">
        <v>0.29730000000000001</v>
      </c>
      <c r="L207" s="13">
        <v>0.30199999999999999</v>
      </c>
      <c r="M207" s="13">
        <v>0.30640000000000001</v>
      </c>
      <c r="N207" s="13">
        <v>0.30940000000000001</v>
      </c>
      <c r="O207" s="13">
        <v>0.3115</v>
      </c>
      <c r="P207" s="13">
        <v>0.313</v>
      </c>
      <c r="Q207" s="13">
        <v>0.31540000000000001</v>
      </c>
      <c r="R207" s="13">
        <v>0.3175</v>
      </c>
      <c r="S207" s="13">
        <v>0.31859999999999999</v>
      </c>
      <c r="T207" s="13">
        <v>0.32069999999999999</v>
      </c>
      <c r="U207" s="13">
        <v>0.32240000000000002</v>
      </c>
      <c r="V207" s="13">
        <v>0.32469999999999999</v>
      </c>
      <c r="W207" s="13">
        <v>0.32690000000000002</v>
      </c>
      <c r="X207" s="13">
        <v>0.32890000000000003</v>
      </c>
      <c r="Y207" s="13">
        <v>0.33139999999999997</v>
      </c>
      <c r="Z207" s="13">
        <v>0.33339999999999997</v>
      </c>
      <c r="AA207" s="13">
        <v>0.33560000000000001</v>
      </c>
      <c r="AB207" s="13">
        <v>0.33800000000000002</v>
      </c>
      <c r="AC207" s="13">
        <v>0.34010000000000001</v>
      </c>
      <c r="AD207" s="13">
        <v>0.3422</v>
      </c>
      <c r="AE207" s="13">
        <v>0.34439999999999998</v>
      </c>
      <c r="AF207" s="13">
        <v>0.34649999999999997</v>
      </c>
      <c r="AG207" s="13">
        <v>0.34839999999999999</v>
      </c>
      <c r="AH207" s="13">
        <v>0.35020000000000001</v>
      </c>
      <c r="AI207" s="13">
        <v>0.35189999999999999</v>
      </c>
      <c r="AJ207" s="13">
        <v>0.35370000000000001</v>
      </c>
      <c r="AK207" s="13">
        <v>0.35560000000000003</v>
      </c>
      <c r="AL207" s="13">
        <v>0.35720000000000002</v>
      </c>
      <c r="AM207" s="13">
        <v>0.35859999999999997</v>
      </c>
      <c r="AN207" s="13">
        <v>0.35959999999999998</v>
      </c>
    </row>
    <row r="208" spans="1:41" x14ac:dyDescent="0.25">
      <c r="A208" t="s">
        <v>176</v>
      </c>
      <c r="B208" s="13">
        <v>0.5</v>
      </c>
      <c r="C208" s="13">
        <v>0.49530000000000002</v>
      </c>
      <c r="D208" s="13">
        <v>0.48570000000000002</v>
      </c>
      <c r="E208" s="13">
        <v>0.48010000000000003</v>
      </c>
      <c r="F208" s="13">
        <v>0.4783</v>
      </c>
      <c r="G208" s="13">
        <v>0.47289999999999999</v>
      </c>
      <c r="H208" s="13">
        <v>0.46870000000000001</v>
      </c>
      <c r="I208" s="13">
        <v>0.47139999999999999</v>
      </c>
      <c r="J208" s="13">
        <v>0.48859999999999998</v>
      </c>
      <c r="K208" s="13">
        <v>0.50270000000000004</v>
      </c>
      <c r="L208" s="13">
        <v>0.498</v>
      </c>
      <c r="M208" s="13">
        <v>0.49359999999999998</v>
      </c>
      <c r="N208" s="13">
        <v>0.48820000000000002</v>
      </c>
      <c r="O208" s="13">
        <v>0.48220000000000002</v>
      </c>
      <c r="P208" s="13">
        <v>0.47520000000000001</v>
      </c>
      <c r="Q208" s="13">
        <v>0.46839999999999998</v>
      </c>
      <c r="R208" s="13">
        <v>0.4647</v>
      </c>
      <c r="S208" s="13">
        <v>0.45779999999999998</v>
      </c>
      <c r="T208" s="13">
        <v>0.44979999999999998</v>
      </c>
      <c r="U208" s="13">
        <v>0.44130000000000003</v>
      </c>
      <c r="V208" s="13">
        <v>0.43219999999999997</v>
      </c>
      <c r="W208" s="13">
        <v>0.42320000000000002</v>
      </c>
      <c r="X208" s="13">
        <v>0.4138</v>
      </c>
      <c r="Y208" s="13">
        <v>0.40460000000000002</v>
      </c>
      <c r="Z208" s="13">
        <v>0.39539999999999997</v>
      </c>
      <c r="AA208" s="13">
        <v>0.38550000000000001</v>
      </c>
      <c r="AB208" s="13">
        <v>0.37590000000000001</v>
      </c>
      <c r="AC208" s="13">
        <v>0.36670000000000003</v>
      </c>
      <c r="AD208" s="13">
        <v>0.35759999999999997</v>
      </c>
      <c r="AE208" s="13">
        <v>0.34839999999999999</v>
      </c>
      <c r="AF208" s="13">
        <v>0.33989999999999998</v>
      </c>
      <c r="AG208" s="13">
        <v>0.33169999999999999</v>
      </c>
      <c r="AH208" s="13">
        <v>0.32350000000000001</v>
      </c>
      <c r="AI208" s="13">
        <v>0.31519999999999998</v>
      </c>
      <c r="AJ208" s="13">
        <v>0.30669999999999997</v>
      </c>
      <c r="AK208" s="13">
        <v>0.2989</v>
      </c>
      <c r="AL208" s="13">
        <v>0.29149999999999998</v>
      </c>
      <c r="AM208" s="13">
        <v>0.28389999999999999</v>
      </c>
      <c r="AN208" s="13">
        <v>0.27539999999999998</v>
      </c>
    </row>
    <row r="209" spans="3:3" x14ac:dyDescent="0.25">
      <c r="C209" s="13"/>
    </row>
    <row r="210" spans="3:3" x14ac:dyDescent="0.25">
      <c r="C210" s="13"/>
    </row>
    <row r="211" spans="3:3" x14ac:dyDescent="0.25">
      <c r="C211" s="13"/>
    </row>
    <row r="212" spans="3:3" x14ac:dyDescent="0.25">
      <c r="C212" s="13"/>
    </row>
    <row r="213" spans="3:3" x14ac:dyDescent="0.25">
      <c r="C213" s="13"/>
    </row>
    <row r="214" spans="3:3" x14ac:dyDescent="0.25">
      <c r="C214" s="13"/>
    </row>
    <row r="215" spans="3:3" x14ac:dyDescent="0.25">
      <c r="C215" s="13"/>
    </row>
    <row r="216" spans="3:3" x14ac:dyDescent="0.25">
      <c r="C216" s="13"/>
    </row>
    <row r="217" spans="3:3" x14ac:dyDescent="0.25">
      <c r="C217" s="13"/>
    </row>
    <row r="218" spans="3:3" x14ac:dyDescent="0.25">
      <c r="C218" s="13"/>
    </row>
    <row r="219" spans="3:3" x14ac:dyDescent="0.25">
      <c r="C219" s="13"/>
    </row>
    <row r="220" spans="3:3" x14ac:dyDescent="0.25">
      <c r="C220" s="13"/>
    </row>
    <row r="221" spans="3:3" x14ac:dyDescent="0.25">
      <c r="C221" s="13"/>
    </row>
    <row r="222" spans="3:3" x14ac:dyDescent="0.25">
      <c r="C222" s="13"/>
    </row>
    <row r="223" spans="3:3" x14ac:dyDescent="0.25">
      <c r="C223" s="13"/>
    </row>
    <row r="224" spans="3:3" x14ac:dyDescent="0.25">
      <c r="C224" s="13"/>
    </row>
    <row r="225" spans="3:4" x14ac:dyDescent="0.25">
      <c r="C225" s="13"/>
    </row>
    <row r="226" spans="3:4" x14ac:dyDescent="0.25">
      <c r="C226" s="13"/>
    </row>
    <row r="227" spans="3:4" x14ac:dyDescent="0.25">
      <c r="C227" s="13"/>
      <c r="D227" s="22"/>
    </row>
    <row r="228" spans="3:4" x14ac:dyDescent="0.25">
      <c r="C228" s="13"/>
      <c r="D228" s="22"/>
    </row>
    <row r="229" spans="3:4" x14ac:dyDescent="0.25">
      <c r="C229" s="13"/>
      <c r="D229" s="22"/>
    </row>
    <row r="230" spans="3:4" x14ac:dyDescent="0.25">
      <c r="C230" s="13"/>
      <c r="D230" s="22"/>
    </row>
    <row r="231" spans="3:4" x14ac:dyDescent="0.25">
      <c r="C231" s="13"/>
      <c r="D231" s="22"/>
    </row>
    <row r="232" spans="3:4" x14ac:dyDescent="0.25">
      <c r="C232" s="13"/>
      <c r="D232" s="22"/>
    </row>
    <row r="233" spans="3:4" x14ac:dyDescent="0.25">
      <c r="C233" s="13"/>
      <c r="D233" s="22"/>
    </row>
    <row r="234" spans="3:4" x14ac:dyDescent="0.25">
      <c r="C234" s="13"/>
      <c r="D234" s="22"/>
    </row>
    <row r="235" spans="3:4" x14ac:dyDescent="0.25">
      <c r="C235" s="13"/>
      <c r="D235" s="22"/>
    </row>
    <row r="236" spans="3:4" x14ac:dyDescent="0.25">
      <c r="C236" s="13"/>
      <c r="D236" s="22"/>
    </row>
    <row r="237" spans="3:4" x14ac:dyDescent="0.25">
      <c r="C237" s="13"/>
      <c r="D237" s="22"/>
    </row>
    <row r="238" spans="3:4" x14ac:dyDescent="0.25">
      <c r="C238" s="13"/>
      <c r="D238" s="22"/>
    </row>
    <row r="239" spans="3:4" x14ac:dyDescent="0.25">
      <c r="C239" s="13"/>
      <c r="D239" s="22"/>
    </row>
    <row r="240" spans="3:4" x14ac:dyDescent="0.25">
      <c r="C240" s="13"/>
      <c r="D240" s="22"/>
    </row>
    <row r="241" spans="3:4" x14ac:dyDescent="0.25">
      <c r="C241" s="13"/>
      <c r="D241" s="22"/>
    </row>
    <row r="242" spans="3:4" x14ac:dyDescent="0.25">
      <c r="C242" s="13"/>
      <c r="D242" s="22"/>
    </row>
    <row r="243" spans="3:4" x14ac:dyDescent="0.25">
      <c r="C243" s="13"/>
      <c r="D243" s="22"/>
    </row>
    <row r="244" spans="3:4" x14ac:dyDescent="0.25">
      <c r="C244" s="13"/>
      <c r="D244" s="22"/>
    </row>
    <row r="245" spans="3:4" x14ac:dyDescent="0.25">
      <c r="C245" s="13"/>
      <c r="D245" s="22"/>
    </row>
    <row r="246" spans="3:4" x14ac:dyDescent="0.25">
      <c r="C246" s="13"/>
      <c r="D246" s="22"/>
    </row>
    <row r="247" spans="3:4" x14ac:dyDescent="0.25">
      <c r="C247" s="13"/>
      <c r="D247" s="22"/>
    </row>
    <row r="248" spans="3:4" x14ac:dyDescent="0.25">
      <c r="C248" s="13"/>
      <c r="D248" s="22"/>
    </row>
    <row r="249" spans="3:4" x14ac:dyDescent="0.25">
      <c r="C249" s="13"/>
      <c r="D249" s="22"/>
    </row>
    <row r="250" spans="3:4" x14ac:dyDescent="0.25">
      <c r="C250" s="13"/>
      <c r="D250" s="22"/>
    </row>
    <row r="251" spans="3:4" x14ac:dyDescent="0.25">
      <c r="C251" s="13"/>
      <c r="D251" s="22"/>
    </row>
    <row r="252" spans="3:4" x14ac:dyDescent="0.25">
      <c r="C252" s="13"/>
      <c r="D252" s="22"/>
    </row>
    <row r="253" spans="3:4" x14ac:dyDescent="0.25">
      <c r="C253" s="13"/>
      <c r="D253" s="22"/>
    </row>
    <row r="254" spans="3:4" x14ac:dyDescent="0.25">
      <c r="C254" s="13"/>
      <c r="D254" s="22"/>
    </row>
    <row r="255" spans="3:4" x14ac:dyDescent="0.25">
      <c r="C255" s="13"/>
      <c r="D255" s="22"/>
    </row>
    <row r="256" spans="3:4" x14ac:dyDescent="0.25">
      <c r="C256" s="13"/>
      <c r="D256" s="22"/>
    </row>
    <row r="257" spans="3:4" x14ac:dyDescent="0.25">
      <c r="C257" s="13"/>
      <c r="D257" s="22"/>
    </row>
    <row r="258" spans="3:4" x14ac:dyDescent="0.25">
      <c r="C258" s="13"/>
      <c r="D258" s="22"/>
    </row>
    <row r="261" spans="3:4" x14ac:dyDescent="0.25">
      <c r="C261" s="13"/>
    </row>
    <row r="262" spans="3:4" x14ac:dyDescent="0.25">
      <c r="C262" s="13"/>
    </row>
    <row r="263" spans="3:4" x14ac:dyDescent="0.25">
      <c r="C263" s="13"/>
    </row>
    <row r="264" spans="3:4" x14ac:dyDescent="0.25">
      <c r="C264" s="13"/>
    </row>
    <row r="265" spans="3:4" x14ac:dyDescent="0.25">
      <c r="C265" s="13"/>
    </row>
    <row r="266" spans="3:4" x14ac:dyDescent="0.25">
      <c r="C266" s="13"/>
    </row>
    <row r="267" spans="3:4" x14ac:dyDescent="0.25">
      <c r="C267" s="13"/>
    </row>
    <row r="268" spans="3:4" x14ac:dyDescent="0.25">
      <c r="C268" s="13"/>
    </row>
    <row r="269" spans="3:4" x14ac:dyDescent="0.25">
      <c r="C269" s="13"/>
    </row>
    <row r="270" spans="3:4" x14ac:dyDescent="0.25">
      <c r="C270" s="13"/>
    </row>
    <row r="271" spans="3:4" x14ac:dyDescent="0.25">
      <c r="C271" s="13"/>
    </row>
    <row r="272" spans="3:4" x14ac:dyDescent="0.25">
      <c r="C272" s="13"/>
    </row>
    <row r="273" spans="3:3" x14ac:dyDescent="0.25">
      <c r="C273" s="13"/>
    </row>
    <row r="274" spans="3:3" x14ac:dyDescent="0.25">
      <c r="C274" s="13"/>
    </row>
    <row r="275" spans="3:3" x14ac:dyDescent="0.25">
      <c r="C275" s="13"/>
    </row>
    <row r="276" spans="3:3" x14ac:dyDescent="0.25">
      <c r="C276" s="13"/>
    </row>
    <row r="277" spans="3:3" x14ac:dyDescent="0.25">
      <c r="C277" s="13"/>
    </row>
    <row r="278" spans="3:3" x14ac:dyDescent="0.25">
      <c r="C278" s="13"/>
    </row>
    <row r="279" spans="3:3" x14ac:dyDescent="0.25">
      <c r="C279" s="13"/>
    </row>
    <row r="280" spans="3:3" x14ac:dyDescent="0.25">
      <c r="C280" s="13"/>
    </row>
    <row r="281" spans="3:3" x14ac:dyDescent="0.25">
      <c r="C281" s="13"/>
    </row>
    <row r="282" spans="3:3" x14ac:dyDescent="0.25">
      <c r="C282" s="13"/>
    </row>
    <row r="283" spans="3:3" x14ac:dyDescent="0.25">
      <c r="C283" s="13"/>
    </row>
    <row r="284" spans="3:3" x14ac:dyDescent="0.25">
      <c r="C284" s="13"/>
    </row>
    <row r="285" spans="3:3" x14ac:dyDescent="0.25">
      <c r="C285" s="13"/>
    </row>
    <row r="286" spans="3:3" x14ac:dyDescent="0.25">
      <c r="C286" s="13"/>
    </row>
    <row r="287" spans="3:3" x14ac:dyDescent="0.25">
      <c r="C287" s="13"/>
    </row>
    <row r="288" spans="3:3" x14ac:dyDescent="0.25">
      <c r="C288" s="13"/>
    </row>
    <row r="289" spans="3:3" x14ac:dyDescent="0.25">
      <c r="C289" s="13"/>
    </row>
    <row r="290" spans="3:3" x14ac:dyDescent="0.25">
      <c r="C290" s="13"/>
    </row>
    <row r="291" spans="3:3" x14ac:dyDescent="0.25">
      <c r="C291" s="13"/>
    </row>
    <row r="292" spans="3:3" x14ac:dyDescent="0.25">
      <c r="C292" s="13"/>
    </row>
    <row r="293" spans="3:3" x14ac:dyDescent="0.25">
      <c r="C293" s="13"/>
    </row>
    <row r="294" spans="3:3" x14ac:dyDescent="0.25">
      <c r="C294" s="13"/>
    </row>
    <row r="295" spans="3:3" x14ac:dyDescent="0.25">
      <c r="C295" s="13"/>
    </row>
    <row r="296" spans="3:3" x14ac:dyDescent="0.25">
      <c r="C296" s="13"/>
    </row>
    <row r="297" spans="3:3" x14ac:dyDescent="0.25">
      <c r="C297" s="13"/>
    </row>
    <row r="298" spans="3:3" x14ac:dyDescent="0.25">
      <c r="C298" s="13"/>
    </row>
    <row r="299" spans="3:3" x14ac:dyDescent="0.25">
      <c r="C299" s="13"/>
    </row>
    <row r="300" spans="3:3" x14ac:dyDescent="0.25">
      <c r="C300" s="13"/>
    </row>
    <row r="301" spans="3:3" x14ac:dyDescent="0.25">
      <c r="C301" s="13"/>
    </row>
    <row r="302" spans="3:3" x14ac:dyDescent="0.25">
      <c r="C302" s="13"/>
    </row>
    <row r="303" spans="3:3" x14ac:dyDescent="0.25">
      <c r="C303" s="13"/>
    </row>
    <row r="304" spans="3:3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3" x14ac:dyDescent="0.25">
      <c r="C321" s="13"/>
    </row>
    <row r="322" spans="3:3" x14ac:dyDescent="0.25">
      <c r="C322" s="13"/>
    </row>
    <row r="323" spans="3:3" x14ac:dyDescent="0.25">
      <c r="C323" s="13"/>
    </row>
    <row r="324" spans="3:3" x14ac:dyDescent="0.25">
      <c r="C324" s="13"/>
    </row>
    <row r="325" spans="3:3" x14ac:dyDescent="0.25">
      <c r="C325" s="13"/>
    </row>
    <row r="326" spans="3:3" x14ac:dyDescent="0.25">
      <c r="C326" s="13"/>
    </row>
    <row r="327" spans="3:3" x14ac:dyDescent="0.25">
      <c r="C327" s="13"/>
    </row>
    <row r="328" spans="3:3" x14ac:dyDescent="0.25">
      <c r="C328" s="13"/>
    </row>
  </sheetData>
  <dataValidations count="2">
    <dataValidation type="list" allowBlank="1" showInputMessage="1" showErrorMessage="1" sqref="B1" xr:uid="{AA6C6089-C103-4025-8C61-D634C2ECA374}">
      <formula1>$AQ$3:$AQ$4</formula1>
    </dataValidation>
    <dataValidation type="list" allowBlank="1" showInputMessage="1" showErrorMessage="1" sqref="D38" xr:uid="{CD49A349-9DAD-46E9-865D-E5693E331018}">
      <formula1>$F$37:$F$38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sheetPr codeName="Sheet5"/>
  <dimension ref="A1:BJ156"/>
  <sheetViews>
    <sheetView zoomScaleNormal="100" workbookViewId="0">
      <pane xSplit="11" ySplit="1" topLeftCell="L39" activePane="bottomRight" state="frozen"/>
      <selection pane="topRight" activeCell="L1" sqref="L1"/>
      <selection pane="bottomLeft" activeCell="A2" sqref="A2"/>
      <selection pane="bottomRight" activeCell="H49" sqref="H49:BG49"/>
    </sheetView>
  </sheetViews>
  <sheetFormatPr defaultRowHeight="15" x14ac:dyDescent="0.25"/>
  <cols>
    <col min="1" max="1" width="25.28515625" customWidth="1"/>
    <col min="3" max="3" width="24.140625" customWidth="1"/>
    <col min="10" max="10" width="10.5703125" bestFit="1" customWidth="1"/>
    <col min="12" max="12" width="12" bestFit="1" customWidth="1"/>
    <col min="41" max="41" width="9.140625" customWidth="1"/>
  </cols>
  <sheetData>
    <row r="1" spans="1:60" x14ac:dyDescent="0.25">
      <c r="K1">
        <v>2021</v>
      </c>
      <c r="L1">
        <v>2022</v>
      </c>
      <c r="M1">
        <v>2023</v>
      </c>
      <c r="N1">
        <v>2024</v>
      </c>
      <c r="O1">
        <v>2025</v>
      </c>
      <c r="P1">
        <v>2026</v>
      </c>
      <c r="Q1">
        <v>2027</v>
      </c>
      <c r="R1">
        <v>2028</v>
      </c>
      <c r="S1">
        <v>2029</v>
      </c>
      <c r="T1">
        <v>2030</v>
      </c>
      <c r="U1">
        <v>2031</v>
      </c>
      <c r="V1">
        <v>2032</v>
      </c>
      <c r="W1">
        <v>2033</v>
      </c>
      <c r="X1">
        <v>2034</v>
      </c>
      <c r="Y1">
        <v>2035</v>
      </c>
      <c r="Z1">
        <v>2036</v>
      </c>
      <c r="AA1">
        <v>2037</v>
      </c>
      <c r="AB1">
        <v>2038</v>
      </c>
      <c r="AC1">
        <v>2039</v>
      </c>
      <c r="AD1">
        <v>2040</v>
      </c>
      <c r="AE1">
        <v>2041</v>
      </c>
      <c r="AF1">
        <v>2042</v>
      </c>
      <c r="AG1">
        <v>2043</v>
      </c>
      <c r="AH1">
        <v>2044</v>
      </c>
      <c r="AI1">
        <v>2045</v>
      </c>
      <c r="AJ1">
        <v>2046</v>
      </c>
      <c r="AK1">
        <v>2047</v>
      </c>
      <c r="AL1">
        <v>2048</v>
      </c>
      <c r="AM1">
        <v>2049</v>
      </c>
      <c r="AN1">
        <v>2050</v>
      </c>
      <c r="AO1">
        <v>2051</v>
      </c>
      <c r="AP1">
        <v>2052</v>
      </c>
      <c r="AQ1">
        <v>2053</v>
      </c>
      <c r="AR1">
        <v>2054</v>
      </c>
      <c r="AS1">
        <v>2055</v>
      </c>
      <c r="AT1">
        <v>2056</v>
      </c>
      <c r="AU1">
        <v>2057</v>
      </c>
      <c r="AV1">
        <v>2058</v>
      </c>
      <c r="AW1">
        <v>2059</v>
      </c>
      <c r="AX1">
        <v>2060</v>
      </c>
      <c r="AY1">
        <v>2061</v>
      </c>
      <c r="AZ1">
        <v>2062</v>
      </c>
      <c r="BA1">
        <v>2063</v>
      </c>
      <c r="BB1">
        <v>2064</v>
      </c>
      <c r="BC1">
        <v>2065</v>
      </c>
      <c r="BD1">
        <v>2066</v>
      </c>
      <c r="BE1">
        <v>2067</v>
      </c>
      <c r="BF1">
        <v>2068</v>
      </c>
      <c r="BG1">
        <v>2069</v>
      </c>
      <c r="BH1">
        <v>2070</v>
      </c>
    </row>
    <row r="2" spans="1:60" x14ac:dyDescent="0.25">
      <c r="A2" t="s">
        <v>40</v>
      </c>
      <c r="B2" t="s">
        <v>134</v>
      </c>
      <c r="C2" s="14" t="s">
        <v>193</v>
      </c>
      <c r="E2">
        <f>MATCH(C2,A53:A67,0)</f>
        <v>5</v>
      </c>
      <c r="K2" s="1" cm="1">
        <f t="array" ref="K2">INDEX(K53:K67,$E$2)/100</f>
        <v>4.7030620638949472E-2</v>
      </c>
      <c r="L2" s="1" cm="1">
        <f t="array" ref="L2">INDEX(L53:L67,$E$2)/100</f>
        <v>1.9104061693808072E-2</v>
      </c>
      <c r="M2" s="1" cm="1">
        <f t="array" ref="M2">INDEX(M53:M67,$E$2)/100</f>
        <v>2E-3</v>
      </c>
      <c r="N2" s="1" cm="1">
        <f t="array" ref="N2">INDEX(N53:N67,$E$2)/100</f>
        <v>0.01</v>
      </c>
      <c r="O2" s="1" cm="1">
        <f t="array" ref="O2">INDEX(O53:O67,$E$2)/100</f>
        <v>1.1000000000000001E-2</v>
      </c>
      <c r="P2" s="1" cm="1">
        <f t="array" ref="P2">INDEX(P53:P67,$E$2)/100</f>
        <v>1.3999999999999999E-2</v>
      </c>
      <c r="Q2" s="1" cm="1">
        <f t="array" ref="Q2">INDEX(Q53:Q67,$E$2)/100</f>
        <v>1.6E-2</v>
      </c>
      <c r="R2" s="1" cm="1">
        <f t="array" ref="R2">INDEX(R53:R67,$E$2)/100</f>
        <v>1.8000000000000002E-2</v>
      </c>
      <c r="S2" s="1" cm="1">
        <f t="array" ref="S2">INDEX(S53:S67,$E$2)/100</f>
        <v>2.2031722197759951E-2</v>
      </c>
      <c r="T2" s="1" cm="1">
        <f t="array" ref="T2">INDEX(T53:T67,$E$2)/100</f>
        <v>2.6218354528799948E-2</v>
      </c>
      <c r="U2" s="1" cm="1">
        <f t="array" ref="U2">INDEX(U53:U67,$E$2)/100</f>
        <v>2.9378416318852185E-2</v>
      </c>
      <c r="V2" s="1" cm="1">
        <f t="array" ref="V2">INDEX(V53:V67,$E$2)/100</f>
        <v>3.0077539232383765E-2</v>
      </c>
      <c r="W2" s="1" cm="1">
        <f t="array" ref="W2">INDEX(W53:W67,$E$2)/100</f>
        <v>3.0977705255239574E-2</v>
      </c>
      <c r="X2" s="1" cm="1">
        <f t="array" ref="X2">INDEX(X53:X67,$E$2)/100</f>
        <v>3.4365925902850147E-2</v>
      </c>
      <c r="Y2" s="1" cm="1">
        <f t="array" ref="Y2">INDEX(Y53:Y67,$E$2)/100</f>
        <v>3.5204693916532803E-2</v>
      </c>
      <c r="Z2" s="1" cm="1">
        <f t="array" ref="Z2">INDEX(Z53:Z67,$E$2)/100</f>
        <v>3.6043461930215459E-2</v>
      </c>
      <c r="AA2" s="1" cm="1">
        <f t="array" ref="AA2">INDEX(AA53:AA67,$E$2)/100</f>
        <v>3.7007018273113035E-2</v>
      </c>
      <c r="AB2" s="1" cm="1">
        <f t="array" ref="AB2">INDEX(AB53:AB67,$E$2)/100</f>
        <v>3.7355943192743712E-2</v>
      </c>
      <c r="AC2" s="1" cm="1">
        <f t="array" ref="AC2">INDEX(AC53:AC67,$E$2)/100</f>
        <v>3.6565507425563748E-2</v>
      </c>
      <c r="AD2" s="1" cm="1">
        <f t="array" ref="AD2">INDEX(AD53:AD67,$E$2)/100</f>
        <v>3.540860429636461E-2</v>
      </c>
      <c r="AE2" s="1" cm="1">
        <f t="array" ref="AE2">INDEX(AE53:AE67,$E$2)/100</f>
        <v>3.5765875064506014E-2</v>
      </c>
      <c r="AF2" s="1" cm="1">
        <f t="array" ref="AF2">INDEX(AF53:AF67,$E$2)/100</f>
        <v>3.4029431747081063E-2</v>
      </c>
      <c r="AG2" s="1" cm="1">
        <f t="array" ref="AG2">INDEX(AG53:AG67,$E$2)/100</f>
        <v>3.4155415312099313E-2</v>
      </c>
      <c r="AH2" s="1" cm="1">
        <f t="array" ref="AH2">INDEX(AH53:AH67,$E$2)/100</f>
        <v>3.4658441664211281E-2</v>
      </c>
      <c r="AI2" s="1" cm="1">
        <f t="array" ref="AI2">INDEX(AI53:AI67,$E$2)/100</f>
        <v>3.5189897318865571E-2</v>
      </c>
      <c r="AJ2" s="1" cm="1">
        <f t="array" ref="AJ2">INDEX(AJ53:AJ67,$E$2)/100</f>
        <v>3.5737142539630007E-2</v>
      </c>
      <c r="AK2" s="1" cm="1">
        <f t="array" ref="AK2">INDEX(AK53:AK67,$E$2)/100</f>
        <v>3.3911850167972046E-2</v>
      </c>
      <c r="AL2" s="1" cm="1">
        <f t="array" ref="AL2">INDEX(AL53:AL67,$E$2)/100</f>
        <v>3.4442853691466047E-2</v>
      </c>
      <c r="AM2" s="1" cm="1">
        <f t="array" ref="AM2">INDEX(AM53:AM67,$E$2)/100</f>
        <v>3.572341352748154E-2</v>
      </c>
      <c r="AN2" s="1" cm="1">
        <f t="array" ref="AN2">INDEX(AN53:AN67,$E$2)/100</f>
        <v>3.6556928920228327E-2</v>
      </c>
      <c r="AO2" s="13">
        <f>($BH$2-$AN$2)/20+AN2</f>
        <v>3.4755266029644107E-2</v>
      </c>
      <c r="AP2" s="13">
        <f t="shared" ref="AP2:BG2" si="0">($BH$2-$AN$2)/20+AO2</f>
        <v>3.2953603139059887E-2</v>
      </c>
      <c r="AQ2" s="13">
        <f t="shared" si="0"/>
        <v>3.1151940248475667E-2</v>
      </c>
      <c r="AR2" s="13">
        <f t="shared" si="0"/>
        <v>2.9350277357891447E-2</v>
      </c>
      <c r="AS2" s="13">
        <f t="shared" si="0"/>
        <v>2.7548614467307227E-2</v>
      </c>
      <c r="AT2" s="13">
        <f t="shared" si="0"/>
        <v>2.5746951576723007E-2</v>
      </c>
      <c r="AU2" s="13">
        <f t="shared" si="0"/>
        <v>2.3945288686138787E-2</v>
      </c>
      <c r="AV2" s="13">
        <f t="shared" si="0"/>
        <v>2.2143625795554567E-2</v>
      </c>
      <c r="AW2" s="13">
        <f t="shared" si="0"/>
        <v>2.0341962904970347E-2</v>
      </c>
      <c r="AX2" s="13">
        <f t="shared" si="0"/>
        <v>1.8540300014386127E-2</v>
      </c>
      <c r="AY2" s="13">
        <f t="shared" si="0"/>
        <v>1.6738637123801907E-2</v>
      </c>
      <c r="AZ2" s="13">
        <f t="shared" si="0"/>
        <v>1.4936974233217685E-2</v>
      </c>
      <c r="BA2" s="13">
        <f t="shared" si="0"/>
        <v>1.3135311342633463E-2</v>
      </c>
      <c r="BB2" s="13">
        <f t="shared" si="0"/>
        <v>1.1333648452049242E-2</v>
      </c>
      <c r="BC2" s="13">
        <f t="shared" si="0"/>
        <v>9.5319855614650201E-3</v>
      </c>
      <c r="BD2" s="13">
        <f t="shared" si="0"/>
        <v>7.7303226708807984E-3</v>
      </c>
      <c r="BE2" s="13">
        <f t="shared" si="0"/>
        <v>5.9286597802965767E-3</v>
      </c>
      <c r="BF2" s="13">
        <f t="shared" si="0"/>
        <v>4.126996889712355E-3</v>
      </c>
      <c r="BG2" s="13">
        <f t="shared" si="0"/>
        <v>2.3253339991281337E-3</v>
      </c>
      <c r="BH2" s="35">
        <f>BH8</f>
        <v>5.2367110854389942E-4</v>
      </c>
    </row>
    <row r="3" spans="1:60" x14ac:dyDescent="0.25">
      <c r="A3" t="s">
        <v>41</v>
      </c>
      <c r="J3" s="18">
        <f>J12/J33</f>
        <v>0.6166589901548738</v>
      </c>
      <c r="K3" s="15">
        <f>($T3-$J3)/10+J3</f>
        <v>0.61899309113938639</v>
      </c>
      <c r="L3" s="15">
        <f t="shared" ref="L3:S3" si="1">($T3-$J3)/10+K3</f>
        <v>0.62132719212389897</v>
      </c>
      <c r="M3" s="15">
        <f t="shared" si="1"/>
        <v>0.62366129310841156</v>
      </c>
      <c r="N3" s="15">
        <f t="shared" si="1"/>
        <v>0.62599539409292415</v>
      </c>
      <c r="O3" s="15">
        <f t="shared" si="1"/>
        <v>0.62832949507743674</v>
      </c>
      <c r="P3" s="15">
        <f t="shared" si="1"/>
        <v>0.63066359606194933</v>
      </c>
      <c r="Q3" s="15">
        <f t="shared" si="1"/>
        <v>0.63299769704646192</v>
      </c>
      <c r="R3" s="15">
        <f t="shared" si="1"/>
        <v>0.6353317980309745</v>
      </c>
      <c r="S3" s="15">
        <f t="shared" si="1"/>
        <v>0.63766589901548709</v>
      </c>
      <c r="T3" s="18">
        <v>0.64</v>
      </c>
      <c r="U3" s="15">
        <f>($AD3-$T3)/10+T3</f>
        <v>0.64300000000000002</v>
      </c>
      <c r="V3" s="15">
        <f t="shared" ref="V3:AC3" si="2">($AD3-$T3)/10+U3</f>
        <v>0.64600000000000002</v>
      </c>
      <c r="W3" s="15">
        <f t="shared" si="2"/>
        <v>0.64900000000000002</v>
      </c>
      <c r="X3" s="15">
        <f t="shared" si="2"/>
        <v>0.65200000000000002</v>
      </c>
      <c r="Y3" s="15">
        <f t="shared" si="2"/>
        <v>0.65500000000000003</v>
      </c>
      <c r="Z3" s="15">
        <f t="shared" si="2"/>
        <v>0.65800000000000003</v>
      </c>
      <c r="AA3" s="15">
        <f t="shared" si="2"/>
        <v>0.66100000000000003</v>
      </c>
      <c r="AB3" s="15">
        <f t="shared" si="2"/>
        <v>0.66400000000000003</v>
      </c>
      <c r="AC3" s="15">
        <f t="shared" si="2"/>
        <v>0.66700000000000004</v>
      </c>
      <c r="AD3" s="18">
        <v>0.67</v>
      </c>
      <c r="AE3" s="15">
        <f>($AN3-$AD3)/10+AD3</f>
        <v>0.67300000000000004</v>
      </c>
      <c r="AF3" s="15">
        <f t="shared" ref="AF3:AM3" si="3">($AN3-$AD3)/10+AE3</f>
        <v>0.67600000000000005</v>
      </c>
      <c r="AG3" s="15">
        <f t="shared" si="3"/>
        <v>0.67900000000000005</v>
      </c>
      <c r="AH3" s="15">
        <f t="shared" si="3"/>
        <v>0.68200000000000005</v>
      </c>
      <c r="AI3" s="15">
        <f t="shared" si="3"/>
        <v>0.68500000000000005</v>
      </c>
      <c r="AJ3" s="15">
        <f t="shared" si="3"/>
        <v>0.68800000000000006</v>
      </c>
      <c r="AK3" s="15">
        <f t="shared" si="3"/>
        <v>0.69100000000000006</v>
      </c>
      <c r="AL3" s="15">
        <f t="shared" si="3"/>
        <v>0.69400000000000006</v>
      </c>
      <c r="AM3" s="15">
        <f t="shared" si="3"/>
        <v>0.69700000000000006</v>
      </c>
      <c r="AN3" s="18">
        <v>0.7</v>
      </c>
      <c r="AO3" s="15">
        <f t="shared" ref="AO3:BF3" si="4">($BH3-$AN3)/20+AN3</f>
        <v>0.7</v>
      </c>
      <c r="AP3" s="15">
        <f t="shared" si="4"/>
        <v>0.7</v>
      </c>
      <c r="AQ3" s="15">
        <f t="shared" si="4"/>
        <v>0.7</v>
      </c>
      <c r="AR3" s="15">
        <f t="shared" si="4"/>
        <v>0.7</v>
      </c>
      <c r="AS3" s="15">
        <f t="shared" si="4"/>
        <v>0.7</v>
      </c>
      <c r="AT3" s="15">
        <f t="shared" si="4"/>
        <v>0.7</v>
      </c>
      <c r="AU3" s="15">
        <f t="shared" si="4"/>
        <v>0.7</v>
      </c>
      <c r="AV3" s="15">
        <f t="shared" si="4"/>
        <v>0.7</v>
      </c>
      <c r="AW3" s="15">
        <f t="shared" si="4"/>
        <v>0.7</v>
      </c>
      <c r="AX3" s="15">
        <f t="shared" si="4"/>
        <v>0.7</v>
      </c>
      <c r="AY3" s="15">
        <f t="shared" si="4"/>
        <v>0.7</v>
      </c>
      <c r="AZ3" s="15">
        <f t="shared" si="4"/>
        <v>0.7</v>
      </c>
      <c r="BA3" s="15">
        <f t="shared" si="4"/>
        <v>0.7</v>
      </c>
      <c r="BB3" s="15">
        <f t="shared" si="4"/>
        <v>0.7</v>
      </c>
      <c r="BC3" s="15">
        <f t="shared" si="4"/>
        <v>0.7</v>
      </c>
      <c r="BD3" s="15">
        <f t="shared" si="4"/>
        <v>0.7</v>
      </c>
      <c r="BE3" s="15">
        <f t="shared" si="4"/>
        <v>0.7</v>
      </c>
      <c r="BF3" s="15">
        <f t="shared" si="4"/>
        <v>0.7</v>
      </c>
      <c r="BG3" s="15">
        <f>($BH3-$AN3)/20+BF3</f>
        <v>0.7</v>
      </c>
      <c r="BH3" s="18">
        <v>0.7</v>
      </c>
    </row>
    <row r="4" spans="1:60" x14ac:dyDescent="0.25">
      <c r="A4" t="s">
        <v>79</v>
      </c>
      <c r="K4" s="15">
        <f>K2</f>
        <v>4.7030620638949472E-2</v>
      </c>
      <c r="L4" s="15">
        <f t="shared" ref="L4:BH4" si="5">L2</f>
        <v>1.9104061693808072E-2</v>
      </c>
      <c r="M4" s="15">
        <f t="shared" si="5"/>
        <v>2E-3</v>
      </c>
      <c r="N4" s="15">
        <f t="shared" si="5"/>
        <v>0.01</v>
      </c>
      <c r="O4" s="15">
        <f t="shared" si="5"/>
        <v>1.1000000000000001E-2</v>
      </c>
      <c r="P4" s="15">
        <f t="shared" si="5"/>
        <v>1.3999999999999999E-2</v>
      </c>
      <c r="Q4" s="15">
        <f t="shared" si="5"/>
        <v>1.6E-2</v>
      </c>
      <c r="R4" s="15">
        <f t="shared" si="5"/>
        <v>1.8000000000000002E-2</v>
      </c>
      <c r="S4" s="15">
        <f t="shared" si="5"/>
        <v>2.2031722197759951E-2</v>
      </c>
      <c r="T4" s="15">
        <f t="shared" si="5"/>
        <v>2.6218354528799948E-2</v>
      </c>
      <c r="U4" s="15">
        <f t="shared" si="5"/>
        <v>2.9378416318852185E-2</v>
      </c>
      <c r="V4" s="15">
        <f t="shared" si="5"/>
        <v>3.0077539232383765E-2</v>
      </c>
      <c r="W4" s="15">
        <f t="shared" si="5"/>
        <v>3.0977705255239574E-2</v>
      </c>
      <c r="X4" s="15">
        <f t="shared" si="5"/>
        <v>3.4365925902850147E-2</v>
      </c>
      <c r="Y4" s="15">
        <f t="shared" si="5"/>
        <v>3.5204693916532803E-2</v>
      </c>
      <c r="Z4" s="15">
        <f t="shared" si="5"/>
        <v>3.6043461930215459E-2</v>
      </c>
      <c r="AA4" s="15">
        <f t="shared" si="5"/>
        <v>3.7007018273113035E-2</v>
      </c>
      <c r="AB4" s="15">
        <f t="shared" si="5"/>
        <v>3.7355943192743712E-2</v>
      </c>
      <c r="AC4" s="15">
        <f t="shared" si="5"/>
        <v>3.6565507425563748E-2</v>
      </c>
      <c r="AD4" s="15">
        <f t="shared" si="5"/>
        <v>3.540860429636461E-2</v>
      </c>
      <c r="AE4" s="15">
        <f t="shared" si="5"/>
        <v>3.5765875064506014E-2</v>
      </c>
      <c r="AF4" s="15">
        <f t="shared" si="5"/>
        <v>3.4029431747081063E-2</v>
      </c>
      <c r="AG4" s="15">
        <f t="shared" si="5"/>
        <v>3.4155415312099313E-2</v>
      </c>
      <c r="AH4" s="15">
        <f t="shared" si="5"/>
        <v>3.4658441664211281E-2</v>
      </c>
      <c r="AI4" s="15">
        <f t="shared" si="5"/>
        <v>3.5189897318865571E-2</v>
      </c>
      <c r="AJ4" s="15">
        <f t="shared" si="5"/>
        <v>3.5737142539630007E-2</v>
      </c>
      <c r="AK4" s="15">
        <f t="shared" si="5"/>
        <v>3.3911850167972046E-2</v>
      </c>
      <c r="AL4" s="15">
        <f t="shared" si="5"/>
        <v>3.4442853691466047E-2</v>
      </c>
      <c r="AM4" s="15">
        <f t="shared" si="5"/>
        <v>3.572341352748154E-2</v>
      </c>
      <c r="AN4" s="15">
        <f t="shared" si="5"/>
        <v>3.6556928920228327E-2</v>
      </c>
      <c r="AO4" s="15">
        <f t="shared" si="5"/>
        <v>3.4755266029644107E-2</v>
      </c>
      <c r="AP4" s="15">
        <f t="shared" si="5"/>
        <v>3.2953603139059887E-2</v>
      </c>
      <c r="AQ4" s="15">
        <f t="shared" si="5"/>
        <v>3.1151940248475667E-2</v>
      </c>
      <c r="AR4" s="15">
        <f t="shared" si="5"/>
        <v>2.9350277357891447E-2</v>
      </c>
      <c r="AS4" s="15">
        <f t="shared" si="5"/>
        <v>2.7548614467307227E-2</v>
      </c>
      <c r="AT4" s="15">
        <f t="shared" si="5"/>
        <v>2.5746951576723007E-2</v>
      </c>
      <c r="AU4" s="15">
        <f t="shared" si="5"/>
        <v>2.3945288686138787E-2</v>
      </c>
      <c r="AV4" s="15">
        <f t="shared" si="5"/>
        <v>2.2143625795554567E-2</v>
      </c>
      <c r="AW4" s="15">
        <f t="shared" si="5"/>
        <v>2.0341962904970347E-2</v>
      </c>
      <c r="AX4" s="15">
        <f t="shared" si="5"/>
        <v>1.8540300014386127E-2</v>
      </c>
      <c r="AY4" s="15">
        <f t="shared" si="5"/>
        <v>1.6738637123801907E-2</v>
      </c>
      <c r="AZ4" s="15">
        <f t="shared" si="5"/>
        <v>1.4936974233217685E-2</v>
      </c>
      <c r="BA4" s="15">
        <f t="shared" si="5"/>
        <v>1.3135311342633463E-2</v>
      </c>
      <c r="BB4" s="15">
        <f t="shared" si="5"/>
        <v>1.1333648452049242E-2</v>
      </c>
      <c r="BC4" s="15">
        <f t="shared" si="5"/>
        <v>9.5319855614650201E-3</v>
      </c>
      <c r="BD4" s="15">
        <f t="shared" si="5"/>
        <v>7.7303226708807984E-3</v>
      </c>
      <c r="BE4" s="15">
        <f t="shared" si="5"/>
        <v>5.9286597802965767E-3</v>
      </c>
      <c r="BF4" s="15">
        <f t="shared" si="5"/>
        <v>4.126996889712355E-3</v>
      </c>
      <c r="BG4" s="15">
        <f t="shared" si="5"/>
        <v>2.3253339991281337E-3</v>
      </c>
      <c r="BH4" s="15">
        <f t="shared" si="5"/>
        <v>5.2367110854389942E-4</v>
      </c>
    </row>
    <row r="5" spans="1:60" x14ac:dyDescent="0.25">
      <c r="A5" t="s">
        <v>80</v>
      </c>
      <c r="K5" s="15">
        <f>K132</f>
        <v>-5.2910053079827657E-3</v>
      </c>
      <c r="L5" s="15">
        <f t="shared" ref="L5:AN5" si="6">L132</f>
        <v>-4.1180508063809462E-3</v>
      </c>
      <c r="M5" s="15">
        <f t="shared" si="6"/>
        <v>4.9965540833047939E-3</v>
      </c>
      <c r="N5" s="15">
        <f t="shared" si="6"/>
        <v>7.5432881706234411E-3</v>
      </c>
      <c r="O5" s="15">
        <f t="shared" si="6"/>
        <v>1.3612387255170777E-2</v>
      </c>
      <c r="P5" s="15">
        <f t="shared" si="6"/>
        <v>-6.8826590732435911E-3</v>
      </c>
      <c r="Q5" s="15">
        <f t="shared" si="6"/>
        <v>-2.7045301047546877E-3</v>
      </c>
      <c r="R5" s="15">
        <f t="shared" si="6"/>
        <v>7.11864405072693E-3</v>
      </c>
      <c r="S5" s="15">
        <f t="shared" si="6"/>
        <v>5.5536856108120425E-3</v>
      </c>
      <c r="T5" s="15">
        <f t="shared" si="6"/>
        <v>6.5271966358741995E-3</v>
      </c>
      <c r="U5" s="15">
        <f t="shared" si="6"/>
        <v>-4.4895244595196671E-3</v>
      </c>
      <c r="V5" s="15">
        <f t="shared" si="6"/>
        <v>-1.0021713879905247E-3</v>
      </c>
      <c r="W5" s="15">
        <f t="shared" si="6"/>
        <v>-1.2874101337353672E-2</v>
      </c>
      <c r="X5" s="15">
        <f t="shared" si="6"/>
        <v>-3.8956639735111542E-3</v>
      </c>
      <c r="Y5" s="15">
        <f t="shared" si="6"/>
        <v>-1.853426289715121E-2</v>
      </c>
      <c r="Z5" s="15">
        <f t="shared" si="6"/>
        <v>-1.8711018728019502E-2</v>
      </c>
      <c r="AA5" s="15">
        <f t="shared" si="6"/>
        <v>-1.0416666684138098E-2</v>
      </c>
      <c r="AB5" s="15">
        <f t="shared" si="6"/>
        <v>-1.9803746672260369E-2</v>
      </c>
      <c r="AC5" s="15">
        <f t="shared" si="6"/>
        <v>-2.0203858772839367E-2</v>
      </c>
      <c r="AD5" s="15">
        <f t="shared" si="6"/>
        <v>-2.0992011907467911E-2</v>
      </c>
      <c r="AE5" s="15">
        <f t="shared" si="6"/>
        <v>-1.1195445939066517E-2</v>
      </c>
      <c r="AF5" s="15">
        <f t="shared" si="6"/>
        <v>-1.1130301304718149E-2</v>
      </c>
      <c r="AG5" s="15">
        <f t="shared" si="6"/>
        <v>-1.1255579293396822E-2</v>
      </c>
      <c r="AH5" s="15">
        <f t="shared" si="6"/>
        <v>-1.1187438684765683E-2</v>
      </c>
      <c r="AI5" s="15">
        <f t="shared" si="6"/>
        <v>-1.1512504981907257E-2</v>
      </c>
      <c r="AJ5" s="15">
        <f t="shared" si="6"/>
        <v>-1.144578315238054E-2</v>
      </c>
      <c r="AK5" s="15">
        <f t="shared" si="6"/>
        <v>-1.1578305931107424E-2</v>
      </c>
      <c r="AL5" s="15">
        <f t="shared" si="6"/>
        <v>-1.191944103962328E-2</v>
      </c>
      <c r="AM5" s="15">
        <f t="shared" si="6"/>
        <v>-1.1855241285111062E-2</v>
      </c>
      <c r="AN5" s="15">
        <f t="shared" si="6"/>
        <v>-1.1997474236750127E-2</v>
      </c>
      <c r="AO5" s="19">
        <f>-1.2%</f>
        <v>-1.2E-2</v>
      </c>
      <c r="AP5" s="19">
        <f>AO5</f>
        <v>-1.2E-2</v>
      </c>
      <c r="AQ5" s="19">
        <f t="shared" ref="AQ5:BH5" si="7">AP5</f>
        <v>-1.2E-2</v>
      </c>
      <c r="AR5" s="19">
        <f t="shared" si="7"/>
        <v>-1.2E-2</v>
      </c>
      <c r="AS5" s="19">
        <f t="shared" si="7"/>
        <v>-1.2E-2</v>
      </c>
      <c r="AT5" s="19">
        <f t="shared" si="7"/>
        <v>-1.2E-2</v>
      </c>
      <c r="AU5" s="19">
        <f t="shared" si="7"/>
        <v>-1.2E-2</v>
      </c>
      <c r="AV5" s="19">
        <f t="shared" si="7"/>
        <v>-1.2E-2</v>
      </c>
      <c r="AW5" s="19">
        <f t="shared" si="7"/>
        <v>-1.2E-2</v>
      </c>
      <c r="AX5" s="19">
        <f t="shared" si="7"/>
        <v>-1.2E-2</v>
      </c>
      <c r="AY5" s="19">
        <f t="shared" si="7"/>
        <v>-1.2E-2</v>
      </c>
      <c r="AZ5" s="19">
        <f t="shared" si="7"/>
        <v>-1.2E-2</v>
      </c>
      <c r="BA5" s="19">
        <f t="shared" si="7"/>
        <v>-1.2E-2</v>
      </c>
      <c r="BB5" s="19">
        <f t="shared" si="7"/>
        <v>-1.2E-2</v>
      </c>
      <c r="BC5" s="19">
        <f t="shared" si="7"/>
        <v>-1.2E-2</v>
      </c>
      <c r="BD5" s="19">
        <f t="shared" si="7"/>
        <v>-1.2E-2</v>
      </c>
      <c r="BE5" s="19">
        <f t="shared" si="7"/>
        <v>-1.2E-2</v>
      </c>
      <c r="BF5" s="19">
        <f t="shared" si="7"/>
        <v>-1.2E-2</v>
      </c>
      <c r="BG5" s="19">
        <f t="shared" si="7"/>
        <v>-1.2E-2</v>
      </c>
      <c r="BH5" s="19">
        <f t="shared" si="7"/>
        <v>-1.2E-2</v>
      </c>
    </row>
    <row r="6" spans="1:60" x14ac:dyDescent="0.25">
      <c r="A6" t="s">
        <v>81</v>
      </c>
      <c r="K6" s="36">
        <f>K2</f>
        <v>4.7030620638949472E-2</v>
      </c>
      <c r="L6" s="36">
        <f t="shared" ref="L6:BH6" si="8">L2</f>
        <v>1.9104061693808072E-2</v>
      </c>
      <c r="M6" s="36">
        <f t="shared" si="8"/>
        <v>2E-3</v>
      </c>
      <c r="N6" s="36">
        <f t="shared" si="8"/>
        <v>0.01</v>
      </c>
      <c r="O6" s="36">
        <f t="shared" si="8"/>
        <v>1.1000000000000001E-2</v>
      </c>
      <c r="P6" s="36">
        <f t="shared" si="8"/>
        <v>1.3999999999999999E-2</v>
      </c>
      <c r="Q6" s="36">
        <f t="shared" si="8"/>
        <v>1.6E-2</v>
      </c>
      <c r="R6" s="36">
        <f t="shared" si="8"/>
        <v>1.8000000000000002E-2</v>
      </c>
      <c r="S6" s="36">
        <f t="shared" si="8"/>
        <v>2.2031722197759951E-2</v>
      </c>
      <c r="T6" s="36">
        <f t="shared" si="8"/>
        <v>2.6218354528799948E-2</v>
      </c>
      <c r="U6" s="36">
        <f t="shared" si="8"/>
        <v>2.9378416318852185E-2</v>
      </c>
      <c r="V6" s="36">
        <f t="shared" si="8"/>
        <v>3.0077539232383765E-2</v>
      </c>
      <c r="W6" s="36">
        <f t="shared" si="8"/>
        <v>3.0977705255239574E-2</v>
      </c>
      <c r="X6" s="36">
        <f t="shared" si="8"/>
        <v>3.4365925902850147E-2</v>
      </c>
      <c r="Y6" s="36">
        <f t="shared" si="8"/>
        <v>3.5204693916532803E-2</v>
      </c>
      <c r="Z6" s="36">
        <f t="shared" si="8"/>
        <v>3.6043461930215459E-2</v>
      </c>
      <c r="AA6" s="36">
        <f t="shared" si="8"/>
        <v>3.7007018273113035E-2</v>
      </c>
      <c r="AB6" s="36">
        <f t="shared" si="8"/>
        <v>3.7355943192743712E-2</v>
      </c>
      <c r="AC6" s="36">
        <f t="shared" si="8"/>
        <v>3.6565507425563748E-2</v>
      </c>
      <c r="AD6" s="36">
        <f t="shared" si="8"/>
        <v>3.540860429636461E-2</v>
      </c>
      <c r="AE6" s="36">
        <f t="shared" si="8"/>
        <v>3.5765875064506014E-2</v>
      </c>
      <c r="AF6" s="36">
        <f t="shared" si="8"/>
        <v>3.4029431747081063E-2</v>
      </c>
      <c r="AG6" s="36">
        <f t="shared" si="8"/>
        <v>3.4155415312099313E-2</v>
      </c>
      <c r="AH6" s="36">
        <f t="shared" si="8"/>
        <v>3.4658441664211281E-2</v>
      </c>
      <c r="AI6" s="36">
        <f t="shared" si="8"/>
        <v>3.5189897318865571E-2</v>
      </c>
      <c r="AJ6" s="36">
        <f t="shared" si="8"/>
        <v>3.5737142539630007E-2</v>
      </c>
      <c r="AK6" s="36">
        <f t="shared" si="8"/>
        <v>3.3911850167972046E-2</v>
      </c>
      <c r="AL6" s="36">
        <f t="shared" si="8"/>
        <v>3.4442853691466047E-2</v>
      </c>
      <c r="AM6" s="36">
        <f t="shared" si="8"/>
        <v>3.572341352748154E-2</v>
      </c>
      <c r="AN6" s="36">
        <f t="shared" si="8"/>
        <v>3.6556928920228327E-2</v>
      </c>
      <c r="AO6" s="36">
        <f t="shared" si="8"/>
        <v>3.4755266029644107E-2</v>
      </c>
      <c r="AP6" s="36">
        <f t="shared" si="8"/>
        <v>3.2953603139059887E-2</v>
      </c>
      <c r="AQ6" s="36">
        <f t="shared" si="8"/>
        <v>3.1151940248475667E-2</v>
      </c>
      <c r="AR6" s="36">
        <f t="shared" si="8"/>
        <v>2.9350277357891447E-2</v>
      </c>
      <c r="AS6" s="36">
        <f t="shared" si="8"/>
        <v>2.7548614467307227E-2</v>
      </c>
      <c r="AT6" s="36">
        <f t="shared" si="8"/>
        <v>2.5746951576723007E-2</v>
      </c>
      <c r="AU6" s="36">
        <f t="shared" si="8"/>
        <v>2.3945288686138787E-2</v>
      </c>
      <c r="AV6" s="36">
        <f t="shared" si="8"/>
        <v>2.2143625795554567E-2</v>
      </c>
      <c r="AW6" s="36">
        <f t="shared" si="8"/>
        <v>2.0341962904970347E-2</v>
      </c>
      <c r="AX6" s="36">
        <f t="shared" si="8"/>
        <v>1.8540300014386127E-2</v>
      </c>
      <c r="AY6" s="36">
        <f t="shared" si="8"/>
        <v>1.6738637123801907E-2</v>
      </c>
      <c r="AZ6" s="36">
        <f t="shared" si="8"/>
        <v>1.4936974233217685E-2</v>
      </c>
      <c r="BA6" s="36">
        <f t="shared" si="8"/>
        <v>1.3135311342633463E-2</v>
      </c>
      <c r="BB6" s="36">
        <f t="shared" si="8"/>
        <v>1.1333648452049242E-2</v>
      </c>
      <c r="BC6" s="36">
        <f t="shared" si="8"/>
        <v>9.5319855614650201E-3</v>
      </c>
      <c r="BD6" s="36">
        <f t="shared" si="8"/>
        <v>7.7303226708807984E-3</v>
      </c>
      <c r="BE6" s="36">
        <f t="shared" si="8"/>
        <v>5.9286597802965767E-3</v>
      </c>
      <c r="BF6" s="36">
        <f t="shared" si="8"/>
        <v>4.126996889712355E-3</v>
      </c>
      <c r="BG6" s="36">
        <f t="shared" si="8"/>
        <v>2.3253339991281337E-3</v>
      </c>
      <c r="BH6" s="36">
        <f t="shared" si="8"/>
        <v>5.2367110854389942E-4</v>
      </c>
    </row>
    <row r="7" spans="1:60" x14ac:dyDescent="0.25">
      <c r="A7" t="s">
        <v>203</v>
      </c>
      <c r="B7" s="3" t="s">
        <v>206</v>
      </c>
      <c r="J7" s="33">
        <f>J70</f>
        <v>58801.927000000003</v>
      </c>
      <c r="K7" s="33">
        <f t="shared" ref="K7:BH7" si="9">K70</f>
        <v>59392.254999999997</v>
      </c>
      <c r="L7" s="33">
        <f t="shared" si="9"/>
        <v>59893.885000000002</v>
      </c>
      <c r="M7" s="33">
        <f t="shared" si="9"/>
        <v>60414.495000000003</v>
      </c>
      <c r="N7" s="33">
        <f t="shared" si="9"/>
        <v>61020.220999999998</v>
      </c>
      <c r="O7" s="33">
        <f t="shared" si="9"/>
        <v>61673.080999999998</v>
      </c>
      <c r="P7" s="33">
        <f t="shared" si="9"/>
        <v>62305.038999999997</v>
      </c>
      <c r="Q7" s="33">
        <f t="shared" si="9"/>
        <v>62918.915999999997</v>
      </c>
      <c r="R7" s="33">
        <f t="shared" si="9"/>
        <v>63514.502</v>
      </c>
      <c r="S7" s="33">
        <f t="shared" si="9"/>
        <v>64093.732000000004</v>
      </c>
      <c r="T7" s="33">
        <f t="shared" si="9"/>
        <v>64659.277999999998</v>
      </c>
      <c r="U7" s="33">
        <f t="shared" si="9"/>
        <v>65211.525999999998</v>
      </c>
      <c r="V7" s="33">
        <f t="shared" si="9"/>
        <v>65752.923999999999</v>
      </c>
      <c r="W7" s="33">
        <f t="shared" si="9"/>
        <v>66284.188999999998</v>
      </c>
      <c r="X7" s="33">
        <f t="shared" si="9"/>
        <v>66804.167000000001</v>
      </c>
      <c r="Y7" s="33">
        <f t="shared" si="9"/>
        <v>67314.133000000002</v>
      </c>
      <c r="Z7" s="33">
        <f t="shared" si="9"/>
        <v>67815.933000000005</v>
      </c>
      <c r="AA7" s="33">
        <f t="shared" si="9"/>
        <v>68308.245999999999</v>
      </c>
      <c r="AB7" s="33">
        <f t="shared" si="9"/>
        <v>68788.494999999995</v>
      </c>
      <c r="AC7" s="33">
        <f t="shared" si="9"/>
        <v>69256.823000000004</v>
      </c>
      <c r="AD7" s="33">
        <f t="shared" si="9"/>
        <v>69713.937000000005</v>
      </c>
      <c r="AE7" s="33">
        <f t="shared" si="9"/>
        <v>70160.652000000002</v>
      </c>
      <c r="AF7" s="33">
        <f t="shared" si="9"/>
        <v>70595.131999999998</v>
      </c>
      <c r="AG7" s="33">
        <f t="shared" si="9"/>
        <v>71016.168000000005</v>
      </c>
      <c r="AH7" s="33">
        <f t="shared" si="9"/>
        <v>71423.671000000002</v>
      </c>
      <c r="AI7" s="33">
        <f t="shared" si="9"/>
        <v>71816.201000000001</v>
      </c>
      <c r="AJ7" s="33">
        <f t="shared" si="9"/>
        <v>72192.154999999999</v>
      </c>
      <c r="AK7" s="33">
        <f t="shared" si="9"/>
        <v>72551.392999999996</v>
      </c>
      <c r="AL7" s="33">
        <f t="shared" si="9"/>
        <v>72894.218999999997</v>
      </c>
      <c r="AM7" s="33">
        <f t="shared" si="9"/>
        <v>73220.86</v>
      </c>
      <c r="AN7" s="33">
        <f t="shared" si="9"/>
        <v>73529.752999999997</v>
      </c>
      <c r="AO7" s="33">
        <f t="shared" si="9"/>
        <v>73819.237999999998</v>
      </c>
      <c r="AP7" s="33">
        <f t="shared" si="9"/>
        <v>74089.701000000001</v>
      </c>
      <c r="AQ7" s="33">
        <f t="shared" si="9"/>
        <v>74342.981</v>
      </c>
      <c r="AR7" s="33">
        <f t="shared" si="9"/>
        <v>74580.11</v>
      </c>
      <c r="AS7" s="33">
        <f t="shared" si="9"/>
        <v>74799.05</v>
      </c>
      <c r="AT7" s="33">
        <f t="shared" si="9"/>
        <v>75001.119999999995</v>
      </c>
      <c r="AU7" s="33">
        <f t="shared" si="9"/>
        <v>75188.808000000005</v>
      </c>
      <c r="AV7" s="33">
        <f t="shared" si="9"/>
        <v>75362.119000000006</v>
      </c>
      <c r="AW7" s="33">
        <f t="shared" si="9"/>
        <v>75520.304000000004</v>
      </c>
      <c r="AX7" s="33">
        <f t="shared" si="9"/>
        <v>75663.198000000004</v>
      </c>
      <c r="AY7" s="33">
        <f t="shared" si="9"/>
        <v>75793.040999999997</v>
      </c>
      <c r="AZ7" s="33">
        <f t="shared" si="9"/>
        <v>75912.773000000001</v>
      </c>
      <c r="BA7" s="33">
        <f t="shared" si="9"/>
        <v>76022.452999999994</v>
      </c>
      <c r="BB7" s="33">
        <f t="shared" si="9"/>
        <v>76120.998999999996</v>
      </c>
      <c r="BC7" s="33">
        <f t="shared" si="9"/>
        <v>76208.044999999998</v>
      </c>
      <c r="BD7" s="33">
        <f t="shared" si="9"/>
        <v>76283.732000000004</v>
      </c>
      <c r="BE7" s="33">
        <f t="shared" si="9"/>
        <v>76351.933999999994</v>
      </c>
      <c r="BF7" s="33">
        <f t="shared" si="9"/>
        <v>76412.77</v>
      </c>
      <c r="BG7" s="33">
        <f t="shared" si="9"/>
        <v>76462.114000000001</v>
      </c>
      <c r="BH7" s="33">
        <f t="shared" si="9"/>
        <v>76502.154999999999</v>
      </c>
    </row>
    <row r="8" spans="1:60" x14ac:dyDescent="0.25">
      <c r="A8" t="s">
        <v>71</v>
      </c>
      <c r="K8" s="1">
        <f>K7/J7-1</f>
        <v>1.0039262828920537E-2</v>
      </c>
      <c r="L8" s="1">
        <f t="shared" ref="L8:BH8" si="10">L7/K7-1</f>
        <v>8.4460507519037442E-3</v>
      </c>
      <c r="M8" s="1">
        <f t="shared" si="10"/>
        <v>8.6922062243917075E-3</v>
      </c>
      <c r="N8" s="1">
        <f t="shared" si="10"/>
        <v>1.0026170044125982E-2</v>
      </c>
      <c r="O8" s="1">
        <f t="shared" si="10"/>
        <v>1.0699076294725218E-2</v>
      </c>
      <c r="P8" s="1">
        <f t="shared" si="10"/>
        <v>1.0246901723622415E-2</v>
      </c>
      <c r="Q8" s="1">
        <f t="shared" si="10"/>
        <v>9.8527664833016892E-3</v>
      </c>
      <c r="R8" s="1">
        <f t="shared" si="10"/>
        <v>9.4659291332992446E-3</v>
      </c>
      <c r="S8" s="1">
        <f t="shared" si="10"/>
        <v>9.1196495565690761E-3</v>
      </c>
      <c r="T8" s="1">
        <f t="shared" si="10"/>
        <v>8.8237333410385865E-3</v>
      </c>
      <c r="U8" s="1">
        <f t="shared" si="10"/>
        <v>8.5408933888806438E-3</v>
      </c>
      <c r="V8" s="1">
        <f t="shared" si="10"/>
        <v>8.3021826540297106E-3</v>
      </c>
      <c r="W8" s="1">
        <f t="shared" si="10"/>
        <v>8.0797167286430494E-3</v>
      </c>
      <c r="X8" s="1">
        <f t="shared" si="10"/>
        <v>7.8446762017410077E-3</v>
      </c>
      <c r="Y8" s="1">
        <f t="shared" si="10"/>
        <v>7.6337453620221041E-3</v>
      </c>
      <c r="Z8" s="1">
        <f t="shared" si="10"/>
        <v>7.4546009528193569E-3</v>
      </c>
      <c r="AA8" s="1">
        <f t="shared" si="10"/>
        <v>7.2595476936074821E-3</v>
      </c>
      <c r="AB8" s="1">
        <f t="shared" si="10"/>
        <v>7.0306153081429734E-3</v>
      </c>
      <c r="AC8" s="1">
        <f t="shared" si="10"/>
        <v>6.8082315218556122E-3</v>
      </c>
      <c r="AD8" s="1">
        <f t="shared" si="10"/>
        <v>6.6002738820405416E-3</v>
      </c>
      <c r="AE8" s="1">
        <f t="shared" si="10"/>
        <v>6.4078291834241963E-3</v>
      </c>
      <c r="AF8" s="1">
        <f t="shared" si="10"/>
        <v>6.1926448460027927E-3</v>
      </c>
      <c r="AG8" s="1">
        <f t="shared" si="10"/>
        <v>5.9640939548071259E-3</v>
      </c>
      <c r="AH8" s="1">
        <f t="shared" si="10"/>
        <v>5.7381721863674073E-3</v>
      </c>
      <c r="AI8" s="1">
        <f t="shared" si="10"/>
        <v>5.4957970446520843E-3</v>
      </c>
      <c r="AJ8" s="1">
        <f t="shared" si="10"/>
        <v>5.2349469167827234E-3</v>
      </c>
      <c r="AK8" s="1">
        <f t="shared" si="10"/>
        <v>4.976136257464514E-3</v>
      </c>
      <c r="AL8" s="1">
        <f t="shared" si="10"/>
        <v>4.7252848749574916E-3</v>
      </c>
      <c r="AM8" s="1">
        <f t="shared" si="10"/>
        <v>4.481027500960133E-3</v>
      </c>
      <c r="AN8" s="1">
        <f t="shared" si="10"/>
        <v>4.2186475274941238E-3</v>
      </c>
      <c r="AO8" s="1">
        <f t="shared" si="10"/>
        <v>3.9369777292737052E-3</v>
      </c>
      <c r="AP8" s="1">
        <f t="shared" si="10"/>
        <v>3.6638552134606872E-3</v>
      </c>
      <c r="AQ8" s="1">
        <f t="shared" si="10"/>
        <v>3.4185588088686547E-3</v>
      </c>
      <c r="AR8" s="1">
        <f t="shared" si="10"/>
        <v>3.1896622493521321E-3</v>
      </c>
      <c r="AS8" s="1">
        <f t="shared" si="10"/>
        <v>2.9356352518117301E-3</v>
      </c>
      <c r="AT8" s="1">
        <f t="shared" si="10"/>
        <v>2.701504898792173E-3</v>
      </c>
      <c r="AU8" s="1">
        <f t="shared" si="10"/>
        <v>2.5024692964585871E-3</v>
      </c>
      <c r="AV8" s="1">
        <f t="shared" si="10"/>
        <v>2.3050106074298249E-3</v>
      </c>
      <c r="AW8" s="1">
        <f t="shared" si="10"/>
        <v>2.0989988352104749E-3</v>
      </c>
      <c r="AX8" s="1">
        <f t="shared" si="10"/>
        <v>1.8921269172857968E-3</v>
      </c>
      <c r="AY8" s="1">
        <f t="shared" si="10"/>
        <v>1.716065451000226E-3</v>
      </c>
      <c r="AZ8" s="1">
        <f t="shared" si="10"/>
        <v>1.579722866641653E-3</v>
      </c>
      <c r="BA8" s="1">
        <f t="shared" si="10"/>
        <v>1.444816144445138E-3</v>
      </c>
      <c r="BB8" s="1">
        <f t="shared" si="10"/>
        <v>1.296274930776109E-3</v>
      </c>
      <c r="BC8" s="1">
        <f t="shared" si="10"/>
        <v>1.1435215136890164E-3</v>
      </c>
      <c r="BD8" s="1">
        <f t="shared" si="10"/>
        <v>9.9316286095518791E-4</v>
      </c>
      <c r="BE8" s="1">
        <f t="shared" si="10"/>
        <v>8.9405693995137092E-4</v>
      </c>
      <c r="BF8" s="1">
        <f t="shared" si="10"/>
        <v>7.9678400811711292E-4</v>
      </c>
      <c r="BG8" s="1">
        <f t="shared" si="10"/>
        <v>6.4575593843807511E-4</v>
      </c>
      <c r="BH8" s="1">
        <f t="shared" si="10"/>
        <v>5.2367110854389942E-4</v>
      </c>
    </row>
    <row r="9" spans="1:60" x14ac:dyDescent="0.25">
      <c r="A9" t="s">
        <v>204</v>
      </c>
      <c r="B9" s="3" t="s">
        <v>207</v>
      </c>
      <c r="J9" s="34">
        <f>J33/J7*1000</f>
        <v>70.891554285287256</v>
      </c>
      <c r="K9" s="34">
        <f>K33/K7*1000</f>
        <v>73.487864098958667</v>
      </c>
      <c r="L9" s="34">
        <f t="shared" ref="L9:BH9" si="11">L33/L7*1000</f>
        <v>74.264538725310658</v>
      </c>
      <c r="M9" s="34">
        <f t="shared" si="11"/>
        <v>73.771827861439334</v>
      </c>
      <c r="N9" s="34">
        <f t="shared" si="11"/>
        <v>73.769916413946547</v>
      </c>
      <c r="O9" s="34">
        <f t="shared" si="11"/>
        <v>73.791880534727639</v>
      </c>
      <c r="P9" s="34">
        <f t="shared" si="11"/>
        <v>74.066019637924143</v>
      </c>
      <c r="Q9" s="34">
        <f t="shared" si="11"/>
        <v>74.516878548725785</v>
      </c>
      <c r="R9" s="34">
        <f t="shared" si="11"/>
        <v>75.146847628361954</v>
      </c>
      <c r="S9" s="34">
        <f t="shared" si="11"/>
        <v>76.108380342307498</v>
      </c>
      <c r="T9" s="34">
        <f t="shared" si="11"/>
        <v>77.420677428027389</v>
      </c>
      <c r="U9" s="34">
        <f t="shared" si="11"/>
        <v>79.020270614318136</v>
      </c>
      <c r="V9" s="34">
        <f t="shared" si="11"/>
        <v>80.726797287716437</v>
      </c>
      <c r="W9" s="34">
        <f t="shared" si="11"/>
        <v>82.56046306573802</v>
      </c>
      <c r="X9" s="34">
        <f t="shared" si="11"/>
        <v>84.733026664186156</v>
      </c>
      <c r="Y9" s="34">
        <f t="shared" si="11"/>
        <v>87.051497963682905</v>
      </c>
      <c r="Z9" s="34">
        <f t="shared" si="11"/>
        <v>89.521786124364354</v>
      </c>
      <c r="AA9" s="34">
        <f t="shared" si="11"/>
        <v>92.165639642613044</v>
      </c>
      <c r="AB9" s="34">
        <f t="shared" si="11"/>
        <v>94.941079832185594</v>
      </c>
      <c r="AC9" s="34">
        <f t="shared" si="11"/>
        <v>97.747163273609061</v>
      </c>
      <c r="AD9" s="34">
        <f t="shared" si="11"/>
        <v>100.54463179186122</v>
      </c>
      <c r="AE9" s="34">
        <f t="shared" si="11"/>
        <v>103.47763154369837</v>
      </c>
      <c r="AF9" s="34">
        <f t="shared" si="11"/>
        <v>106.34038828622164</v>
      </c>
      <c r="AG9" s="34">
        <f t="shared" si="11"/>
        <v>109.32049073466031</v>
      </c>
      <c r="AH9" s="34">
        <f t="shared" si="11"/>
        <v>112.46403061305986</v>
      </c>
      <c r="AI9" s="34">
        <f t="shared" si="11"/>
        <v>115.78529581584033</v>
      </c>
      <c r="AJ9" s="34">
        <f t="shared" si="11"/>
        <v>119.29860954817354</v>
      </c>
      <c r="AK9" s="34">
        <f t="shared" si="11"/>
        <v>122.73350746392158</v>
      </c>
      <c r="AL9" s="34">
        <f t="shared" si="11"/>
        <v>126.36369524664914</v>
      </c>
      <c r="AM9" s="34">
        <f t="shared" si="11"/>
        <v>130.29398684852785</v>
      </c>
      <c r="AN9" s="34">
        <f t="shared" si="11"/>
        <v>134.48976992909803</v>
      </c>
      <c r="AO9" s="34">
        <f t="shared" si="11"/>
        <v>138.61826065617544</v>
      </c>
      <c r="AP9" s="34">
        <f t="shared" si="11"/>
        <v>142.6635332755036</v>
      </c>
      <c r="AQ9" s="34">
        <f t="shared" si="11"/>
        <v>146.60659586998889</v>
      </c>
      <c r="AR9" s="34">
        <f t="shared" si="11"/>
        <v>150.42972012181622</v>
      </c>
      <c r="AS9" s="34">
        <f t="shared" si="11"/>
        <v>154.12140625262305</v>
      </c>
      <c r="AT9" s="34">
        <f t="shared" si="11"/>
        <v>157.66363355792771</v>
      </c>
      <c r="AU9" s="34">
        <f t="shared" si="11"/>
        <v>161.0359472651208</v>
      </c>
      <c r="AV9" s="34">
        <f t="shared" si="11"/>
        <v>164.22333050219726</v>
      </c>
      <c r="AW9" s="34">
        <f t="shared" si="11"/>
        <v>167.21297555847434</v>
      </c>
      <c r="AX9" s="34">
        <f t="shared" si="11"/>
        <v>169.99150878214996</v>
      </c>
      <c r="AY9" s="34">
        <f t="shared" si="11"/>
        <v>172.5408435812258</v>
      </c>
      <c r="AZ9" s="34">
        <f t="shared" si="11"/>
        <v>174.84188000009343</v>
      </c>
      <c r="BA9" s="34">
        <f t="shared" si="11"/>
        <v>176.88291923224273</v>
      </c>
      <c r="BB9" s="34">
        <f t="shared" si="11"/>
        <v>178.65606068329819</v>
      </c>
      <c r="BC9" s="34">
        <f t="shared" si="11"/>
        <v>180.1529988442656</v>
      </c>
      <c r="BD9" s="34">
        <f t="shared" si="11"/>
        <v>181.36551416253431</v>
      </c>
      <c r="BE9" s="34">
        <f t="shared" si="11"/>
        <v>182.27780185813219</v>
      </c>
      <c r="BF9" s="34">
        <f t="shared" si="11"/>
        <v>182.88434246005713</v>
      </c>
      <c r="BG9" s="34">
        <f t="shared" si="11"/>
        <v>183.19131276140175</v>
      </c>
      <c r="BH9" s="34">
        <f t="shared" si="11"/>
        <v>183.19131276140172</v>
      </c>
    </row>
    <row r="10" spans="1:60" x14ac:dyDescent="0.25">
      <c r="A10" t="s">
        <v>205</v>
      </c>
      <c r="K10" s="1">
        <f>K9/J9-1</f>
        <v>3.6623683030324594E-2</v>
      </c>
      <c r="L10" s="1">
        <f t="shared" ref="L10:BH10" si="12">L9/K9-1</f>
        <v>1.0568746770298398E-2</v>
      </c>
      <c r="M10" s="1">
        <f t="shared" si="12"/>
        <v>-6.6345374566152415E-3</v>
      </c>
      <c r="N10" s="1">
        <f t="shared" si="12"/>
        <v>-2.5910263418915669E-5</v>
      </c>
      <c r="O10" s="1">
        <f t="shared" si="12"/>
        <v>2.9773818175216071E-4</v>
      </c>
      <c r="P10" s="1">
        <f t="shared" si="12"/>
        <v>3.7150307216724521E-3</v>
      </c>
      <c r="Q10" s="1">
        <f t="shared" si="12"/>
        <v>6.0872571930514763E-3</v>
      </c>
      <c r="R10" s="1">
        <f t="shared" si="12"/>
        <v>8.4540454713792901E-3</v>
      </c>
      <c r="S10" s="1">
        <f t="shared" si="12"/>
        <v>1.2795383230189472E-2</v>
      </c>
      <c r="T10" s="1">
        <f t="shared" si="12"/>
        <v>1.7242478158353336E-2</v>
      </c>
      <c r="U10" s="1">
        <f t="shared" si="12"/>
        <v>2.0661059027516027E-2</v>
      </c>
      <c r="V10" s="1">
        <f t="shared" si="12"/>
        <v>2.1596062125976534E-2</v>
      </c>
      <c r="W10" s="1">
        <f t="shared" si="12"/>
        <v>2.2714462107127353E-2</v>
      </c>
      <c r="X10" s="1">
        <f t="shared" si="12"/>
        <v>2.631481847089745E-2</v>
      </c>
      <c r="Y10" s="1">
        <f t="shared" si="12"/>
        <v>2.7362073453192082E-2</v>
      </c>
      <c r="Z10" s="1">
        <f t="shared" si="12"/>
        <v>2.8377319385268107E-2</v>
      </c>
      <c r="AA10" s="1">
        <f t="shared" si="12"/>
        <v>2.9533073821559341E-2</v>
      </c>
      <c r="AB10" s="1">
        <f t="shared" si="12"/>
        <v>3.0113610672423796E-2</v>
      </c>
      <c r="AC10" s="1">
        <f t="shared" si="12"/>
        <v>2.9556051462479749E-2</v>
      </c>
      <c r="AD10" s="1">
        <f t="shared" si="12"/>
        <v>2.8619434309532066E-2</v>
      </c>
      <c r="AE10" s="1">
        <f t="shared" si="12"/>
        <v>2.9171122312216413E-2</v>
      </c>
      <c r="AF10" s="1">
        <f t="shared" si="12"/>
        <v>2.7665464504899706E-2</v>
      </c>
      <c r="AG10" s="1">
        <f t="shared" si="12"/>
        <v>2.8024182499856387E-2</v>
      </c>
      <c r="AH10" s="1">
        <f t="shared" si="12"/>
        <v>2.8755266805648105E-2</v>
      </c>
      <c r="AI10" s="1">
        <f t="shared" si="12"/>
        <v>2.9531799497810152E-2</v>
      </c>
      <c r="AJ10" s="1">
        <f t="shared" si="12"/>
        <v>3.0343349797380403E-2</v>
      </c>
      <c r="AK10" s="1">
        <f t="shared" si="12"/>
        <v>2.8792438811795273E-2</v>
      </c>
      <c r="AL10" s="1">
        <f t="shared" si="12"/>
        <v>2.957780526067566E-2</v>
      </c>
      <c r="AM10" s="1">
        <f t="shared" si="12"/>
        <v>3.1103012571824351E-2</v>
      </c>
      <c r="AN10" s="1">
        <f t="shared" si="12"/>
        <v>3.2202430688132555E-2</v>
      </c>
      <c r="AO10" s="1">
        <f t="shared" si="12"/>
        <v>3.0697433189557088E-2</v>
      </c>
      <c r="AP10" s="1">
        <f t="shared" si="12"/>
        <v>2.9182826275406359E-2</v>
      </c>
      <c r="AQ10" s="1">
        <f t="shared" si="12"/>
        <v>2.7638896247373035E-2</v>
      </c>
      <c r="AR10" s="1">
        <f t="shared" si="12"/>
        <v>2.6077436892523398E-2</v>
      </c>
      <c r="AS10" s="1">
        <f t="shared" si="12"/>
        <v>2.4540935978723866E-2</v>
      </c>
      <c r="AT10" s="1">
        <f t="shared" si="12"/>
        <v>2.2983357026333806E-2</v>
      </c>
      <c r="AU10" s="1">
        <f t="shared" si="12"/>
        <v>2.1389293339824311E-2</v>
      </c>
      <c r="AV10" s="1">
        <f t="shared" si="12"/>
        <v>1.9792992131309139E-2</v>
      </c>
      <c r="AW10" s="1">
        <f t="shared" si="12"/>
        <v>1.8204752315853723E-2</v>
      </c>
      <c r="AX10" s="1">
        <f t="shared" si="12"/>
        <v>1.6616732130958267E-2</v>
      </c>
      <c r="AY10" s="1">
        <f t="shared" si="12"/>
        <v>1.4996836120461099E-2</v>
      </c>
      <c r="AZ10" s="1">
        <f t="shared" si="12"/>
        <v>1.3336183891928144E-2</v>
      </c>
      <c r="BA10" s="1">
        <f t="shared" si="12"/>
        <v>1.1673628950616521E-2</v>
      </c>
      <c r="BB10" s="1">
        <f t="shared" si="12"/>
        <v>1.0024379169858655E-2</v>
      </c>
      <c r="BC10" s="1">
        <f t="shared" si="12"/>
        <v>8.378882615244887E-3</v>
      </c>
      <c r="BD10" s="1">
        <f t="shared" si="12"/>
        <v>6.730475351769627E-3</v>
      </c>
      <c r="BE10" s="1">
        <f t="shared" si="12"/>
        <v>5.0301056394894683E-3</v>
      </c>
      <c r="BF10" s="1">
        <f t="shared" si="12"/>
        <v>3.3275615337791109E-3</v>
      </c>
      <c r="BG10" s="1">
        <f t="shared" si="12"/>
        <v>1.6784941631164951E-3</v>
      </c>
      <c r="BH10" s="1">
        <f t="shared" si="12"/>
        <v>0</v>
      </c>
    </row>
    <row r="11" spans="1:60" x14ac:dyDescent="0.25">
      <c r="B11">
        <v>2012</v>
      </c>
      <c r="C11">
        <v>2013</v>
      </c>
      <c r="D11">
        <v>2014</v>
      </c>
      <c r="E11">
        <v>2015</v>
      </c>
      <c r="F11">
        <v>2016</v>
      </c>
      <c r="G11">
        <v>2017</v>
      </c>
      <c r="H11">
        <v>2018</v>
      </c>
      <c r="I11">
        <v>2019</v>
      </c>
      <c r="J11">
        <v>2020</v>
      </c>
      <c r="K11">
        <v>2021</v>
      </c>
      <c r="L11">
        <v>2022</v>
      </c>
      <c r="M11">
        <v>2023</v>
      </c>
      <c r="N11">
        <v>2024</v>
      </c>
      <c r="O11">
        <v>2025</v>
      </c>
      <c r="P11">
        <v>2026</v>
      </c>
      <c r="Q11">
        <v>2027</v>
      </c>
      <c r="R11">
        <v>2028</v>
      </c>
      <c r="S11">
        <v>2029</v>
      </c>
      <c r="T11">
        <v>2030</v>
      </c>
      <c r="U11">
        <v>2031</v>
      </c>
      <c r="V11">
        <v>2032</v>
      </c>
      <c r="W11">
        <v>2033</v>
      </c>
      <c r="X11">
        <v>2034</v>
      </c>
      <c r="Y11">
        <v>2035</v>
      </c>
      <c r="Z11">
        <v>2036</v>
      </c>
      <c r="AA11">
        <v>2037</v>
      </c>
      <c r="AB11">
        <v>2038</v>
      </c>
      <c r="AC11">
        <v>2039</v>
      </c>
      <c r="AD11">
        <v>2040</v>
      </c>
      <c r="AE11">
        <v>2041</v>
      </c>
      <c r="AF11">
        <v>2042</v>
      </c>
      <c r="AG11">
        <v>2043</v>
      </c>
      <c r="AH11">
        <v>2044</v>
      </c>
      <c r="AI11">
        <v>2045</v>
      </c>
      <c r="AJ11">
        <v>2046</v>
      </c>
      <c r="AK11">
        <v>2047</v>
      </c>
      <c r="AL11">
        <v>2048</v>
      </c>
      <c r="AM11">
        <v>2049</v>
      </c>
      <c r="AN11">
        <v>2050</v>
      </c>
      <c r="AO11">
        <v>2051</v>
      </c>
      <c r="AP11">
        <v>2052</v>
      </c>
      <c r="AQ11">
        <v>2053</v>
      </c>
      <c r="AR11">
        <v>2054</v>
      </c>
      <c r="AS11">
        <v>2055</v>
      </c>
      <c r="AT11">
        <v>2056</v>
      </c>
      <c r="AU11">
        <v>2057</v>
      </c>
      <c r="AV11">
        <v>2058</v>
      </c>
      <c r="AW11">
        <v>2059</v>
      </c>
      <c r="AX11">
        <v>2060</v>
      </c>
      <c r="AY11">
        <v>2061</v>
      </c>
      <c r="AZ11">
        <v>2062</v>
      </c>
      <c r="BA11">
        <v>2063</v>
      </c>
      <c r="BB11">
        <v>2064</v>
      </c>
      <c r="BC11">
        <v>2065</v>
      </c>
      <c r="BD11">
        <v>2066</v>
      </c>
      <c r="BE11">
        <v>2067</v>
      </c>
      <c r="BF11">
        <v>2068</v>
      </c>
      <c r="BG11">
        <v>2069</v>
      </c>
      <c r="BH11">
        <v>2070</v>
      </c>
    </row>
    <row r="12" spans="1:60" x14ac:dyDescent="0.25">
      <c r="A12" s="3" t="s">
        <v>21</v>
      </c>
      <c r="B12" s="27">
        <v>2420.5059603282948</v>
      </c>
      <c r="C12" s="27">
        <v>2489.1047071827661</v>
      </c>
      <c r="D12" s="27">
        <v>2551.5982527371866</v>
      </c>
      <c r="E12" s="27">
        <v>2595.1630396206046</v>
      </c>
      <c r="F12" s="27">
        <v>2628.6516711665686</v>
      </c>
      <c r="G12" s="27">
        <v>2667.1308637985835</v>
      </c>
      <c r="H12" s="27">
        <v>2710.4237502366891</v>
      </c>
      <c r="I12" s="27">
        <v>2746.44</v>
      </c>
      <c r="J12" s="27">
        <v>2570.58</v>
      </c>
      <c r="K12" s="37">
        <f>K3*K33</f>
        <v>2701.6634132159884</v>
      </c>
      <c r="L12" s="37">
        <f t="shared" ref="L12:AN12" si="13">(1+L4)*K12</f>
        <v>2753.2761577379706</v>
      </c>
      <c r="M12" s="37">
        <f t="shared" si="13"/>
        <v>2758.7827100534464</v>
      </c>
      <c r="N12" s="37">
        <f t="shared" si="13"/>
        <v>2786.3705371539809</v>
      </c>
      <c r="O12" s="37">
        <f t="shared" si="13"/>
        <v>2817.0206130626743</v>
      </c>
      <c r="P12" s="37">
        <f t="shared" si="13"/>
        <v>2856.4589016455516</v>
      </c>
      <c r="Q12" s="37">
        <f t="shared" si="13"/>
        <v>2902.1622440718807</v>
      </c>
      <c r="R12" s="37">
        <f t="shared" si="13"/>
        <v>2954.4011644651746</v>
      </c>
      <c r="S12" s="37">
        <f t="shared" si="13"/>
        <v>3019.4917101814099</v>
      </c>
      <c r="T12" s="37">
        <f t="shared" si="13"/>
        <v>3098.6578143357187</v>
      </c>
      <c r="U12" s="37">
        <f t="shared" si="13"/>
        <v>3189.6914736349381</v>
      </c>
      <c r="V12" s="37">
        <f t="shared" si="13"/>
        <v>3285.6295440723929</v>
      </c>
      <c r="W12" s="37">
        <f t="shared" si="13"/>
        <v>3387.4108076665748</v>
      </c>
      <c r="X12" s="37">
        <f t="shared" si="13"/>
        <v>3503.822316485358</v>
      </c>
      <c r="Y12" s="37">
        <f t="shared" si="13"/>
        <v>3627.1733086751424</v>
      </c>
      <c r="Z12" s="37">
        <f t="shared" si="13"/>
        <v>3757.9091917406686</v>
      </c>
      <c r="AA12" s="37">
        <f t="shared" si="13"/>
        <v>3896.9782058681149</v>
      </c>
      <c r="AB12" s="37">
        <f t="shared" si="13"/>
        <v>4042.5535023498846</v>
      </c>
      <c r="AC12" s="37">
        <f t="shared" si="13"/>
        <v>4190.3715224582984</v>
      </c>
      <c r="AD12" s="37">
        <f t="shared" si="13"/>
        <v>4338.746729551779</v>
      </c>
      <c r="AE12" s="37">
        <f t="shared" si="13"/>
        <v>4493.9258030174624</v>
      </c>
      <c r="AF12" s="37">
        <f t="shared" si="13"/>
        <v>4646.851544407692</v>
      </c>
      <c r="AG12" s="37">
        <f t="shared" si="13"/>
        <v>4805.5666888006072</v>
      </c>
      <c r="AH12" s="37">
        <f t="shared" si="13"/>
        <v>4972.1201415478799</v>
      </c>
      <c r="AI12" s="37">
        <f t="shared" si="13"/>
        <v>5147.0885387860135</v>
      </c>
      <c r="AJ12" s="37">
        <f t="shared" si="13"/>
        <v>5331.0307755607055</v>
      </c>
      <c r="AK12" s="37">
        <f t="shared" si="13"/>
        <v>5511.8158924623676</v>
      </c>
      <c r="AL12" s="37">
        <f t="shared" si="13"/>
        <v>5701.6585608207461</v>
      </c>
      <c r="AM12" s="37">
        <f t="shared" si="13"/>
        <v>5905.341267381451</v>
      </c>
      <c r="AN12" s="37">
        <f t="shared" si="13"/>
        <v>6121.2224083428055</v>
      </c>
      <c r="AO12" s="37">
        <f t="shared" ref="AO12" si="14">(1+AO4)*AN12</f>
        <v>6333.9671215713788</v>
      </c>
      <c r="AP12" s="37">
        <f t="shared" ref="AP12" si="15">(1+AP4)*AO12</f>
        <v>6542.6941603914947</v>
      </c>
      <c r="AQ12" s="37">
        <f t="shared" ref="AQ12" si="16">(1+AQ4)*AP12</f>
        <v>6746.5117779400616</v>
      </c>
      <c r="AR12" s="37">
        <f t="shared" ref="AR12" si="17">(1+AR4)*AQ12</f>
        <v>6944.5237698208839</v>
      </c>
      <c r="AS12" s="37">
        <f t="shared" ref="AS12" si="18">(1+AS4)*AR12</f>
        <v>7135.8357778147301</v>
      </c>
      <c r="AT12" s="37">
        <f t="shared" ref="AT12" si="19">(1+AT4)*AS12</f>
        <v>7319.5617960455738</v>
      </c>
      <c r="AU12" s="37">
        <f t="shared" ref="AU12" si="20">(1+AU4)*AT12</f>
        <v>7494.8308163079182</v>
      </c>
      <c r="AV12" s="37">
        <f t="shared" ref="AV12" si="21">(1+AV4)*AU12</f>
        <v>7660.7935453052314</v>
      </c>
      <c r="AW12" s="37">
        <f t="shared" ref="AW12" si="22">(1+AW4)*AV12</f>
        <v>7816.6291234264672</v>
      </c>
      <c r="AX12" s="37">
        <f t="shared" ref="AX12" si="23">(1+AX4)*AW12</f>
        <v>7961.5517724759829</v>
      </c>
      <c r="AY12" s="37">
        <f t="shared" ref="AY12" si="24">(1+AY4)*AX12</f>
        <v>8094.8172985378196</v>
      </c>
      <c r="AZ12" s="37">
        <f t="shared" ref="AZ12" si="25">(1+AZ4)*AY12</f>
        <v>8215.7293759486838</v>
      </c>
      <c r="BA12" s="37">
        <f t="shared" ref="BA12" si="26">(1+BA4)*AZ12</f>
        <v>8323.64553920859</v>
      </c>
      <c r="BB12" s="37">
        <f t="shared" ref="BB12" si="27">(1+BB4)*BA12</f>
        <v>8417.982811589447</v>
      </c>
      <c r="BC12" s="37">
        <f t="shared" ref="BC12" si="28">(1+BC4)*BB12</f>
        <v>8498.2229022061783</v>
      </c>
      <c r="BD12" s="37">
        <f t="shared" ref="BD12" si="29">(1+BD4)*BC12</f>
        <v>8563.916907369301</v>
      </c>
      <c r="BE12" s="37">
        <f t="shared" ref="BE12" si="30">(1+BE4)*BD12</f>
        <v>8614.6894570998229</v>
      </c>
      <c r="BF12" s="37">
        <f t="shared" ref="BF12" si="31">(1+BF4)*BE12</f>
        <v>8650.2422536951126</v>
      </c>
      <c r="BG12" s="37">
        <f t="shared" ref="BG12" si="32">(1+BG4)*BF12</f>
        <v>8670.3569561083241</v>
      </c>
      <c r="BH12" s="37">
        <f t="shared" ref="BH12" si="33">(1+BH4)*BG12</f>
        <v>8674.8973715470001</v>
      </c>
    </row>
    <row r="13" spans="1:60" x14ac:dyDescent="0.25">
      <c r="A13" s="3" t="s">
        <v>70</v>
      </c>
      <c r="B13" s="27">
        <v>96.797279590965346</v>
      </c>
      <c r="C13" s="27">
        <v>101.32801029182565</v>
      </c>
      <c r="D13" s="27">
        <v>105.4512845971946</v>
      </c>
      <c r="E13" s="27">
        <v>104.03295587682055</v>
      </c>
      <c r="F13" s="27">
        <v>102.86973222443167</v>
      </c>
      <c r="G13" s="27">
        <v>106.45368114150588</v>
      </c>
      <c r="H13" s="27">
        <v>104.83293209544796</v>
      </c>
      <c r="I13" s="27">
        <v>103.19</v>
      </c>
      <c r="J13" s="27">
        <v>101.98</v>
      </c>
      <c r="K13" s="37">
        <f>(1+K4)*J13</f>
        <v>106.77618269276007</v>
      </c>
      <c r="L13" s="37">
        <f t="shared" ref="L13:AN13" si="34">(1+L4)*K13</f>
        <v>108.81604147435188</v>
      </c>
      <c r="M13" s="37">
        <f t="shared" si="34"/>
        <v>109.03367355730057</v>
      </c>
      <c r="N13" s="37">
        <f t="shared" si="34"/>
        <v>110.12401029287358</v>
      </c>
      <c r="O13" s="37">
        <f t="shared" si="34"/>
        <v>111.33537440609517</v>
      </c>
      <c r="P13" s="37">
        <f t="shared" si="34"/>
        <v>112.8940696477805</v>
      </c>
      <c r="Q13" s="37">
        <f t="shared" si="34"/>
        <v>114.70037476214499</v>
      </c>
      <c r="R13" s="37">
        <f t="shared" si="34"/>
        <v>116.7649815078636</v>
      </c>
      <c r="S13" s="37">
        <f t="shared" si="34"/>
        <v>119.33751514287142</v>
      </c>
      <c r="T13" s="37">
        <f t="shared" si="34"/>
        <v>122.46634842347326</v>
      </c>
      <c r="U13" s="37">
        <f t="shared" si="34"/>
        <v>126.06421579250767</v>
      </c>
      <c r="V13" s="37">
        <f t="shared" si="34"/>
        <v>129.8559171888065</v>
      </c>
      <c r="W13" s="37">
        <f t="shared" si="34"/>
        <v>133.87855551713014</v>
      </c>
      <c r="X13" s="37">
        <f t="shared" si="34"/>
        <v>138.47941603601245</v>
      </c>
      <c r="Y13" s="37">
        <f t="shared" si="34"/>
        <v>143.35454149130049</v>
      </c>
      <c r="Z13" s="37">
        <f t="shared" si="34"/>
        <v>148.52153545006567</v>
      </c>
      <c r="AA13" s="37">
        <f t="shared" si="34"/>
        <v>154.01787462641707</v>
      </c>
      <c r="AB13" s="37">
        <f t="shared" si="34"/>
        <v>159.77135760162864</v>
      </c>
      <c r="AC13" s="37">
        <f t="shared" si="34"/>
        <v>165.61347836440339</v>
      </c>
      <c r="AD13" s="37">
        <f t="shared" si="34"/>
        <v>171.47762048595308</v>
      </c>
      <c r="AE13" s="37">
        <f t="shared" si="34"/>
        <v>177.61066763661245</v>
      </c>
      <c r="AF13" s="37">
        <f t="shared" si="34"/>
        <v>183.65465772850604</v>
      </c>
      <c r="AG13" s="37">
        <f t="shared" si="34"/>
        <v>189.92745883722461</v>
      </c>
      <c r="AH13" s="37">
        <f t="shared" si="34"/>
        <v>196.51004858976646</v>
      </c>
      <c r="AI13" s="37">
        <f t="shared" si="34"/>
        <v>203.42521702176563</v>
      </c>
      <c r="AJ13" s="37">
        <f t="shared" si="34"/>
        <v>210.69505299862763</v>
      </c>
      <c r="AK13" s="37">
        <f t="shared" si="34"/>
        <v>217.84011206705003</v>
      </c>
      <c r="AL13" s="37">
        <f t="shared" si="34"/>
        <v>225.34314717510799</v>
      </c>
      <c r="AM13" s="37">
        <f t="shared" si="34"/>
        <v>233.3931736072285</v>
      </c>
      <c r="AN13" s="37">
        <f t="shared" si="34"/>
        <v>241.92531126525446</v>
      </c>
      <c r="AO13" s="37">
        <f t="shared" ref="AO13:BH13" si="35">(1+AO4)*AN13</f>
        <v>250.33348981758286</v>
      </c>
      <c r="AP13" s="37">
        <f t="shared" si="35"/>
        <v>258.58288029344737</v>
      </c>
      <c r="AQ13" s="37">
        <f t="shared" si="35"/>
        <v>266.63823872962757</v>
      </c>
      <c r="AR13" s="37">
        <f t="shared" si="35"/>
        <v>274.46414499056186</v>
      </c>
      <c r="AS13" s="37">
        <f t="shared" si="35"/>
        <v>282.02525190600596</v>
      </c>
      <c r="AT13" s="37">
        <f t="shared" si="35"/>
        <v>289.28654241024299</v>
      </c>
      <c r="AU13" s="37">
        <f t="shared" si="35"/>
        <v>296.21359218127122</v>
      </c>
      <c r="AV13" s="37">
        <f t="shared" si="35"/>
        <v>302.77283512209027</v>
      </c>
      <c r="AW13" s="37">
        <f t="shared" si="35"/>
        <v>308.93182890277654</v>
      </c>
      <c r="AX13" s="37">
        <f t="shared" si="35"/>
        <v>314.65951769462703</v>
      </c>
      <c r="AY13" s="37">
        <f t="shared" si="35"/>
        <v>319.92648917886788</v>
      </c>
      <c r="AZ13" s="37">
        <f t="shared" si="35"/>
        <v>324.70522290425646</v>
      </c>
      <c r="BA13" s="37">
        <f t="shared" si="35"/>
        <v>328.9703271016831</v>
      </c>
      <c r="BB13" s="37">
        <f t="shared" si="35"/>
        <v>332.69876114020923</v>
      </c>
      <c r="BC13" s="37">
        <f t="shared" si="35"/>
        <v>335.87004092771502</v>
      </c>
      <c r="BD13" s="37">
        <f t="shared" si="35"/>
        <v>338.46642471956818</v>
      </c>
      <c r="BE13" s="37">
        <f t="shared" si="35"/>
        <v>340.47307699878388</v>
      </c>
      <c r="BF13" s="37">
        <f t="shared" si="35"/>
        <v>341.8782083285887</v>
      </c>
      <c r="BG13" s="37">
        <f t="shared" si="35"/>
        <v>342.67318934997616</v>
      </c>
      <c r="BH13" s="37">
        <f t="shared" si="35"/>
        <v>342.85263739891133</v>
      </c>
    </row>
    <row r="14" spans="1:60" x14ac:dyDescent="0.25">
      <c r="A14" s="3" t="s">
        <v>23</v>
      </c>
      <c r="B14" s="27">
        <v>186.51301855651582</v>
      </c>
      <c r="C14" s="27">
        <v>191.20040429598868</v>
      </c>
      <c r="D14" s="27">
        <v>192.19084947996168</v>
      </c>
      <c r="E14" s="27">
        <v>198.3568473622208</v>
      </c>
      <c r="F14" s="27">
        <v>195.64424405359443</v>
      </c>
      <c r="G14" s="27">
        <v>201.78663829260577</v>
      </c>
      <c r="H14" s="27">
        <v>200.62824410860065</v>
      </c>
      <c r="I14" s="27">
        <v>198.05</v>
      </c>
      <c r="J14" s="27">
        <v>190.12</v>
      </c>
      <c r="K14" s="37">
        <f>(1+K6)*J14</f>
        <v>199.06146159587709</v>
      </c>
      <c r="L14" s="37">
        <f t="shared" ref="L14:AN14" si="36">(1+L6)*K14</f>
        <v>202.86434403906432</v>
      </c>
      <c r="M14" s="37">
        <f t="shared" si="36"/>
        <v>203.27007272714246</v>
      </c>
      <c r="N14" s="37">
        <f t="shared" si="36"/>
        <v>205.30277345441388</v>
      </c>
      <c r="O14" s="37">
        <f t="shared" si="36"/>
        <v>207.5611039624124</v>
      </c>
      <c r="P14" s="37">
        <f t="shared" si="36"/>
        <v>210.46695941788619</v>
      </c>
      <c r="Q14" s="37">
        <f t="shared" si="36"/>
        <v>213.83443076857236</v>
      </c>
      <c r="R14" s="37">
        <f t="shared" si="36"/>
        <v>217.68345052240667</v>
      </c>
      <c r="S14" s="37">
        <f t="shared" si="36"/>
        <v>222.47939183136617</v>
      </c>
      <c r="T14" s="37">
        <f t="shared" si="36"/>
        <v>228.31243540175274</v>
      </c>
      <c r="U14" s="37">
        <f t="shared" si="36"/>
        <v>235.01989317975648</v>
      </c>
      <c r="V14" s="37">
        <f t="shared" si="36"/>
        <v>242.08871323726126</v>
      </c>
      <c r="W14" s="37">
        <f t="shared" si="36"/>
        <v>249.58806604154535</v>
      </c>
      <c r="X14" s="37">
        <f t="shared" si="36"/>
        <v>258.16539102536478</v>
      </c>
      <c r="Y14" s="37">
        <f t="shared" si="36"/>
        <v>267.25402459625479</v>
      </c>
      <c r="Z14" s="37">
        <f t="shared" si="36"/>
        <v>276.88678485748676</v>
      </c>
      <c r="AA14" s="37">
        <f t="shared" si="36"/>
        <v>287.13353916429128</v>
      </c>
      <c r="AB14" s="37">
        <f t="shared" si="36"/>
        <v>297.85968334204398</v>
      </c>
      <c r="AC14" s="37">
        <f t="shared" si="36"/>
        <v>308.75107380506353</v>
      </c>
      <c r="AD14" s="37">
        <f t="shared" si="36"/>
        <v>319.68351840350471</v>
      </c>
      <c r="AE14" s="37">
        <f t="shared" si="36"/>
        <v>331.11727918290615</v>
      </c>
      <c r="AF14" s="37">
        <f t="shared" si="36"/>
        <v>342.38501203514005</v>
      </c>
      <c r="AG14" s="37">
        <f t="shared" si="36"/>
        <v>354.0793143178384</v>
      </c>
      <c r="AH14" s="37">
        <f t="shared" si="36"/>
        <v>366.35115157762715</v>
      </c>
      <c r="AI14" s="37">
        <f t="shared" si="36"/>
        <v>379.24301098429203</v>
      </c>
      <c r="AJ14" s="37">
        <f t="shared" si="36"/>
        <v>392.79607252499613</v>
      </c>
      <c r="AK14" s="37">
        <f t="shared" si="36"/>
        <v>406.11651408303169</v>
      </c>
      <c r="AL14" s="37">
        <f t="shared" si="36"/>
        <v>420.10432575928178</v>
      </c>
      <c r="AM14" s="37">
        <f t="shared" si="36"/>
        <v>435.11188631306442</v>
      </c>
      <c r="AN14" s="37">
        <f t="shared" si="36"/>
        <v>451.01824061335759</v>
      </c>
      <c r="AO14" s="37">
        <f t="shared" ref="AO14:BH14" si="37">(1+AO6)*AN14</f>
        <v>466.69349955009693</v>
      </c>
      <c r="AP14" s="37">
        <f t="shared" si="37"/>
        <v>482.07273192184982</v>
      </c>
      <c r="AQ14" s="37">
        <f t="shared" si="37"/>
        <v>497.09023286209873</v>
      </c>
      <c r="AR14" s="37">
        <f t="shared" si="37"/>
        <v>511.67996906850021</v>
      </c>
      <c r="AS14" s="37">
        <f t="shared" si="37"/>
        <v>525.77604326701203</v>
      </c>
      <c r="AT14" s="37">
        <f t="shared" si="37"/>
        <v>539.31317359320883</v>
      </c>
      <c r="AU14" s="37">
        <f t="shared" si="37"/>
        <v>552.22718322713592</v>
      </c>
      <c r="AV14" s="37">
        <f t="shared" si="37"/>
        <v>564.45549532665075</v>
      </c>
      <c r="AW14" s="37">
        <f t="shared" si="37"/>
        <v>575.93762807409212</v>
      </c>
      <c r="AX14" s="37">
        <f t="shared" si="37"/>
        <v>586.61568448815979</v>
      </c>
      <c r="AY14" s="37">
        <f t="shared" si="37"/>
        <v>596.4348315619377</v>
      </c>
      <c r="AZ14" s="37">
        <f t="shared" si="37"/>
        <v>605.34376327277187</v>
      </c>
      <c r="BA14" s="37">
        <f t="shared" si="37"/>
        <v>613.29514207268119</v>
      </c>
      <c r="BB14" s="37">
        <f t="shared" si="37"/>
        <v>620.24601361028249</v>
      </c>
      <c r="BC14" s="37">
        <f t="shared" si="37"/>
        <v>626.15818965657195</v>
      </c>
      <c r="BD14" s="37">
        <f t="shared" si="37"/>
        <v>630.99859450563179</v>
      </c>
      <c r="BE14" s="37">
        <f t="shared" si="37"/>
        <v>634.73957049430101</v>
      </c>
      <c r="BF14" s="37">
        <f t="shared" si="37"/>
        <v>637.35913872750837</v>
      </c>
      <c r="BG14" s="37">
        <f t="shared" si="37"/>
        <v>638.84121160244638</v>
      </c>
      <c r="BH14" s="37">
        <f t="shared" si="37"/>
        <v>639.17575428790974</v>
      </c>
    </row>
    <row r="15" spans="1:60" x14ac:dyDescent="0.25">
      <c r="A15" s="3" t="s">
        <v>24</v>
      </c>
      <c r="B15" s="27">
        <v>138.08343097582718</v>
      </c>
      <c r="C15" s="27">
        <v>143.16360238477418</v>
      </c>
      <c r="D15" s="27">
        <v>146.98438355117329</v>
      </c>
      <c r="E15" s="27">
        <v>148.78204922418408</v>
      </c>
      <c r="F15" s="27">
        <v>151.86270236184362</v>
      </c>
      <c r="G15" s="27">
        <v>153.55950890468549</v>
      </c>
      <c r="H15" s="27">
        <v>155.74281242834212</v>
      </c>
      <c r="I15" s="27">
        <v>155.24</v>
      </c>
      <c r="J15" s="27">
        <v>152.88999999999999</v>
      </c>
      <c r="K15" s="17">
        <f>$I15/$I$35*K$35</f>
        <v>149.89510886468165</v>
      </c>
      <c r="L15" s="17">
        <f t="shared" ref="L15:AN24" si="38">$I15/$I$35*L$35</f>
        <v>153.05903116134692</v>
      </c>
      <c r="M15" s="17">
        <f t="shared" si="38"/>
        <v>153.32655627042456</v>
      </c>
      <c r="N15" s="17">
        <f t="shared" si="38"/>
        <v>154.89162019025139</v>
      </c>
      <c r="O15" s="17">
        <f t="shared" si="38"/>
        <v>156.56135961246716</v>
      </c>
      <c r="P15" s="17">
        <f t="shared" si="38"/>
        <v>159.0292585636183</v>
      </c>
      <c r="Q15" s="17">
        <f t="shared" si="38"/>
        <v>161.81927303587736</v>
      </c>
      <c r="R15" s="17">
        <f t="shared" si="38"/>
        <v>164.87448014005415</v>
      </c>
      <c r="S15" s="17">
        <f t="shared" si="38"/>
        <v>168.72421730058949</v>
      </c>
      <c r="T15" s="17">
        <f t="shared" si="38"/>
        <v>173.40896507001955</v>
      </c>
      <c r="U15" s="17">
        <f t="shared" si="38"/>
        <v>178.95541697933879</v>
      </c>
      <c r="V15" s="17">
        <f t="shared" si="38"/>
        <v>184.75085539349249</v>
      </c>
      <c r="W15" s="17">
        <f t="shared" si="38"/>
        <v>191.05600864487914</v>
      </c>
      <c r="X15" s="17">
        <f t="shared" si="38"/>
        <v>198.12309082173635</v>
      </c>
      <c r="Y15" s="17">
        <f t="shared" si="38"/>
        <v>205.79924561662574</v>
      </c>
      <c r="Z15" s="17">
        <f t="shared" si="38"/>
        <v>213.91826391923422</v>
      </c>
      <c r="AA15" s="17">
        <f t="shared" si="38"/>
        <v>222.43078325058318</v>
      </c>
      <c r="AB15" s="17">
        <f t="shared" si="38"/>
        <v>231.45082025356473</v>
      </c>
      <c r="AC15" s="17">
        <f t="shared" si="38"/>
        <v>240.60602473379652</v>
      </c>
      <c r="AD15" s="17">
        <f t="shared" si="38"/>
        <v>249.79924851910897</v>
      </c>
      <c r="AE15" s="17">
        <f t="shared" si="38"/>
        <v>259.28271052626644</v>
      </c>
      <c r="AF15" s="17">
        <f t="shared" si="38"/>
        <v>268.62814668587379</v>
      </c>
      <c r="AG15" s="17">
        <f t="shared" si="38"/>
        <v>278.32250635499526</v>
      </c>
      <c r="AH15" s="17">
        <f t="shared" si="38"/>
        <v>288.48705670492302</v>
      </c>
      <c r="AI15" s="17">
        <f t="shared" si="38"/>
        <v>299.16098922830128</v>
      </c>
      <c r="AJ15" s="17">
        <f t="shared" si="38"/>
        <v>310.37355014965215</v>
      </c>
      <c r="AK15" s="17">
        <f t="shared" si="38"/>
        <v>321.39583353365316</v>
      </c>
      <c r="AL15" s="17">
        <f t="shared" si="38"/>
        <v>332.96622859009818</v>
      </c>
      <c r="AM15" s="17">
        <f t="shared" si="38"/>
        <v>345.36853463611919</v>
      </c>
      <c r="AN15" s="17">
        <f t="shared" si="38"/>
        <v>358.50603229683588</v>
      </c>
      <c r="AO15" s="17">
        <f t="shared" ref="AO15:BH27" si="39">$I15/$I$35*AO$35</f>
        <v>371.45300834958601</v>
      </c>
      <c r="AP15" s="17">
        <f t="shared" si="39"/>
        <v>384.15634190330559</v>
      </c>
      <c r="AQ15" s="17">
        <f t="shared" si="39"/>
        <v>396.56230596020259</v>
      </c>
      <c r="AR15" s="17">
        <f t="shared" si="39"/>
        <v>408.616904653912</v>
      </c>
      <c r="AS15" s="17">
        <f t="shared" si="39"/>
        <v>420.26625317254434</v>
      </c>
      <c r="AT15" s="17">
        <f t="shared" si="39"/>
        <v>431.45696988360572</v>
      </c>
      <c r="AU15" s="17">
        <f t="shared" si="39"/>
        <v>442.1365768460326</v>
      </c>
      <c r="AV15" s="17">
        <f t="shared" si="39"/>
        <v>452.2539046562319</v>
      </c>
      <c r="AW15" s="17">
        <f t="shared" si="39"/>
        <v>461.75949738679077</v>
      </c>
      <c r="AX15" s="17">
        <f t="shared" si="39"/>
        <v>470.60601324322437</v>
      </c>
      <c r="AY15" s="17">
        <f t="shared" si="39"/>
        <v>478.7486164897378</v>
      </c>
      <c r="AZ15" s="17">
        <f t="shared" si="39"/>
        <v>486.14535618252467</v>
      </c>
      <c r="BA15" s="17">
        <f t="shared" si="39"/>
        <v>492.75752730063232</v>
      </c>
      <c r="BB15" s="17">
        <f t="shared" si="39"/>
        <v>498.55000998082255</v>
      </c>
      <c r="BC15" s="17">
        <f t="shared" si="39"/>
        <v>503.49158274392465</v>
      </c>
      <c r="BD15" s="17">
        <f t="shared" si="39"/>
        <v>507.55520584453268</v>
      </c>
      <c r="BE15" s="17">
        <f t="shared" si="39"/>
        <v>510.71827118097099</v>
      </c>
      <c r="BF15" s="17">
        <f t="shared" si="39"/>
        <v>512.96281556454733</v>
      </c>
      <c r="BG15" s="17">
        <f t="shared" si="39"/>
        <v>514.27569456139031</v>
      </c>
      <c r="BH15" s="17">
        <f t="shared" si="39"/>
        <v>514.64871458081916</v>
      </c>
    </row>
    <row r="16" spans="1:60" x14ac:dyDescent="0.25">
      <c r="A16" s="3" t="s">
        <v>25</v>
      </c>
      <c r="B16" s="27">
        <v>335.77331305186084</v>
      </c>
      <c r="C16" s="27">
        <v>345.12368336779264</v>
      </c>
      <c r="D16" s="27">
        <v>351.73654833895557</v>
      </c>
      <c r="E16" s="27">
        <v>356.62847152051233</v>
      </c>
      <c r="F16" s="27">
        <v>360.31274126727499</v>
      </c>
      <c r="G16" s="27">
        <v>363.08022098030375</v>
      </c>
      <c r="H16" s="27">
        <v>367.26352107202263</v>
      </c>
      <c r="I16" s="27">
        <v>366.87</v>
      </c>
      <c r="J16" s="27">
        <v>340.31</v>
      </c>
      <c r="K16" s="17">
        <f t="shared" ref="K16:Z27" si="40">$I16/$I$35*K$35</f>
        <v>354.2387180442268</v>
      </c>
      <c r="L16" s="17">
        <f t="shared" si="40"/>
        <v>361.71583845763558</v>
      </c>
      <c r="M16" s="17">
        <f t="shared" si="40"/>
        <v>362.34806556899423</v>
      </c>
      <c r="N16" s="17">
        <f t="shared" si="40"/>
        <v>366.04669350165892</v>
      </c>
      <c r="O16" s="17">
        <f t="shared" si="40"/>
        <v>369.99269518826225</v>
      </c>
      <c r="P16" s="17">
        <f t="shared" si="40"/>
        <v>375.82494260006865</v>
      </c>
      <c r="Q16" s="17">
        <f t="shared" si="40"/>
        <v>382.41842758742808</v>
      </c>
      <c r="R16" s="17">
        <f t="shared" si="40"/>
        <v>389.63862747347122</v>
      </c>
      <c r="S16" s="17">
        <f t="shared" si="40"/>
        <v>398.73649575539338</v>
      </c>
      <c r="T16" s="17">
        <f t="shared" si="40"/>
        <v>409.80769785646794</v>
      </c>
      <c r="U16" s="17">
        <f t="shared" si="40"/>
        <v>422.91531710390387</v>
      </c>
      <c r="V16" s="17">
        <f t="shared" si="40"/>
        <v>436.61135221728028</v>
      </c>
      <c r="W16" s="17">
        <f t="shared" si="40"/>
        <v>451.51196786618669</v>
      </c>
      <c r="X16" s="17">
        <f t="shared" si="40"/>
        <v>468.21320748370539</v>
      </c>
      <c r="Y16" s="17">
        <f t="shared" si="40"/>
        <v>486.35383431700268</v>
      </c>
      <c r="Z16" s="17">
        <f t="shared" si="40"/>
        <v>505.541055681844</v>
      </c>
      <c r="AA16" s="17">
        <f t="shared" si="38"/>
        <v>525.65821599550031</v>
      </c>
      <c r="AB16" s="17">
        <f t="shared" si="38"/>
        <v>546.97476440624382</v>
      </c>
      <c r="AC16" s="17">
        <f t="shared" si="38"/>
        <v>568.61074654784807</v>
      </c>
      <c r="AD16" s="17">
        <f t="shared" si="38"/>
        <v>590.33657758442098</v>
      </c>
      <c r="AE16" s="17">
        <f t="shared" si="38"/>
        <v>612.74831236003206</v>
      </c>
      <c r="AF16" s="17">
        <f t="shared" si="38"/>
        <v>634.83385837829496</v>
      </c>
      <c r="AG16" s="17">
        <f t="shared" si="38"/>
        <v>657.74399579011276</v>
      </c>
      <c r="AH16" s="17">
        <f t="shared" si="38"/>
        <v>681.76530851156349</v>
      </c>
      <c r="AI16" s="17">
        <f t="shared" si="38"/>
        <v>706.99041560285298</v>
      </c>
      <c r="AJ16" s="17">
        <f t="shared" si="38"/>
        <v>733.48843302887724</v>
      </c>
      <c r="AK16" s="17">
        <f t="shared" si="38"/>
        <v>759.53677820465953</v>
      </c>
      <c r="AL16" s="17">
        <f t="shared" si="38"/>
        <v>786.88044500675937</v>
      </c>
      <c r="AM16" s="17">
        <f t="shared" si="38"/>
        <v>816.19012047122555</v>
      </c>
      <c r="AN16" s="17">
        <f t="shared" si="38"/>
        <v>847.23723311479125</v>
      </c>
      <c r="AO16" s="17">
        <f t="shared" si="39"/>
        <v>877.83409670969229</v>
      </c>
      <c r="AP16" s="17">
        <f t="shared" si="39"/>
        <v>907.85517362835446</v>
      </c>
      <c r="AQ16" s="17">
        <f t="shared" si="39"/>
        <v>937.17349386510909</v>
      </c>
      <c r="AR16" s="17">
        <f t="shared" si="39"/>
        <v>965.66145201224367</v>
      </c>
      <c r="AS16" s="17">
        <f t="shared" si="39"/>
        <v>993.19170511086941</v>
      </c>
      <c r="AT16" s="17">
        <f t="shared" si="39"/>
        <v>1019.6380993377895</v>
      </c>
      <c r="AU16" s="17">
        <f t="shared" si="39"/>
        <v>1044.8766165131667</v>
      </c>
      <c r="AV16" s="17">
        <f t="shared" si="39"/>
        <v>1068.7863308505011</v>
      </c>
      <c r="AW16" s="17">
        <f t="shared" si="39"/>
        <v>1091.2503659256115</v>
      </c>
      <c r="AX16" s="17">
        <f t="shared" si="39"/>
        <v>1112.156841526293</v>
      </c>
      <c r="AY16" s="17">
        <f t="shared" si="39"/>
        <v>1131.399799868527</v>
      </c>
      <c r="AZ16" s="17">
        <f t="shared" si="39"/>
        <v>1148.8801006356791</v>
      </c>
      <c r="BA16" s="17">
        <f t="shared" si="39"/>
        <v>1164.5062744188547</v>
      </c>
      <c r="BB16" s="17">
        <f t="shared" si="39"/>
        <v>1178.1953244116489</v>
      </c>
      <c r="BC16" s="17">
        <f t="shared" si="39"/>
        <v>1189.8734666404512</v>
      </c>
      <c r="BD16" s="17">
        <f t="shared" si="39"/>
        <v>1199.4767995889185</v>
      </c>
      <c r="BE16" s="17">
        <f t="shared" si="39"/>
        <v>1206.9518947962049</v>
      </c>
      <c r="BF16" s="17">
        <f t="shared" si="39"/>
        <v>1212.2563008642458</v>
      </c>
      <c r="BG16" s="17">
        <f t="shared" si="39"/>
        <v>1215.358954288439</v>
      </c>
      <c r="BH16" s="17">
        <f t="shared" si="39"/>
        <v>1216.2404916146943</v>
      </c>
    </row>
    <row r="17" spans="1:60" x14ac:dyDescent="0.25">
      <c r="A17" s="3" t="s">
        <v>26</v>
      </c>
      <c r="B17" s="27">
        <v>21.771602125906632</v>
      </c>
      <c r="C17" s="27">
        <v>22.321967288291042</v>
      </c>
      <c r="D17" s="27">
        <v>22.799481809844082</v>
      </c>
      <c r="E17" s="27">
        <v>23.061502598593702</v>
      </c>
      <c r="F17" s="27">
        <v>23.492490064200549</v>
      </c>
      <c r="G17" s="27">
        <v>23.649212778966675</v>
      </c>
      <c r="H17" s="27">
        <v>24.045917150718431</v>
      </c>
      <c r="I17" s="27">
        <v>24.03</v>
      </c>
      <c r="J17" s="27">
        <v>22.95</v>
      </c>
      <c r="K17" s="17">
        <f t="shared" si="40"/>
        <v>23.202650515448983</v>
      </c>
      <c r="L17" s="17">
        <f t="shared" si="38"/>
        <v>23.692402208239926</v>
      </c>
      <c r="M17" s="17">
        <f t="shared" si="38"/>
        <v>23.733813109883421</v>
      </c>
      <c r="N17" s="17">
        <f t="shared" si="38"/>
        <v>23.976073390696605</v>
      </c>
      <c r="O17" s="17">
        <f t="shared" si="38"/>
        <v>24.234536662506997</v>
      </c>
      <c r="P17" s="17">
        <f t="shared" si="38"/>
        <v>24.616549106440015</v>
      </c>
      <c r="Q17" s="17">
        <f t="shared" si="38"/>
        <v>25.048422642696039</v>
      </c>
      <c r="R17" s="17">
        <f t="shared" si="38"/>
        <v>25.521346030439972</v>
      </c>
      <c r="S17" s="17">
        <f t="shared" si="38"/>
        <v>26.117256774885117</v>
      </c>
      <c r="T17" s="17">
        <f t="shared" si="38"/>
        <v>26.842420965167289</v>
      </c>
      <c r="U17" s="17">
        <f t="shared" si="38"/>
        <v>27.700970561797934</v>
      </c>
      <c r="V17" s="17">
        <f t="shared" si="38"/>
        <v>28.598061421705903</v>
      </c>
      <c r="W17" s="17">
        <f t="shared" si="38"/>
        <v>29.574052355942065</v>
      </c>
      <c r="X17" s="17">
        <f t="shared" si="38"/>
        <v>30.667984233743397</v>
      </c>
      <c r="Y17" s="17">
        <f t="shared" si="38"/>
        <v>31.856196033029612</v>
      </c>
      <c r="Z17" s="17">
        <f t="shared" si="38"/>
        <v>33.112959816923464</v>
      </c>
      <c r="AA17" s="17">
        <f t="shared" si="38"/>
        <v>34.430634639986565</v>
      </c>
      <c r="AB17" s="17">
        <f t="shared" si="38"/>
        <v>35.826869432447566</v>
      </c>
      <c r="AC17" s="17">
        <f t="shared" si="38"/>
        <v>37.244027147340439</v>
      </c>
      <c r="AD17" s="17">
        <f t="shared" si="38"/>
        <v>38.667069968527365</v>
      </c>
      <c r="AE17" s="17">
        <f t="shared" si="38"/>
        <v>40.135039512665436</v>
      </c>
      <c r="AF17" s="17">
        <f t="shared" si="38"/>
        <v>41.58164367986052</v>
      </c>
      <c r="AG17" s="17">
        <f t="shared" si="38"/>
        <v>43.082258617048026</v>
      </c>
      <c r="AH17" s="17">
        <f t="shared" si="38"/>
        <v>44.655655582448468</v>
      </c>
      <c r="AI17" s="17">
        <f t="shared" si="38"/>
        <v>46.307901128292194</v>
      </c>
      <c r="AJ17" s="17">
        <f t="shared" si="38"/>
        <v>48.043522353105779</v>
      </c>
      <c r="AK17" s="17">
        <f t="shared" si="38"/>
        <v>49.749690027143039</v>
      </c>
      <c r="AL17" s="17">
        <f t="shared" si="38"/>
        <v>51.540701320665157</v>
      </c>
      <c r="AM17" s="17">
        <f t="shared" si="38"/>
        <v>53.460486261955317</v>
      </c>
      <c r="AN17" s="17">
        <f t="shared" si="38"/>
        <v>55.49407340951408</v>
      </c>
      <c r="AO17" s="17">
        <f t="shared" si="39"/>
        <v>57.498169225976241</v>
      </c>
      <c r="AP17" s="17">
        <f t="shared" si="39"/>
        <v>59.464550991602898</v>
      </c>
      <c r="AQ17" s="17">
        <f t="shared" si="39"/>
        <v>61.384902165831406</v>
      </c>
      <c r="AR17" s="17">
        <f t="shared" si="39"/>
        <v>63.250864589239271</v>
      </c>
      <c r="AS17" s="17">
        <f t="shared" si="39"/>
        <v>65.054097292812685</v>
      </c>
      <c r="AT17" s="17">
        <f t="shared" si="39"/>
        <v>66.786337195974269</v>
      </c>
      <c r="AU17" s="17">
        <f t="shared" si="39"/>
        <v>68.43946110287402</v>
      </c>
      <c r="AV17" s="17">
        <f t="shared" si="39"/>
        <v>70.005548369552002</v>
      </c>
      <c r="AW17" s="17">
        <f t="shared" si="39"/>
        <v>71.476943585445639</v>
      </c>
      <c r="AX17" s="17">
        <f t="shared" si="39"/>
        <v>72.846318592081175</v>
      </c>
      <c r="AY17" s="17">
        <f t="shared" si="39"/>
        <v>74.106733150273129</v>
      </c>
      <c r="AZ17" s="17">
        <f t="shared" si="39"/>
        <v>75.251693565228464</v>
      </c>
      <c r="BA17" s="17">
        <f t="shared" si="39"/>
        <v>76.275208586924734</v>
      </c>
      <c r="BB17" s="17">
        <f t="shared" si="39"/>
        <v>77.171841921148967</v>
      </c>
      <c r="BC17" s="17">
        <f t="shared" si="39"/>
        <v>77.936760714612916</v>
      </c>
      <c r="BD17" s="17">
        <f t="shared" si="39"/>
        <v>78.565779415383403</v>
      </c>
      <c r="BE17" s="17">
        <f t="shared" si="39"/>
        <v>79.055398457090519</v>
      </c>
      <c r="BF17" s="17">
        <f t="shared" si="39"/>
        <v>79.402837271425355</v>
      </c>
      <c r="BG17" s="17">
        <f t="shared" si="39"/>
        <v>79.606061197566405</v>
      </c>
      <c r="BH17" s="17">
        <f t="shared" si="39"/>
        <v>79.663801928479032</v>
      </c>
    </row>
    <row r="18" spans="1:60" x14ac:dyDescent="0.25">
      <c r="A18" s="3" t="s">
        <v>27</v>
      </c>
      <c r="B18" s="27">
        <v>72.107894835057621</v>
      </c>
      <c r="C18" s="27">
        <v>74.266300997437128</v>
      </c>
      <c r="D18" s="27">
        <v>75.801027741220466</v>
      </c>
      <c r="E18" s="27">
        <v>76.644854367250801</v>
      </c>
      <c r="F18" s="27">
        <v>77.466834349241523</v>
      </c>
      <c r="G18" s="27">
        <v>78.131791577197461</v>
      </c>
      <c r="H18" s="27">
        <v>79.016580660802092</v>
      </c>
      <c r="I18" s="27">
        <v>78.849999999999994</v>
      </c>
      <c r="J18" s="27">
        <v>77.7</v>
      </c>
      <c r="K18" s="17">
        <f t="shared" si="40"/>
        <v>76.135205707164062</v>
      </c>
      <c r="L18" s="17">
        <f t="shared" si="38"/>
        <v>77.742235294203837</v>
      </c>
      <c r="M18" s="17">
        <f t="shared" si="38"/>
        <v>77.878117507877974</v>
      </c>
      <c r="N18" s="17">
        <f t="shared" si="38"/>
        <v>78.673049806759352</v>
      </c>
      <c r="O18" s="17">
        <f t="shared" si="38"/>
        <v>79.521149223415577</v>
      </c>
      <c r="P18" s="17">
        <f t="shared" si="38"/>
        <v>80.774652394623189</v>
      </c>
      <c r="Q18" s="17">
        <f t="shared" si="38"/>
        <v>82.191765517127862</v>
      </c>
      <c r="R18" s="17">
        <f t="shared" si="38"/>
        <v>83.743576134007142</v>
      </c>
      <c r="S18" s="17">
        <f t="shared" si="38"/>
        <v>85.698947012055399</v>
      </c>
      <c r="T18" s="17">
        <f t="shared" si="38"/>
        <v>88.078439163688742</v>
      </c>
      <c r="U18" s="17">
        <f t="shared" si="38"/>
        <v>90.895610853007369</v>
      </c>
      <c r="V18" s="17">
        <f t="shared" si="38"/>
        <v>93.83924856851894</v>
      </c>
      <c r="W18" s="17">
        <f t="shared" si="38"/>
        <v>97.041782283230617</v>
      </c>
      <c r="X18" s="17">
        <f t="shared" si="38"/>
        <v>100.63131738787627</v>
      </c>
      <c r="Y18" s="17">
        <f t="shared" si="38"/>
        <v>104.53021461524696</v>
      </c>
      <c r="Z18" s="17">
        <f t="shared" si="38"/>
        <v>108.65405249955951</v>
      </c>
      <c r="AA18" s="17">
        <f t="shared" si="38"/>
        <v>112.97775869175781</v>
      </c>
      <c r="AB18" s="17">
        <f t="shared" si="38"/>
        <v>117.5592448917391</v>
      </c>
      <c r="AC18" s="17">
        <f t="shared" si="38"/>
        <v>122.2093857914188</v>
      </c>
      <c r="AD18" s="17">
        <f t="shared" si="38"/>
        <v>126.87883757879246</v>
      </c>
      <c r="AE18" s="17">
        <f t="shared" si="38"/>
        <v>131.69570809711485</v>
      </c>
      <c r="AF18" s="17">
        <f t="shared" si="38"/>
        <v>136.44247208310452</v>
      </c>
      <c r="AG18" s="17">
        <f t="shared" si="38"/>
        <v>141.3664624200681</v>
      </c>
      <c r="AH18" s="17">
        <f t="shared" si="38"/>
        <v>146.52927351960307</v>
      </c>
      <c r="AI18" s="17">
        <f t="shared" si="38"/>
        <v>151.95081165067995</v>
      </c>
      <c r="AJ18" s="17">
        <f t="shared" si="38"/>
        <v>157.64593164970415</v>
      </c>
      <c r="AK18" s="17">
        <f t="shared" si="38"/>
        <v>163.24440527008858</v>
      </c>
      <c r="AL18" s="17">
        <f t="shared" si="38"/>
        <v>169.12127753368486</v>
      </c>
      <c r="AM18" s="17">
        <f t="shared" si="38"/>
        <v>175.42069670225453</v>
      </c>
      <c r="AN18" s="17">
        <f t="shared" si="38"/>
        <v>182.09353675989118</v>
      </c>
      <c r="AO18" s="17">
        <f t="shared" si="39"/>
        <v>188.66960646975556</v>
      </c>
      <c r="AP18" s="17">
        <f t="shared" si="39"/>
        <v>195.12192449803945</v>
      </c>
      <c r="AQ18" s="17">
        <f t="shared" si="39"/>
        <v>201.42320165525618</v>
      </c>
      <c r="AR18" s="17">
        <f t="shared" si="39"/>
        <v>207.54601218732901</v>
      </c>
      <c r="AS18" s="17">
        <f t="shared" si="39"/>
        <v>213.46298674732751</v>
      </c>
      <c r="AT18" s="17">
        <f t="shared" si="39"/>
        <v>219.14701156481777</v>
      </c>
      <c r="AU18" s="17">
        <f t="shared" si="39"/>
        <v>224.57143187522334</v>
      </c>
      <c r="AV18" s="17">
        <f t="shared" si="39"/>
        <v>229.71025755052744</v>
      </c>
      <c r="AW18" s="17">
        <f t="shared" si="39"/>
        <v>234.53836877704489</v>
      </c>
      <c r="AX18" s="17">
        <f t="shared" si="39"/>
        <v>239.03171955828549</v>
      </c>
      <c r="AY18" s="17">
        <f t="shared" si="39"/>
        <v>243.16753678314754</v>
      </c>
      <c r="AZ18" s="17">
        <f t="shared" si="39"/>
        <v>246.92451259335266</v>
      </c>
      <c r="BA18" s="17">
        <f t="shared" si="39"/>
        <v>250.2829878101962</v>
      </c>
      <c r="BB18" s="17">
        <f t="shared" si="39"/>
        <v>253.22512423980839</v>
      </c>
      <c r="BC18" s="17">
        <f t="shared" si="39"/>
        <v>255.73506376809107</v>
      </c>
      <c r="BD18" s="17">
        <f t="shared" si="39"/>
        <v>257.79907228060677</v>
      </c>
      <c r="BE18" s="17">
        <f t="shared" si="39"/>
        <v>259.40566659765238</v>
      </c>
      <c r="BF18" s="17">
        <f t="shared" si="39"/>
        <v>260.54572279866369</v>
      </c>
      <c r="BG18" s="17">
        <f t="shared" si="39"/>
        <v>261.21256452052063</v>
      </c>
      <c r="BH18" s="17">
        <f t="shared" si="39"/>
        <v>261.40203004829675</v>
      </c>
    </row>
    <row r="19" spans="1:60" x14ac:dyDescent="0.25">
      <c r="A19" s="3" t="s">
        <v>28</v>
      </c>
      <c r="B19" s="27">
        <v>16.099074173411047</v>
      </c>
      <c r="C19" s="27">
        <v>16.518849146566016</v>
      </c>
      <c r="D19" s="27">
        <v>16.808536607755151</v>
      </c>
      <c r="E19" s="27">
        <v>17.0461507724374</v>
      </c>
      <c r="F19" s="27">
        <v>17.232929214387152</v>
      </c>
      <c r="G19" s="27">
        <v>17.424562753451802</v>
      </c>
      <c r="H19" s="27">
        <v>17.64894439854638</v>
      </c>
      <c r="I19" s="27">
        <v>17.63</v>
      </c>
      <c r="J19" s="27">
        <v>16.46</v>
      </c>
      <c r="K19" s="17">
        <f t="shared" si="40"/>
        <v>17.023001605799649</v>
      </c>
      <c r="L19" s="17">
        <f t="shared" si="38"/>
        <v>17.382315893935495</v>
      </c>
      <c r="M19" s="17">
        <f t="shared" si="38"/>
        <v>17.412697674874938</v>
      </c>
      <c r="N19" s="17">
        <f t="shared" si="38"/>
        <v>17.590435866749111</v>
      </c>
      <c r="O19" s="17">
        <f t="shared" si="38"/>
        <v>17.780061646275421</v>
      </c>
      <c r="P19" s="17">
        <f t="shared" si="38"/>
        <v>18.060331283667811</v>
      </c>
      <c r="Q19" s="17">
        <f t="shared" si="38"/>
        <v>18.377182321711658</v>
      </c>
      <c r="R19" s="17">
        <f t="shared" si="38"/>
        <v>18.724150250381051</v>
      </c>
      <c r="S19" s="17">
        <f t="shared" si="38"/>
        <v>19.161349851902813</v>
      </c>
      <c r="T19" s="17">
        <f t="shared" si="38"/>
        <v>19.693378344398639</v>
      </c>
      <c r="U19" s="17">
        <f t="shared" si="38"/>
        <v>20.32326720784426</v>
      </c>
      <c r="V19" s="17">
        <f t="shared" si="38"/>
        <v>20.981432495408864</v>
      </c>
      <c r="W19" s="17">
        <f t="shared" si="38"/>
        <v>21.697484104671602</v>
      </c>
      <c r="X19" s="17">
        <f t="shared" si="38"/>
        <v>22.500065003782609</v>
      </c>
      <c r="Y19" s="17">
        <f t="shared" si="38"/>
        <v>23.371815899388764</v>
      </c>
      <c r="Z19" s="17">
        <f t="shared" si="38"/>
        <v>24.293861072507724</v>
      </c>
      <c r="AA19" s="17">
        <f t="shared" si="38"/>
        <v>25.260594619349277</v>
      </c>
      <c r="AB19" s="17">
        <f t="shared" si="38"/>
        <v>26.284964964379967</v>
      </c>
      <c r="AC19" s="17">
        <f t="shared" si="38"/>
        <v>27.324685751461171</v>
      </c>
      <c r="AD19" s="17">
        <f t="shared" si="38"/>
        <v>28.368724242411048</v>
      </c>
      <c r="AE19" s="17">
        <f t="shared" si="38"/>
        <v>29.445723953736646</v>
      </c>
      <c r="AF19" s="17">
        <f t="shared" si="38"/>
        <v>30.507048609069535</v>
      </c>
      <c r="AG19" s="17">
        <f t="shared" si="38"/>
        <v>31.607999143510472</v>
      </c>
      <c r="AH19" s="17">
        <f t="shared" si="38"/>
        <v>32.762347395695649</v>
      </c>
      <c r="AI19" s="17">
        <f t="shared" si="38"/>
        <v>33.974544190253489</v>
      </c>
      <c r="AJ19" s="17">
        <f t="shared" si="38"/>
        <v>35.247910906585723</v>
      </c>
      <c r="AK19" s="17">
        <f t="shared" si="38"/>
        <v>36.49966854675538</v>
      </c>
      <c r="AL19" s="17">
        <f t="shared" si="38"/>
        <v>37.813673087113052</v>
      </c>
      <c r="AM19" s="17">
        <f t="shared" si="38"/>
        <v>39.222154506794517</v>
      </c>
      <c r="AN19" s="17">
        <f t="shared" si="38"/>
        <v>40.714128764449988</v>
      </c>
      <c r="AO19" s="17">
        <f t="shared" si="39"/>
        <v>42.184466227796968</v>
      </c>
      <c r="AP19" s="17">
        <f t="shared" si="39"/>
        <v>43.627134164875535</v>
      </c>
      <c r="AQ19" s="17">
        <f t="shared" si="39"/>
        <v>45.036031010553799</v>
      </c>
      <c r="AR19" s="17">
        <f t="shared" si="39"/>
        <v>46.405024665347</v>
      </c>
      <c r="AS19" s="17">
        <f t="shared" si="39"/>
        <v>47.727995641793072</v>
      </c>
      <c r="AT19" s="17">
        <f t="shared" si="39"/>
        <v>48.998881596547079</v>
      </c>
      <c r="AU19" s="17">
        <f t="shared" si="39"/>
        <v>50.211722814967501</v>
      </c>
      <c r="AV19" s="17">
        <f t="shared" si="39"/>
        <v>51.360708187898531</v>
      </c>
      <c r="AW19" s="17">
        <f t="shared" si="39"/>
        <v>52.440221198976559</v>
      </c>
      <c r="AX19" s="17">
        <f t="shared" si="39"/>
        <v>53.444885425650895</v>
      </c>
      <c r="AY19" s="17">
        <f t="shared" si="39"/>
        <v>54.369609048660635</v>
      </c>
      <c r="AZ19" s="17">
        <f t="shared" si="39"/>
        <v>55.209627863294962</v>
      </c>
      <c r="BA19" s="17">
        <f t="shared" si="39"/>
        <v>55.960546291613937</v>
      </c>
      <c r="BB19" s="17">
        <f t="shared" si="39"/>
        <v>56.618375908025648</v>
      </c>
      <c r="BC19" s="17">
        <f t="shared" si="39"/>
        <v>57.179571011178766</v>
      </c>
      <c r="BD19" s="17">
        <f t="shared" si="39"/>
        <v>57.641060802880126</v>
      </c>
      <c r="BE19" s="17">
        <f t="shared" si="39"/>
        <v>58.000277769392667</v>
      </c>
      <c r="BF19" s="17">
        <f t="shared" si="39"/>
        <v>58.255181901590888</v>
      </c>
      <c r="BG19" s="17">
        <f t="shared" si="39"/>
        <v>58.404280437498784</v>
      </c>
      <c r="BH19" s="17">
        <f t="shared" si="39"/>
        <v>58.446642863049739</v>
      </c>
    </row>
    <row r="20" spans="1:60" x14ac:dyDescent="0.25">
      <c r="A20" s="3" t="s">
        <v>29</v>
      </c>
      <c r="B20" s="27">
        <v>19.344853564503961</v>
      </c>
      <c r="C20" s="27">
        <v>19.93389877641825</v>
      </c>
      <c r="D20" s="27">
        <v>20.313674916573973</v>
      </c>
      <c r="E20" s="27">
        <v>20.822458982202448</v>
      </c>
      <c r="F20" s="27">
        <v>20.887687708565075</v>
      </c>
      <c r="G20" s="27">
        <v>21.03698901557286</v>
      </c>
      <c r="H20" s="27">
        <v>21.050034760845385</v>
      </c>
      <c r="I20" s="27">
        <v>20.85</v>
      </c>
      <c r="J20" s="27">
        <v>19.82</v>
      </c>
      <c r="K20" s="17">
        <f t="shared" si="40"/>
        <v>20.132137463466972</v>
      </c>
      <c r="L20" s="17">
        <f t="shared" si="38"/>
        <v>20.557078070819912</v>
      </c>
      <c r="M20" s="17">
        <f t="shared" si="38"/>
        <v>20.593008878113583</v>
      </c>
      <c r="N20" s="17">
        <f t="shared" si="38"/>
        <v>20.803209745985196</v>
      </c>
      <c r="O20" s="17">
        <f t="shared" si="38"/>
        <v>21.027469388816932</v>
      </c>
      <c r="P20" s="17">
        <f t="shared" si="38"/>
        <v>21.358928375750075</v>
      </c>
      <c r="Q20" s="17">
        <f t="shared" si="38"/>
        <v>21.733650108206927</v>
      </c>
      <c r="R20" s="17">
        <f t="shared" si="38"/>
        <v>22.143989377223196</v>
      </c>
      <c r="S20" s="17">
        <f t="shared" si="38"/>
        <v>22.661040522528285</v>
      </c>
      <c r="T20" s="17">
        <f t="shared" si="38"/>
        <v>23.290240412972867</v>
      </c>
      <c r="U20" s="17">
        <f t="shared" si="38"/>
        <v>24.035174207802203</v>
      </c>
      <c r="V20" s="17">
        <f t="shared" si="38"/>
        <v>24.813548923952062</v>
      </c>
      <c r="W20" s="17">
        <f t="shared" si="38"/>
        <v>25.660382506092056</v>
      </c>
      <c r="X20" s="17">
        <f t="shared" si="38"/>
        <v>26.609549366356628</v>
      </c>
      <c r="Y20" s="17">
        <f t="shared" si="38"/>
        <v>27.640519654126816</v>
      </c>
      <c r="Z20" s="17">
        <f t="shared" si="38"/>
        <v>28.730970128291894</v>
      </c>
      <c r="AA20" s="17">
        <f t="shared" si="38"/>
        <v>29.87427100473241</v>
      </c>
      <c r="AB20" s="17">
        <f t="shared" si="38"/>
        <v>31.085735649876479</v>
      </c>
      <c r="AC20" s="17">
        <f t="shared" si="38"/>
        <v>32.315354391262929</v>
      </c>
      <c r="AD20" s="17">
        <f t="shared" si="38"/>
        <v>33.550079435863324</v>
      </c>
      <c r="AE20" s="17">
        <f t="shared" si="38"/>
        <v>34.823785844322693</v>
      </c>
      <c r="AF20" s="17">
        <f t="shared" si="38"/>
        <v>36.078954254061244</v>
      </c>
      <c r="AG20" s="17">
        <f t="shared" si="38"/>
        <v>37.380985941134057</v>
      </c>
      <c r="AH20" s="17">
        <f t="shared" si="38"/>
        <v>38.746168077155666</v>
      </c>
      <c r="AI20" s="17">
        <f t="shared" si="38"/>
        <v>40.179764399704212</v>
      </c>
      <c r="AJ20" s="17">
        <f t="shared" si="38"/>
        <v>41.685702915616126</v>
      </c>
      <c r="AK20" s="17">
        <f t="shared" si="38"/>
        <v>43.16608560407542</v>
      </c>
      <c r="AL20" s="17">
        <f t="shared" si="38"/>
        <v>44.720084167118962</v>
      </c>
      <c r="AM20" s="17">
        <f t="shared" si="38"/>
        <v>46.385815171109797</v>
      </c>
      <c r="AN20" s="17">
        <f t="shared" si="38"/>
        <v>48.150288413997863</v>
      </c>
      <c r="AO20" s="17">
        <f t="shared" si="39"/>
        <v>49.889173048755914</v>
      </c>
      <c r="AP20" s="17">
        <f t="shared" si="39"/>
        <v>51.595334505822741</v>
      </c>
      <c r="AQ20" s="17">
        <f t="shared" si="39"/>
        <v>53.261556810552847</v>
      </c>
      <c r="AR20" s="17">
        <f t="shared" si="39"/>
        <v>54.880587877055298</v>
      </c>
      <c r="AS20" s="17">
        <f t="shared" si="39"/>
        <v>56.445190534962315</v>
      </c>
      <c r="AT20" s="17">
        <f t="shared" si="39"/>
        <v>57.948195195008886</v>
      </c>
      <c r="AU20" s="17">
        <f t="shared" si="39"/>
        <v>59.382553641070473</v>
      </c>
      <c r="AV20" s="17">
        <f t="shared" si="39"/>
        <v>60.741393404292936</v>
      </c>
      <c r="AW20" s="17">
        <f t="shared" si="39"/>
        <v>62.018072149668818</v>
      </c>
      <c r="AX20" s="17">
        <f t="shared" si="39"/>
        <v>63.206231487511133</v>
      </c>
      <c r="AY20" s="17">
        <f t="shared" si="39"/>
        <v>64.299849612284419</v>
      </c>
      <c r="AZ20" s="17">
        <f t="shared" si="39"/>
        <v>65.293292169580255</v>
      </c>
      <c r="BA20" s="17">
        <f t="shared" si="39"/>
        <v>66.181360758942191</v>
      </c>
      <c r="BB20" s="17">
        <f t="shared" si="39"/>
        <v>66.959338495878328</v>
      </c>
      <c r="BC20" s="17">
        <f t="shared" si="39"/>
        <v>67.623032080719071</v>
      </c>
      <c r="BD20" s="17">
        <f t="shared" si="39"/>
        <v>68.168809854795839</v>
      </c>
      <c r="BE20" s="17">
        <f t="shared" si="39"/>
        <v>68.593635365390654</v>
      </c>
      <c r="BF20" s="17">
        <f t="shared" si="39"/>
        <v>68.895096009538861</v>
      </c>
      <c r="BG20" s="17">
        <f t="shared" si="39"/>
        <v>69.071426382407807</v>
      </c>
      <c r="BH20" s="17">
        <f t="shared" si="39"/>
        <v>69.121526017843848</v>
      </c>
    </row>
    <row r="21" spans="1:60" x14ac:dyDescent="0.25">
      <c r="A21" s="3" t="s">
        <v>30</v>
      </c>
      <c r="B21" s="27">
        <v>18.748363502594032</v>
      </c>
      <c r="C21" s="27">
        <v>15.909210489014884</v>
      </c>
      <c r="D21" s="27">
        <v>14.603991495393339</v>
      </c>
      <c r="E21" s="27">
        <v>14.80978596739901</v>
      </c>
      <c r="F21" s="27">
        <v>14.414883061658401</v>
      </c>
      <c r="G21" s="27">
        <v>13.877221828490436</v>
      </c>
      <c r="H21" s="27">
        <v>13.621369241672575</v>
      </c>
      <c r="I21" s="27">
        <v>13.08</v>
      </c>
      <c r="J21" s="27">
        <v>12.33</v>
      </c>
      <c r="K21" s="17">
        <f t="shared" si="40"/>
        <v>12.629657459095826</v>
      </c>
      <c r="L21" s="17">
        <f t="shared" si="38"/>
        <v>12.896238904859686</v>
      </c>
      <c r="M21" s="17">
        <f t="shared" si="38"/>
        <v>12.918779670298592</v>
      </c>
      <c r="N21" s="17">
        <f t="shared" si="38"/>
        <v>13.05064668956769</v>
      </c>
      <c r="O21" s="17">
        <f t="shared" si="38"/>
        <v>13.191333314423284</v>
      </c>
      <c r="P21" s="17">
        <f t="shared" si="38"/>
        <v>13.399270175290695</v>
      </c>
      <c r="Q21" s="17">
        <f t="shared" si="38"/>
        <v>13.634347406011827</v>
      </c>
      <c r="R21" s="17">
        <f t="shared" si="38"/>
        <v>13.891768875495416</v>
      </c>
      <c r="S21" s="17">
        <f t="shared" si="38"/>
        <v>14.216134773845083</v>
      </c>
      <c r="T21" s="17">
        <f t="shared" si="38"/>
        <v>14.610855856195927</v>
      </c>
      <c r="U21" s="17">
        <f t="shared" si="38"/>
        <v>15.078181229642823</v>
      </c>
      <c r="V21" s="17">
        <f t="shared" si="38"/>
        <v>15.566485368119569</v>
      </c>
      <c r="W21" s="17">
        <f t="shared" si="38"/>
        <v>16.097736363534008</v>
      </c>
      <c r="X21" s="17">
        <f t="shared" si="38"/>
        <v>16.693184926232362</v>
      </c>
      <c r="Y21" s="17">
        <f t="shared" si="38"/>
        <v>17.339951898128479</v>
      </c>
      <c r="Z21" s="17">
        <f t="shared" si="38"/>
        <v>18.024033058899665</v>
      </c>
      <c r="AA21" s="17">
        <f t="shared" si="38"/>
        <v>18.741269292177456</v>
      </c>
      <c r="AB21" s="17">
        <f t="shared" si="38"/>
        <v>19.501267256613158</v>
      </c>
      <c r="AC21" s="17">
        <f t="shared" si="38"/>
        <v>20.272653977828256</v>
      </c>
      <c r="AD21" s="17">
        <f t="shared" si="38"/>
        <v>21.047244077750229</v>
      </c>
      <c r="AE21" s="17">
        <f t="shared" si="38"/>
        <v>21.846288673560714</v>
      </c>
      <c r="AF21" s="17">
        <f t="shared" si="38"/>
        <v>22.63370367592907</v>
      </c>
      <c r="AG21" s="17">
        <f t="shared" si="38"/>
        <v>23.450517799042373</v>
      </c>
      <c r="AH21" s="17">
        <f t="shared" si="38"/>
        <v>24.306948606676073</v>
      </c>
      <c r="AI21" s="17">
        <f t="shared" si="38"/>
        <v>25.206298242116599</v>
      </c>
      <c r="AJ21" s="17">
        <f t="shared" si="38"/>
        <v>26.151030893825368</v>
      </c>
      <c r="AK21" s="17">
        <f t="shared" si="38"/>
        <v>27.079731400542279</v>
      </c>
      <c r="AL21" s="17">
        <f t="shared" si="38"/>
        <v>28.054613952322111</v>
      </c>
      <c r="AM21" s="17">
        <f t="shared" si="38"/>
        <v>29.099590524609887</v>
      </c>
      <c r="AN21" s="17">
        <f t="shared" si="38"/>
        <v>30.20651186834974</v>
      </c>
      <c r="AO21" s="17">
        <f t="shared" si="39"/>
        <v>31.297380502528892</v>
      </c>
      <c r="AP21" s="17">
        <f t="shared" si="39"/>
        <v>32.367720639624054</v>
      </c>
      <c r="AQ21" s="17">
        <f t="shared" si="39"/>
        <v>33.413005423598619</v>
      </c>
      <c r="AR21" s="17">
        <f t="shared" si="39"/>
        <v>34.428685344454834</v>
      </c>
      <c r="AS21" s="17">
        <f t="shared" si="39"/>
        <v>35.410220249271326</v>
      </c>
      <c r="AT21" s="17">
        <f t="shared" si="39"/>
        <v>36.353112381329318</v>
      </c>
      <c r="AU21" s="17">
        <f t="shared" si="39"/>
        <v>37.252940125908957</v>
      </c>
      <c r="AV21" s="17">
        <f t="shared" si="39"/>
        <v>38.105392121254276</v>
      </c>
      <c r="AW21" s="17">
        <f t="shared" si="39"/>
        <v>38.906301377346196</v>
      </c>
      <c r="AX21" s="17">
        <f t="shared" si="39"/>
        <v>39.651679033891874</v>
      </c>
      <c r="AY21" s="17">
        <f t="shared" si="39"/>
        <v>40.337747382670514</v>
      </c>
      <c r="AZ21" s="17">
        <f t="shared" si="39"/>
        <v>40.960971778326609</v>
      </c>
      <c r="BA21" s="17">
        <f t="shared" si="39"/>
        <v>41.518091066041428</v>
      </c>
      <c r="BB21" s="17">
        <f t="shared" si="39"/>
        <v>42.006146164320789</v>
      </c>
      <c r="BC21" s="17">
        <f t="shared" si="39"/>
        <v>42.422506456393549</v>
      </c>
      <c r="BD21" s="17">
        <f t="shared" si="39"/>
        <v>42.764893664303578</v>
      </c>
      <c r="BE21" s="17">
        <f t="shared" si="39"/>
        <v>43.03140290548248</v>
      </c>
      <c r="BF21" s="17">
        <f t="shared" si="39"/>
        <v>43.220520662099197</v>
      </c>
      <c r="BG21" s="17">
        <f t="shared" si="39"/>
        <v>43.331139428388205</v>
      </c>
      <c r="BH21" s="17">
        <f t="shared" si="39"/>
        <v>43.362568839971111</v>
      </c>
    </row>
    <row r="22" spans="1:60" x14ac:dyDescent="0.25">
      <c r="A22" s="3" t="s">
        <v>31</v>
      </c>
      <c r="B22" s="27">
        <v>0.14875454246747444</v>
      </c>
      <c r="C22" s="27">
        <v>0.12</v>
      </c>
      <c r="D22" s="27">
        <v>0.12</v>
      </c>
      <c r="E22" s="27">
        <v>0.12</v>
      </c>
      <c r="F22" s="27">
        <v>0.12</v>
      </c>
      <c r="G22" s="27">
        <v>0.12</v>
      </c>
      <c r="H22" s="27">
        <v>0.12</v>
      </c>
      <c r="I22" s="27">
        <v>0.12</v>
      </c>
      <c r="J22" s="27">
        <v>0.12</v>
      </c>
      <c r="K22" s="17">
        <f t="shared" si="40"/>
        <v>0.11586841705592502</v>
      </c>
      <c r="L22" s="17">
        <f t="shared" si="38"/>
        <v>0.11831411839320813</v>
      </c>
      <c r="M22" s="17">
        <f t="shared" si="38"/>
        <v>0.11852091440640911</v>
      </c>
      <c r="N22" s="17">
        <f t="shared" si="38"/>
        <v>0.11973070357401551</v>
      </c>
      <c r="O22" s="17">
        <f t="shared" si="38"/>
        <v>0.12102140655434204</v>
      </c>
      <c r="P22" s="17">
        <f t="shared" si="38"/>
        <v>0.12292908417697886</v>
      </c>
      <c r="Q22" s="17">
        <f t="shared" si="38"/>
        <v>0.12508575601845712</v>
      </c>
      <c r="R22" s="17">
        <f t="shared" si="38"/>
        <v>0.12744742087610472</v>
      </c>
      <c r="S22" s="17">
        <f t="shared" si="38"/>
        <v>0.13042325480591818</v>
      </c>
      <c r="T22" s="17">
        <f t="shared" si="38"/>
        <v>0.13404454913941219</v>
      </c>
      <c r="U22" s="17">
        <f t="shared" si="38"/>
        <v>0.1383319378866314</v>
      </c>
      <c r="V22" s="17">
        <f t="shared" si="38"/>
        <v>0.14281179236806943</v>
      </c>
      <c r="W22" s="17">
        <f t="shared" si="38"/>
        <v>0.14768565471132117</v>
      </c>
      <c r="X22" s="17">
        <f t="shared" si="38"/>
        <v>0.15314848556176477</v>
      </c>
      <c r="Y22" s="17">
        <f t="shared" si="38"/>
        <v>0.15908212750576584</v>
      </c>
      <c r="Z22" s="17">
        <f t="shared" si="38"/>
        <v>0.16535810145779506</v>
      </c>
      <c r="AA22" s="17">
        <f t="shared" si="38"/>
        <v>0.17193825038694913</v>
      </c>
      <c r="AB22" s="17">
        <f t="shared" si="38"/>
        <v>0.1789107087762675</v>
      </c>
      <c r="AC22" s="17">
        <f t="shared" si="38"/>
        <v>0.18598765117273627</v>
      </c>
      <c r="AD22" s="17">
        <f t="shared" si="38"/>
        <v>0.19309398236468098</v>
      </c>
      <c r="AE22" s="17">
        <f t="shared" si="38"/>
        <v>0.2004246667299148</v>
      </c>
      <c r="AF22" s="17">
        <f t="shared" si="38"/>
        <v>0.20764865757733092</v>
      </c>
      <c r="AG22" s="17">
        <f t="shared" si="38"/>
        <v>0.21514236512882909</v>
      </c>
      <c r="AH22" s="17">
        <f t="shared" si="38"/>
        <v>0.22299952850161534</v>
      </c>
      <c r="AI22" s="17">
        <f t="shared" si="38"/>
        <v>0.23125044258822566</v>
      </c>
      <c r="AJ22" s="17">
        <f t="shared" si="38"/>
        <v>0.23991771462225109</v>
      </c>
      <c r="AK22" s="17">
        <f t="shared" si="38"/>
        <v>0.2484379027572686</v>
      </c>
      <c r="AL22" s="17">
        <f t="shared" si="38"/>
        <v>0.25738177937910189</v>
      </c>
      <c r="AM22" s="17">
        <f t="shared" si="38"/>
        <v>0.266968720409265</v>
      </c>
      <c r="AN22" s="17">
        <f t="shared" si="38"/>
        <v>0.27712396209495171</v>
      </c>
      <c r="AO22" s="17">
        <f t="shared" si="39"/>
        <v>0.28713193121586139</v>
      </c>
      <c r="AP22" s="17">
        <f t="shared" si="39"/>
        <v>0.29695156550113805</v>
      </c>
      <c r="AQ22" s="17">
        <f t="shared" si="39"/>
        <v>0.30654133416145524</v>
      </c>
      <c r="AR22" s="17">
        <f t="shared" si="39"/>
        <v>0.31585949857298012</v>
      </c>
      <c r="AS22" s="17">
        <f t="shared" si="39"/>
        <v>0.32486440595661764</v>
      </c>
      <c r="AT22" s="17">
        <f t="shared" si="39"/>
        <v>0.33351479248925975</v>
      </c>
      <c r="AU22" s="17">
        <f t="shared" si="39"/>
        <v>0.34177009289824734</v>
      </c>
      <c r="AV22" s="17">
        <f t="shared" si="39"/>
        <v>0.34959075340600249</v>
      </c>
      <c r="AW22" s="17">
        <f t="shared" si="39"/>
        <v>0.35693854474629533</v>
      </c>
      <c r="AX22" s="17">
        <f t="shared" si="39"/>
        <v>0.36377687187056762</v>
      </c>
      <c r="AY22" s="17">
        <f t="shared" si="39"/>
        <v>0.37007107690523405</v>
      </c>
      <c r="AZ22" s="17">
        <f t="shared" si="39"/>
        <v>0.37578873191125328</v>
      </c>
      <c r="BA22" s="17">
        <f t="shared" si="39"/>
        <v>0.38089991803707729</v>
      </c>
      <c r="BB22" s="17">
        <f t="shared" si="39"/>
        <v>0.38537748774606229</v>
      </c>
      <c r="BC22" s="17">
        <f t="shared" si="39"/>
        <v>0.38919730693939036</v>
      </c>
      <c r="BD22" s="17">
        <f t="shared" si="39"/>
        <v>0.3923384739844365</v>
      </c>
      <c r="BE22" s="17">
        <f t="shared" si="39"/>
        <v>0.39478351289433466</v>
      </c>
      <c r="BF22" s="17">
        <f t="shared" si="39"/>
        <v>0.39651853818439625</v>
      </c>
      <c r="BG22" s="17">
        <f t="shared" si="39"/>
        <v>0.39753338925126791</v>
      </c>
      <c r="BH22" s="17">
        <f t="shared" si="39"/>
        <v>0.39782173247679914</v>
      </c>
    </row>
    <row r="23" spans="1:60" x14ac:dyDescent="0.25">
      <c r="A23" s="3" t="s">
        <v>32</v>
      </c>
      <c r="B23" s="27">
        <v>154.18842101590053</v>
      </c>
      <c r="C23" s="27">
        <v>151.87047226763119</v>
      </c>
      <c r="D23" s="27">
        <v>148.71168942836181</v>
      </c>
      <c r="E23" s="27">
        <v>145.49800306349678</v>
      </c>
      <c r="F23" s="27">
        <v>142.32274916654868</v>
      </c>
      <c r="G23" s="27">
        <v>141.64560568420242</v>
      </c>
      <c r="H23" s="27">
        <v>143.22499710383713</v>
      </c>
      <c r="I23" s="27">
        <v>142.18</v>
      </c>
      <c r="J23" s="27">
        <v>135.41</v>
      </c>
      <c r="K23" s="17">
        <f t="shared" si="40"/>
        <v>137.2847628084285</v>
      </c>
      <c r="L23" s="17">
        <f t="shared" si="38"/>
        <v>140.18251127621943</v>
      </c>
      <c r="M23" s="17">
        <f t="shared" si="38"/>
        <v>140.42753008586038</v>
      </c>
      <c r="N23" s="17">
        <f t="shared" si="38"/>
        <v>141.86092861794606</v>
      </c>
      <c r="O23" s="17">
        <f t="shared" si="38"/>
        <v>143.39019653246962</v>
      </c>
      <c r="P23" s="17">
        <f t="shared" si="38"/>
        <v>145.65047656902379</v>
      </c>
      <c r="Q23" s="17">
        <f t="shared" si="38"/>
        <v>148.20577325586862</v>
      </c>
      <c r="R23" s="17">
        <f t="shared" si="38"/>
        <v>151.00395250137143</v>
      </c>
      <c r="S23" s="17">
        <f t="shared" si="38"/>
        <v>154.52981973587873</v>
      </c>
      <c r="T23" s="17">
        <f t="shared" si="38"/>
        <v>158.82044997201353</v>
      </c>
      <c r="U23" s="17">
        <f t="shared" si="38"/>
        <v>163.90029107267711</v>
      </c>
      <c r="V23" s="17">
        <f t="shared" si="38"/>
        <v>169.2081719907676</v>
      </c>
      <c r="W23" s="17">
        <f t="shared" si="38"/>
        <v>174.98288655713037</v>
      </c>
      <c r="X23" s="17">
        <f t="shared" si="38"/>
        <v>181.45543064309763</v>
      </c>
      <c r="Y23" s="17">
        <f t="shared" si="38"/>
        <v>188.48580740641492</v>
      </c>
      <c r="Z23" s="17">
        <f t="shared" si="38"/>
        <v>195.92179054391087</v>
      </c>
      <c r="AA23" s="17">
        <f t="shared" si="38"/>
        <v>203.71817033347023</v>
      </c>
      <c r="AB23" s="17">
        <f t="shared" si="38"/>
        <v>211.9793714484143</v>
      </c>
      <c r="AC23" s="17">
        <f t="shared" si="38"/>
        <v>220.36436869783037</v>
      </c>
      <c r="AD23" s="17">
        <f t="shared" si="38"/>
        <v>228.78418677175287</v>
      </c>
      <c r="AE23" s="17">
        <f t="shared" si="38"/>
        <v>237.46982596382739</v>
      </c>
      <c r="AF23" s="17">
        <f t="shared" si="38"/>
        <v>246.02905111954092</v>
      </c>
      <c r="AG23" s="17">
        <f t="shared" si="38"/>
        <v>254.90784561680769</v>
      </c>
      <c r="AH23" s="17">
        <f t="shared" si="38"/>
        <v>264.2172746863306</v>
      </c>
      <c r="AI23" s="17">
        <f t="shared" si="38"/>
        <v>273.9932327266161</v>
      </c>
      <c r="AJ23" s="17">
        <f t="shared" si="38"/>
        <v>284.26250554159719</v>
      </c>
      <c r="AK23" s="17">
        <f t="shared" si="38"/>
        <v>294.35750845023711</v>
      </c>
      <c r="AL23" s="17">
        <f t="shared" si="38"/>
        <v>304.95451160100595</v>
      </c>
      <c r="AM23" s="17">
        <f t="shared" si="38"/>
        <v>316.31343889824416</v>
      </c>
      <c r="AN23" s="17">
        <f t="shared" si="38"/>
        <v>328.34570775550196</v>
      </c>
      <c r="AO23" s="17">
        <f t="shared" si="39"/>
        <v>340.20348316892648</v>
      </c>
      <c r="AP23" s="17">
        <f t="shared" si="39"/>
        <v>351.83811319126511</v>
      </c>
      <c r="AQ23" s="17">
        <f t="shared" si="39"/>
        <v>363.2003907589642</v>
      </c>
      <c r="AR23" s="17">
        <f t="shared" si="39"/>
        <v>374.24086255921935</v>
      </c>
      <c r="AS23" s="17">
        <f t="shared" si="39"/>
        <v>384.91017699093248</v>
      </c>
      <c r="AT23" s="17">
        <f t="shared" si="39"/>
        <v>395.15944330102462</v>
      </c>
      <c r="AU23" s="17">
        <f t="shared" si="39"/>
        <v>404.94059840227339</v>
      </c>
      <c r="AV23" s="17">
        <f t="shared" si="39"/>
        <v>414.2067776605453</v>
      </c>
      <c r="AW23" s="17">
        <f t="shared" si="39"/>
        <v>422.91268576690231</v>
      </c>
      <c r="AX23" s="17">
        <f t="shared" si="39"/>
        <v>431.01496368797757</v>
      </c>
      <c r="AY23" s="17">
        <f t="shared" si="39"/>
        <v>438.47254761988484</v>
      </c>
      <c r="AZ23" s="17">
        <f t="shared" si="39"/>
        <v>445.24701585951664</v>
      </c>
      <c r="BA23" s="17">
        <f t="shared" si="39"/>
        <v>451.30291955426378</v>
      </c>
      <c r="BB23" s="17">
        <f t="shared" si="39"/>
        <v>456.6080933977928</v>
      </c>
      <c r="BC23" s="17">
        <f t="shared" si="39"/>
        <v>461.13394250535436</v>
      </c>
      <c r="BD23" s="17">
        <f t="shared" si="39"/>
        <v>464.85570192589319</v>
      </c>
      <c r="BE23" s="17">
        <f t="shared" si="39"/>
        <v>467.75266552763759</v>
      </c>
      <c r="BF23" s="17">
        <f t="shared" si="39"/>
        <v>469.80838132547888</v>
      </c>
      <c r="BG23" s="17">
        <f t="shared" si="39"/>
        <v>471.01081069787733</v>
      </c>
      <c r="BH23" s="17">
        <f t="shared" si="39"/>
        <v>471.35244936292753</v>
      </c>
    </row>
    <row r="24" spans="1:60" x14ac:dyDescent="0.25">
      <c r="A24" s="3" t="s">
        <v>33</v>
      </c>
      <c r="B24" s="27">
        <v>40.911909200944407</v>
      </c>
      <c r="C24" s="27">
        <v>43.472466890059046</v>
      </c>
      <c r="D24" s="27">
        <v>46.683336524652951</v>
      </c>
      <c r="E24" s="27">
        <v>48.977367480453168</v>
      </c>
      <c r="F24" s="27">
        <v>50.507366203925315</v>
      </c>
      <c r="G24" s="27">
        <v>54.114758895803412</v>
      </c>
      <c r="H24" s="27">
        <v>58.020027445348646</v>
      </c>
      <c r="I24" s="27">
        <v>60.61</v>
      </c>
      <c r="J24" s="27">
        <v>58.58</v>
      </c>
      <c r="K24" s="17">
        <f t="shared" si="40"/>
        <v>58.523206314663462</v>
      </c>
      <c r="L24" s="17">
        <f t="shared" si="38"/>
        <v>59.75848929843621</v>
      </c>
      <c r="M24" s="17">
        <f t="shared" si="38"/>
        <v>59.862938518103803</v>
      </c>
      <c r="N24" s="17">
        <f t="shared" si="38"/>
        <v>60.473982863509001</v>
      </c>
      <c r="O24" s="17">
        <f t="shared" si="38"/>
        <v>61.125895427155598</v>
      </c>
      <c r="P24" s="17">
        <f t="shared" si="38"/>
        <v>62.089431599722403</v>
      </c>
      <c r="Q24" s="17">
        <f t="shared" si="38"/>
        <v>63.178730602322389</v>
      </c>
      <c r="R24" s="17">
        <f t="shared" si="38"/>
        <v>64.371568160839232</v>
      </c>
      <c r="S24" s="17">
        <f t="shared" si="38"/>
        <v>65.874612281555841</v>
      </c>
      <c r="T24" s="17">
        <f t="shared" si="38"/>
        <v>67.703667694498108</v>
      </c>
      <c r="U24" s="17">
        <f t="shared" ref="L24:AO27" si="41">$I24/$I$35*U$35</f>
        <v>69.869156294239403</v>
      </c>
      <c r="V24" s="17">
        <f t="shared" si="41"/>
        <v>72.131856128572394</v>
      </c>
      <c r="W24" s="17">
        <f t="shared" si="41"/>
        <v>74.593562767109802</v>
      </c>
      <c r="X24" s="17">
        <f t="shared" si="41"/>
        <v>77.352747582488021</v>
      </c>
      <c r="Y24" s="17">
        <f t="shared" si="41"/>
        <v>80.349731234370566</v>
      </c>
      <c r="Z24" s="17">
        <f t="shared" si="41"/>
        <v>83.519621077974662</v>
      </c>
      <c r="AA24" s="17">
        <f t="shared" si="41"/>
        <v>86.843144632941559</v>
      </c>
      <c r="AB24" s="17">
        <f t="shared" si="41"/>
        <v>90.364817157746444</v>
      </c>
      <c r="AC24" s="17">
        <f t="shared" si="41"/>
        <v>93.939262813162884</v>
      </c>
      <c r="AD24" s="17">
        <f t="shared" si="41"/>
        <v>97.528552259360964</v>
      </c>
      <c r="AE24" s="17">
        <f t="shared" si="41"/>
        <v>101.23115875416781</v>
      </c>
      <c r="AF24" s="17">
        <f t="shared" si="41"/>
        <v>104.87987613135023</v>
      </c>
      <c r="AG24" s="17">
        <f t="shared" si="41"/>
        <v>108.6648229204861</v>
      </c>
      <c r="AH24" s="17">
        <f t="shared" si="41"/>
        <v>112.63334518735755</v>
      </c>
      <c r="AI24" s="17">
        <f t="shared" si="41"/>
        <v>116.80074437726967</v>
      </c>
      <c r="AJ24" s="17">
        <f t="shared" si="41"/>
        <v>121.178439027122</v>
      </c>
      <c r="AK24" s="17">
        <f t="shared" si="41"/>
        <v>125.48184405098377</v>
      </c>
      <c r="AL24" s="17">
        <f t="shared" si="41"/>
        <v>129.99924706806141</v>
      </c>
      <c r="AM24" s="17">
        <f t="shared" si="41"/>
        <v>134.84145120004627</v>
      </c>
      <c r="AN24" s="17">
        <f t="shared" si="41"/>
        <v>139.97069452145854</v>
      </c>
      <c r="AO24" s="17">
        <f t="shared" si="41"/>
        <v>145.02555292494466</v>
      </c>
      <c r="AP24" s="17">
        <f t="shared" si="39"/>
        <v>149.98528654186649</v>
      </c>
      <c r="AQ24" s="17">
        <f t="shared" si="39"/>
        <v>154.82891886271503</v>
      </c>
      <c r="AR24" s="17">
        <f t="shared" si="39"/>
        <v>159.53536840423607</v>
      </c>
      <c r="AS24" s="17">
        <f t="shared" si="39"/>
        <v>164.08359704192165</v>
      </c>
      <c r="AT24" s="17">
        <f t="shared" si="39"/>
        <v>168.45276310645031</v>
      </c>
      <c r="AU24" s="17">
        <f t="shared" si="39"/>
        <v>172.62237775468975</v>
      </c>
      <c r="AV24" s="17">
        <f t="shared" si="39"/>
        <v>176.57246303281511</v>
      </c>
      <c r="AW24" s="17">
        <f t="shared" si="39"/>
        <v>180.28370997560802</v>
      </c>
      <c r="AX24" s="17">
        <f t="shared" si="39"/>
        <v>183.73763503395921</v>
      </c>
      <c r="AY24" s="17">
        <f t="shared" si="39"/>
        <v>186.91673309355198</v>
      </c>
      <c r="AZ24" s="17">
        <f t="shared" si="39"/>
        <v>189.8046253428422</v>
      </c>
      <c r="BA24" s="17">
        <f t="shared" si="39"/>
        <v>192.38620026856049</v>
      </c>
      <c r="BB24" s="17">
        <f t="shared" si="39"/>
        <v>194.64774610240696</v>
      </c>
      <c r="BC24" s="17">
        <f t="shared" si="39"/>
        <v>196.57707311330375</v>
      </c>
      <c r="BD24" s="17">
        <f t="shared" si="39"/>
        <v>198.16362423497247</v>
      </c>
      <c r="BE24" s="17">
        <f t="shared" si="39"/>
        <v>199.39857263771356</v>
      </c>
      <c r="BF24" s="17">
        <f t="shared" si="39"/>
        <v>200.27490499463551</v>
      </c>
      <c r="BG24" s="17">
        <f t="shared" si="39"/>
        <v>200.78748935432793</v>
      </c>
      <c r="BH24" s="17">
        <f t="shared" si="39"/>
        <v>200.93312671182329</v>
      </c>
    </row>
    <row r="25" spans="1:60" x14ac:dyDescent="0.25">
      <c r="A25" s="3" t="s">
        <v>34</v>
      </c>
      <c r="B25" s="27">
        <v>234.64829421512601</v>
      </c>
      <c r="C25" s="27">
        <v>241.75157173268613</v>
      </c>
      <c r="D25" s="27">
        <v>247.49716491255998</v>
      </c>
      <c r="E25" s="27">
        <v>250.49509082227485</v>
      </c>
      <c r="F25" s="27">
        <v>252.5592931181983</v>
      </c>
      <c r="G25" s="27">
        <v>256.25966914032193</v>
      </c>
      <c r="H25" s="27">
        <v>259.56135726080817</v>
      </c>
      <c r="I25" s="27">
        <v>260.25</v>
      </c>
      <c r="J25" s="27">
        <v>248.16</v>
      </c>
      <c r="K25" s="17">
        <f t="shared" si="40"/>
        <v>251.28962949003738</v>
      </c>
      <c r="L25" s="17">
        <f t="shared" si="41"/>
        <v>256.59374426527012</v>
      </c>
      <c r="M25" s="17">
        <f t="shared" si="41"/>
        <v>257.04223311889973</v>
      </c>
      <c r="N25" s="17">
        <f t="shared" si="41"/>
        <v>259.66596337614612</v>
      </c>
      <c r="O25" s="17">
        <f t="shared" si="41"/>
        <v>262.46517546472933</v>
      </c>
      <c r="P25" s="17">
        <f t="shared" si="41"/>
        <v>266.60245130882288</v>
      </c>
      <c r="Q25" s="17">
        <f t="shared" si="41"/>
        <v>271.2797333650289</v>
      </c>
      <c r="R25" s="17">
        <f t="shared" si="41"/>
        <v>276.40159402505213</v>
      </c>
      <c r="S25" s="17">
        <f t="shared" si="41"/>
        <v>282.85543386033504</v>
      </c>
      <c r="T25" s="17">
        <f t="shared" si="41"/>
        <v>290.70911594610016</v>
      </c>
      <c r="U25" s="17">
        <f t="shared" si="41"/>
        <v>300.00739029163185</v>
      </c>
      <c r="V25" s="17">
        <f t="shared" si="41"/>
        <v>309.72307469825057</v>
      </c>
      <c r="W25" s="17">
        <f t="shared" si="41"/>
        <v>320.29326365517778</v>
      </c>
      <c r="X25" s="17">
        <f t="shared" si="41"/>
        <v>332.14077806207735</v>
      </c>
      <c r="Y25" s="17">
        <f t="shared" si="41"/>
        <v>345.00936402812971</v>
      </c>
      <c r="Z25" s="17">
        <f t="shared" si="41"/>
        <v>358.62038253659307</v>
      </c>
      <c r="AA25" s="17">
        <f t="shared" si="41"/>
        <v>372.89108052669593</v>
      </c>
      <c r="AB25" s="17">
        <f t="shared" si="41"/>
        <v>388.01259965853018</v>
      </c>
      <c r="AC25" s="17">
        <f t="shared" si="41"/>
        <v>403.36071848087181</v>
      </c>
      <c r="AD25" s="17">
        <f t="shared" si="41"/>
        <v>418.7725742534019</v>
      </c>
      <c r="AE25" s="17">
        <f t="shared" si="41"/>
        <v>434.6709959705027</v>
      </c>
      <c r="AF25" s="17">
        <f t="shared" si="41"/>
        <v>450.33802612083645</v>
      </c>
      <c r="AG25" s="17">
        <f t="shared" si="41"/>
        <v>466.59000437314808</v>
      </c>
      <c r="AH25" s="17">
        <f t="shared" si="41"/>
        <v>483.63022743787826</v>
      </c>
      <c r="AI25" s="17">
        <f t="shared" si="41"/>
        <v>501.52439736321446</v>
      </c>
      <c r="AJ25" s="17">
        <f t="shared" si="41"/>
        <v>520.32154358700711</v>
      </c>
      <c r="AK25" s="17">
        <f t="shared" si="41"/>
        <v>538.79970160482628</v>
      </c>
      <c r="AL25" s="17">
        <f t="shared" si="41"/>
        <v>558.19673402842727</v>
      </c>
      <c r="AM25" s="17">
        <f t="shared" si="41"/>
        <v>578.98841238759348</v>
      </c>
      <c r="AN25" s="17">
        <f t="shared" si="41"/>
        <v>601.01259279342662</v>
      </c>
      <c r="AO25" s="17">
        <f t="shared" si="39"/>
        <v>622.71737582439937</v>
      </c>
      <c r="AP25" s="17">
        <f t="shared" si="39"/>
        <v>644.01370768059326</v>
      </c>
      <c r="AQ25" s="17">
        <f t="shared" si="39"/>
        <v>664.81151846265607</v>
      </c>
      <c r="AR25" s="17">
        <f t="shared" si="39"/>
        <v>685.02028753015065</v>
      </c>
      <c r="AS25" s="17">
        <f t="shared" si="39"/>
        <v>704.5496804184146</v>
      </c>
      <c r="AT25" s="17">
        <f t="shared" si="39"/>
        <v>723.31020621108212</v>
      </c>
      <c r="AU25" s="17">
        <f t="shared" si="39"/>
        <v>741.21388897307395</v>
      </c>
      <c r="AV25" s="17">
        <f t="shared" si="39"/>
        <v>758.17494644926796</v>
      </c>
      <c r="AW25" s="17">
        <f t="shared" si="39"/>
        <v>774.11046891852811</v>
      </c>
      <c r="AX25" s="17">
        <f t="shared" si="39"/>
        <v>788.94109086929359</v>
      </c>
      <c r="AY25" s="17">
        <f t="shared" si="39"/>
        <v>802.59164803822637</v>
      </c>
      <c r="AZ25" s="17">
        <f t="shared" si="39"/>
        <v>814.99181233253057</v>
      </c>
      <c r="BA25" s="17">
        <f t="shared" si="39"/>
        <v>826.07669724291145</v>
      </c>
      <c r="BB25" s="17">
        <f t="shared" si="39"/>
        <v>835.7874265492726</v>
      </c>
      <c r="BC25" s="17">
        <f t="shared" si="39"/>
        <v>844.07165942480287</v>
      </c>
      <c r="BD25" s="17">
        <f t="shared" si="39"/>
        <v>850.88406545374664</v>
      </c>
      <c r="BE25" s="17">
        <f t="shared" si="39"/>
        <v>856.18674358958833</v>
      </c>
      <c r="BF25" s="17">
        <f t="shared" si="39"/>
        <v>859.94957968740948</v>
      </c>
      <c r="BG25" s="17">
        <f t="shared" si="39"/>
        <v>862.15053793868742</v>
      </c>
      <c r="BH25" s="17">
        <f t="shared" si="39"/>
        <v>862.77588230905815</v>
      </c>
    </row>
    <row r="26" spans="1:60" x14ac:dyDescent="0.25">
      <c r="A26" s="3" t="s">
        <v>36</v>
      </c>
      <c r="B26" s="27">
        <v>6.4158612357306808</v>
      </c>
      <c r="C26" s="27">
        <v>6.604363287904599</v>
      </c>
      <c r="D26" s="27">
        <v>6.7999637989778527</v>
      </c>
      <c r="E26" s="27">
        <v>6.9251895229982949</v>
      </c>
      <c r="F26" s="27">
        <v>6.9893547700170355</v>
      </c>
      <c r="G26" s="27">
        <v>7.0969867972742753</v>
      </c>
      <c r="H26" s="27">
        <v>7.234631601362862</v>
      </c>
      <c r="I26" s="27">
        <v>7.29</v>
      </c>
      <c r="J26" s="27">
        <v>6.9</v>
      </c>
      <c r="K26" s="17">
        <f t="shared" si="40"/>
        <v>7.0390063361474446</v>
      </c>
      <c r="L26" s="17">
        <f t="shared" si="41"/>
        <v>7.1875826923873936</v>
      </c>
      <c r="M26" s="17">
        <f t="shared" si="41"/>
        <v>7.2001455501893528</v>
      </c>
      <c r="N26" s="17">
        <f t="shared" si="41"/>
        <v>7.2736402421214414</v>
      </c>
      <c r="O26" s="17">
        <f t="shared" si="41"/>
        <v>7.3520504481762794</v>
      </c>
      <c r="P26" s="17">
        <f t="shared" si="41"/>
        <v>7.4679418637514647</v>
      </c>
      <c r="Q26" s="17">
        <f t="shared" si="41"/>
        <v>7.59895967812127</v>
      </c>
      <c r="R26" s="17">
        <f t="shared" si="41"/>
        <v>7.7424308182233617</v>
      </c>
      <c r="S26" s="17">
        <f t="shared" si="41"/>
        <v>7.9232127294595296</v>
      </c>
      <c r="T26" s="17">
        <f t="shared" si="41"/>
        <v>8.1432063602192901</v>
      </c>
      <c r="U26" s="17">
        <f t="shared" si="41"/>
        <v>8.4036652266128566</v>
      </c>
      <c r="V26" s="17">
        <f t="shared" si="41"/>
        <v>8.6758163863602178</v>
      </c>
      <c r="W26" s="17">
        <f t="shared" si="41"/>
        <v>8.9719035237127613</v>
      </c>
      <c r="X26" s="17">
        <f t="shared" si="41"/>
        <v>9.3037704978772098</v>
      </c>
      <c r="Y26" s="17">
        <f t="shared" si="41"/>
        <v>9.6642392459752742</v>
      </c>
      <c r="Z26" s="17">
        <f t="shared" si="41"/>
        <v>10.045504663561051</v>
      </c>
      <c r="AA26" s="17">
        <f t="shared" si="41"/>
        <v>10.445248711007158</v>
      </c>
      <c r="AB26" s="17">
        <f t="shared" si="41"/>
        <v>10.86882555815825</v>
      </c>
      <c r="AC26" s="17">
        <f t="shared" si="41"/>
        <v>11.298749808743729</v>
      </c>
      <c r="AD26" s="17">
        <f t="shared" si="41"/>
        <v>11.730459428654369</v>
      </c>
      <c r="AE26" s="17">
        <f t="shared" si="41"/>
        <v>12.175798503842323</v>
      </c>
      <c r="AF26" s="17">
        <f t="shared" si="41"/>
        <v>12.614655947822852</v>
      </c>
      <c r="AG26" s="17">
        <f t="shared" si="41"/>
        <v>13.069898681576367</v>
      </c>
      <c r="AH26" s="17">
        <f t="shared" si="41"/>
        <v>13.547221356473131</v>
      </c>
      <c r="AI26" s="17">
        <f t="shared" si="41"/>
        <v>14.048464387234709</v>
      </c>
      <c r="AJ26" s="17">
        <f t="shared" si="41"/>
        <v>14.575001163301753</v>
      </c>
      <c r="AK26" s="17">
        <f t="shared" si="41"/>
        <v>15.092602592504068</v>
      </c>
      <c r="AL26" s="17">
        <f t="shared" si="41"/>
        <v>15.635943097280441</v>
      </c>
      <c r="AM26" s="17">
        <f t="shared" si="41"/>
        <v>16.21834976486285</v>
      </c>
      <c r="AN26" s="17">
        <f t="shared" si="41"/>
        <v>16.835280697268317</v>
      </c>
      <c r="AO26" s="17">
        <f t="shared" si="39"/>
        <v>17.443264821363577</v>
      </c>
      <c r="AP26" s="17">
        <f t="shared" si="39"/>
        <v>18.039807604194138</v>
      </c>
      <c r="AQ26" s="17">
        <f t="shared" si="39"/>
        <v>18.622386050308403</v>
      </c>
      <c r="AR26" s="17">
        <f t="shared" si="39"/>
        <v>19.188464538308544</v>
      </c>
      <c r="AS26" s="17">
        <f t="shared" si="39"/>
        <v>19.735512661864522</v>
      </c>
      <c r="AT26" s="17">
        <f t="shared" si="39"/>
        <v>20.261023643722531</v>
      </c>
      <c r="AU26" s="17">
        <f t="shared" si="39"/>
        <v>20.762533143568525</v>
      </c>
      <c r="AV26" s="17">
        <f t="shared" si="39"/>
        <v>21.237638269414649</v>
      </c>
      <c r="AW26" s="17">
        <f t="shared" si="39"/>
        <v>21.684016593337443</v>
      </c>
      <c r="AX26" s="17">
        <f t="shared" si="39"/>
        <v>22.099444966136986</v>
      </c>
      <c r="AY26" s="17">
        <f t="shared" si="39"/>
        <v>22.48181792199297</v>
      </c>
      <c r="AZ26" s="17">
        <f t="shared" si="39"/>
        <v>22.829165463608636</v>
      </c>
      <c r="BA26" s="17">
        <f t="shared" si="39"/>
        <v>23.139670020752447</v>
      </c>
      <c r="BB26" s="17">
        <f t="shared" si="39"/>
        <v>23.411682380573282</v>
      </c>
      <c r="BC26" s="17">
        <f t="shared" si="39"/>
        <v>23.643736396567963</v>
      </c>
      <c r="BD26" s="17">
        <f t="shared" si="39"/>
        <v>23.834562294554516</v>
      </c>
      <c r="BE26" s="17">
        <f t="shared" si="39"/>
        <v>23.983098408330832</v>
      </c>
      <c r="BF26" s="17">
        <f t="shared" si="39"/>
        <v>24.088501194702072</v>
      </c>
      <c r="BG26" s="17">
        <f t="shared" si="39"/>
        <v>24.150153397014527</v>
      </c>
      <c r="BH26" s="17">
        <f t="shared" si="39"/>
        <v>24.167670247965546</v>
      </c>
    </row>
    <row r="27" spans="1:60" x14ac:dyDescent="0.25">
      <c r="A27" s="3" t="s">
        <v>37</v>
      </c>
      <c r="B27" s="27">
        <v>49.680584563226056</v>
      </c>
      <c r="C27" s="27">
        <v>48.564231533814059</v>
      </c>
      <c r="D27" s="27">
        <v>47.459267978951466</v>
      </c>
      <c r="E27" s="27">
        <v>46.356109920093544</v>
      </c>
      <c r="F27" s="27">
        <v>46.356109920093544</v>
      </c>
      <c r="G27" s="27">
        <v>46.356109920093544</v>
      </c>
      <c r="H27" s="27">
        <v>46.327221984018706</v>
      </c>
      <c r="I27" s="27">
        <v>46.32</v>
      </c>
      <c r="J27" s="27">
        <v>29.1</v>
      </c>
      <c r="K27" s="17">
        <f t="shared" si="40"/>
        <v>44.725208983587052</v>
      </c>
      <c r="L27" s="17">
        <f t="shared" si="41"/>
        <v>45.669249699778334</v>
      </c>
      <c r="M27" s="17">
        <f t="shared" si="41"/>
        <v>45.74907296087391</v>
      </c>
      <c r="N27" s="17">
        <f t="shared" si="41"/>
        <v>46.216051579569985</v>
      </c>
      <c r="O27" s="17">
        <f t="shared" si="41"/>
        <v>46.71426292997603</v>
      </c>
      <c r="P27" s="17">
        <f t="shared" si="41"/>
        <v>47.450626492313837</v>
      </c>
      <c r="Q27" s="17">
        <f t="shared" si="41"/>
        <v>48.283101823124447</v>
      </c>
      <c r="R27" s="17">
        <f t="shared" si="41"/>
        <v>49.194704458176425</v>
      </c>
      <c r="S27" s="17">
        <f t="shared" si="41"/>
        <v>50.343376355084416</v>
      </c>
      <c r="T27" s="17">
        <f t="shared" si="41"/>
        <v>51.741195967813098</v>
      </c>
      <c r="U27" s="17">
        <f t="shared" si="41"/>
        <v>53.396128024239715</v>
      </c>
      <c r="V27" s="17">
        <f t="shared" si="41"/>
        <v>55.125351854074793</v>
      </c>
      <c r="W27" s="17">
        <f t="shared" si="41"/>
        <v>57.00666271856997</v>
      </c>
      <c r="X27" s="17">
        <f t="shared" si="41"/>
        <v>59.1153154268412</v>
      </c>
      <c r="Y27" s="17">
        <f t="shared" si="41"/>
        <v>61.405701217225612</v>
      </c>
      <c r="Z27" s="17">
        <f t="shared" si="41"/>
        <v>63.828227162708892</v>
      </c>
      <c r="AA27" s="17">
        <f t="shared" si="41"/>
        <v>66.368164649362356</v>
      </c>
      <c r="AB27" s="17">
        <f t="shared" si="41"/>
        <v>69.059533587639251</v>
      </c>
      <c r="AC27" s="17">
        <f t="shared" si="41"/>
        <v>71.791233352676201</v>
      </c>
      <c r="AD27" s="17">
        <f t="shared" si="41"/>
        <v>74.534277192766851</v>
      </c>
      <c r="AE27" s="17">
        <f t="shared" si="41"/>
        <v>77.363921357747103</v>
      </c>
      <c r="AF27" s="17">
        <f t="shared" si="41"/>
        <v>80.152381824849726</v>
      </c>
      <c r="AG27" s="17">
        <f t="shared" si="41"/>
        <v>83.04495293972802</v>
      </c>
      <c r="AH27" s="17">
        <f t="shared" si="41"/>
        <v>86.077818001623513</v>
      </c>
      <c r="AI27" s="17">
        <f t="shared" si="41"/>
        <v>89.262670839055104</v>
      </c>
      <c r="AJ27" s="17">
        <f t="shared" si="41"/>
        <v>92.60823784418892</v>
      </c>
      <c r="AK27" s="17">
        <f t="shared" si="41"/>
        <v>95.897030464305686</v>
      </c>
      <c r="AL27" s="17">
        <f t="shared" si="41"/>
        <v>99.349366840333332</v>
      </c>
      <c r="AM27" s="17">
        <f t="shared" si="41"/>
        <v>103.04992607797629</v>
      </c>
      <c r="AN27" s="17">
        <f t="shared" si="41"/>
        <v>106.96984936865135</v>
      </c>
      <c r="AO27" s="17">
        <f t="shared" si="39"/>
        <v>110.83292544932249</v>
      </c>
      <c r="AP27" s="17">
        <f t="shared" si="39"/>
        <v>114.6233042834393</v>
      </c>
      <c r="AQ27" s="17">
        <f t="shared" si="39"/>
        <v>118.32495498632171</v>
      </c>
      <c r="AR27" s="17">
        <f t="shared" si="39"/>
        <v>121.92176644917033</v>
      </c>
      <c r="AS27" s="17">
        <f t="shared" si="39"/>
        <v>125.3976606992544</v>
      </c>
      <c r="AT27" s="17">
        <f t="shared" si="39"/>
        <v>128.73670990085427</v>
      </c>
      <c r="AU27" s="17">
        <f t="shared" si="39"/>
        <v>131.92325585872345</v>
      </c>
      <c r="AV27" s="17">
        <f t="shared" si="39"/>
        <v>134.94203081471696</v>
      </c>
      <c r="AW27" s="17">
        <f t="shared" si="39"/>
        <v>137.77827827207</v>
      </c>
      <c r="AX27" s="17">
        <f t="shared" si="39"/>
        <v>140.41787254203911</v>
      </c>
      <c r="AY27" s="17">
        <f t="shared" si="39"/>
        <v>142.84743568542035</v>
      </c>
      <c r="AZ27" s="17">
        <f t="shared" si="39"/>
        <v>145.05445051774376</v>
      </c>
      <c r="BA27" s="17">
        <f t="shared" si="39"/>
        <v>147.02736836231185</v>
      </c>
      <c r="BB27" s="17">
        <f t="shared" si="39"/>
        <v>148.75571026998003</v>
      </c>
      <c r="BC27" s="17">
        <f t="shared" si="39"/>
        <v>150.23016047860466</v>
      </c>
      <c r="BD27" s="17">
        <f t="shared" si="39"/>
        <v>151.44265095799247</v>
      </c>
      <c r="BE27" s="17">
        <f t="shared" ref="BE27:BH27" si="42">$I27/$I$35*BE$35</f>
        <v>152.38643597721318</v>
      </c>
      <c r="BF27" s="17">
        <f t="shared" si="42"/>
        <v>153.05615573917697</v>
      </c>
      <c r="BG27" s="17">
        <f t="shared" si="42"/>
        <v>153.44788825098942</v>
      </c>
      <c r="BH27" s="17">
        <f t="shared" si="42"/>
        <v>153.55918873604446</v>
      </c>
    </row>
    <row r="28" spans="1:60" x14ac:dyDescent="0.25">
      <c r="A28" s="3" t="s">
        <v>38</v>
      </c>
      <c r="B28" s="27">
        <v>125.48003402211921</v>
      </c>
      <c r="C28" s="27">
        <v>127.1852732099033</v>
      </c>
      <c r="D28" s="27">
        <v>121.33259319855085</v>
      </c>
      <c r="E28" s="27">
        <v>115.48558072755804</v>
      </c>
      <c r="F28" s="27">
        <v>115.29855189569106</v>
      </c>
      <c r="G28" s="27">
        <v>115.15875256682079</v>
      </c>
      <c r="H28" s="27">
        <v>113.64929765104591</v>
      </c>
      <c r="I28" s="27">
        <v>113.16</v>
      </c>
      <c r="J28" s="27">
        <v>108.36</v>
      </c>
      <c r="K28" s="37">
        <f>(1+K5)*J28</f>
        <v>107.78666666482698</v>
      </c>
      <c r="L28" s="37">
        <f t="shared" ref="L28:BH28" si="43">(1+L5)*K28</f>
        <v>107.34279569525077</v>
      </c>
      <c r="M28" s="37">
        <f t="shared" si="43"/>
        <v>107.87913977939523</v>
      </c>
      <c r="N28" s="37">
        <f t="shared" si="43"/>
        <v>108.69290321835018</v>
      </c>
      <c r="O28" s="37">
        <f t="shared" si="43"/>
        <v>110.17247310884716</v>
      </c>
      <c r="P28" s="37">
        <f t="shared" si="43"/>
        <v>109.41419353718287</v>
      </c>
      <c r="Q28" s="37">
        <f t="shared" si="43"/>
        <v>109.1182795568741</v>
      </c>
      <c r="R28" s="37">
        <f t="shared" si="43"/>
        <v>109.89505374846721</v>
      </c>
      <c r="S28" s="37">
        <f t="shared" si="43"/>
        <v>110.50537632716949</v>
      </c>
      <c r="T28" s="37">
        <f t="shared" si="43"/>
        <v>111.2266666477782</v>
      </c>
      <c r="U28" s="37">
        <f t="shared" si="43"/>
        <v>110.72731180731216</v>
      </c>
      <c r="V28" s="37">
        <f t="shared" si="43"/>
        <v>110.61634406354978</v>
      </c>
      <c r="W28" s="37">
        <f t="shared" si="43"/>
        <v>109.19225804050805</v>
      </c>
      <c r="X28" s="37">
        <f t="shared" si="43"/>
        <v>108.76688169467332</v>
      </c>
      <c r="Y28" s="37">
        <f t="shared" si="43"/>
        <v>106.7509677148409</v>
      </c>
      <c r="Z28" s="37">
        <f t="shared" si="43"/>
        <v>104.7535483586943</v>
      </c>
      <c r="AA28" s="37">
        <f t="shared" si="43"/>
        <v>103.66236556146104</v>
      </c>
      <c r="AB28" s="37">
        <f t="shared" si="43"/>
        <v>101.60946233443462</v>
      </c>
      <c r="AC28" s="37">
        <f t="shared" si="43"/>
        <v>99.556559107445565</v>
      </c>
      <c r="AD28" s="37">
        <f t="shared" si="43"/>
        <v>97.46666663319553</v>
      </c>
      <c r="AE28" s="37">
        <f t="shared" si="43"/>
        <v>96.375483836042577</v>
      </c>
      <c r="AF28" s="37">
        <f t="shared" si="43"/>
        <v>95.302795662559433</v>
      </c>
      <c r="AG28" s="37">
        <f t="shared" si="43"/>
        <v>94.230107489097094</v>
      </c>
      <c r="AH28" s="37">
        <f t="shared" si="43"/>
        <v>93.175913939303939</v>
      </c>
      <c r="AI28" s="37">
        <f t="shared" si="43"/>
        <v>92.103225765883934</v>
      </c>
      <c r="AJ28" s="37">
        <f t="shared" si="43"/>
        <v>91.049032216132872</v>
      </c>
      <c r="AK28" s="37">
        <f t="shared" si="43"/>
        <v>89.994838666403226</v>
      </c>
      <c r="AL28" s="37">
        <f t="shared" si="43"/>
        <v>88.922150493048619</v>
      </c>
      <c r="AM28" s="37">
        <f t="shared" si="43"/>
        <v>87.867956943362572</v>
      </c>
      <c r="AN28" s="37">
        <f t="shared" si="43"/>
        <v>86.813763393698707</v>
      </c>
      <c r="AO28" s="37">
        <f t="shared" si="43"/>
        <v>85.771998232974326</v>
      </c>
      <c r="AP28" s="37">
        <f t="shared" si="43"/>
        <v>84.742734254178629</v>
      </c>
      <c r="AQ28" s="37">
        <f t="shared" si="43"/>
        <v>83.725821443128481</v>
      </c>
      <c r="AR28" s="37">
        <f t="shared" si="43"/>
        <v>82.721111585810945</v>
      </c>
      <c r="AS28" s="37">
        <f t="shared" si="43"/>
        <v>81.728458246781216</v>
      </c>
      <c r="AT28" s="37">
        <f t="shared" si="43"/>
        <v>80.747716747819837</v>
      </c>
      <c r="AU28" s="37">
        <f t="shared" si="43"/>
        <v>79.778744146845995</v>
      </c>
      <c r="AV28" s="37">
        <f t="shared" si="43"/>
        <v>78.821399217083837</v>
      </c>
      <c r="AW28" s="37">
        <f t="shared" si="43"/>
        <v>77.87554242647883</v>
      </c>
      <c r="AX28" s="37">
        <f t="shared" si="43"/>
        <v>76.941035917361077</v>
      </c>
      <c r="AY28" s="37">
        <f t="shared" si="43"/>
        <v>76.017743486352742</v>
      </c>
      <c r="AZ28" s="37">
        <f t="shared" si="43"/>
        <v>75.105530564516513</v>
      </c>
      <c r="BA28" s="37">
        <f t="shared" si="43"/>
        <v>74.204264197742319</v>
      </c>
      <c r="BB28" s="37">
        <f t="shared" si="43"/>
        <v>73.313813027369406</v>
      </c>
      <c r="BC28" s="37">
        <f t="shared" si="43"/>
        <v>72.434047271040967</v>
      </c>
      <c r="BD28" s="37">
        <f t="shared" si="43"/>
        <v>71.564838703788482</v>
      </c>
      <c r="BE28" s="37">
        <f t="shared" si="43"/>
        <v>70.706060639343022</v>
      </c>
      <c r="BF28" s="37">
        <f t="shared" si="43"/>
        <v>69.857587911670905</v>
      </c>
      <c r="BG28" s="37">
        <f t="shared" si="43"/>
        <v>69.019296856730847</v>
      </c>
      <c r="BH28" s="37">
        <f t="shared" si="43"/>
        <v>68.19106529445007</v>
      </c>
    </row>
    <row r="29" spans="1:60" x14ac:dyDescent="0.25">
      <c r="A29" s="3" t="s">
        <v>177</v>
      </c>
      <c r="B29" s="27">
        <v>91.99927686334776</v>
      </c>
      <c r="C29" s="27">
        <v>94.311373368720652</v>
      </c>
      <c r="D29" s="27">
        <v>94.799919645026264</v>
      </c>
      <c r="E29" s="27">
        <v>97.841355308332979</v>
      </c>
      <c r="F29" s="27">
        <v>96.503338558927737</v>
      </c>
      <c r="G29" s="27">
        <v>99.533131506208818</v>
      </c>
      <c r="H29" s="27">
        <v>98.961742827413289</v>
      </c>
      <c r="I29" s="27">
        <v>97.69</v>
      </c>
      <c r="J29" s="27">
        <v>74.06</v>
      </c>
      <c r="K29" s="17">
        <f t="shared" ref="K29:Z32" si="44">$I29/$I$35*K$35</f>
        <v>94.326547184944275</v>
      </c>
      <c r="L29" s="17">
        <f t="shared" si="44"/>
        <v>96.317551881937504</v>
      </c>
      <c r="M29" s="17">
        <f t="shared" si="44"/>
        <v>96.485901069684203</v>
      </c>
      <c r="N29" s="17">
        <f t="shared" si="44"/>
        <v>97.470770267879786</v>
      </c>
      <c r="O29" s="17">
        <f t="shared" si="44"/>
        <v>98.521510052447283</v>
      </c>
      <c r="P29" s="17">
        <f t="shared" si="44"/>
        <v>100.07451861040886</v>
      </c>
      <c r="Q29" s="17">
        <f t="shared" si="44"/>
        <v>101.83022921202563</v>
      </c>
      <c r="R29" s="17">
        <f t="shared" si="44"/>
        <v>103.75282121155557</v>
      </c>
      <c r="S29" s="17">
        <f t="shared" si="44"/>
        <v>106.17539801658455</v>
      </c>
      <c r="T29" s="17">
        <f t="shared" si="44"/>
        <v>109.12343337857645</v>
      </c>
      <c r="U29" s="17">
        <f t="shared" si="44"/>
        <v>112.61372510120849</v>
      </c>
      <c r="V29" s="17">
        <f t="shared" si="44"/>
        <v>116.26069997030584</v>
      </c>
      <c r="W29" s="17">
        <f t="shared" si="44"/>
        <v>120.22843007290803</v>
      </c>
      <c r="X29" s="17">
        <f t="shared" si="44"/>
        <v>124.67562962107333</v>
      </c>
      <c r="Y29" s="17">
        <f t="shared" si="44"/>
        <v>129.50610863365219</v>
      </c>
      <c r="Z29" s="17">
        <f t="shared" si="44"/>
        <v>134.61527442843331</v>
      </c>
      <c r="AA29" s="17">
        <f t="shared" ref="L29:AO32" si="45">$I29/$I$35*AA$35</f>
        <v>139.97206400250883</v>
      </c>
      <c r="AB29" s="17">
        <f t="shared" si="45"/>
        <v>145.64822616961308</v>
      </c>
      <c r="AC29" s="17">
        <f t="shared" si="45"/>
        <v>151.40944702553838</v>
      </c>
      <c r="AD29" s="17">
        <f t="shared" si="45"/>
        <v>157.19459281004737</v>
      </c>
      <c r="AE29" s="17">
        <f t="shared" si="45"/>
        <v>163.16238077371145</v>
      </c>
      <c r="AF29" s="17">
        <f t="shared" si="45"/>
        <v>169.04331132274547</v>
      </c>
      <c r="AG29" s="17">
        <f t="shared" si="45"/>
        <v>175.14381374529427</v>
      </c>
      <c r="AH29" s="17">
        <f t="shared" si="45"/>
        <v>181.54019949435667</v>
      </c>
      <c r="AI29" s="17">
        <f t="shared" si="45"/>
        <v>188.25713113703137</v>
      </c>
      <c r="AJ29" s="17">
        <f t="shared" si="45"/>
        <v>195.31301284539754</v>
      </c>
      <c r="AK29" s="17">
        <f t="shared" si="45"/>
        <v>202.24915600297973</v>
      </c>
      <c r="AL29" s="17">
        <f t="shared" si="45"/>
        <v>209.53021689620385</v>
      </c>
      <c r="AM29" s="17">
        <f t="shared" si="45"/>
        <v>217.33478580650913</v>
      </c>
      <c r="AN29" s="17">
        <f t="shared" si="45"/>
        <v>225.60199880879858</v>
      </c>
      <c r="AO29" s="17">
        <f t="shared" si="45"/>
        <v>233.7493196706458</v>
      </c>
      <c r="AP29" s="17">
        <f t="shared" ref="AO29:BH32" si="46">$I29/$I$35*AP$35</f>
        <v>241.74332028171813</v>
      </c>
      <c r="AQ29" s="17">
        <f t="shared" si="46"/>
        <v>249.55019111860466</v>
      </c>
      <c r="AR29" s="17">
        <f t="shared" si="46"/>
        <v>257.13595346328691</v>
      </c>
      <c r="AS29" s="17">
        <f t="shared" si="46"/>
        <v>264.46669848251645</v>
      </c>
      <c r="AT29" s="17">
        <f t="shared" si="46"/>
        <v>271.50883398563155</v>
      </c>
      <c r="AU29" s="17">
        <f t="shared" si="46"/>
        <v>278.22933646024813</v>
      </c>
      <c r="AV29" s="17">
        <f t="shared" si="46"/>
        <v>284.59600583526981</v>
      </c>
      <c r="AW29" s="17">
        <f t="shared" si="46"/>
        <v>290.57772030221327</v>
      </c>
      <c r="AX29" s="17">
        <f t="shared" si="46"/>
        <v>296.1446884419646</v>
      </c>
      <c r="AY29" s="17">
        <f t="shared" si="46"/>
        <v>301.26869585726928</v>
      </c>
      <c r="AZ29" s="17">
        <f t="shared" si="46"/>
        <v>305.9233435034194</v>
      </c>
      <c r="BA29" s="17">
        <f t="shared" si="46"/>
        <v>310.08427494201732</v>
      </c>
      <c r="BB29" s="17">
        <f t="shared" si="46"/>
        <v>313.72938981594018</v>
      </c>
      <c r="BC29" s="17">
        <f t="shared" si="46"/>
        <v>316.83904095757532</v>
      </c>
      <c r="BD29" s="17">
        <f t="shared" si="46"/>
        <v>319.39621269616327</v>
      </c>
      <c r="BE29" s="17">
        <f t="shared" si="46"/>
        <v>321.3866781220629</v>
      </c>
      <c r="BF29" s="17">
        <f t="shared" si="46"/>
        <v>322.79913329361392</v>
      </c>
      <c r="BG29" s="17">
        <f t="shared" si="46"/>
        <v>323.62530663296968</v>
      </c>
      <c r="BH29" s="17">
        <f t="shared" si="46"/>
        <v>323.8600420471542</v>
      </c>
    </row>
    <row r="30" spans="1:60" x14ac:dyDescent="0.25">
      <c r="A30" s="3" t="s">
        <v>178</v>
      </c>
      <c r="B30" s="27">
        <v>2.4554419284149018</v>
      </c>
      <c r="C30" s="27">
        <v>2.4807404210106916</v>
      </c>
      <c r="D30" s="27">
        <v>2.5000863271133542</v>
      </c>
      <c r="E30" s="27">
        <v>2.4936376917457999</v>
      </c>
      <c r="F30" s="27">
        <v>2.4903306992496184</v>
      </c>
      <c r="G30" s="27">
        <v>2.5025665714854908</v>
      </c>
      <c r="H30" s="27">
        <v>2.5113301016003717</v>
      </c>
      <c r="I30" s="27">
        <v>2.4900000000000002</v>
      </c>
      <c r="J30" s="27">
        <v>2.36</v>
      </c>
      <c r="K30" s="17">
        <f t="shared" si="44"/>
        <v>2.4042696539104442</v>
      </c>
      <c r="L30" s="17">
        <f t="shared" si="45"/>
        <v>2.4550179566590691</v>
      </c>
      <c r="M30" s="17">
        <f t="shared" si="45"/>
        <v>2.459308973932989</v>
      </c>
      <c r="N30" s="17">
        <f t="shared" si="45"/>
        <v>2.4844120991608221</v>
      </c>
      <c r="O30" s="17">
        <f t="shared" si="45"/>
        <v>2.5111941860025979</v>
      </c>
      <c r="P30" s="17">
        <f t="shared" si="45"/>
        <v>2.5507784966723115</v>
      </c>
      <c r="Q30" s="17">
        <f t="shared" si="45"/>
        <v>2.5955294373829858</v>
      </c>
      <c r="R30" s="17">
        <f t="shared" si="45"/>
        <v>2.6445339831791732</v>
      </c>
      <c r="S30" s="17">
        <f t="shared" si="45"/>
        <v>2.7062825372228025</v>
      </c>
      <c r="T30" s="17">
        <f t="shared" si="45"/>
        <v>2.7814243946428032</v>
      </c>
      <c r="U30" s="17">
        <f t="shared" si="45"/>
        <v>2.8703877111476017</v>
      </c>
      <c r="V30" s="17">
        <f t="shared" si="45"/>
        <v>2.9633446916374409</v>
      </c>
      <c r="W30" s="17">
        <f t="shared" si="45"/>
        <v>3.0644773352599146</v>
      </c>
      <c r="X30" s="17">
        <f t="shared" si="45"/>
        <v>3.1778310754066195</v>
      </c>
      <c r="Y30" s="17">
        <f t="shared" si="45"/>
        <v>3.3009541457446416</v>
      </c>
      <c r="Z30" s="17">
        <f t="shared" si="45"/>
        <v>3.431180605249248</v>
      </c>
      <c r="AA30" s="17">
        <f t="shared" si="45"/>
        <v>3.5677186955291949</v>
      </c>
      <c r="AB30" s="17">
        <f t="shared" si="45"/>
        <v>3.7123972071075513</v>
      </c>
      <c r="AC30" s="17">
        <f t="shared" si="45"/>
        <v>3.8592437618342785</v>
      </c>
      <c r="AD30" s="17">
        <f t="shared" si="45"/>
        <v>4.0067001340671311</v>
      </c>
      <c r="AE30" s="17">
        <f t="shared" si="45"/>
        <v>4.1588118346457321</v>
      </c>
      <c r="AF30" s="17">
        <f t="shared" si="45"/>
        <v>4.3087096447296167</v>
      </c>
      <c r="AG30" s="17">
        <f t="shared" si="45"/>
        <v>4.4642040764232043</v>
      </c>
      <c r="AH30" s="17">
        <f t="shared" si="45"/>
        <v>4.6272402164085191</v>
      </c>
      <c r="AI30" s="17">
        <f t="shared" si="45"/>
        <v>4.7984466837056834</v>
      </c>
      <c r="AJ30" s="17">
        <f t="shared" si="45"/>
        <v>4.9782925784117102</v>
      </c>
      <c r="AK30" s="17">
        <f t="shared" si="45"/>
        <v>5.1550864822133242</v>
      </c>
      <c r="AL30" s="17">
        <f t="shared" si="45"/>
        <v>5.340671922116365</v>
      </c>
      <c r="AM30" s="17">
        <f t="shared" si="45"/>
        <v>5.5396009484922493</v>
      </c>
      <c r="AN30" s="17">
        <f t="shared" si="45"/>
        <v>5.7503222134702492</v>
      </c>
      <c r="AO30" s="17">
        <f t="shared" si="46"/>
        <v>5.9579875727291247</v>
      </c>
      <c r="AP30" s="17">
        <f t="shared" si="46"/>
        <v>6.1617449841486156</v>
      </c>
      <c r="AQ30" s="17">
        <f t="shared" si="46"/>
        <v>6.3607326838501965</v>
      </c>
      <c r="AR30" s="17">
        <f t="shared" si="46"/>
        <v>6.5540845953893383</v>
      </c>
      <c r="AS30" s="17">
        <f t="shared" si="46"/>
        <v>6.740936423599817</v>
      </c>
      <c r="AT30" s="17">
        <f t="shared" si="46"/>
        <v>6.9204319441521411</v>
      </c>
      <c r="AU30" s="17">
        <f t="shared" si="46"/>
        <v>7.0917294276386329</v>
      </c>
      <c r="AV30" s="17">
        <f t="shared" si="46"/>
        <v>7.2540081331745521</v>
      </c>
      <c r="AW30" s="17">
        <f t="shared" si="46"/>
        <v>7.4064748034856294</v>
      </c>
      <c r="AX30" s="17">
        <f t="shared" si="46"/>
        <v>7.5483700913142799</v>
      </c>
      <c r="AY30" s="17">
        <f t="shared" si="46"/>
        <v>7.6789748457836078</v>
      </c>
      <c r="AZ30" s="17">
        <f t="shared" si="46"/>
        <v>7.7976161871585061</v>
      </c>
      <c r="BA30" s="17">
        <f t="shared" si="46"/>
        <v>7.9036732992693555</v>
      </c>
      <c r="BB30" s="17">
        <f t="shared" si="46"/>
        <v>7.9965828707307933</v>
      </c>
      <c r="BC30" s="17">
        <f t="shared" si="46"/>
        <v>8.0758441189923502</v>
      </c>
      <c r="BD30" s="17">
        <f t="shared" si="46"/>
        <v>8.1410233351770582</v>
      </c>
      <c r="BE30" s="17">
        <f t="shared" si="46"/>
        <v>8.1917578925574457</v>
      </c>
      <c r="BF30" s="17">
        <f t="shared" si="46"/>
        <v>8.2277596673262234</v>
      </c>
      <c r="BG30" s="17">
        <f t="shared" si="46"/>
        <v>8.2488178269638102</v>
      </c>
      <c r="BH30" s="17">
        <f t="shared" si="46"/>
        <v>8.2548009488935836</v>
      </c>
    </row>
    <row r="31" spans="1:60" x14ac:dyDescent="0.25">
      <c r="A31" s="3" t="s">
        <v>182</v>
      </c>
      <c r="B31" s="27">
        <v>0.28999999999999998</v>
      </c>
      <c r="C31" s="27">
        <v>0.28999999999999998</v>
      </c>
      <c r="D31" s="27">
        <v>0.28999999999999998</v>
      </c>
      <c r="E31" s="27">
        <v>0.28999999999999998</v>
      </c>
      <c r="F31" s="27">
        <v>0.28999999999999998</v>
      </c>
      <c r="G31" s="27">
        <v>0.28999999999999998</v>
      </c>
      <c r="H31" s="27">
        <v>0.28999999999999998</v>
      </c>
      <c r="I31" s="27">
        <v>0.28999999999999998</v>
      </c>
      <c r="J31" s="27">
        <v>0.28999999999999998</v>
      </c>
      <c r="K31" s="17">
        <f t="shared" si="44"/>
        <v>0.28001534121848543</v>
      </c>
      <c r="L31" s="17">
        <f t="shared" si="45"/>
        <v>0.2859257861169196</v>
      </c>
      <c r="M31" s="17">
        <f t="shared" si="45"/>
        <v>0.28642554314882196</v>
      </c>
      <c r="N31" s="17">
        <f t="shared" si="45"/>
        <v>0.28934920030387079</v>
      </c>
      <c r="O31" s="17">
        <f t="shared" si="45"/>
        <v>0.29246839917299322</v>
      </c>
      <c r="P31" s="17">
        <f t="shared" si="45"/>
        <v>0.29707862009436553</v>
      </c>
      <c r="Q31" s="17">
        <f t="shared" si="45"/>
        <v>0.30229057704460466</v>
      </c>
      <c r="R31" s="17">
        <f t="shared" si="45"/>
        <v>0.30799793378391971</v>
      </c>
      <c r="S31" s="17">
        <f t="shared" si="45"/>
        <v>0.31518953244763559</v>
      </c>
      <c r="T31" s="17">
        <f t="shared" si="45"/>
        <v>0.32394099375357938</v>
      </c>
      <c r="U31" s="17">
        <f t="shared" si="45"/>
        <v>0.33430218322602584</v>
      </c>
      <c r="V31" s="17">
        <f t="shared" si="45"/>
        <v>0.34512849822283442</v>
      </c>
      <c r="W31" s="17">
        <f t="shared" si="45"/>
        <v>0.35690699888569277</v>
      </c>
      <c r="X31" s="17">
        <f t="shared" si="45"/>
        <v>0.37010884010759815</v>
      </c>
      <c r="Y31" s="17">
        <f t="shared" si="45"/>
        <v>0.38444847480560074</v>
      </c>
      <c r="Z31" s="17">
        <f t="shared" si="45"/>
        <v>0.39961541185633803</v>
      </c>
      <c r="AA31" s="17">
        <f t="shared" si="45"/>
        <v>0.41551743843512701</v>
      </c>
      <c r="AB31" s="17">
        <f t="shared" si="45"/>
        <v>0.43236754620931306</v>
      </c>
      <c r="AC31" s="17">
        <f t="shared" si="45"/>
        <v>0.4494701570007793</v>
      </c>
      <c r="AD31" s="17">
        <f t="shared" si="45"/>
        <v>0.46664379071464568</v>
      </c>
      <c r="AE31" s="17">
        <f t="shared" si="45"/>
        <v>0.48435961126396071</v>
      </c>
      <c r="AF31" s="17">
        <f t="shared" si="45"/>
        <v>0.50181758914521635</v>
      </c>
      <c r="AG31" s="17">
        <f t="shared" si="45"/>
        <v>0.51992738239467018</v>
      </c>
      <c r="AH31" s="17">
        <f t="shared" si="45"/>
        <v>0.53891552721223701</v>
      </c>
      <c r="AI31" s="17">
        <f t="shared" si="45"/>
        <v>0.55885523625487865</v>
      </c>
      <c r="AJ31" s="17">
        <f t="shared" si="45"/>
        <v>0.57980114367044</v>
      </c>
      <c r="AK31" s="17">
        <f t="shared" si="45"/>
        <v>0.60039159833006572</v>
      </c>
      <c r="AL31" s="17">
        <f t="shared" si="45"/>
        <v>0.6220059668328296</v>
      </c>
      <c r="AM31" s="17">
        <f t="shared" si="45"/>
        <v>0.64517440765572365</v>
      </c>
      <c r="AN31" s="17">
        <f t="shared" si="45"/>
        <v>0.66971624172946653</v>
      </c>
      <c r="AO31" s="17">
        <f t="shared" si="46"/>
        <v>0.6939021671049983</v>
      </c>
      <c r="AP31" s="17">
        <f t="shared" si="46"/>
        <v>0.71763294996108362</v>
      </c>
      <c r="AQ31" s="17">
        <f t="shared" si="46"/>
        <v>0.74080822422351666</v>
      </c>
      <c r="AR31" s="17">
        <f t="shared" si="46"/>
        <v>0.76332712155136861</v>
      </c>
      <c r="AS31" s="17">
        <f t="shared" si="46"/>
        <v>0.7850889810618259</v>
      </c>
      <c r="AT31" s="17">
        <f t="shared" si="46"/>
        <v>0.80599408184904431</v>
      </c>
      <c r="AU31" s="17">
        <f t="shared" si="46"/>
        <v>0.82594439117076424</v>
      </c>
      <c r="AV31" s="17">
        <f t="shared" si="46"/>
        <v>0.84484432073117255</v>
      </c>
      <c r="AW31" s="17">
        <f t="shared" si="46"/>
        <v>0.86260148313688034</v>
      </c>
      <c r="AX31" s="17">
        <f t="shared" si="46"/>
        <v>0.87912744035387169</v>
      </c>
      <c r="AY31" s="17">
        <f t="shared" si="46"/>
        <v>0.89433843585431561</v>
      </c>
      <c r="AZ31" s="17">
        <f t="shared" si="46"/>
        <v>0.908156102118862</v>
      </c>
      <c r="BA31" s="17">
        <f t="shared" si="46"/>
        <v>0.92050813525627007</v>
      </c>
      <c r="BB31" s="17">
        <f t="shared" si="46"/>
        <v>0.93132892871965034</v>
      </c>
      <c r="BC31" s="17">
        <f t="shared" si="46"/>
        <v>0.94056015843685992</v>
      </c>
      <c r="BD31" s="17">
        <f t="shared" si="46"/>
        <v>0.94815131212905468</v>
      </c>
      <c r="BE31" s="17">
        <f t="shared" si="46"/>
        <v>0.95406015616130868</v>
      </c>
      <c r="BF31" s="17">
        <f t="shared" si="46"/>
        <v>0.95825313394562428</v>
      </c>
      <c r="BG31" s="17">
        <f t="shared" si="46"/>
        <v>0.96070569069056411</v>
      </c>
      <c r="BH31" s="17">
        <f t="shared" si="46"/>
        <v>0.96140252015226446</v>
      </c>
    </row>
    <row r="32" spans="1:60" x14ac:dyDescent="0.25">
      <c r="A32" s="3" t="s">
        <v>183</v>
      </c>
      <c r="B32" s="27">
        <v>0.08</v>
      </c>
      <c r="C32" s="27">
        <v>0.08</v>
      </c>
      <c r="D32" s="27">
        <v>0.08</v>
      </c>
      <c r="E32" s="27">
        <v>0.08</v>
      </c>
      <c r="F32" s="27">
        <v>0.08</v>
      </c>
      <c r="G32" s="27">
        <v>0.08</v>
      </c>
      <c r="H32" s="27">
        <v>0.08</v>
      </c>
      <c r="I32" s="27">
        <v>0.08</v>
      </c>
      <c r="J32" s="27">
        <v>0.08</v>
      </c>
      <c r="K32" s="17">
        <f t="shared" si="44"/>
        <v>7.7245611370616668E-2</v>
      </c>
      <c r="L32" s="17">
        <f t="shared" si="45"/>
        <v>7.8876078928805424E-2</v>
      </c>
      <c r="M32" s="17">
        <f t="shared" si="45"/>
        <v>7.9013942937606066E-2</v>
      </c>
      <c r="N32" s="17">
        <f t="shared" si="45"/>
        <v>7.9820469049343673E-2</v>
      </c>
      <c r="O32" s="17">
        <f t="shared" si="45"/>
        <v>8.0680937702894695E-2</v>
      </c>
      <c r="P32" s="17">
        <f t="shared" si="45"/>
        <v>8.1952722784652571E-2</v>
      </c>
      <c r="Q32" s="17">
        <f t="shared" si="45"/>
        <v>8.3390504012304745E-2</v>
      </c>
      <c r="R32" s="17">
        <f t="shared" si="45"/>
        <v>8.4964947250736486E-2</v>
      </c>
      <c r="S32" s="17">
        <f t="shared" si="45"/>
        <v>8.6948836537278779E-2</v>
      </c>
      <c r="T32" s="17">
        <f t="shared" si="45"/>
        <v>8.9363032759608121E-2</v>
      </c>
      <c r="U32" s="17">
        <f t="shared" si="45"/>
        <v>9.2221291924420926E-2</v>
      </c>
      <c r="V32" s="17">
        <f t="shared" si="45"/>
        <v>9.5207861578712943E-2</v>
      </c>
      <c r="W32" s="17">
        <f t="shared" si="45"/>
        <v>9.8457103140880783E-2</v>
      </c>
      <c r="X32" s="17">
        <f t="shared" si="45"/>
        <v>0.10209899037450984</v>
      </c>
      <c r="Y32" s="17">
        <f t="shared" si="45"/>
        <v>0.10605475167051057</v>
      </c>
      <c r="Z32" s="17">
        <f t="shared" si="45"/>
        <v>0.11023873430519671</v>
      </c>
      <c r="AA32" s="17">
        <f t="shared" si="45"/>
        <v>0.11462550025796608</v>
      </c>
      <c r="AB32" s="17">
        <f t="shared" si="45"/>
        <v>0.119273805850845</v>
      </c>
      <c r="AC32" s="17">
        <f t="shared" si="45"/>
        <v>0.12399176744849086</v>
      </c>
      <c r="AD32" s="17">
        <f t="shared" si="45"/>
        <v>0.12872932157645398</v>
      </c>
      <c r="AE32" s="17">
        <f t="shared" si="45"/>
        <v>0.13361644448660986</v>
      </c>
      <c r="AF32" s="17">
        <f t="shared" si="45"/>
        <v>0.13843243838488728</v>
      </c>
      <c r="AG32" s="17">
        <f t="shared" si="45"/>
        <v>0.14342824341921939</v>
      </c>
      <c r="AH32" s="17">
        <f t="shared" si="45"/>
        <v>0.14866635233441022</v>
      </c>
      <c r="AI32" s="17">
        <f t="shared" si="45"/>
        <v>0.15416696172548378</v>
      </c>
      <c r="AJ32" s="17">
        <f t="shared" si="45"/>
        <v>0.15994514308150071</v>
      </c>
      <c r="AK32" s="17">
        <f t="shared" si="45"/>
        <v>0.16562526850484574</v>
      </c>
      <c r="AL32" s="17">
        <f t="shared" si="45"/>
        <v>0.17158785291940126</v>
      </c>
      <c r="AM32" s="17">
        <f t="shared" si="45"/>
        <v>0.17797914693951</v>
      </c>
      <c r="AN32" s="17">
        <f t="shared" si="45"/>
        <v>0.18474930806330114</v>
      </c>
      <c r="AO32" s="17">
        <f t="shared" si="46"/>
        <v>0.19142128747724094</v>
      </c>
      <c r="AP32" s="17">
        <f t="shared" si="46"/>
        <v>0.19796771033409205</v>
      </c>
      <c r="AQ32" s="17">
        <f t="shared" si="46"/>
        <v>0.20436088944097014</v>
      </c>
      <c r="AR32" s="17">
        <f t="shared" si="46"/>
        <v>0.21057299904865343</v>
      </c>
      <c r="AS32" s="17">
        <f t="shared" si="46"/>
        <v>0.21657627063774509</v>
      </c>
      <c r="AT32" s="17">
        <f t="shared" si="46"/>
        <v>0.22234319499283986</v>
      </c>
      <c r="AU32" s="17">
        <f t="shared" si="46"/>
        <v>0.22784672859883154</v>
      </c>
      <c r="AV32" s="17">
        <f t="shared" si="46"/>
        <v>0.23306050227066832</v>
      </c>
      <c r="AW32" s="17">
        <f t="shared" si="46"/>
        <v>0.23795902983086356</v>
      </c>
      <c r="AX32" s="17">
        <f t="shared" si="46"/>
        <v>0.24251791458037844</v>
      </c>
      <c r="AY32" s="17">
        <f t="shared" si="46"/>
        <v>0.24671405127015605</v>
      </c>
      <c r="AZ32" s="17">
        <f t="shared" si="46"/>
        <v>0.25052582127416884</v>
      </c>
      <c r="BA32" s="17">
        <f t="shared" si="46"/>
        <v>0.25393327869138488</v>
      </c>
      <c r="BB32" s="17">
        <f t="shared" si="46"/>
        <v>0.25691832516404151</v>
      </c>
      <c r="BC32" s="17">
        <f t="shared" si="46"/>
        <v>0.25946487129292689</v>
      </c>
      <c r="BD32" s="17">
        <f t="shared" si="46"/>
        <v>0.26155898265629096</v>
      </c>
      <c r="BE32" s="17">
        <f t="shared" si="46"/>
        <v>0.26318900859622313</v>
      </c>
      <c r="BF32" s="17">
        <f t="shared" si="46"/>
        <v>0.26434569212293085</v>
      </c>
      <c r="BG32" s="17">
        <f t="shared" si="46"/>
        <v>0.26502225950084529</v>
      </c>
      <c r="BH32" s="17">
        <f t="shared" si="46"/>
        <v>0.26521448831786609</v>
      </c>
    </row>
    <row r="33" spans="1:60" x14ac:dyDescent="0.25">
      <c r="A33" t="s">
        <v>72</v>
      </c>
      <c r="B33">
        <f t="shared" ref="B33:J33" si="47">SUM(B12:B32)</f>
        <v>4032.0433682922144</v>
      </c>
      <c r="C33">
        <f t="shared" si="47"/>
        <v>4135.6011269326036</v>
      </c>
      <c r="D33">
        <f t="shared" si="47"/>
        <v>4214.562053089453</v>
      </c>
      <c r="E33">
        <f t="shared" si="47"/>
        <v>4269.9104508291794</v>
      </c>
      <c r="F33">
        <f t="shared" si="47"/>
        <v>4306.3530098044157</v>
      </c>
      <c r="G33">
        <f t="shared" si="47"/>
        <v>4369.2882721535743</v>
      </c>
      <c r="H33">
        <f t="shared" si="47"/>
        <v>4424.2547121291227</v>
      </c>
      <c r="I33">
        <f t="shared" si="47"/>
        <v>4454.7099999999982</v>
      </c>
      <c r="J33">
        <f t="shared" si="47"/>
        <v>4168.5599999999986</v>
      </c>
      <c r="K33" s="17">
        <f t="shared" ref="K33:AN33" si="48">(1+K2)*J33</f>
        <v>4364.6099639706981</v>
      </c>
      <c r="L33" s="17">
        <f t="shared" si="48"/>
        <v>4447.9917419918038</v>
      </c>
      <c r="M33" s="17">
        <f t="shared" si="48"/>
        <v>4456.8877254757872</v>
      </c>
      <c r="N33" s="17">
        <f t="shared" si="48"/>
        <v>4501.4566027305455</v>
      </c>
      <c r="O33" s="17">
        <f t="shared" si="48"/>
        <v>4550.9726253605813</v>
      </c>
      <c r="P33" s="17">
        <f t="shared" si="48"/>
        <v>4614.6862421156293</v>
      </c>
      <c r="Q33" s="17">
        <f t="shared" si="48"/>
        <v>4688.5212219894793</v>
      </c>
      <c r="R33" s="17">
        <f t="shared" si="48"/>
        <v>4772.9146039852903</v>
      </c>
      <c r="S33" s="17">
        <f t="shared" si="48"/>
        <v>4878.070132613926</v>
      </c>
      <c r="T33" s="17">
        <f t="shared" si="48"/>
        <v>5005.9651047671477</v>
      </c>
      <c r="U33" s="17">
        <f t="shared" si="48"/>
        <v>5153.0324316926435</v>
      </c>
      <c r="V33" s="17">
        <f t="shared" si="48"/>
        <v>5308.0229668226248</v>
      </c>
      <c r="W33" s="17">
        <f t="shared" si="48"/>
        <v>5472.4533377768985</v>
      </c>
      <c r="X33" s="17">
        <f t="shared" si="48"/>
        <v>5660.5192636897445</v>
      </c>
      <c r="Y33" s="17">
        <f t="shared" si="48"/>
        <v>5859.7961117765799</v>
      </c>
      <c r="Z33" s="17">
        <f t="shared" si="48"/>
        <v>6071.0034498502237</v>
      </c>
      <c r="AA33" s="17">
        <f t="shared" si="48"/>
        <v>6295.6731854549635</v>
      </c>
      <c r="AB33" s="17">
        <f t="shared" si="48"/>
        <v>6530.8539953308991</v>
      </c>
      <c r="AC33" s="17">
        <f t="shared" si="48"/>
        <v>6769.6579855924438</v>
      </c>
      <c r="AD33" s="17">
        <f t="shared" si="48"/>
        <v>7009.3621264260109</v>
      </c>
      <c r="AE33" s="17">
        <f t="shared" si="48"/>
        <v>7260.0580965216441</v>
      </c>
      <c r="AF33" s="17">
        <f t="shared" si="48"/>
        <v>7507.1137479970703</v>
      </c>
      <c r="AG33" s="17">
        <f t="shared" si="48"/>
        <v>7763.5223358550811</v>
      </c>
      <c r="AH33" s="17">
        <f t="shared" si="48"/>
        <v>8032.5939218411158</v>
      </c>
      <c r="AI33" s="17">
        <f t="shared" si="48"/>
        <v>8315.2600771548477</v>
      </c>
      <c r="AJ33" s="17">
        <f t="shared" si="48"/>
        <v>8612.4237117862249</v>
      </c>
      <c r="AK33" s="17">
        <f t="shared" si="48"/>
        <v>8904.4869342834081</v>
      </c>
      <c r="AL33" s="17">
        <f t="shared" si="48"/>
        <v>9211.182874958502</v>
      </c>
      <c r="AM33" s="17">
        <f t="shared" si="48"/>
        <v>9540.2377698779001</v>
      </c>
      <c r="AN33" s="17">
        <f t="shared" si="48"/>
        <v>9888.9995639134049</v>
      </c>
      <c r="AO33" s="17">
        <f t="shared" ref="AO33:BH33" si="49">(1+AO2)*AN33</f>
        <v>10232.69437452425</v>
      </c>
      <c r="AP33" s="17">
        <f t="shared" si="49"/>
        <v>10569.898523985612</v>
      </c>
      <c r="AQ33" s="17">
        <f t="shared" si="49"/>
        <v>10899.171371237262</v>
      </c>
      <c r="AR33" s="17">
        <f t="shared" si="49"/>
        <v>11219.065073954267</v>
      </c>
      <c r="AS33" s="17">
        <f t="shared" si="49"/>
        <v>11528.134772360265</v>
      </c>
      <c r="AT33" s="17">
        <f t="shared" si="49"/>
        <v>11824.949100114161</v>
      </c>
      <c r="AU33" s="17">
        <f t="shared" si="49"/>
        <v>12108.100920015293</v>
      </c>
      <c r="AV33" s="17">
        <f t="shared" si="49"/>
        <v>12376.218175882921</v>
      </c>
      <c r="AW33" s="17">
        <f t="shared" si="49"/>
        <v>12627.974746920552</v>
      </c>
      <c r="AX33" s="17">
        <f t="shared" si="49"/>
        <v>12862.101187302553</v>
      </c>
      <c r="AY33" s="17">
        <f t="shared" si="49"/>
        <v>13077.395231726432</v>
      </c>
      <c r="AZ33" s="17">
        <f t="shared" si="49"/>
        <v>13272.731947340333</v>
      </c>
      <c r="BA33" s="17">
        <f t="shared" si="49"/>
        <v>13447.073413835968</v>
      </c>
      <c r="BB33" s="17">
        <f t="shared" si="49"/>
        <v>13599.477816617282</v>
      </c>
      <c r="BC33" s="17">
        <f t="shared" si="49"/>
        <v>13729.107842808742</v>
      </c>
      <c r="BD33" s="17">
        <f t="shared" si="49"/>
        <v>13835.238276416972</v>
      </c>
      <c r="BE33" s="17">
        <f t="shared" si="49"/>
        <v>13917.262697137185</v>
      </c>
      <c r="BF33" s="17">
        <f t="shared" si="49"/>
        <v>13974.699197001581</v>
      </c>
      <c r="BG33" s="17">
        <f t="shared" si="49"/>
        <v>14007.195040171955</v>
      </c>
      <c r="BH33" s="17">
        <f t="shared" si="49"/>
        <v>14014.530203526232</v>
      </c>
    </row>
    <row r="34" spans="1:60" x14ac:dyDescent="0.25">
      <c r="A34" t="s">
        <v>73</v>
      </c>
      <c r="C34" s="1">
        <f>C33/B33-1</f>
        <v>2.5683691662337305E-2</v>
      </c>
      <c r="D34" s="1">
        <f t="shared" ref="D34:AN34" si="50">D33/C33-1</f>
        <v>1.9092974330291668E-2</v>
      </c>
      <c r="E34" s="1">
        <f t="shared" si="50"/>
        <v>1.3132656974205403E-2</v>
      </c>
      <c r="F34" s="1">
        <f t="shared" si="50"/>
        <v>8.534736125006992E-3</v>
      </c>
      <c r="G34" s="1">
        <f t="shared" si="50"/>
        <v>1.4614515392925798E-2</v>
      </c>
      <c r="H34" s="1">
        <f t="shared" si="50"/>
        <v>1.2580181611238972E-2</v>
      </c>
      <c r="I34" s="1">
        <f t="shared" si="50"/>
        <v>6.8837103314558501E-3</v>
      </c>
      <c r="J34" s="1">
        <f t="shared" si="50"/>
        <v>-6.4235382325673274E-2</v>
      </c>
      <c r="K34" s="1">
        <f t="shared" si="50"/>
        <v>4.7030620638949472E-2</v>
      </c>
      <c r="L34" s="1">
        <f t="shared" si="50"/>
        <v>1.9104061693808072E-2</v>
      </c>
      <c r="M34" s="1">
        <f t="shared" si="50"/>
        <v>2.0000000000000018E-3</v>
      </c>
      <c r="N34" s="1">
        <f t="shared" si="50"/>
        <v>1.0000000000000009E-2</v>
      </c>
      <c r="O34" s="1">
        <f t="shared" si="50"/>
        <v>1.0999999999999899E-2</v>
      </c>
      <c r="P34" s="1">
        <f t="shared" si="50"/>
        <v>1.4000000000000012E-2</v>
      </c>
      <c r="Q34" s="1">
        <f t="shared" si="50"/>
        <v>1.6000000000000014E-2</v>
      </c>
      <c r="R34" s="1">
        <f t="shared" si="50"/>
        <v>1.8000000000000016E-2</v>
      </c>
      <c r="S34" s="1">
        <f t="shared" si="50"/>
        <v>2.2031722197759951E-2</v>
      </c>
      <c r="T34" s="1">
        <f t="shared" si="50"/>
        <v>2.6218354528799948E-2</v>
      </c>
      <c r="U34" s="1">
        <f t="shared" si="50"/>
        <v>2.9378416318852185E-2</v>
      </c>
      <c r="V34" s="1">
        <f t="shared" si="50"/>
        <v>3.0077539232383765E-2</v>
      </c>
      <c r="W34" s="1">
        <f t="shared" si="50"/>
        <v>3.0977705255239574E-2</v>
      </c>
      <c r="X34" s="1">
        <f t="shared" si="50"/>
        <v>3.4365925902850147E-2</v>
      </c>
      <c r="Y34" s="1">
        <f t="shared" si="50"/>
        <v>3.5204693916532914E-2</v>
      </c>
      <c r="Z34" s="1">
        <f t="shared" si="50"/>
        <v>3.6043461930215459E-2</v>
      </c>
      <c r="AA34" s="1">
        <f t="shared" si="50"/>
        <v>3.7007018273113035E-2</v>
      </c>
      <c r="AB34" s="1">
        <f t="shared" si="50"/>
        <v>3.7355943192743712E-2</v>
      </c>
      <c r="AC34" s="1">
        <f t="shared" si="50"/>
        <v>3.6565507425563748E-2</v>
      </c>
      <c r="AD34" s="1">
        <f t="shared" si="50"/>
        <v>3.540860429636461E-2</v>
      </c>
      <c r="AE34" s="1">
        <f t="shared" si="50"/>
        <v>3.5765875064506014E-2</v>
      </c>
      <c r="AF34" s="1">
        <f t="shared" si="50"/>
        <v>3.4029431747081063E-2</v>
      </c>
      <c r="AG34" s="1">
        <f t="shared" si="50"/>
        <v>3.4155415312099313E-2</v>
      </c>
      <c r="AH34" s="1">
        <f t="shared" si="50"/>
        <v>3.4658441664211281E-2</v>
      </c>
      <c r="AI34" s="1">
        <f t="shared" si="50"/>
        <v>3.5189897318865571E-2</v>
      </c>
      <c r="AJ34" s="1">
        <f t="shared" si="50"/>
        <v>3.5737142539630007E-2</v>
      </c>
      <c r="AK34" s="1">
        <f t="shared" si="50"/>
        <v>3.3911850167972046E-2</v>
      </c>
      <c r="AL34" s="1">
        <f t="shared" si="50"/>
        <v>3.4442853691466047E-2</v>
      </c>
      <c r="AM34" s="1">
        <f t="shared" si="50"/>
        <v>3.572341352748154E-2</v>
      </c>
      <c r="AN34" s="1">
        <f t="shared" si="50"/>
        <v>3.6556928920228327E-2</v>
      </c>
      <c r="AO34" s="1">
        <f t="shared" ref="AO34" si="51">AO33/AN33-1</f>
        <v>3.4755266029644183E-2</v>
      </c>
      <c r="AP34" s="1">
        <f t="shared" ref="AP34" si="52">AP33/AO33-1</f>
        <v>3.2953603139059817E-2</v>
      </c>
      <c r="AQ34" s="1">
        <f t="shared" ref="AQ34" si="53">AQ33/AP33-1</f>
        <v>3.1151940248475674E-2</v>
      </c>
      <c r="AR34" s="1">
        <f t="shared" ref="AR34" si="54">AR33/AQ33-1</f>
        <v>2.935027735789153E-2</v>
      </c>
      <c r="AS34" s="1">
        <f t="shared" ref="AS34" si="55">AS33/AR33-1</f>
        <v>2.7548614467307164E-2</v>
      </c>
      <c r="AT34" s="1">
        <f t="shared" ref="AT34" si="56">AT33/AS33-1</f>
        <v>2.5746951576723021E-2</v>
      </c>
      <c r="AU34" s="1">
        <f t="shared" ref="AU34" si="57">AU33/AT33-1</f>
        <v>2.3945288686138877E-2</v>
      </c>
      <c r="AV34" s="1">
        <f t="shared" ref="AV34" si="58">AV33/AU33-1</f>
        <v>2.2143625795554511E-2</v>
      </c>
      <c r="AW34" s="1">
        <f t="shared" ref="AW34" si="59">AW33/AV33-1</f>
        <v>2.0341962904970368E-2</v>
      </c>
      <c r="AX34" s="1">
        <f t="shared" ref="AX34" si="60">AX33/AW33-1</f>
        <v>1.8540300014386224E-2</v>
      </c>
      <c r="AY34" s="1">
        <f t="shared" ref="AY34" si="61">AY33/AX33-1</f>
        <v>1.6738637123801858E-2</v>
      </c>
      <c r="AZ34" s="1">
        <f t="shared" ref="AZ34" si="62">AZ33/AY33-1</f>
        <v>1.4936974233217715E-2</v>
      </c>
      <c r="BA34" s="1">
        <f t="shared" ref="BA34" si="63">BA33/AZ33-1</f>
        <v>1.3135311342633571E-2</v>
      </c>
      <c r="BB34" s="1">
        <f t="shared" ref="BB34" si="64">BB33/BA33-1</f>
        <v>1.1333648452049205E-2</v>
      </c>
      <c r="BC34" s="1">
        <f t="shared" ref="BC34" si="65">BC33/BB33-1</f>
        <v>9.5319855614650617E-3</v>
      </c>
      <c r="BD34" s="1">
        <f t="shared" ref="BD34" si="66">BD33/BC33-1</f>
        <v>7.730322670880696E-3</v>
      </c>
      <c r="BE34" s="1">
        <f t="shared" ref="BE34" si="67">BE33/BD33-1</f>
        <v>5.9286597802965524E-3</v>
      </c>
      <c r="BF34" s="1">
        <f t="shared" ref="BF34" si="68">BF33/BE33-1</f>
        <v>4.1269968897124087E-3</v>
      </c>
      <c r="BG34" s="1">
        <f t="shared" ref="BG34" si="69">BG33/BF33-1</f>
        <v>2.3253339991280431E-3</v>
      </c>
      <c r="BH34" s="1">
        <f t="shared" ref="BH34" si="70">BH33/BG33-1</f>
        <v>5.2367110854389942E-4</v>
      </c>
    </row>
    <row r="35" spans="1:60" x14ac:dyDescent="0.25">
      <c r="A35" t="s">
        <v>84</v>
      </c>
      <c r="I35" s="17">
        <f>I33-I12-I13-I14-I28</f>
        <v>1293.8699999999981</v>
      </c>
      <c r="J35" s="17">
        <f t="shared" ref="J35:AN35" si="71">J33-J12-J13-J14-J28</f>
        <v>1197.5199999999988</v>
      </c>
      <c r="K35" s="17">
        <f t="shared" si="71"/>
        <v>1249.3222398012456</v>
      </c>
      <c r="L35" s="17">
        <f t="shared" si="71"/>
        <v>1275.6924030451664</v>
      </c>
      <c r="M35" s="17">
        <f t="shared" si="71"/>
        <v>1277.9221293585026</v>
      </c>
      <c r="N35" s="17">
        <f t="shared" si="71"/>
        <v>1290.9663786109268</v>
      </c>
      <c r="O35" s="17">
        <f t="shared" si="71"/>
        <v>1304.8830608205526</v>
      </c>
      <c r="P35" s="17">
        <f t="shared" si="71"/>
        <v>1325.4521178672283</v>
      </c>
      <c r="Q35" s="17">
        <f t="shared" si="71"/>
        <v>1348.7058928300073</v>
      </c>
      <c r="R35" s="17">
        <f t="shared" si="71"/>
        <v>1374.1699537413781</v>
      </c>
      <c r="S35" s="17">
        <f t="shared" si="71"/>
        <v>1406.2561391311092</v>
      </c>
      <c r="T35" s="17">
        <f t="shared" si="71"/>
        <v>1445.3018399584248</v>
      </c>
      <c r="U35" s="17">
        <f t="shared" si="71"/>
        <v>1491.5295372781291</v>
      </c>
      <c r="V35" s="17">
        <f t="shared" si="71"/>
        <v>1539.8324482606142</v>
      </c>
      <c r="W35" s="17">
        <f t="shared" si="71"/>
        <v>1592.3836505111403</v>
      </c>
      <c r="X35" s="17">
        <f t="shared" si="71"/>
        <v>1651.2852584483358</v>
      </c>
      <c r="Y35" s="17">
        <f t="shared" si="71"/>
        <v>1715.2632692990412</v>
      </c>
      <c r="Z35" s="17">
        <f t="shared" si="71"/>
        <v>1782.9323894433082</v>
      </c>
      <c r="AA35" s="17">
        <f t="shared" si="71"/>
        <v>1853.8812002346795</v>
      </c>
      <c r="AB35" s="17">
        <f t="shared" si="71"/>
        <v>1929.0599897029074</v>
      </c>
      <c r="AC35" s="17">
        <f t="shared" si="71"/>
        <v>2005.3653518572328</v>
      </c>
      <c r="AD35" s="17">
        <f t="shared" si="71"/>
        <v>2081.9875913515784</v>
      </c>
      <c r="AE35" s="17">
        <f t="shared" si="71"/>
        <v>2161.0288628486205</v>
      </c>
      <c r="AF35" s="17">
        <f t="shared" si="71"/>
        <v>2238.919738163173</v>
      </c>
      <c r="AG35" s="17">
        <f t="shared" si="71"/>
        <v>2319.7187664103139</v>
      </c>
      <c r="AH35" s="17">
        <f t="shared" si="71"/>
        <v>2404.4366661865383</v>
      </c>
      <c r="AI35" s="17">
        <f t="shared" si="71"/>
        <v>2493.4000845968926</v>
      </c>
      <c r="AJ35" s="17">
        <f t="shared" si="71"/>
        <v>2586.8527784857629</v>
      </c>
      <c r="AK35" s="17">
        <f t="shared" si="71"/>
        <v>2678.7195770045555</v>
      </c>
      <c r="AL35" s="17">
        <f t="shared" si="71"/>
        <v>2775.1546907103175</v>
      </c>
      <c r="AM35" s="17">
        <f t="shared" si="71"/>
        <v>2878.5234856327934</v>
      </c>
      <c r="AN35" s="17">
        <f t="shared" si="71"/>
        <v>2988.0198402982887</v>
      </c>
      <c r="AO35" s="17">
        <f t="shared" ref="AO35:BH35" si="72">AO33-AO12-AO13-AO14-AO28</f>
        <v>3095.9282653522168</v>
      </c>
      <c r="AP35" s="17">
        <f t="shared" si="72"/>
        <v>3201.8060171246411</v>
      </c>
      <c r="AQ35" s="17">
        <f t="shared" si="72"/>
        <v>3305.2053002623456</v>
      </c>
      <c r="AR35" s="17">
        <f t="shared" si="72"/>
        <v>3405.67607848851</v>
      </c>
      <c r="AS35" s="17">
        <f t="shared" si="72"/>
        <v>3502.7692411257353</v>
      </c>
      <c r="AT35" s="17">
        <f t="shared" si="72"/>
        <v>3596.0398713173158</v>
      </c>
      <c r="AU35" s="17">
        <f t="shared" si="72"/>
        <v>3685.0505841521217</v>
      </c>
      <c r="AV35" s="17">
        <f t="shared" si="72"/>
        <v>3769.3749009118646</v>
      </c>
      <c r="AW35" s="17">
        <f t="shared" si="72"/>
        <v>3848.6006240907373</v>
      </c>
      <c r="AX35" s="17">
        <f t="shared" si="72"/>
        <v>3922.3331767264222</v>
      </c>
      <c r="AY35" s="17">
        <f t="shared" si="72"/>
        <v>3990.1988689614541</v>
      </c>
      <c r="AZ35" s="17">
        <f t="shared" si="72"/>
        <v>4051.8480546501046</v>
      </c>
      <c r="BA35" s="17">
        <f t="shared" si="72"/>
        <v>4106.9581412552707</v>
      </c>
      <c r="BB35" s="17">
        <f t="shared" si="72"/>
        <v>4155.2364172499738</v>
      </c>
      <c r="BC35" s="17">
        <f t="shared" si="72"/>
        <v>4196.4226627472353</v>
      </c>
      <c r="BD35" s="17">
        <f t="shared" si="72"/>
        <v>4230.291511118684</v>
      </c>
      <c r="BE35" s="17">
        <f t="shared" si="72"/>
        <v>4256.6545319049337</v>
      </c>
      <c r="BF35" s="17">
        <f t="shared" si="72"/>
        <v>4275.3620083387004</v>
      </c>
      <c r="BG35" s="17">
        <f t="shared" si="72"/>
        <v>4286.3043862544773</v>
      </c>
      <c r="BH35" s="17">
        <f t="shared" si="72"/>
        <v>4289.413374997961</v>
      </c>
    </row>
    <row r="36" spans="1:60" x14ac:dyDescent="0.25">
      <c r="A36" t="s">
        <v>86</v>
      </c>
      <c r="I36" s="17"/>
      <c r="J36" s="17"/>
      <c r="K36" s="17"/>
      <c r="L36" s="1">
        <f>L35/K35-1</f>
        <v>2.1107575294678327E-2</v>
      </c>
      <c r="M36" s="1">
        <f t="shared" ref="M36:AN36" si="73">M35/L35-1</f>
        <v>1.7478557589696297E-3</v>
      </c>
      <c r="N36" s="1">
        <f t="shared" si="73"/>
        <v>1.0207389756191398E-2</v>
      </c>
      <c r="O36" s="1">
        <f t="shared" si="73"/>
        <v>1.0780050077369152E-2</v>
      </c>
      <c r="P36" s="1">
        <f t="shared" si="73"/>
        <v>1.5763142050247092E-2</v>
      </c>
      <c r="Q36" s="1">
        <f t="shared" si="73"/>
        <v>1.7544032446978441E-2</v>
      </c>
      <c r="R36" s="1">
        <f t="shared" si="73"/>
        <v>1.8880366021045036E-2</v>
      </c>
      <c r="S36" s="1">
        <f t="shared" si="73"/>
        <v>2.3349502950760881E-2</v>
      </c>
      <c r="T36" s="1">
        <f t="shared" si="73"/>
        <v>2.7765710485318174E-2</v>
      </c>
      <c r="U36" s="1">
        <f t="shared" si="73"/>
        <v>3.1984804863345317E-2</v>
      </c>
      <c r="V36" s="1">
        <f t="shared" si="73"/>
        <v>3.2384816911257719E-2</v>
      </c>
      <c r="W36" s="1">
        <f t="shared" si="73"/>
        <v>3.4127870412061778E-2</v>
      </c>
      <c r="X36" s="1">
        <f t="shared" si="73"/>
        <v>3.6989583457660125E-2</v>
      </c>
      <c r="Y36" s="1">
        <f t="shared" si="73"/>
        <v>3.8744372314462261E-2</v>
      </c>
      <c r="Z36" s="1">
        <f t="shared" si="73"/>
        <v>3.9451156773106177E-2</v>
      </c>
      <c r="AA36" s="1">
        <f t="shared" si="73"/>
        <v>3.9793326550943364E-2</v>
      </c>
      <c r="AB36" s="1">
        <f t="shared" si="73"/>
        <v>4.0552107361955692E-2</v>
      </c>
      <c r="AC36" s="1">
        <f t="shared" si="73"/>
        <v>3.9555722767375956E-2</v>
      </c>
      <c r="AD36" s="1">
        <f t="shared" si="73"/>
        <v>3.8208618406308625E-2</v>
      </c>
      <c r="AE36" s="1">
        <f t="shared" si="73"/>
        <v>3.7964333613405676E-2</v>
      </c>
      <c r="AF36" s="1">
        <f t="shared" si="73"/>
        <v>3.6043422026246441E-2</v>
      </c>
      <c r="AG36" s="1">
        <f t="shared" si="73"/>
        <v>3.6088398735288907E-2</v>
      </c>
      <c r="AH36" s="1">
        <f t="shared" si="73"/>
        <v>3.6520763207568585E-2</v>
      </c>
      <c r="AI36" s="1">
        <f t="shared" si="73"/>
        <v>3.6999692968187503E-2</v>
      </c>
      <c r="AJ36" s="1">
        <f t="shared" si="73"/>
        <v>3.7480023549441244E-2</v>
      </c>
      <c r="AK36" s="1">
        <f t="shared" si="73"/>
        <v>3.551295971801216E-2</v>
      </c>
      <c r="AL36" s="1">
        <f t="shared" si="73"/>
        <v>3.6000451310248538E-2</v>
      </c>
      <c r="AM36" s="1">
        <f t="shared" si="73"/>
        <v>3.7247939824218701E-2</v>
      </c>
      <c r="AN36" s="1">
        <f t="shared" si="73"/>
        <v>3.803906940902535E-2</v>
      </c>
      <c r="AO36" s="1">
        <f t="shared" ref="AO36" si="74">AO35/AN35-1</f>
        <v>3.6113690946294241E-2</v>
      </c>
      <c r="AP36" s="1">
        <f t="shared" ref="AP36" si="75">AP35/AO35-1</f>
        <v>3.4199032631778037E-2</v>
      </c>
      <c r="AQ36" s="1">
        <f t="shared" ref="AQ36" si="76">AQ35/AP35-1</f>
        <v>3.2294049853326623E-2</v>
      </c>
      <c r="AR36" s="1">
        <f t="shared" ref="AR36" si="77">AR35/AQ35-1</f>
        <v>3.0397742076169854E-2</v>
      </c>
      <c r="AS36" s="1">
        <f t="shared" ref="AS36" si="78">AS35/AR35-1</f>
        <v>2.8509218257867008E-2</v>
      </c>
      <c r="AT36" s="1">
        <f t="shared" ref="AT36" si="79">AT35/AS35-1</f>
        <v>2.6627683347363318E-2</v>
      </c>
      <c r="AU36" s="1">
        <f t="shared" ref="AU36" si="80">AU35/AT35-1</f>
        <v>2.4752426563668495E-2</v>
      </c>
      <c r="AV36" s="1">
        <f t="shared" ref="AV36" si="81">AV35/AU35-1</f>
        <v>2.2882811194610664E-2</v>
      </c>
      <c r="AW36" s="1">
        <f t="shared" ref="AW36" si="82">AW35/AV35-1</f>
        <v>2.1018265696974625E-2</v>
      </c>
      <c r="AX36" s="1">
        <f t="shared" ref="AX36" si="83">AX35/AW35-1</f>
        <v>1.9158275913106593E-2</v>
      </c>
      <c r="AY36" s="1">
        <f t="shared" ref="AY36" si="84">AY35/AX35-1</f>
        <v>1.7302378247141315E-2</v>
      </c>
      <c r="AZ36" s="1">
        <f t="shared" ref="AZ36" si="85">AZ35/AY35-1</f>
        <v>1.5450153667327493E-2</v>
      </c>
      <c r="BA36" s="1">
        <f t="shared" ref="BA36" si="86">BA35/AZ35-1</f>
        <v>1.3601222420450476E-2</v>
      </c>
      <c r="BB36" s="1">
        <f t="shared" ref="BB36" si="87">BB35/BA35-1</f>
        <v>1.1755239360668801E-2</v>
      </c>
      <c r="BC36" s="1">
        <f t="shared" ref="BC36" si="88">BC35/BB35-1</f>
        <v>9.9118898087919849E-3</v>
      </c>
      <c r="BD36" s="1">
        <f t="shared" ref="BD36" si="89">BD35/BC35-1</f>
        <v>8.0708858695552887E-3</v>
      </c>
      <c r="BE36" s="1">
        <f t="shared" ref="BE36" si="90">BE35/BD35-1</f>
        <v>6.2319631441376533E-3</v>
      </c>
      <c r="BF36" s="1">
        <f t="shared" ref="BF36" si="91">BF35/BE35-1</f>
        <v>4.394877783373774E-3</v>
      </c>
      <c r="BG36" s="1">
        <f t="shared" ref="BG36" si="92">BG35/BF35-1</f>
        <v>2.559403833975793E-3</v>
      </c>
      <c r="BH36" s="1">
        <f t="shared" ref="BH36" si="93">BH35/BG35-1</f>
        <v>7.2533083591874714E-4</v>
      </c>
    </row>
    <row r="37" spans="1:60" x14ac:dyDescent="0.25">
      <c r="A37" t="s">
        <v>85</v>
      </c>
      <c r="K37" s="17">
        <f t="shared" ref="K37:AN37" si="94">SUM(K12:K32)</f>
        <v>4364.6099639707018</v>
      </c>
      <c r="L37" s="17">
        <f t="shared" si="94"/>
        <v>4447.9917419918065</v>
      </c>
      <c r="M37" s="17">
        <f t="shared" si="94"/>
        <v>4456.887725475789</v>
      </c>
      <c r="N37" s="17">
        <f t="shared" si="94"/>
        <v>4501.4566027305473</v>
      </c>
      <c r="O37" s="17">
        <f t="shared" si="94"/>
        <v>4550.9726253605832</v>
      </c>
      <c r="P37" s="17">
        <f t="shared" si="94"/>
        <v>4614.6862421156311</v>
      </c>
      <c r="Q37" s="17">
        <f t="shared" si="94"/>
        <v>4688.5212219894811</v>
      </c>
      <c r="R37" s="17">
        <f t="shared" si="94"/>
        <v>4772.9146039852922</v>
      </c>
      <c r="S37" s="17">
        <f t="shared" si="94"/>
        <v>4878.0701326139279</v>
      </c>
      <c r="T37" s="17">
        <f t="shared" si="94"/>
        <v>5005.9651047671477</v>
      </c>
      <c r="U37" s="17">
        <f t="shared" si="94"/>
        <v>5153.0324316926453</v>
      </c>
      <c r="V37" s="17">
        <f t="shared" si="94"/>
        <v>5308.0229668226275</v>
      </c>
      <c r="W37" s="17">
        <f t="shared" si="94"/>
        <v>5472.4533377769012</v>
      </c>
      <c r="X37" s="17">
        <f t="shared" si="94"/>
        <v>5660.5192636897464</v>
      </c>
      <c r="Y37" s="17">
        <f t="shared" si="94"/>
        <v>5859.7961117765835</v>
      </c>
      <c r="Z37" s="17">
        <f t="shared" si="94"/>
        <v>6071.0034498502273</v>
      </c>
      <c r="AA37" s="17">
        <f t="shared" si="94"/>
        <v>6295.6731854549653</v>
      </c>
      <c r="AB37" s="17">
        <f t="shared" si="94"/>
        <v>6530.8539953309019</v>
      </c>
      <c r="AC37" s="17">
        <f t="shared" si="94"/>
        <v>6769.6579855924483</v>
      </c>
      <c r="AD37" s="17">
        <f t="shared" si="94"/>
        <v>7009.3621264260146</v>
      </c>
      <c r="AE37" s="17">
        <f t="shared" si="94"/>
        <v>7260.0580965216486</v>
      </c>
      <c r="AF37" s="17">
        <f t="shared" si="94"/>
        <v>7507.1137479970748</v>
      </c>
      <c r="AG37" s="17">
        <f t="shared" si="94"/>
        <v>7763.5223358550838</v>
      </c>
      <c r="AH37" s="17">
        <f t="shared" si="94"/>
        <v>8032.5939218411213</v>
      </c>
      <c r="AI37" s="17">
        <f t="shared" si="94"/>
        <v>8315.2600771548532</v>
      </c>
      <c r="AJ37" s="17">
        <f t="shared" si="94"/>
        <v>8612.4237117862303</v>
      </c>
      <c r="AK37" s="17">
        <f t="shared" si="94"/>
        <v>8904.4869342834081</v>
      </c>
      <c r="AL37" s="17">
        <f t="shared" si="94"/>
        <v>9211.1828749585075</v>
      </c>
      <c r="AM37" s="17">
        <f t="shared" si="94"/>
        <v>9540.2377698779001</v>
      </c>
      <c r="AN37" s="17">
        <f t="shared" si="94"/>
        <v>9888.9995639134086</v>
      </c>
      <c r="AO37" s="17">
        <f t="shared" ref="AO37:BH37" si="95">SUM(AO12:AO32)</f>
        <v>10232.694374524253</v>
      </c>
      <c r="AP37" s="17">
        <f t="shared" si="95"/>
        <v>10569.898523985616</v>
      </c>
      <c r="AQ37" s="17">
        <f t="shared" si="95"/>
        <v>10899.171371237266</v>
      </c>
      <c r="AR37" s="17">
        <f t="shared" si="95"/>
        <v>11219.065073954274</v>
      </c>
      <c r="AS37" s="17">
        <f t="shared" si="95"/>
        <v>11528.134772360265</v>
      </c>
      <c r="AT37" s="17">
        <f t="shared" si="95"/>
        <v>11824.949100114169</v>
      </c>
      <c r="AU37" s="17">
        <f t="shared" si="95"/>
        <v>12108.100920015302</v>
      </c>
      <c r="AV37" s="17">
        <f t="shared" si="95"/>
        <v>12376.218175882928</v>
      </c>
      <c r="AW37" s="17">
        <f t="shared" si="95"/>
        <v>12627.974746920558</v>
      </c>
      <c r="AX37" s="17">
        <f t="shared" si="95"/>
        <v>12862.10118730256</v>
      </c>
      <c r="AY37" s="17">
        <f t="shared" si="95"/>
        <v>13077.395231726434</v>
      </c>
      <c r="AZ37" s="17">
        <f t="shared" si="95"/>
        <v>13272.731947340342</v>
      </c>
      <c r="BA37" s="17">
        <f t="shared" si="95"/>
        <v>13447.073413835973</v>
      </c>
      <c r="BB37" s="17">
        <f t="shared" si="95"/>
        <v>13599.477816617285</v>
      </c>
      <c r="BC37" s="17">
        <f t="shared" si="95"/>
        <v>13729.107842808744</v>
      </c>
      <c r="BD37" s="17">
        <f t="shared" si="95"/>
        <v>13835.238276416978</v>
      </c>
      <c r="BE37" s="17">
        <f t="shared" si="95"/>
        <v>13917.262697137192</v>
      </c>
      <c r="BF37" s="17">
        <f t="shared" si="95"/>
        <v>13974.69919700159</v>
      </c>
      <c r="BG37" s="17">
        <f t="shared" si="95"/>
        <v>14007.195040171962</v>
      </c>
      <c r="BH37" s="17">
        <f t="shared" si="95"/>
        <v>14014.530203526238</v>
      </c>
    </row>
    <row r="40" spans="1:60" ht="18" thickBot="1" x14ac:dyDescent="0.35">
      <c r="A40" s="4" t="s">
        <v>65</v>
      </c>
      <c r="B40" s="4"/>
      <c r="C40" s="4"/>
      <c r="D40" s="4"/>
      <c r="E40" s="4"/>
      <c r="F40" s="4"/>
      <c r="G40" s="4"/>
      <c r="H40" s="4"/>
      <c r="AX40" t="s">
        <v>234</v>
      </c>
      <c r="BH40" t="s">
        <v>233</v>
      </c>
    </row>
    <row r="41" spans="1:60" ht="15.75" thickTop="1" x14ac:dyDescent="0.25">
      <c r="B41" s="3">
        <v>2012</v>
      </c>
      <c r="C41" s="3">
        <v>2013</v>
      </c>
      <c r="D41" s="3">
        <v>2014</v>
      </c>
      <c r="E41" s="3">
        <v>2015</v>
      </c>
      <c r="F41" s="3">
        <v>2016</v>
      </c>
      <c r="G41" s="3">
        <v>2017</v>
      </c>
      <c r="H41" s="3">
        <v>2018</v>
      </c>
      <c r="I41" s="3">
        <v>2019</v>
      </c>
      <c r="J41" s="3">
        <v>2020</v>
      </c>
      <c r="K41" s="3">
        <v>2021</v>
      </c>
      <c r="L41" s="3">
        <v>2022</v>
      </c>
      <c r="M41" s="3">
        <v>2023</v>
      </c>
      <c r="N41" s="3">
        <v>2024</v>
      </c>
      <c r="O41" s="3">
        <v>2025</v>
      </c>
      <c r="P41" s="3">
        <v>2026</v>
      </c>
      <c r="Q41" s="3">
        <v>2027</v>
      </c>
      <c r="R41" s="3">
        <v>2028</v>
      </c>
      <c r="S41" s="3">
        <v>2029</v>
      </c>
      <c r="T41" s="3">
        <v>2030</v>
      </c>
      <c r="U41" s="3">
        <v>2031</v>
      </c>
      <c r="V41" s="3">
        <v>2032</v>
      </c>
      <c r="W41" s="3">
        <v>2033</v>
      </c>
      <c r="X41" s="3">
        <v>2034</v>
      </c>
      <c r="Y41" s="3">
        <v>2035</v>
      </c>
      <c r="Z41" s="3">
        <v>2036</v>
      </c>
      <c r="AA41" s="3">
        <v>2037</v>
      </c>
      <c r="AB41" s="3">
        <v>2038</v>
      </c>
      <c r="AC41">
        <v>2039</v>
      </c>
      <c r="AD41">
        <v>2040</v>
      </c>
      <c r="AE41">
        <v>2041</v>
      </c>
      <c r="AF41">
        <v>2042</v>
      </c>
      <c r="AG41">
        <v>2043</v>
      </c>
      <c r="AH41">
        <v>2044</v>
      </c>
      <c r="AI41">
        <v>2045</v>
      </c>
      <c r="AJ41">
        <v>2046</v>
      </c>
      <c r="AK41">
        <v>2047</v>
      </c>
      <c r="AL41">
        <v>2048</v>
      </c>
      <c r="AM41">
        <v>2049</v>
      </c>
      <c r="AN41">
        <v>2050</v>
      </c>
      <c r="AO41">
        <v>2051</v>
      </c>
      <c r="AP41">
        <v>2052</v>
      </c>
      <c r="AQ41">
        <v>2053</v>
      </c>
      <c r="AR41">
        <v>2054</v>
      </c>
      <c r="AS41">
        <v>2055</v>
      </c>
      <c r="AT41">
        <v>2056</v>
      </c>
      <c r="AU41">
        <v>2057</v>
      </c>
      <c r="AV41">
        <v>2058</v>
      </c>
      <c r="AW41">
        <v>2059</v>
      </c>
      <c r="AX41">
        <v>2060</v>
      </c>
      <c r="AY41">
        <v>2061</v>
      </c>
      <c r="AZ41">
        <v>2062</v>
      </c>
      <c r="BA41">
        <v>2063</v>
      </c>
      <c r="BB41">
        <v>2064</v>
      </c>
      <c r="BC41">
        <v>2065</v>
      </c>
      <c r="BD41">
        <v>2066</v>
      </c>
      <c r="BE41">
        <v>2067</v>
      </c>
      <c r="BF41">
        <v>2068</v>
      </c>
      <c r="BG41">
        <v>2069</v>
      </c>
      <c r="BH41">
        <v>2070</v>
      </c>
    </row>
    <row r="42" spans="1:60" x14ac:dyDescent="0.25">
      <c r="A42" s="3" t="s">
        <v>51</v>
      </c>
      <c r="B42" s="12">
        <v>0.5</v>
      </c>
      <c r="C42" s="12">
        <v>0.49195171026156947</v>
      </c>
      <c r="D42" s="12">
        <v>0.47874493927125505</v>
      </c>
      <c r="E42" s="12">
        <v>0.46897253306205494</v>
      </c>
      <c r="F42" s="12">
        <v>0.46311475409836067</v>
      </c>
      <c r="G42" s="12">
        <v>0.4556701030927835</v>
      </c>
      <c r="H42" s="12">
        <v>0.44755970924195226</v>
      </c>
      <c r="I42" s="12">
        <v>0.44456066945606693</v>
      </c>
      <c r="J42" s="12">
        <v>0.45521601685985247</v>
      </c>
      <c r="K42" s="12">
        <f>1-K43-K44</f>
        <v>0.46227119237511022</v>
      </c>
      <c r="L42" s="12">
        <f t="shared" ref="L42:AD42" si="96">1-L43-L44</f>
        <v>0.45384023967034137</v>
      </c>
      <c r="M42" s="12">
        <f t="shared" si="96"/>
        <v>0.4530506193635141</v>
      </c>
      <c r="N42" s="12">
        <f t="shared" si="96"/>
        <v>0.4492123756297739</v>
      </c>
      <c r="O42" s="12">
        <f t="shared" si="96"/>
        <v>0.44506077484649087</v>
      </c>
      <c r="P42" s="12">
        <f t="shared" si="96"/>
        <v>0.44048019500661473</v>
      </c>
      <c r="Q42" s="12">
        <f t="shared" si="96"/>
        <v>0.43534996792463587</v>
      </c>
      <c r="R42" s="12">
        <f t="shared" si="96"/>
        <v>0.42993618539113665</v>
      </c>
      <c r="S42" s="12">
        <f t="shared" si="96"/>
        <v>0.42371952259311868</v>
      </c>
      <c r="T42" s="12">
        <f t="shared" si="96"/>
        <v>0.41657241965867214</v>
      </c>
      <c r="U42" s="12">
        <f t="shared" si="96"/>
        <v>0.40909885956028302</v>
      </c>
      <c r="V42" s="12">
        <f t="shared" si="96"/>
        <v>0.40185565007277846</v>
      </c>
      <c r="W42" s="12">
        <f t="shared" si="96"/>
        <v>0.39482416004663062</v>
      </c>
      <c r="X42" s="12">
        <f t="shared" si="96"/>
        <v>0.38744915622957621</v>
      </c>
      <c r="Y42" s="12">
        <f t="shared" si="96"/>
        <v>0.3800592435396562</v>
      </c>
      <c r="Z42" s="12">
        <f t="shared" si="96"/>
        <v>0.37316446554873905</v>
      </c>
      <c r="AA42" s="12">
        <f t="shared" si="96"/>
        <v>0.36622575390923512</v>
      </c>
      <c r="AB42" s="12">
        <f t="shared" si="96"/>
        <v>0.35954615135165829</v>
      </c>
      <c r="AC42" s="12">
        <f t="shared" si="96"/>
        <v>0.35352413753940537</v>
      </c>
      <c r="AD42" s="12">
        <f t="shared" si="96"/>
        <v>0.34790997115201444</v>
      </c>
      <c r="AE42" s="21">
        <f>FORECAST(AE41,U42:AD42,U41:AD41)</f>
        <v>0.33949990116716933</v>
      </c>
      <c r="AF42" s="21">
        <f t="shared" ref="AF42:BH42" si="97">FORECAST(AF41,V42:AE42,V41:AE41)</f>
        <v>0.3328157209201148</v>
      </c>
      <c r="AG42" s="21">
        <f t="shared" si="97"/>
        <v>0.32616627660377695</v>
      </c>
      <c r="AH42" s="21">
        <f t="shared" si="97"/>
        <v>0.31958465249744172</v>
      </c>
      <c r="AI42" s="21">
        <f t="shared" si="97"/>
        <v>0.31298090329354977</v>
      </c>
      <c r="AJ42" s="21">
        <f t="shared" si="97"/>
        <v>0.3062893112729288</v>
      </c>
      <c r="AK42" s="21">
        <f t="shared" si="97"/>
        <v>0.29955436432955906</v>
      </c>
      <c r="AL42" s="21">
        <f t="shared" si="97"/>
        <v>0.29273345912335991</v>
      </c>
      <c r="AM42" s="21">
        <f t="shared" si="97"/>
        <v>0.28584772379130463</v>
      </c>
      <c r="AN42" s="21">
        <f t="shared" si="97"/>
        <v>0.27905600345837911</v>
      </c>
      <c r="AO42" s="21">
        <f t="shared" si="97"/>
        <v>0.27256224487218716</v>
      </c>
      <c r="AP42" s="21">
        <f t="shared" si="97"/>
        <v>0.2658185620351361</v>
      </c>
      <c r="AQ42" s="21">
        <f t="shared" si="97"/>
        <v>0.25905746841704591</v>
      </c>
      <c r="AR42" s="21">
        <f t="shared" si="97"/>
        <v>0.252285229459698</v>
      </c>
      <c r="AS42" s="21">
        <f t="shared" si="97"/>
        <v>0.24552291570350171</v>
      </c>
      <c r="AT42" s="21">
        <f t="shared" si="97"/>
        <v>0.238781304859641</v>
      </c>
      <c r="AU42" s="21">
        <f t="shared" si="97"/>
        <v>0.23205582431207006</v>
      </c>
      <c r="AV42" s="21">
        <f t="shared" si="97"/>
        <v>0.22534469945479252</v>
      </c>
      <c r="AW42" s="21">
        <f t="shared" si="97"/>
        <v>0.21863011926745202</v>
      </c>
      <c r="AX42" s="21">
        <f t="shared" si="97"/>
        <v>0.21188609489452759</v>
      </c>
      <c r="AY42" s="21">
        <f t="shared" si="97"/>
        <v>0.20511450898524863</v>
      </c>
      <c r="AZ42" s="21">
        <f t="shared" si="97"/>
        <v>0.19838061366019311</v>
      </c>
      <c r="BA42" s="21">
        <f t="shared" si="97"/>
        <v>0.1916513605076986</v>
      </c>
      <c r="BB42" s="21">
        <f t="shared" si="97"/>
        <v>0.18492331102104487</v>
      </c>
      <c r="BC42" s="21">
        <f t="shared" si="97"/>
        <v>0.17819185187839537</v>
      </c>
      <c r="BD42" s="21">
        <f t="shared" si="97"/>
        <v>0.17145531997294228</v>
      </c>
      <c r="BE42" s="21">
        <f t="shared" si="97"/>
        <v>0.16471515000195325</v>
      </c>
      <c r="BF42" s="21">
        <f t="shared" si="97"/>
        <v>0.15797384955566152</v>
      </c>
      <c r="BG42" s="21">
        <f t="shared" si="97"/>
        <v>0.15123577392292198</v>
      </c>
      <c r="BH42" s="21">
        <f t="shared" si="97"/>
        <v>0.14450330331373529</v>
      </c>
    </row>
    <row r="43" spans="1:60" x14ac:dyDescent="0.25">
      <c r="A43" s="3" t="s">
        <v>52</v>
      </c>
      <c r="B43" s="12">
        <v>0.3</v>
      </c>
      <c r="C43" s="12">
        <v>0.29577464788732394</v>
      </c>
      <c r="D43" s="12">
        <v>0.30060728744939269</v>
      </c>
      <c r="E43" s="12">
        <v>0.3041709053916582</v>
      </c>
      <c r="F43" s="12">
        <v>0.30737704918032788</v>
      </c>
      <c r="G43" s="12">
        <v>0.30824742268041239</v>
      </c>
      <c r="H43" s="12">
        <v>0.3115264797507788</v>
      </c>
      <c r="I43" s="12">
        <v>0.31485355648535562</v>
      </c>
      <c r="J43" s="12">
        <v>0.32560590094836672</v>
      </c>
      <c r="K43" s="21">
        <f>J43*(1+K148*K$34)</f>
        <v>0.30936026689417673</v>
      </c>
      <c r="L43" s="21">
        <f t="shared" ref="L43:AD43" si="98">K43*(1+L148*L$34)</f>
        <v>0.31355024567841444</v>
      </c>
      <c r="M43" s="21">
        <f t="shared" si="98"/>
        <v>0.31388781690524703</v>
      </c>
      <c r="N43" s="21">
        <f t="shared" si="98"/>
        <v>0.31543894410094331</v>
      </c>
      <c r="O43" s="21">
        <f t="shared" si="98"/>
        <v>0.31721983743486931</v>
      </c>
      <c r="P43" s="21">
        <f t="shared" si="98"/>
        <v>0.31883263902169873</v>
      </c>
      <c r="Q43" s="21">
        <f t="shared" si="98"/>
        <v>0.32078866718521404</v>
      </c>
      <c r="R43" s="21">
        <f t="shared" si="98"/>
        <v>0.32280939346620441</v>
      </c>
      <c r="S43" s="21">
        <f t="shared" si="98"/>
        <v>0.32497598023764895</v>
      </c>
      <c r="T43" s="21">
        <f t="shared" si="98"/>
        <v>0.32775482993460558</v>
      </c>
      <c r="U43" s="21">
        <f t="shared" si="98"/>
        <v>0.33022222974356419</v>
      </c>
      <c r="V43" s="21">
        <f t="shared" si="98"/>
        <v>0.332708026046104</v>
      </c>
      <c r="W43" s="21">
        <f t="shared" si="98"/>
        <v>0.33507942725265366</v>
      </c>
      <c r="X43" s="21">
        <f t="shared" si="98"/>
        <v>0.33755833542625679</v>
      </c>
      <c r="Y43" s="21">
        <f t="shared" si="98"/>
        <v>0.34023069208670387</v>
      </c>
      <c r="Z43" s="21">
        <f t="shared" si="98"/>
        <v>0.34209365651908852</v>
      </c>
      <c r="AA43" s="21">
        <f t="shared" si="98"/>
        <v>0.34372879918296723</v>
      </c>
      <c r="AB43" s="21">
        <f t="shared" si="98"/>
        <v>0.34562071119418153</v>
      </c>
      <c r="AC43" s="21">
        <f t="shared" si="98"/>
        <v>0.34714667279971562</v>
      </c>
      <c r="AD43" s="21">
        <f t="shared" si="98"/>
        <v>0.34858040550949743</v>
      </c>
      <c r="AE43" s="21">
        <f>1-AE42-AE44</f>
        <v>0.35270038692008504</v>
      </c>
      <c r="AF43" s="21">
        <f t="shared" ref="AF43:BH43" si="99">1-AF42-AF44</f>
        <v>0.35545402987661523</v>
      </c>
      <c r="AG43" s="21">
        <f t="shared" si="99"/>
        <v>0.35829684379142396</v>
      </c>
      <c r="AH43" s="21">
        <f t="shared" si="99"/>
        <v>0.36115445831596726</v>
      </c>
      <c r="AI43" s="21">
        <f t="shared" si="99"/>
        <v>0.36410706909886797</v>
      </c>
      <c r="AJ43" s="21">
        <f t="shared" si="99"/>
        <v>0.36699187756046936</v>
      </c>
      <c r="AK43" s="21">
        <f t="shared" si="99"/>
        <v>0.37022436051526397</v>
      </c>
      <c r="AL43" s="21">
        <f t="shared" si="99"/>
        <v>0.37358485092968469</v>
      </c>
      <c r="AM43" s="21">
        <f t="shared" si="99"/>
        <v>0.37697190484087623</v>
      </c>
      <c r="AN43" s="21">
        <f t="shared" si="99"/>
        <v>0.38027781250126996</v>
      </c>
      <c r="AO43" s="21">
        <f t="shared" si="99"/>
        <v>0.38282157629276181</v>
      </c>
      <c r="AP43" s="21">
        <f t="shared" si="99"/>
        <v>0.38601940369852006</v>
      </c>
      <c r="AQ43" s="21">
        <f t="shared" si="99"/>
        <v>0.38922258756347983</v>
      </c>
      <c r="AR43" s="21">
        <f t="shared" si="99"/>
        <v>0.3924274370969103</v>
      </c>
      <c r="AS43" s="21">
        <f t="shared" si="99"/>
        <v>0.39561454073212232</v>
      </c>
      <c r="AT43" s="21">
        <f t="shared" si="99"/>
        <v>0.39877898344479412</v>
      </c>
      <c r="AU43" s="21">
        <f t="shared" si="99"/>
        <v>0.40187798739007974</v>
      </c>
      <c r="AV43" s="21">
        <f t="shared" si="99"/>
        <v>0.40495944797580563</v>
      </c>
      <c r="AW43" s="21">
        <f t="shared" si="99"/>
        <v>0.40805938178134138</v>
      </c>
      <c r="AX43" s="21">
        <f t="shared" si="99"/>
        <v>0.4112108636823395</v>
      </c>
      <c r="AY43" s="21">
        <f t="shared" si="99"/>
        <v>0.41443201525713924</v>
      </c>
      <c r="AZ43" s="21">
        <f t="shared" si="99"/>
        <v>0.41755776106085651</v>
      </c>
      <c r="BA43" s="21">
        <f t="shared" si="99"/>
        <v>0.42067919656330144</v>
      </c>
      <c r="BB43" s="21">
        <f t="shared" si="99"/>
        <v>0.42380083147322711</v>
      </c>
      <c r="BC43" s="21">
        <f t="shared" si="99"/>
        <v>0.42692863962271321</v>
      </c>
      <c r="BD43" s="21">
        <f t="shared" si="99"/>
        <v>0.43006590570963166</v>
      </c>
      <c r="BE43" s="21">
        <f t="shared" si="99"/>
        <v>0.43321432302865492</v>
      </c>
      <c r="BF43" s="21">
        <f t="shared" si="99"/>
        <v>0.43636271350971079</v>
      </c>
      <c r="BG43" s="21">
        <f t="shared" si="99"/>
        <v>0.43950309396347365</v>
      </c>
      <c r="BH43" s="21">
        <f t="shared" si="99"/>
        <v>0.44263272457796088</v>
      </c>
    </row>
    <row r="44" spans="1:60" x14ac:dyDescent="0.25">
      <c r="A44" s="3" t="s">
        <v>53</v>
      </c>
      <c r="B44" s="12">
        <v>0.2</v>
      </c>
      <c r="C44" s="12">
        <v>0.21227364185110667</v>
      </c>
      <c r="D44" s="12">
        <v>0.22064777327935223</v>
      </c>
      <c r="E44" s="12">
        <v>0.22685656154628689</v>
      </c>
      <c r="F44" s="12">
        <v>0.22950819672131148</v>
      </c>
      <c r="G44" s="12">
        <v>0.23608247422680415</v>
      </c>
      <c r="H44" s="12">
        <v>0.24091381100726897</v>
      </c>
      <c r="I44" s="12">
        <v>0.24058577405857742</v>
      </c>
      <c r="J44" s="12">
        <v>0.21917808219178081</v>
      </c>
      <c r="K44" s="21">
        <f>J44*(1+K149*K$34)</f>
        <v>0.22836854073071305</v>
      </c>
      <c r="L44" s="21">
        <f t="shared" ref="L44:AN44" si="100">K44*(1+L149*L$34)</f>
        <v>0.23260951465124413</v>
      </c>
      <c r="M44" s="21">
        <f t="shared" si="100"/>
        <v>0.23306156373123887</v>
      </c>
      <c r="N44" s="21">
        <f t="shared" si="100"/>
        <v>0.23534868026928282</v>
      </c>
      <c r="O44" s="21">
        <f t="shared" si="100"/>
        <v>0.23771938771863979</v>
      </c>
      <c r="P44" s="21">
        <f t="shared" si="100"/>
        <v>0.2406871659716866</v>
      </c>
      <c r="Q44" s="21">
        <f t="shared" si="100"/>
        <v>0.24386136489015012</v>
      </c>
      <c r="R44" s="21">
        <f t="shared" si="100"/>
        <v>0.24725442114265897</v>
      </c>
      <c r="S44" s="21">
        <f t="shared" si="100"/>
        <v>0.25130449716923237</v>
      </c>
      <c r="T44" s="21">
        <f t="shared" si="100"/>
        <v>0.25567275040672227</v>
      </c>
      <c r="U44" s="21">
        <f t="shared" si="100"/>
        <v>0.26067891069615279</v>
      </c>
      <c r="V44" s="21">
        <f t="shared" si="100"/>
        <v>0.2654363238811176</v>
      </c>
      <c r="W44" s="21">
        <f t="shared" si="100"/>
        <v>0.27009641270071577</v>
      </c>
      <c r="X44" s="21">
        <f t="shared" si="100"/>
        <v>0.274992508344167</v>
      </c>
      <c r="Y44" s="21">
        <f t="shared" si="100"/>
        <v>0.27971006437363993</v>
      </c>
      <c r="Z44" s="21">
        <f t="shared" si="100"/>
        <v>0.28474187793217243</v>
      </c>
      <c r="AA44" s="21">
        <f t="shared" si="100"/>
        <v>0.29004544690779771</v>
      </c>
      <c r="AB44" s="21">
        <f t="shared" si="100"/>
        <v>0.29483313745416012</v>
      </c>
      <c r="AC44" s="21">
        <f t="shared" si="100"/>
        <v>0.29932918966087896</v>
      </c>
      <c r="AD44" s="21">
        <f t="shared" si="100"/>
        <v>0.30350962333848813</v>
      </c>
      <c r="AE44" s="21">
        <f t="shared" si="100"/>
        <v>0.30779971191274563</v>
      </c>
      <c r="AF44" s="21">
        <f t="shared" si="100"/>
        <v>0.31173024920326997</v>
      </c>
      <c r="AG44" s="21">
        <f t="shared" si="100"/>
        <v>0.31553687960479909</v>
      </c>
      <c r="AH44" s="21">
        <f t="shared" si="100"/>
        <v>0.31926088918659101</v>
      </c>
      <c r="AI44" s="21">
        <f t="shared" si="100"/>
        <v>0.32291202760758225</v>
      </c>
      <c r="AJ44" s="21">
        <f t="shared" si="100"/>
        <v>0.32671881116660184</v>
      </c>
      <c r="AK44" s="21">
        <f t="shared" si="100"/>
        <v>0.33022127515517696</v>
      </c>
      <c r="AL44" s="21">
        <f t="shared" si="100"/>
        <v>0.33368168994695541</v>
      </c>
      <c r="AM44" s="21">
        <f t="shared" si="100"/>
        <v>0.33718037136781914</v>
      </c>
      <c r="AN44" s="21">
        <f t="shared" si="100"/>
        <v>0.34066618404035093</v>
      </c>
      <c r="AO44" s="21">
        <f>FORECAST(AO41,AE44:AN44,AE41:AN41)</f>
        <v>0.34461617883505102</v>
      </c>
      <c r="AP44" s="21">
        <f t="shared" ref="AP44:BH44" si="101">FORECAST(AP41,AF44:AO44,AF41:AO41)</f>
        <v>0.34816203426634384</v>
      </c>
      <c r="AQ44" s="21">
        <f t="shared" si="101"/>
        <v>0.35171994401947426</v>
      </c>
      <c r="AR44" s="21">
        <f t="shared" si="101"/>
        <v>0.3552873334433917</v>
      </c>
      <c r="AS44" s="21">
        <f t="shared" si="101"/>
        <v>0.35886254356437597</v>
      </c>
      <c r="AT44" s="21">
        <f t="shared" si="101"/>
        <v>0.36243971169556488</v>
      </c>
      <c r="AU44" s="21">
        <f t="shared" si="101"/>
        <v>0.3660661882978502</v>
      </c>
      <c r="AV44" s="21">
        <f t="shared" si="101"/>
        <v>0.36969585256940185</v>
      </c>
      <c r="AW44" s="21">
        <f t="shared" si="101"/>
        <v>0.3733104989512066</v>
      </c>
      <c r="AX44" s="21">
        <f t="shared" si="101"/>
        <v>0.37690304142313291</v>
      </c>
      <c r="AY44" s="21">
        <f t="shared" si="101"/>
        <v>0.38045347575761213</v>
      </c>
      <c r="AZ44" s="21">
        <f t="shared" si="101"/>
        <v>0.38406162527895038</v>
      </c>
      <c r="BA44" s="21">
        <f t="shared" si="101"/>
        <v>0.38766944292899996</v>
      </c>
      <c r="BB44" s="21">
        <f t="shared" si="101"/>
        <v>0.39127585750572802</v>
      </c>
      <c r="BC44" s="21">
        <f t="shared" si="101"/>
        <v>0.39487950849889142</v>
      </c>
      <c r="BD44" s="21">
        <f t="shared" si="101"/>
        <v>0.39847877431742607</v>
      </c>
      <c r="BE44" s="21">
        <f t="shared" si="101"/>
        <v>0.40207052696939183</v>
      </c>
      <c r="BF44" s="21">
        <f t="shared" si="101"/>
        <v>0.4056634369346277</v>
      </c>
      <c r="BG44" s="21">
        <f t="shared" si="101"/>
        <v>0.40926113211360438</v>
      </c>
      <c r="BH44" s="21">
        <f t="shared" si="101"/>
        <v>0.41286397210830383</v>
      </c>
    </row>
    <row r="45" spans="1:60" x14ac:dyDescent="0.25">
      <c r="A45" s="3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</row>
    <row r="47" spans="1:60" ht="18" thickBot="1" x14ac:dyDescent="0.35">
      <c r="A47" s="4" t="s">
        <v>66</v>
      </c>
      <c r="B47" s="4"/>
      <c r="C47" s="4"/>
      <c r="D47" s="4"/>
      <c r="E47" s="4"/>
      <c r="F47" s="4"/>
      <c r="G47" s="4"/>
      <c r="H47" s="4"/>
    </row>
    <row r="48" spans="1:60" ht="15.75" thickTop="1" x14ac:dyDescent="0.25">
      <c r="A48" s="3">
        <v>2012</v>
      </c>
      <c r="B48" s="3">
        <v>2013</v>
      </c>
      <c r="C48" s="3">
        <v>2014</v>
      </c>
      <c r="D48" s="3">
        <v>2015</v>
      </c>
      <c r="E48" s="3">
        <v>2016</v>
      </c>
      <c r="F48" s="3">
        <v>2017</v>
      </c>
      <c r="G48" s="3">
        <v>2018</v>
      </c>
      <c r="H48" s="3">
        <v>2019</v>
      </c>
      <c r="I48" s="3">
        <v>2020</v>
      </c>
      <c r="J48" s="3">
        <v>2021</v>
      </c>
      <c r="K48" s="3">
        <v>2022</v>
      </c>
      <c r="L48" s="3">
        <v>2023</v>
      </c>
      <c r="M48" s="3">
        <v>2024</v>
      </c>
      <c r="N48" s="3">
        <v>2025</v>
      </c>
      <c r="O48" s="3">
        <v>2026</v>
      </c>
      <c r="P48" s="3">
        <v>2027</v>
      </c>
      <c r="Q48" s="3">
        <v>2028</v>
      </c>
      <c r="R48" s="3">
        <v>2029</v>
      </c>
      <c r="S48" s="3">
        <v>2030</v>
      </c>
      <c r="T48" s="3">
        <v>2031</v>
      </c>
      <c r="U48" s="3">
        <v>2032</v>
      </c>
      <c r="V48" s="3">
        <v>2033</v>
      </c>
      <c r="W48" s="3">
        <v>2034</v>
      </c>
      <c r="X48" s="3">
        <v>2035</v>
      </c>
      <c r="Y48" s="3">
        <v>2036</v>
      </c>
      <c r="Z48">
        <v>2037</v>
      </c>
      <c r="AA48">
        <v>2038</v>
      </c>
      <c r="AB48">
        <v>2039</v>
      </c>
      <c r="AC48">
        <v>2040</v>
      </c>
      <c r="AD48">
        <v>2041</v>
      </c>
      <c r="AE48">
        <v>2042</v>
      </c>
      <c r="AF48">
        <v>2043</v>
      </c>
      <c r="AG48">
        <v>2044</v>
      </c>
      <c r="AH48">
        <v>2045</v>
      </c>
      <c r="AI48">
        <v>2046</v>
      </c>
      <c r="AJ48">
        <v>2047</v>
      </c>
      <c r="AK48">
        <v>2048</v>
      </c>
      <c r="AL48">
        <v>2049</v>
      </c>
      <c r="AM48">
        <v>2050</v>
      </c>
      <c r="AN48">
        <v>2051</v>
      </c>
      <c r="AO48">
        <v>2052</v>
      </c>
      <c r="AP48">
        <v>2053</v>
      </c>
      <c r="AQ48">
        <v>2054</v>
      </c>
      <c r="AR48">
        <v>2055</v>
      </c>
      <c r="AS48">
        <v>2056</v>
      </c>
      <c r="AT48">
        <v>2057</v>
      </c>
      <c r="AU48">
        <v>2058</v>
      </c>
      <c r="AV48">
        <v>2059</v>
      </c>
      <c r="AW48">
        <v>2060</v>
      </c>
      <c r="AX48">
        <v>2061</v>
      </c>
      <c r="AY48">
        <v>2062</v>
      </c>
      <c r="AZ48">
        <v>2063</v>
      </c>
      <c r="BA48">
        <v>2064</v>
      </c>
      <c r="BB48">
        <v>2065</v>
      </c>
      <c r="BC48">
        <v>2066</v>
      </c>
      <c r="BD48">
        <v>2067</v>
      </c>
      <c r="BE48">
        <v>2068</v>
      </c>
      <c r="BF48">
        <v>2069</v>
      </c>
      <c r="BG48">
        <v>2070</v>
      </c>
    </row>
    <row r="49" spans="1:62" x14ac:dyDescent="0.25">
      <c r="A49">
        <v>0.30159999999999998</v>
      </c>
      <c r="B49">
        <v>0.31040000000000001</v>
      </c>
      <c r="C49">
        <v>0.31530000000000002</v>
      </c>
      <c r="D49">
        <v>0.31869999999999998</v>
      </c>
      <c r="E49">
        <v>0.31979999999999997</v>
      </c>
      <c r="F49">
        <v>0.3246</v>
      </c>
      <c r="G49">
        <v>0.3276</v>
      </c>
      <c r="H49">
        <v>0.32619999999999999</v>
      </c>
      <c r="I49">
        <v>0.2994</v>
      </c>
      <c r="J49" s="21">
        <f>I49*(1+J156*K$34)</f>
        <v>0.31654664140483468</v>
      </c>
      <c r="K49" s="21">
        <f t="shared" ref="K49:AM49" si="102">J49*(1+K156*L$34)</f>
        <v>0.3229769660124453</v>
      </c>
      <c r="L49" s="21">
        <f t="shared" si="102"/>
        <v>0.32341725558949985</v>
      </c>
      <c r="M49" s="21">
        <f t="shared" si="102"/>
        <v>0.32583348645578519</v>
      </c>
      <c r="N49" s="21">
        <f t="shared" si="102"/>
        <v>0.32868412194131336</v>
      </c>
      <c r="O49" s="21">
        <f t="shared" si="102"/>
        <v>0.33230162316533624</v>
      </c>
      <c r="P49" s="21">
        <f t="shared" si="102"/>
        <v>0.33651148349830801</v>
      </c>
      <c r="Q49" s="21">
        <f t="shared" si="102"/>
        <v>0.34119089406864367</v>
      </c>
      <c r="R49" s="21">
        <f t="shared" si="102"/>
        <v>0.36221879577366001</v>
      </c>
      <c r="S49" s="21">
        <f t="shared" si="102"/>
        <v>0.37004385784560301</v>
      </c>
      <c r="T49" s="21">
        <f t="shared" si="102"/>
        <v>0.37852012939101487</v>
      </c>
      <c r="U49" s="21">
        <f t="shared" si="102"/>
        <v>0.3878734723924257</v>
      </c>
      <c r="V49" s="21">
        <f t="shared" si="102"/>
        <v>0.39741278536009639</v>
      </c>
      <c r="W49" s="21">
        <f t="shared" si="102"/>
        <v>0.40816256077414653</v>
      </c>
      <c r="X49" s="21">
        <f t="shared" si="102"/>
        <v>0.41948785970919228</v>
      </c>
      <c r="Y49" s="21">
        <f t="shared" si="102"/>
        <v>0.43088849431928106</v>
      </c>
      <c r="Z49" s="21">
        <f t="shared" si="102"/>
        <v>0.44353505886754657</v>
      </c>
      <c r="AA49" s="21">
        <f t="shared" si="102"/>
        <v>0.45796945182824422</v>
      </c>
      <c r="AB49" s="21">
        <f t="shared" si="102"/>
        <v>0.49299530640753597</v>
      </c>
      <c r="AC49" s="21">
        <f t="shared" si="102"/>
        <v>0.50697126094253331</v>
      </c>
      <c r="AD49" s="21">
        <f t="shared" si="102"/>
        <v>0.52141886766898637</v>
      </c>
      <c r="AE49" s="21">
        <f t="shared" si="102"/>
        <v>0.53536238342083242</v>
      </c>
      <c r="AF49" s="21">
        <f t="shared" si="102"/>
        <v>0.54982306688002347</v>
      </c>
      <c r="AG49" s="21">
        <f t="shared" si="102"/>
        <v>0.56494419301691312</v>
      </c>
      <c r="AH49" s="21">
        <f t="shared" si="102"/>
        <v>0.58080477896828098</v>
      </c>
      <c r="AI49" s="21">
        <f t="shared" si="102"/>
        <v>0.5973336654005954</v>
      </c>
      <c r="AJ49" s="21">
        <f t="shared" si="102"/>
        <v>0.61315517605582059</v>
      </c>
      <c r="AK49" s="21">
        <f t="shared" si="102"/>
        <v>0.62969384765623759</v>
      </c>
      <c r="AL49" s="21">
        <f t="shared" si="102"/>
        <v>0.64739092344815219</v>
      </c>
      <c r="AM49" s="21">
        <f t="shared" si="102"/>
        <v>0.66610516650076956</v>
      </c>
      <c r="AN49" s="21">
        <f t="shared" ref="AN49" si="103">AM49*(1+AN156*AO$34)</f>
        <v>0.68450380655855048</v>
      </c>
      <c r="AO49" s="21">
        <f t="shared" ref="AO49" si="104">AN49*(1+AO156*AP$34)</f>
        <v>0.70243053660688781</v>
      </c>
      <c r="AP49" s="21">
        <f t="shared" ref="AP49" si="105">AO49*(1+AP156*AQ$34)</f>
        <v>0.71982098533620387</v>
      </c>
      <c r="AQ49" s="21">
        <f t="shared" ref="AQ49" si="106">AP49*(1+AQ156*AR$34)</f>
        <v>0.73661130703682831</v>
      </c>
      <c r="AR49" s="21">
        <f t="shared" ref="AR49" si="107">AQ49*(1+AR156*AS$34)</f>
        <v>0.75273856178520915</v>
      </c>
      <c r="AS49" s="21">
        <f t="shared" ref="AS49" si="108">AR49*(1+AS156*AT$34)</f>
        <v>0.76814109964660782</v>
      </c>
      <c r="AT49" s="21">
        <f t="shared" ref="AT49" si="109">AS49*(1+AT156*AU$34)</f>
        <v>0.78275894570450666</v>
      </c>
      <c r="AU49" s="21">
        <f t="shared" ref="AU49" si="110">AT49*(1+AU156*AV$34)</f>
        <v>0.79653418263056941</v>
      </c>
      <c r="AV49" s="21">
        <f t="shared" ref="AV49" si="111">AU49*(1+AV156*AW$34)</f>
        <v>0.80941132744757838</v>
      </c>
      <c r="AW49" s="21">
        <f t="shared" ref="AW49" si="112">AV49*(1+AW156*AX$34)</f>
        <v>0.82133769911310128</v>
      </c>
      <c r="AX49" s="21">
        <f t="shared" ref="AX49" si="113">AW49*(1+AX156*AY$34)</f>
        <v>0.83226377356498227</v>
      </c>
      <c r="AY49" s="21">
        <f t="shared" ref="AY49" si="114">AX49*(1+AY156*AZ$34)</f>
        <v>0.84214352292188033</v>
      </c>
      <c r="AZ49" s="21">
        <f t="shared" ref="AZ49" si="115">AY49*(1+AZ156*BA$34)</f>
        <v>0.85093473562323108</v>
      </c>
      <c r="BA49" s="21">
        <f t="shared" ref="BA49" si="116">AZ49*(1+BA156*BB$34)</f>
        <v>0.85859931442285087</v>
      </c>
      <c r="BB49" s="21">
        <f t="shared" ref="BB49" si="117">BA49*(1+BB156*BC$34)</f>
        <v>0.86510354931807654</v>
      </c>
      <c r="BC49" s="21">
        <f t="shared" ref="BC49" si="118">BB49*(1+BC156*BD$34)</f>
        <v>0.87041836270036654</v>
      </c>
      <c r="BD49" s="21">
        <f t="shared" ref="BD49" si="119">BC49*(1+BD156*BE$34)</f>
        <v>0.87451952425173407</v>
      </c>
      <c r="BE49" s="21">
        <f t="shared" ref="BE49" si="120">BD49*(1+BE156*BF$34)</f>
        <v>0.87738783338167059</v>
      </c>
      <c r="BF49" s="21">
        <f t="shared" ref="BF49" si="121">BE49*(1+BF156*BG$34)</f>
        <v>0.87900926729838769</v>
      </c>
      <c r="BG49" s="21">
        <f t="shared" ref="BG49" si="122">BF49*(1+BG156*BH$34)</f>
        <v>0.87937509313274809</v>
      </c>
    </row>
    <row r="51" spans="1:62" x14ac:dyDescent="0.25">
      <c r="A51" t="s">
        <v>201</v>
      </c>
    </row>
    <row r="52" spans="1:62" x14ac:dyDescent="0.25">
      <c r="I52">
        <v>2019</v>
      </c>
      <c r="J52">
        <v>2020</v>
      </c>
      <c r="K52">
        <v>2021</v>
      </c>
      <c r="L52">
        <v>2022</v>
      </c>
      <c r="M52">
        <v>2023</v>
      </c>
      <c r="N52">
        <v>2024</v>
      </c>
      <c r="O52">
        <v>2025</v>
      </c>
      <c r="P52">
        <v>2026</v>
      </c>
      <c r="Q52">
        <v>2027</v>
      </c>
      <c r="R52">
        <v>2028</v>
      </c>
      <c r="S52">
        <v>2029</v>
      </c>
      <c r="T52">
        <v>2030</v>
      </c>
      <c r="U52">
        <v>2031</v>
      </c>
      <c r="V52">
        <v>2032</v>
      </c>
      <c r="W52">
        <v>2033</v>
      </c>
      <c r="X52">
        <v>2034</v>
      </c>
      <c r="Y52">
        <v>2035</v>
      </c>
      <c r="Z52">
        <v>2036</v>
      </c>
      <c r="AA52">
        <v>2037</v>
      </c>
      <c r="AB52">
        <v>2038</v>
      </c>
      <c r="AC52">
        <v>2039</v>
      </c>
      <c r="AD52">
        <v>2040</v>
      </c>
      <c r="AE52">
        <v>2041</v>
      </c>
      <c r="AF52">
        <v>2042</v>
      </c>
      <c r="AG52">
        <v>2043</v>
      </c>
      <c r="AH52">
        <v>2044</v>
      </c>
      <c r="AI52">
        <v>2045</v>
      </c>
      <c r="AJ52">
        <v>2046</v>
      </c>
      <c r="AK52">
        <v>2047</v>
      </c>
      <c r="AL52">
        <v>2048</v>
      </c>
      <c r="AM52">
        <v>2049</v>
      </c>
      <c r="AN52">
        <v>2050</v>
      </c>
      <c r="AO52">
        <v>2051</v>
      </c>
      <c r="AP52">
        <v>2052</v>
      </c>
      <c r="AQ52">
        <v>2053</v>
      </c>
      <c r="AR52">
        <v>2054</v>
      </c>
      <c r="AS52">
        <v>2055</v>
      </c>
      <c r="AT52">
        <v>2056</v>
      </c>
      <c r="AU52">
        <v>2057</v>
      </c>
      <c r="AV52">
        <v>2058</v>
      </c>
      <c r="AW52">
        <v>2059</v>
      </c>
      <c r="AX52">
        <v>2060</v>
      </c>
      <c r="AY52">
        <v>2061</v>
      </c>
      <c r="AZ52">
        <v>2062</v>
      </c>
      <c r="BA52">
        <v>2063</v>
      </c>
      <c r="BB52">
        <v>2064</v>
      </c>
      <c r="BC52">
        <v>2065</v>
      </c>
      <c r="BD52">
        <v>2066</v>
      </c>
      <c r="BE52">
        <v>2067</v>
      </c>
      <c r="BF52">
        <v>2068</v>
      </c>
      <c r="BG52">
        <v>2069</v>
      </c>
      <c r="BH52">
        <v>2070</v>
      </c>
      <c r="BJ52" t="s">
        <v>188</v>
      </c>
    </row>
    <row r="53" spans="1:62" x14ac:dyDescent="0.25">
      <c r="A53" t="s">
        <v>189</v>
      </c>
      <c r="H53" t="s">
        <v>189</v>
      </c>
      <c r="I53" s="28">
        <v>0.20783988670325382</v>
      </c>
      <c r="J53" s="28">
        <v>-7.1068386696536701</v>
      </c>
      <c r="K53" s="28">
        <v>2.7594107747036745</v>
      </c>
      <c r="L53" s="28">
        <v>2.0407185246948512</v>
      </c>
      <c r="M53" s="28">
        <v>1.4820841819578323</v>
      </c>
      <c r="N53" s="28">
        <v>1.7107808345167008</v>
      </c>
      <c r="O53" s="28">
        <v>1.8373745767574334</v>
      </c>
      <c r="P53" s="28">
        <v>1.9484486689485658</v>
      </c>
      <c r="Q53" s="28">
        <v>2.0926744261376307</v>
      </c>
      <c r="R53" s="28">
        <v>2.2771519367595472</v>
      </c>
      <c r="S53" s="28">
        <v>2.3358363479474953</v>
      </c>
      <c r="T53" s="28">
        <v>2.4033821986349624</v>
      </c>
      <c r="U53" s="28">
        <v>2.514065879091909</v>
      </c>
      <c r="V53" s="28">
        <v>2.5186190480056991</v>
      </c>
      <c r="W53" s="28">
        <v>2.5308233428146698</v>
      </c>
      <c r="X53" s="28">
        <v>2.5366521547546705</v>
      </c>
      <c r="Y53" s="28">
        <v>2.5413387849720914</v>
      </c>
      <c r="Z53" s="28">
        <v>2.7654379500058113</v>
      </c>
      <c r="AA53" s="28">
        <v>2.7699458574065972</v>
      </c>
      <c r="AB53" s="28">
        <v>2.7743900172327196</v>
      </c>
      <c r="AC53" s="28">
        <v>2.7787334285353849</v>
      </c>
      <c r="AD53" s="28">
        <v>2.7829801102406515</v>
      </c>
      <c r="AE53" s="28">
        <v>3.1024792922835775</v>
      </c>
      <c r="AF53" s="28">
        <v>3.1049997215962799</v>
      </c>
      <c r="AG53" s="28">
        <v>3.1075017849549802</v>
      </c>
      <c r="AH53" s="28">
        <v>3.1099855712134028</v>
      </c>
      <c r="AI53" s="28">
        <v>3.1124511698132684</v>
      </c>
      <c r="AJ53" s="28">
        <v>3.365830954494875</v>
      </c>
      <c r="AK53" s="28">
        <v>3.3683397832625639</v>
      </c>
      <c r="AL53" s="28">
        <v>3.3708323392262818</v>
      </c>
      <c r="AM53" s="28">
        <v>3.3733086880000096</v>
      </c>
      <c r="AN53" s="28">
        <v>3.375768895221154</v>
      </c>
    </row>
    <row r="54" spans="1:62" x14ac:dyDescent="0.25">
      <c r="A54" t="s">
        <v>190</v>
      </c>
      <c r="H54" t="s">
        <v>190</v>
      </c>
      <c r="I54" s="28">
        <v>0.20783988670325382</v>
      </c>
      <c r="J54" s="28">
        <v>-7.1068386696536701</v>
      </c>
      <c r="K54" s="28">
        <v>2.7594107747036745</v>
      </c>
      <c r="L54" s="28">
        <v>2.0404394542826303</v>
      </c>
      <c r="M54" s="28">
        <v>2.1106061706687615</v>
      </c>
      <c r="N54" s="28">
        <v>2.2415233455501835</v>
      </c>
      <c r="O54" s="28">
        <v>2.7917771100771578</v>
      </c>
      <c r="P54" s="28">
        <v>3.2133430145161763</v>
      </c>
      <c r="Q54" s="28">
        <v>3.3618923772298874</v>
      </c>
      <c r="R54" s="28">
        <v>3.4979249789841216</v>
      </c>
      <c r="S54" s="28">
        <v>3.616882876741641</v>
      </c>
      <c r="T54" s="28">
        <v>3.7175290675305712</v>
      </c>
      <c r="U54" s="28">
        <v>3.8</v>
      </c>
      <c r="V54" s="28">
        <v>3.8</v>
      </c>
      <c r="W54" s="28">
        <v>3.8</v>
      </c>
      <c r="X54" s="28">
        <v>3.8</v>
      </c>
      <c r="Y54" s="28">
        <v>3.8</v>
      </c>
      <c r="Z54" s="28">
        <v>3.8</v>
      </c>
      <c r="AA54" s="28">
        <v>3.8</v>
      </c>
      <c r="AB54" s="28">
        <v>3.8</v>
      </c>
      <c r="AC54" s="28">
        <v>3.8</v>
      </c>
      <c r="AD54" s="28">
        <v>3.8</v>
      </c>
      <c r="AE54" s="28">
        <v>3.8</v>
      </c>
      <c r="AF54" s="28">
        <v>3.8</v>
      </c>
      <c r="AG54" s="28">
        <v>3.8</v>
      </c>
      <c r="AH54" s="28">
        <v>3.8</v>
      </c>
      <c r="AI54" s="28">
        <v>3.8</v>
      </c>
      <c r="AJ54" s="28">
        <v>3.8</v>
      </c>
      <c r="AK54" s="28">
        <v>3.8</v>
      </c>
      <c r="AL54" s="28">
        <v>3.8</v>
      </c>
      <c r="AM54" s="28">
        <v>3.8</v>
      </c>
      <c r="AN54" s="28">
        <v>3.8</v>
      </c>
    </row>
    <row r="55" spans="1:62" x14ac:dyDescent="0.25">
      <c r="A55" t="s">
        <v>191</v>
      </c>
      <c r="H55" t="s">
        <v>191</v>
      </c>
      <c r="I55" s="28">
        <v>0.20783988670325382</v>
      </c>
      <c r="J55" s="28">
        <v>-7.1068386696536701</v>
      </c>
      <c r="K55" s="28">
        <v>3.5000000000000004</v>
      </c>
      <c r="L55" s="28">
        <v>2.0404394542826303</v>
      </c>
      <c r="M55" s="28">
        <v>2.1106061706687615</v>
      </c>
      <c r="N55" s="28">
        <v>2.2415233455501835</v>
      </c>
      <c r="O55" s="28">
        <v>3.1517771100771577</v>
      </c>
      <c r="P55" s="28">
        <v>3.6633430145161765</v>
      </c>
      <c r="Q55" s="28">
        <v>3.8452257105632208</v>
      </c>
      <c r="R55" s="28">
        <v>4.0145916456507882</v>
      </c>
      <c r="S55" s="28">
        <v>4.1668828767416404</v>
      </c>
      <c r="T55" s="28">
        <v>4.3008624008639043</v>
      </c>
      <c r="U55" s="28">
        <v>4.3938506028723179</v>
      </c>
      <c r="V55" s="28">
        <v>4.2895596815515136</v>
      </c>
      <c r="W55" s="28">
        <v>4.3042186254831805</v>
      </c>
      <c r="X55" s="28">
        <v>4.3737923286395031</v>
      </c>
      <c r="Y55" s="28">
        <v>3.8309527099893437</v>
      </c>
      <c r="Z55" s="28">
        <v>3.8363524864999166</v>
      </c>
      <c r="AA55" s="28">
        <v>3.8322000917882626</v>
      </c>
      <c r="AB55" s="28">
        <v>3.7685174179419523</v>
      </c>
      <c r="AC55" s="28">
        <v>3.7685174179419523</v>
      </c>
      <c r="AD55" s="28">
        <v>3.7685174179419523</v>
      </c>
      <c r="AE55" s="28">
        <v>3.7685174179419523</v>
      </c>
      <c r="AF55" s="28">
        <v>3.7685174179419523</v>
      </c>
      <c r="AG55" s="28">
        <v>3.7685174179419523</v>
      </c>
      <c r="AH55" s="28">
        <v>3.7685174179419523</v>
      </c>
      <c r="AI55" s="28">
        <v>3.7685174179419523</v>
      </c>
      <c r="AJ55" s="28">
        <v>3.7685174179419523</v>
      </c>
      <c r="AK55" s="28">
        <v>3.7685174179419523</v>
      </c>
      <c r="AL55" s="28">
        <v>3.7685174179419523</v>
      </c>
      <c r="AM55" s="28">
        <v>3.7685174179419523</v>
      </c>
      <c r="AN55" s="28">
        <v>3.7685174179419523</v>
      </c>
    </row>
    <row r="56" spans="1:62" x14ac:dyDescent="0.25">
      <c r="A56" t="s">
        <v>192</v>
      </c>
      <c r="H56" t="s">
        <v>192</v>
      </c>
      <c r="I56" s="28"/>
      <c r="J56" s="28">
        <v>-6.4033658198657246</v>
      </c>
      <c r="K56" s="28">
        <v>4.7862765450277456</v>
      </c>
      <c r="L56" s="28">
        <v>2.5682600650143828</v>
      </c>
      <c r="M56" s="28">
        <v>0.77605028751732696</v>
      </c>
      <c r="N56" s="28">
        <v>1.1414993363961123</v>
      </c>
      <c r="O56" s="28">
        <v>1.1940261472482838</v>
      </c>
      <c r="P56" s="28">
        <v>1.6053625094818447</v>
      </c>
      <c r="Q56" s="28">
        <v>1.6513815807791321</v>
      </c>
      <c r="R56" s="28">
        <v>2.1669542171482759</v>
      </c>
      <c r="S56" s="28">
        <v>2.2031722197759951</v>
      </c>
      <c r="T56" s="28">
        <v>2.6218354528799948</v>
      </c>
      <c r="U56" s="28">
        <v>2.9378416318852185</v>
      </c>
      <c r="V56" s="28">
        <v>3.0077539232383765</v>
      </c>
      <c r="W56" s="28">
        <v>3.0977705255239574</v>
      </c>
      <c r="X56" s="28">
        <v>3.4365925902850147</v>
      </c>
      <c r="Y56" s="28">
        <v>3.3230348263826759</v>
      </c>
      <c r="Z56" s="28">
        <v>3.6043461930215459</v>
      </c>
      <c r="AA56" s="28">
        <v>3.7007018273113035</v>
      </c>
      <c r="AB56" s="28">
        <v>3.7355943192743712</v>
      </c>
      <c r="AC56" s="28">
        <v>3.6565507425563748</v>
      </c>
      <c r="AD56" s="28">
        <v>3.540860429636461</v>
      </c>
      <c r="AE56" s="28">
        <v>3.5765875064506014</v>
      </c>
      <c r="AF56" s="28">
        <v>3.4029431747081063</v>
      </c>
      <c r="AG56" s="28">
        <v>3.4155415312099313</v>
      </c>
      <c r="AH56" s="28">
        <v>3.4658441664211281</v>
      </c>
      <c r="AI56" s="28">
        <v>3.5189897318865571</v>
      </c>
      <c r="AJ56" s="28">
        <v>3.5737142539630007</v>
      </c>
      <c r="AK56" s="28">
        <v>3.3911850167972046</v>
      </c>
      <c r="AL56" s="28">
        <v>3.4442853691466047</v>
      </c>
      <c r="AM56" s="28">
        <v>3.572341352748154</v>
      </c>
      <c r="AN56" s="28">
        <v>3.6556928920228327</v>
      </c>
      <c r="BJ56" s="28">
        <v>2.9435162055605852</v>
      </c>
    </row>
    <row r="57" spans="1:62" x14ac:dyDescent="0.25">
      <c r="A57" t="s">
        <v>193</v>
      </c>
      <c r="H57" t="s">
        <v>193</v>
      </c>
      <c r="I57" s="28">
        <v>0.25993557707082449</v>
      </c>
      <c r="J57" s="28">
        <v>-5.9633581828397624</v>
      </c>
      <c r="K57" s="28">
        <v>4.7030620638949472</v>
      </c>
      <c r="L57" s="28">
        <v>1.9104061693808072</v>
      </c>
      <c r="M57" s="28">
        <v>0.2</v>
      </c>
      <c r="N57" s="28">
        <v>1</v>
      </c>
      <c r="O57" s="28">
        <v>1.1000000000000001</v>
      </c>
      <c r="P57" s="28">
        <v>1.4</v>
      </c>
      <c r="Q57" s="28">
        <v>1.6</v>
      </c>
      <c r="R57" s="28">
        <v>1.8</v>
      </c>
      <c r="S57" s="28">
        <v>2.2031722197759951</v>
      </c>
      <c r="T57" s="28">
        <v>2.6218354528799948</v>
      </c>
      <c r="U57" s="28">
        <v>2.9378416318852185</v>
      </c>
      <c r="V57" s="28">
        <v>3.0077539232383765</v>
      </c>
      <c r="W57" s="28">
        <v>3.0977705255239574</v>
      </c>
      <c r="X57" s="28">
        <v>3.4365925902850147</v>
      </c>
      <c r="Y57" s="38">
        <f>(X57+Z57)/2</f>
        <v>3.5204693916532803</v>
      </c>
      <c r="Z57" s="28">
        <v>3.6043461930215459</v>
      </c>
      <c r="AA57" s="28">
        <v>3.7007018273113035</v>
      </c>
      <c r="AB57" s="28">
        <v>3.7355943192743712</v>
      </c>
      <c r="AC57" s="28">
        <v>3.6565507425563748</v>
      </c>
      <c r="AD57" s="28">
        <v>3.540860429636461</v>
      </c>
      <c r="AE57" s="28">
        <v>3.5765875064506014</v>
      </c>
      <c r="AF57" s="28">
        <v>3.4029431747081063</v>
      </c>
      <c r="AG57" s="28">
        <v>3.4155415312099313</v>
      </c>
      <c r="AH57" s="28">
        <v>3.4658441664211281</v>
      </c>
      <c r="AI57" s="28">
        <v>3.5189897318865571</v>
      </c>
      <c r="AJ57" s="28">
        <v>3.5737142539630007</v>
      </c>
      <c r="AK57" s="28">
        <v>3.3911850167972046</v>
      </c>
      <c r="AL57" s="28">
        <v>3.4442853691466047</v>
      </c>
      <c r="AM57" s="28">
        <v>3.572341352748154</v>
      </c>
      <c r="AN57" s="28">
        <v>3.6556928920228327</v>
      </c>
      <c r="BJ57" s="28">
        <v>2.8922564170401932</v>
      </c>
    </row>
    <row r="58" spans="1:62" x14ac:dyDescent="0.25">
      <c r="A58" t="s">
        <v>194</v>
      </c>
      <c r="H58" t="s">
        <v>194</v>
      </c>
      <c r="I58" s="28">
        <v>0.25993557707082449</v>
      </c>
      <c r="J58" s="28">
        <v>-5.9633581828397624</v>
      </c>
      <c r="K58" s="28">
        <v>4.7030620638949472</v>
      </c>
      <c r="L58" s="28">
        <v>1.9104061693808072</v>
      </c>
      <c r="M58" s="28">
        <v>0.9</v>
      </c>
      <c r="N58" s="28">
        <v>1.5</v>
      </c>
      <c r="O58" s="28">
        <v>1.8</v>
      </c>
      <c r="P58" s="28">
        <v>2.0404394542826303</v>
      </c>
      <c r="Q58" s="28">
        <v>2.1106061706687615</v>
      </c>
      <c r="R58" s="28">
        <v>2.2415233455501835</v>
      </c>
      <c r="S58" s="28">
        <v>2.7917771100771578</v>
      </c>
      <c r="T58" s="28">
        <v>3.2133430145161763</v>
      </c>
      <c r="U58" s="28">
        <v>3.3618923772298874</v>
      </c>
      <c r="V58" s="28">
        <v>3.4979249789841216</v>
      </c>
      <c r="W58" s="28">
        <v>3.616882876741641</v>
      </c>
      <c r="X58" s="28">
        <v>3.7175290675305712</v>
      </c>
      <c r="Y58" s="28">
        <v>3.8</v>
      </c>
      <c r="Z58" s="28">
        <v>3.8</v>
      </c>
      <c r="AA58" s="28">
        <v>3.8</v>
      </c>
      <c r="AB58" s="28">
        <v>3.8</v>
      </c>
      <c r="AC58" s="28">
        <v>3.8</v>
      </c>
      <c r="AD58" s="28">
        <v>3.8</v>
      </c>
      <c r="AE58" s="28">
        <v>3.8</v>
      </c>
      <c r="AF58" s="28">
        <v>3.8</v>
      </c>
      <c r="AG58" s="28">
        <v>3.8</v>
      </c>
      <c r="AH58" s="28">
        <v>3.8</v>
      </c>
      <c r="AI58" s="28">
        <v>3.8</v>
      </c>
      <c r="AJ58" s="28">
        <v>3.8</v>
      </c>
      <c r="AK58" s="28">
        <v>3.8</v>
      </c>
      <c r="AL58" s="28">
        <v>3.8</v>
      </c>
      <c r="AM58" s="28">
        <v>3.8</v>
      </c>
      <c r="AN58" s="28">
        <v>3.8</v>
      </c>
      <c r="BJ58" s="28">
        <v>3.2711399426993246</v>
      </c>
    </row>
    <row r="59" spans="1:62" x14ac:dyDescent="0.25">
      <c r="A59" t="s">
        <v>195</v>
      </c>
      <c r="H59" t="s">
        <v>195</v>
      </c>
      <c r="I59" s="28">
        <v>0.25993557707082449</v>
      </c>
      <c r="J59" s="28">
        <v>-5.9633581828397624</v>
      </c>
      <c r="K59" s="28">
        <v>4.7030620638949472</v>
      </c>
      <c r="L59" s="28">
        <v>1.9104061693808072</v>
      </c>
      <c r="M59" s="28">
        <v>0.9</v>
      </c>
      <c r="N59" s="28">
        <v>1.5</v>
      </c>
      <c r="O59" s="28">
        <v>1.8</v>
      </c>
      <c r="P59" s="28">
        <v>2.0404394542826303</v>
      </c>
      <c r="Q59" s="28">
        <v>2.1106061706687615</v>
      </c>
      <c r="R59" s="28">
        <v>2.2415233455501835</v>
      </c>
      <c r="S59" s="28">
        <v>3.1517771100771577</v>
      </c>
      <c r="T59" s="28">
        <v>3.6633430145161765</v>
      </c>
      <c r="U59" s="28">
        <v>3.8452257105632208</v>
      </c>
      <c r="V59" s="28">
        <v>4.0145916456507882</v>
      </c>
      <c r="W59" s="28">
        <v>4.1668828767416404</v>
      </c>
      <c r="X59" s="28">
        <v>4.3008624008639043</v>
      </c>
      <c r="Y59" s="28">
        <v>4.3938506028723179</v>
      </c>
      <c r="Z59" s="28">
        <v>4.2895596815515136</v>
      </c>
      <c r="AA59" s="28">
        <v>4.3042186254831805</v>
      </c>
      <c r="AB59" s="28">
        <v>4.3737923286395031</v>
      </c>
      <c r="AC59" s="28">
        <v>3.8309527099893437</v>
      </c>
      <c r="AD59" s="28">
        <v>3.8363524864999166</v>
      </c>
      <c r="AE59" s="28">
        <v>3.8322000917882626</v>
      </c>
      <c r="AF59" s="28">
        <v>3.7685174179419523</v>
      </c>
      <c r="AG59" s="28">
        <v>3.5608525224531284</v>
      </c>
      <c r="AH59" s="28">
        <v>3.5188632583520896</v>
      </c>
      <c r="AI59" s="28">
        <v>3.4740227839703097</v>
      </c>
      <c r="AJ59" s="28">
        <v>3.4886325094667159</v>
      </c>
      <c r="AK59" s="28">
        <v>3.4385814557919447</v>
      </c>
      <c r="AL59" s="28">
        <v>3.4431703217855159</v>
      </c>
      <c r="AM59" s="28">
        <v>3.4577367001389803</v>
      </c>
      <c r="AN59" s="28">
        <v>3.4888803024206938</v>
      </c>
      <c r="BJ59" s="28">
        <v>3.4733359968824429</v>
      </c>
    </row>
    <row r="60" spans="1:62" x14ac:dyDescent="0.25">
      <c r="A60" t="s">
        <v>210</v>
      </c>
      <c r="H60" t="str">
        <f>A60</f>
        <v>IRP High?</v>
      </c>
      <c r="I60" s="28">
        <f>I57</f>
        <v>0.25993557707082449</v>
      </c>
      <c r="J60" s="28">
        <f t="shared" ref="J60:M60" si="123">J57</f>
        <v>-5.9633581828397624</v>
      </c>
      <c r="K60" s="28">
        <f t="shared" si="123"/>
        <v>4.7030620638949472</v>
      </c>
      <c r="L60" s="28">
        <f t="shared" si="123"/>
        <v>1.9104061693808072</v>
      </c>
      <c r="M60" s="28">
        <f t="shared" si="123"/>
        <v>0.2</v>
      </c>
      <c r="N60" s="28">
        <f>N58</f>
        <v>1.5</v>
      </c>
      <c r="O60" s="28">
        <f t="shared" ref="O60:AN60" si="124">O58</f>
        <v>1.8</v>
      </c>
      <c r="P60" s="28">
        <f t="shared" si="124"/>
        <v>2.0404394542826303</v>
      </c>
      <c r="Q60" s="28">
        <f t="shared" si="124"/>
        <v>2.1106061706687615</v>
      </c>
      <c r="R60" s="28">
        <f t="shared" si="124"/>
        <v>2.2415233455501835</v>
      </c>
      <c r="S60" s="28">
        <f t="shared" si="124"/>
        <v>2.7917771100771578</v>
      </c>
      <c r="T60" s="28">
        <f t="shared" si="124"/>
        <v>3.2133430145161763</v>
      </c>
      <c r="U60" s="28">
        <f t="shared" si="124"/>
        <v>3.3618923772298874</v>
      </c>
      <c r="V60" s="28">
        <f t="shared" si="124"/>
        <v>3.4979249789841216</v>
      </c>
      <c r="W60" s="28">
        <f t="shared" si="124"/>
        <v>3.616882876741641</v>
      </c>
      <c r="X60" s="28">
        <f t="shared" si="124"/>
        <v>3.7175290675305712</v>
      </c>
      <c r="Y60" s="28">
        <f t="shared" si="124"/>
        <v>3.8</v>
      </c>
      <c r="Z60" s="28">
        <f t="shared" si="124"/>
        <v>3.8</v>
      </c>
      <c r="AA60" s="28">
        <f t="shared" si="124"/>
        <v>3.8</v>
      </c>
      <c r="AB60" s="28">
        <f t="shared" si="124"/>
        <v>3.8</v>
      </c>
      <c r="AC60" s="28">
        <f t="shared" si="124"/>
        <v>3.8</v>
      </c>
      <c r="AD60" s="28">
        <f t="shared" si="124"/>
        <v>3.8</v>
      </c>
      <c r="AE60" s="28">
        <f t="shared" si="124"/>
        <v>3.8</v>
      </c>
      <c r="AF60" s="28">
        <f t="shared" si="124"/>
        <v>3.8</v>
      </c>
      <c r="AG60" s="28">
        <f t="shared" si="124"/>
        <v>3.8</v>
      </c>
      <c r="AH60" s="28">
        <f t="shared" si="124"/>
        <v>3.8</v>
      </c>
      <c r="AI60" s="28">
        <f t="shared" si="124"/>
        <v>3.8</v>
      </c>
      <c r="AJ60" s="28">
        <f t="shared" si="124"/>
        <v>3.8</v>
      </c>
      <c r="AK60" s="28">
        <f t="shared" si="124"/>
        <v>3.8</v>
      </c>
      <c r="AL60" s="28">
        <f t="shared" si="124"/>
        <v>3.8</v>
      </c>
      <c r="AM60" s="28">
        <f t="shared" si="124"/>
        <v>3.8</v>
      </c>
      <c r="AN60" s="28">
        <f t="shared" si="124"/>
        <v>3.8</v>
      </c>
      <c r="BJ60" s="28"/>
    </row>
    <row r="61" spans="1:62" x14ac:dyDescent="0.25">
      <c r="A61" t="s">
        <v>209</v>
      </c>
      <c r="H61" t="str">
        <f>A61</f>
        <v>IRP Low?</v>
      </c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BJ61" s="28"/>
    </row>
    <row r="62" spans="1:62" x14ac:dyDescent="0.25">
      <c r="A62" t="s">
        <v>208</v>
      </c>
      <c r="H62" t="s">
        <v>208</v>
      </c>
      <c r="I62" s="28">
        <v>0.25993557707082399</v>
      </c>
      <c r="J62" s="28">
        <v>-5.96335818283971</v>
      </c>
      <c r="K62" s="28">
        <v>4.7030620638948601</v>
      </c>
      <c r="L62" s="28">
        <v>1.9104061693808498</v>
      </c>
      <c r="M62" s="28">
        <v>0.39791846996841701</v>
      </c>
      <c r="N62" s="28">
        <v>1.39621384908586</v>
      </c>
      <c r="O62" s="28">
        <v>2.5013097388619601</v>
      </c>
      <c r="P62" s="28">
        <v>2.2102455509561199</v>
      </c>
      <c r="Q62" s="28">
        <v>2.2729971327419598</v>
      </c>
      <c r="R62" s="28">
        <v>2.3212583448272199</v>
      </c>
      <c r="S62" s="28">
        <v>2.4232438681064599</v>
      </c>
      <c r="T62" s="28">
        <v>2.7416925964130399</v>
      </c>
      <c r="U62" s="28">
        <v>2.8485238703067899</v>
      </c>
      <c r="V62" s="28">
        <v>2.70591941432092</v>
      </c>
      <c r="W62" s="28">
        <v>2.6551660590269099</v>
      </c>
      <c r="X62" s="28">
        <v>2.4908927260187901</v>
      </c>
      <c r="Y62" s="28">
        <v>2.3921559508944599</v>
      </c>
      <c r="Z62" s="28">
        <v>2.4632400771388103</v>
      </c>
      <c r="AA62" s="28">
        <v>2.3980912189260501</v>
      </c>
      <c r="AB62" s="28">
        <v>2.2524284740647897</v>
      </c>
      <c r="AC62" s="28">
        <v>2.1606045223633501</v>
      </c>
      <c r="AD62" s="28">
        <v>1.9875718169076702</v>
      </c>
      <c r="AE62" s="28">
        <v>1.8827062029697972</v>
      </c>
      <c r="AF62" s="28">
        <v>1.8653718590666557</v>
      </c>
      <c r="AG62" s="28">
        <v>1.8941671080589861</v>
      </c>
      <c r="AH62" s="28">
        <v>1.8792096196824204</v>
      </c>
      <c r="AI62" s="28">
        <v>1.9038321527751867</v>
      </c>
      <c r="AJ62" s="28">
        <v>1.9023032187649891</v>
      </c>
      <c r="AK62" s="28">
        <v>1.8559085633529371</v>
      </c>
      <c r="AL62" s="28">
        <v>1.8234640762962773</v>
      </c>
      <c r="AM62" s="28">
        <v>1.8030670694847428</v>
      </c>
      <c r="AN62" s="28">
        <v>1.8194457826854693</v>
      </c>
      <c r="BJ62" s="28"/>
    </row>
    <row r="63" spans="1:62" x14ac:dyDescent="0.25">
      <c r="A63" t="s">
        <v>196</v>
      </c>
      <c r="B63" s="29"/>
      <c r="C63" s="29"/>
      <c r="D63" s="29"/>
      <c r="E63" s="29"/>
      <c r="F63" s="29"/>
      <c r="G63" s="29"/>
      <c r="H63" s="29" t="s">
        <v>196</v>
      </c>
      <c r="I63" s="30">
        <v>0.3</v>
      </c>
      <c r="J63" s="30">
        <v>-6.3</v>
      </c>
      <c r="K63" s="30">
        <v>4.9000000000000004</v>
      </c>
      <c r="L63" s="30">
        <v>2</v>
      </c>
      <c r="M63" s="30">
        <v>0.2</v>
      </c>
      <c r="N63" s="30">
        <v>1</v>
      </c>
      <c r="O63" s="30">
        <v>1.1000000000000001</v>
      </c>
    </row>
    <row r="64" spans="1:62" x14ac:dyDescent="0.25">
      <c r="A64" t="s">
        <v>197</v>
      </c>
      <c r="B64" s="32"/>
      <c r="C64" s="32"/>
      <c r="D64" s="32"/>
      <c r="E64" s="32"/>
      <c r="F64" s="32"/>
      <c r="G64" s="32"/>
      <c r="H64" s="32" t="s">
        <v>197</v>
      </c>
      <c r="I64" s="30"/>
      <c r="J64" s="30"/>
      <c r="K64" s="30"/>
      <c r="L64" s="28">
        <v>2.5</v>
      </c>
      <c r="M64" s="28">
        <v>0.9</v>
      </c>
      <c r="N64" s="28">
        <v>1.5</v>
      </c>
      <c r="O64" s="28">
        <v>1.8</v>
      </c>
      <c r="P64" s="28"/>
      <c r="Q64" s="28"/>
      <c r="R64" s="28"/>
    </row>
    <row r="65" spans="1:60" x14ac:dyDescent="0.25">
      <c r="A65" t="s">
        <v>198</v>
      </c>
      <c r="B65" s="31"/>
      <c r="C65" s="31"/>
      <c r="D65" s="31"/>
      <c r="E65" s="31"/>
      <c r="F65" s="31"/>
      <c r="G65" s="31"/>
      <c r="H65" s="31" t="s">
        <v>198</v>
      </c>
      <c r="L65" s="28">
        <v>2</v>
      </c>
      <c r="M65" s="28">
        <v>0.1</v>
      </c>
      <c r="N65" s="28">
        <v>1.8</v>
      </c>
      <c r="O65" s="28">
        <v>1.6</v>
      </c>
      <c r="P65" s="28">
        <v>1.4</v>
      </c>
      <c r="Q65" s="28">
        <v>1.4</v>
      </c>
      <c r="R65" s="28">
        <v>1.4</v>
      </c>
    </row>
    <row r="66" spans="1:60" x14ac:dyDescent="0.25">
      <c r="A66" t="s">
        <v>199</v>
      </c>
      <c r="H66" t="s">
        <v>199</v>
      </c>
      <c r="L66" s="28">
        <v>2</v>
      </c>
      <c r="M66" s="28">
        <v>0.3</v>
      </c>
      <c r="N66" s="28">
        <v>1.5</v>
      </c>
      <c r="O66" s="28">
        <v>1.6</v>
      </c>
      <c r="P66" s="28"/>
      <c r="Q66" s="28"/>
      <c r="R66" s="28"/>
    </row>
    <row r="67" spans="1:60" x14ac:dyDescent="0.25">
      <c r="A67" t="s">
        <v>200</v>
      </c>
      <c r="H67" t="s">
        <v>200</v>
      </c>
    </row>
    <row r="69" spans="1:60" x14ac:dyDescent="0.25">
      <c r="I69">
        <f>Drivers!H48</f>
        <v>2019</v>
      </c>
      <c r="J69">
        <f>Drivers!I48</f>
        <v>2020</v>
      </c>
      <c r="K69">
        <f>Drivers!J48</f>
        <v>2021</v>
      </c>
      <c r="L69">
        <f>Drivers!K48</f>
        <v>2022</v>
      </c>
      <c r="M69">
        <f>Drivers!L48</f>
        <v>2023</v>
      </c>
      <c r="N69">
        <f>Drivers!M48</f>
        <v>2024</v>
      </c>
      <c r="O69">
        <f>Drivers!N48</f>
        <v>2025</v>
      </c>
      <c r="P69">
        <f>Drivers!O48</f>
        <v>2026</v>
      </c>
      <c r="Q69">
        <f>Drivers!P48</f>
        <v>2027</v>
      </c>
      <c r="R69">
        <f>Drivers!Q48</f>
        <v>2028</v>
      </c>
      <c r="S69">
        <f>Drivers!R48</f>
        <v>2029</v>
      </c>
      <c r="T69">
        <f>Drivers!S48</f>
        <v>2030</v>
      </c>
      <c r="U69">
        <f>Drivers!T48</f>
        <v>2031</v>
      </c>
      <c r="V69">
        <f>Drivers!U48</f>
        <v>2032</v>
      </c>
      <c r="W69">
        <f>Drivers!V48</f>
        <v>2033</v>
      </c>
      <c r="X69">
        <f>Drivers!W48</f>
        <v>2034</v>
      </c>
      <c r="Y69">
        <f>Drivers!X48</f>
        <v>2035</v>
      </c>
      <c r="Z69">
        <f>Drivers!Y48</f>
        <v>2036</v>
      </c>
      <c r="AA69">
        <f>Drivers!Z48</f>
        <v>2037</v>
      </c>
      <c r="AB69">
        <f>Drivers!AA48</f>
        <v>2038</v>
      </c>
      <c r="AC69">
        <f>Drivers!AB48</f>
        <v>2039</v>
      </c>
      <c r="AD69">
        <f>Drivers!AC48</f>
        <v>2040</v>
      </c>
      <c r="AE69">
        <f>Drivers!AD48</f>
        <v>2041</v>
      </c>
      <c r="AF69">
        <f>Drivers!AE48</f>
        <v>2042</v>
      </c>
      <c r="AG69">
        <f>Drivers!AF48</f>
        <v>2043</v>
      </c>
      <c r="AH69">
        <f>Drivers!AG48</f>
        <v>2044</v>
      </c>
      <c r="AI69">
        <f>Drivers!AH48</f>
        <v>2045</v>
      </c>
      <c r="AJ69">
        <f>Drivers!AI48</f>
        <v>2046</v>
      </c>
      <c r="AK69">
        <f>Drivers!AJ48</f>
        <v>2047</v>
      </c>
      <c r="AL69">
        <f>Drivers!AK48</f>
        <v>2048</v>
      </c>
      <c r="AM69">
        <f>Drivers!AL48</f>
        <v>2049</v>
      </c>
      <c r="AN69">
        <f>Drivers!AM48</f>
        <v>2050</v>
      </c>
      <c r="AO69">
        <f>Drivers!AN48</f>
        <v>2051</v>
      </c>
      <c r="AP69">
        <f>Drivers!AO48</f>
        <v>2052</v>
      </c>
      <c r="AQ69">
        <f>Drivers!AP48</f>
        <v>2053</v>
      </c>
      <c r="AR69">
        <f>Drivers!AQ48</f>
        <v>2054</v>
      </c>
      <c r="AS69">
        <f>Drivers!AR48</f>
        <v>2055</v>
      </c>
      <c r="AT69">
        <f>Drivers!AS48</f>
        <v>2056</v>
      </c>
      <c r="AU69">
        <f>Drivers!AT48</f>
        <v>2057</v>
      </c>
      <c r="AV69">
        <f>Drivers!AU48</f>
        <v>2058</v>
      </c>
      <c r="AW69">
        <f>Drivers!AV48</f>
        <v>2059</v>
      </c>
      <c r="AX69">
        <f>Drivers!AW48</f>
        <v>2060</v>
      </c>
      <c r="AY69">
        <f>Drivers!AX48</f>
        <v>2061</v>
      </c>
      <c r="AZ69">
        <f>Drivers!AY48</f>
        <v>2062</v>
      </c>
      <c r="BA69">
        <f>Drivers!AZ48</f>
        <v>2063</v>
      </c>
      <c r="BB69">
        <f>Drivers!BA48</f>
        <v>2064</v>
      </c>
      <c r="BC69">
        <f>Drivers!BB48</f>
        <v>2065</v>
      </c>
      <c r="BD69">
        <f>Drivers!BC48</f>
        <v>2066</v>
      </c>
      <c r="BE69">
        <f>Drivers!BD48</f>
        <v>2067</v>
      </c>
      <c r="BF69">
        <f>Drivers!BE48</f>
        <v>2068</v>
      </c>
      <c r="BG69">
        <f>Drivers!BF48</f>
        <v>2069</v>
      </c>
      <c r="BH69">
        <f>Drivers!BG48</f>
        <v>2070</v>
      </c>
    </row>
    <row r="70" spans="1:60" x14ac:dyDescent="0.25">
      <c r="A70" t="s">
        <v>202</v>
      </c>
      <c r="I70">
        <f>Drivers!H49</f>
        <v>58087.055</v>
      </c>
      <c r="J70">
        <f>Drivers!I49</f>
        <v>58801.927000000003</v>
      </c>
      <c r="K70">
        <f>Drivers!J49</f>
        <v>59392.254999999997</v>
      </c>
      <c r="L70">
        <f>Drivers!K49</f>
        <v>59893.885000000002</v>
      </c>
      <c r="M70">
        <f>Drivers!L49</f>
        <v>60414.495000000003</v>
      </c>
      <c r="N70">
        <f>Drivers!M49</f>
        <v>61020.220999999998</v>
      </c>
      <c r="O70">
        <f>Drivers!N49</f>
        <v>61673.080999999998</v>
      </c>
      <c r="P70">
        <f>Drivers!O49</f>
        <v>62305.038999999997</v>
      </c>
      <c r="Q70">
        <f>Drivers!P49</f>
        <v>62918.915999999997</v>
      </c>
      <c r="R70">
        <f>Drivers!Q49</f>
        <v>63514.502</v>
      </c>
      <c r="S70">
        <f>Drivers!R49</f>
        <v>64093.732000000004</v>
      </c>
      <c r="T70">
        <f>Drivers!S49</f>
        <v>64659.277999999998</v>
      </c>
      <c r="U70">
        <f>Drivers!T49</f>
        <v>65211.525999999998</v>
      </c>
      <c r="V70">
        <f>Drivers!U49</f>
        <v>65752.923999999999</v>
      </c>
      <c r="W70">
        <f>Drivers!V49</f>
        <v>66284.188999999998</v>
      </c>
      <c r="X70">
        <f>Drivers!W49</f>
        <v>66804.167000000001</v>
      </c>
      <c r="Y70">
        <f>Drivers!X49</f>
        <v>67314.133000000002</v>
      </c>
      <c r="Z70">
        <f>Drivers!Y49</f>
        <v>67815.933000000005</v>
      </c>
      <c r="AA70">
        <f>Drivers!Z49</f>
        <v>68308.245999999999</v>
      </c>
      <c r="AB70">
        <f>Drivers!AA49</f>
        <v>68788.494999999995</v>
      </c>
      <c r="AC70">
        <f>Drivers!AB49</f>
        <v>69256.823000000004</v>
      </c>
      <c r="AD70">
        <f>Drivers!AC49</f>
        <v>69713.937000000005</v>
      </c>
      <c r="AE70">
        <f>Drivers!AD49</f>
        <v>70160.652000000002</v>
      </c>
      <c r="AF70">
        <f>Drivers!AE49</f>
        <v>70595.131999999998</v>
      </c>
      <c r="AG70">
        <f>Drivers!AF49</f>
        <v>71016.168000000005</v>
      </c>
      <c r="AH70">
        <f>Drivers!AG49</f>
        <v>71423.671000000002</v>
      </c>
      <c r="AI70">
        <f>Drivers!AH49</f>
        <v>71816.201000000001</v>
      </c>
      <c r="AJ70">
        <f>Drivers!AI49</f>
        <v>72192.154999999999</v>
      </c>
      <c r="AK70">
        <f>Drivers!AJ49</f>
        <v>72551.392999999996</v>
      </c>
      <c r="AL70">
        <f>Drivers!AK49</f>
        <v>72894.218999999997</v>
      </c>
      <c r="AM70">
        <f>Drivers!AL49</f>
        <v>73220.86</v>
      </c>
      <c r="AN70">
        <f>Drivers!AM49</f>
        <v>73529.752999999997</v>
      </c>
      <c r="AO70">
        <f>Drivers!AN49</f>
        <v>73819.237999999998</v>
      </c>
      <c r="AP70">
        <f>Drivers!AO49</f>
        <v>74089.701000000001</v>
      </c>
      <c r="AQ70">
        <f>Drivers!AP49</f>
        <v>74342.981</v>
      </c>
      <c r="AR70">
        <f>Drivers!AQ49</f>
        <v>74580.11</v>
      </c>
      <c r="AS70">
        <f>Drivers!AR49</f>
        <v>74799.05</v>
      </c>
      <c r="AT70">
        <f>Drivers!AS49</f>
        <v>75001.119999999995</v>
      </c>
      <c r="AU70">
        <f>Drivers!AT49</f>
        <v>75188.808000000005</v>
      </c>
      <c r="AV70">
        <f>Drivers!AU49</f>
        <v>75362.119000000006</v>
      </c>
      <c r="AW70">
        <f>Drivers!AV49</f>
        <v>75520.304000000004</v>
      </c>
      <c r="AX70">
        <f>Drivers!AW49</f>
        <v>75663.198000000004</v>
      </c>
      <c r="AY70">
        <f>Drivers!AX49</f>
        <v>75793.040999999997</v>
      </c>
      <c r="AZ70">
        <f>Drivers!AY49</f>
        <v>75912.773000000001</v>
      </c>
      <c r="BA70">
        <f>Drivers!AZ49</f>
        <v>76022.452999999994</v>
      </c>
      <c r="BB70">
        <f>Drivers!BA49</f>
        <v>76120.998999999996</v>
      </c>
      <c r="BC70">
        <f>Drivers!BB49</f>
        <v>76208.044999999998</v>
      </c>
      <c r="BD70">
        <f>Drivers!BC49</f>
        <v>76283.732000000004</v>
      </c>
      <c r="BE70">
        <f>Drivers!BD49</f>
        <v>76351.933999999994</v>
      </c>
      <c r="BF70">
        <f>Drivers!BE49</f>
        <v>76412.77</v>
      </c>
      <c r="BG70">
        <f>Drivers!BF49</f>
        <v>76462.114000000001</v>
      </c>
      <c r="BH70">
        <f>Drivers!BG49</f>
        <v>76502.154999999999</v>
      </c>
    </row>
    <row r="73" spans="1:60" x14ac:dyDescent="0.25">
      <c r="A73" t="str">
        <f t="shared" ref="A73" si="125">A68&amp;" "&amp;B68</f>
        <v xml:space="preserve"> </v>
      </c>
    </row>
    <row r="79" spans="1:60" x14ac:dyDescent="0.25">
      <c r="A79" s="20" t="s">
        <v>74</v>
      </c>
    </row>
    <row r="80" spans="1:60" x14ac:dyDescent="0.25">
      <c r="B80">
        <v>2012</v>
      </c>
      <c r="C80">
        <v>2013</v>
      </c>
      <c r="D80">
        <v>2014</v>
      </c>
      <c r="E80">
        <v>2015</v>
      </c>
      <c r="F80">
        <v>2016</v>
      </c>
      <c r="G80">
        <v>2017</v>
      </c>
      <c r="H80">
        <v>2018</v>
      </c>
      <c r="I80">
        <v>2019</v>
      </c>
      <c r="J80">
        <v>2020</v>
      </c>
      <c r="K80">
        <v>2021</v>
      </c>
      <c r="L80">
        <v>2022</v>
      </c>
      <c r="M80">
        <v>2023</v>
      </c>
      <c r="N80">
        <v>2024</v>
      </c>
      <c r="O80">
        <v>2025</v>
      </c>
      <c r="P80">
        <v>2026</v>
      </c>
      <c r="Q80">
        <v>2027</v>
      </c>
      <c r="R80">
        <v>2028</v>
      </c>
      <c r="S80">
        <v>2029</v>
      </c>
      <c r="T80">
        <v>2030</v>
      </c>
      <c r="U80">
        <v>2031</v>
      </c>
      <c r="V80">
        <v>2032</v>
      </c>
      <c r="W80">
        <v>2033</v>
      </c>
      <c r="X80">
        <v>2034</v>
      </c>
      <c r="Y80">
        <v>2035</v>
      </c>
      <c r="Z80">
        <v>2036</v>
      </c>
      <c r="AA80">
        <v>2037</v>
      </c>
      <c r="AB80">
        <v>2038</v>
      </c>
      <c r="AC80">
        <v>2039</v>
      </c>
      <c r="AD80">
        <v>2040</v>
      </c>
      <c r="AE80">
        <v>2041</v>
      </c>
      <c r="AF80">
        <v>2042</v>
      </c>
      <c r="AG80">
        <v>2043</v>
      </c>
      <c r="AH80">
        <v>2044</v>
      </c>
      <c r="AI80">
        <v>2045</v>
      </c>
      <c r="AJ80">
        <v>2046</v>
      </c>
      <c r="AK80">
        <v>2047</v>
      </c>
      <c r="AL80">
        <v>2048</v>
      </c>
      <c r="AM80">
        <v>2049</v>
      </c>
      <c r="AN80">
        <v>2050</v>
      </c>
    </row>
    <row r="81" spans="1:40" x14ac:dyDescent="0.25">
      <c r="A81" t="s">
        <v>22</v>
      </c>
      <c r="B81">
        <v>69.819999999999993</v>
      </c>
      <c r="C81">
        <v>72.77</v>
      </c>
      <c r="D81">
        <v>75.510000000000005</v>
      </c>
      <c r="E81">
        <v>74.36</v>
      </c>
      <c r="F81">
        <v>73.55</v>
      </c>
      <c r="G81">
        <v>76</v>
      </c>
      <c r="H81">
        <v>74.78</v>
      </c>
      <c r="I81">
        <v>73.53</v>
      </c>
      <c r="J81">
        <v>70.959999999999994</v>
      </c>
      <c r="K81">
        <v>72.959999999999994</v>
      </c>
      <c r="L81">
        <v>75</v>
      </c>
      <c r="M81">
        <v>76.52</v>
      </c>
      <c r="N81">
        <v>77.900000000000006</v>
      </c>
      <c r="O81">
        <v>79.13</v>
      </c>
      <c r="P81">
        <v>81.150000000000006</v>
      </c>
      <c r="Q81">
        <v>83.06</v>
      </c>
      <c r="R81">
        <v>85</v>
      </c>
      <c r="S81">
        <v>86.79</v>
      </c>
      <c r="T81">
        <v>88.61</v>
      </c>
      <c r="U81">
        <v>90.52</v>
      </c>
      <c r="V81">
        <v>92.22</v>
      </c>
      <c r="W81">
        <v>94</v>
      </c>
      <c r="X81">
        <v>95.83</v>
      </c>
      <c r="Y81">
        <v>97.69</v>
      </c>
      <c r="Z81">
        <v>99.72</v>
      </c>
      <c r="AA81">
        <v>101.85</v>
      </c>
      <c r="AB81">
        <v>104.02</v>
      </c>
      <c r="AC81">
        <v>106.26</v>
      </c>
      <c r="AD81">
        <v>108.6</v>
      </c>
      <c r="AE81">
        <v>110.85</v>
      </c>
      <c r="AF81">
        <v>113.14</v>
      </c>
      <c r="AG81">
        <v>115.46</v>
      </c>
      <c r="AH81">
        <v>117.97</v>
      </c>
      <c r="AI81">
        <v>120.7</v>
      </c>
      <c r="AJ81">
        <v>123.56</v>
      </c>
      <c r="AK81">
        <v>126.62</v>
      </c>
      <c r="AL81">
        <v>129.62</v>
      </c>
      <c r="AM81">
        <v>132.85</v>
      </c>
      <c r="AN81">
        <v>136.25</v>
      </c>
    </row>
    <row r="82" spans="1:40" x14ac:dyDescent="0.25">
      <c r="A82" t="s">
        <v>38</v>
      </c>
      <c r="B82">
        <v>66.42</v>
      </c>
      <c r="C82">
        <v>65.98</v>
      </c>
      <c r="D82">
        <v>65.72</v>
      </c>
      <c r="E82">
        <v>65.459999999999994</v>
      </c>
      <c r="F82">
        <v>64.28</v>
      </c>
      <c r="G82">
        <v>63.85</v>
      </c>
      <c r="H82">
        <v>63.13</v>
      </c>
      <c r="I82">
        <v>62.24</v>
      </c>
      <c r="J82">
        <v>61.58</v>
      </c>
      <c r="K82">
        <v>60.37</v>
      </c>
      <c r="L82">
        <v>60.1</v>
      </c>
      <c r="M82">
        <v>59.84</v>
      </c>
      <c r="N82">
        <v>59.34</v>
      </c>
      <c r="O82">
        <v>58.75</v>
      </c>
      <c r="P82">
        <v>56.4</v>
      </c>
      <c r="Q82">
        <v>53.36</v>
      </c>
      <c r="R82">
        <v>50.36</v>
      </c>
      <c r="S82">
        <v>46.96</v>
      </c>
      <c r="T82">
        <v>43.51</v>
      </c>
      <c r="U82">
        <v>43.76</v>
      </c>
      <c r="V82">
        <v>42.68</v>
      </c>
      <c r="W82">
        <v>42.31</v>
      </c>
      <c r="X82">
        <v>41.94</v>
      </c>
      <c r="Y82">
        <v>41.15</v>
      </c>
      <c r="Z82">
        <v>39.86</v>
      </c>
      <c r="AA82">
        <v>38.57</v>
      </c>
      <c r="AB82">
        <v>37.28</v>
      </c>
      <c r="AC82">
        <v>36</v>
      </c>
      <c r="AD82">
        <v>34.71</v>
      </c>
      <c r="AE82">
        <v>34.86</v>
      </c>
      <c r="AF82">
        <v>35.01</v>
      </c>
      <c r="AG82">
        <v>35.15</v>
      </c>
      <c r="AH82">
        <v>35.299999999999997</v>
      </c>
      <c r="AI82">
        <v>35.450000000000003</v>
      </c>
      <c r="AJ82">
        <v>35.75</v>
      </c>
      <c r="AK82">
        <v>36.04</v>
      </c>
      <c r="AL82">
        <v>36.340000000000003</v>
      </c>
      <c r="AM82">
        <v>36.64</v>
      </c>
      <c r="AN82">
        <v>36.93</v>
      </c>
    </row>
    <row r="83" spans="1:40" x14ac:dyDescent="0.25">
      <c r="A83" t="s">
        <v>21</v>
      </c>
      <c r="B83">
        <v>1833.85</v>
      </c>
      <c r="C83">
        <v>1884.55</v>
      </c>
      <c r="D83">
        <v>1927.88</v>
      </c>
      <c r="E83">
        <v>1957.41</v>
      </c>
      <c r="F83">
        <v>1982.72</v>
      </c>
      <c r="G83">
        <v>2007.4</v>
      </c>
      <c r="H83">
        <v>2036.6</v>
      </c>
      <c r="I83">
        <v>2071.14</v>
      </c>
      <c r="J83">
        <v>1915.6</v>
      </c>
      <c r="K83">
        <v>1960.19</v>
      </c>
      <c r="L83">
        <v>2004.23</v>
      </c>
      <c r="M83">
        <v>2048.11</v>
      </c>
      <c r="N83">
        <v>2091.16</v>
      </c>
      <c r="O83">
        <v>2135.91</v>
      </c>
      <c r="P83">
        <v>2188.48</v>
      </c>
      <c r="Q83">
        <v>2240.58</v>
      </c>
      <c r="R83">
        <v>2295.15</v>
      </c>
      <c r="S83">
        <v>2351.59</v>
      </c>
      <c r="T83">
        <v>2409.79</v>
      </c>
      <c r="U83">
        <v>2477.56</v>
      </c>
      <c r="V83">
        <v>2544.31</v>
      </c>
      <c r="W83">
        <v>2617.34</v>
      </c>
      <c r="X83">
        <v>2695.68</v>
      </c>
      <c r="Y83">
        <v>2779.08</v>
      </c>
      <c r="Z83">
        <v>2866.42</v>
      </c>
      <c r="AA83">
        <v>2957.38</v>
      </c>
      <c r="AB83">
        <v>3050.01</v>
      </c>
      <c r="AC83">
        <v>3146.53</v>
      </c>
      <c r="AD83">
        <v>3249.04</v>
      </c>
      <c r="AE83">
        <v>3355.38</v>
      </c>
      <c r="AF83">
        <v>3466.6</v>
      </c>
      <c r="AG83">
        <v>3582.52</v>
      </c>
      <c r="AH83">
        <v>3703.15</v>
      </c>
      <c r="AI83">
        <v>3831.42</v>
      </c>
      <c r="AJ83">
        <v>3966.01</v>
      </c>
      <c r="AK83">
        <v>4107.3999999999996</v>
      </c>
      <c r="AL83">
        <v>4251</v>
      </c>
      <c r="AM83">
        <v>4401.6400000000003</v>
      </c>
      <c r="AN83">
        <v>4560.04</v>
      </c>
    </row>
    <row r="84" spans="1:40" x14ac:dyDescent="0.25">
      <c r="A84" t="s">
        <v>27</v>
      </c>
      <c r="B84">
        <v>52.81</v>
      </c>
      <c r="C84">
        <v>54.31</v>
      </c>
      <c r="D84">
        <v>55.26</v>
      </c>
      <c r="E84">
        <v>55.73</v>
      </c>
      <c r="F84">
        <v>56.3</v>
      </c>
      <c r="G84">
        <v>56.6</v>
      </c>
      <c r="H84">
        <v>57.09</v>
      </c>
      <c r="I84">
        <v>56.96</v>
      </c>
      <c r="J84">
        <v>52.37</v>
      </c>
      <c r="K84">
        <v>53.76</v>
      </c>
      <c r="L84">
        <v>55.02</v>
      </c>
      <c r="M84">
        <v>56.21</v>
      </c>
      <c r="N84">
        <v>57.35</v>
      </c>
      <c r="O84">
        <v>58.59</v>
      </c>
      <c r="P84">
        <v>60.17</v>
      </c>
      <c r="Q84">
        <v>61.72</v>
      </c>
      <c r="R84">
        <v>63.31</v>
      </c>
      <c r="S84">
        <v>65.09</v>
      </c>
      <c r="T84">
        <v>66.930000000000007</v>
      </c>
      <c r="U84">
        <v>68.83</v>
      </c>
      <c r="V84">
        <v>70.67</v>
      </c>
      <c r="W84">
        <v>72.69</v>
      </c>
      <c r="X84">
        <v>74.849999999999994</v>
      </c>
      <c r="Y84">
        <v>77.23</v>
      </c>
      <c r="Z84">
        <v>79.680000000000007</v>
      </c>
      <c r="AA84">
        <v>82.2</v>
      </c>
      <c r="AB84">
        <v>84.75</v>
      </c>
      <c r="AC84">
        <v>87.38</v>
      </c>
      <c r="AD84">
        <v>90.15</v>
      </c>
      <c r="AE84">
        <v>92.83</v>
      </c>
      <c r="AF84">
        <v>95.65</v>
      </c>
      <c r="AG84">
        <v>98.6</v>
      </c>
      <c r="AH84">
        <v>101.7</v>
      </c>
      <c r="AI84">
        <v>105</v>
      </c>
      <c r="AJ84">
        <v>108.37</v>
      </c>
      <c r="AK84">
        <v>111.9</v>
      </c>
      <c r="AL84">
        <v>115.47</v>
      </c>
      <c r="AM84">
        <v>119.23</v>
      </c>
      <c r="AN84">
        <v>123.19</v>
      </c>
    </row>
    <row r="85" spans="1:40" x14ac:dyDescent="0.25">
      <c r="A85" t="s">
        <v>32</v>
      </c>
      <c r="B85">
        <v>84.25</v>
      </c>
      <c r="C85">
        <v>83.73</v>
      </c>
      <c r="D85">
        <v>83.25</v>
      </c>
      <c r="E85">
        <v>82.69</v>
      </c>
      <c r="F85">
        <v>81.209999999999994</v>
      </c>
      <c r="G85">
        <v>80.83</v>
      </c>
      <c r="H85">
        <v>80.180000000000007</v>
      </c>
      <c r="I85">
        <v>78.209999999999994</v>
      </c>
      <c r="J85">
        <v>76.040000000000006</v>
      </c>
      <c r="K85">
        <v>77.260000000000005</v>
      </c>
      <c r="L85">
        <v>76.540000000000006</v>
      </c>
      <c r="M85">
        <v>77.84</v>
      </c>
      <c r="N85">
        <v>78.83</v>
      </c>
      <c r="O85">
        <v>79.89</v>
      </c>
      <c r="P85">
        <v>81.33</v>
      </c>
      <c r="Q85">
        <v>83.16</v>
      </c>
      <c r="R85">
        <v>84.74</v>
      </c>
      <c r="S85">
        <v>87.09</v>
      </c>
      <c r="T85">
        <v>89.18</v>
      </c>
      <c r="U85">
        <v>91.58</v>
      </c>
      <c r="V85">
        <v>93.3</v>
      </c>
      <c r="W85">
        <v>95.88</v>
      </c>
      <c r="X85">
        <v>98.58</v>
      </c>
      <c r="Y85">
        <v>102.12</v>
      </c>
      <c r="Z85">
        <v>104.15</v>
      </c>
      <c r="AA85">
        <v>106.44</v>
      </c>
      <c r="AB85">
        <v>108.7</v>
      </c>
      <c r="AC85">
        <v>110.96</v>
      </c>
      <c r="AD85">
        <v>113.25</v>
      </c>
      <c r="AE85">
        <v>116.13</v>
      </c>
      <c r="AF85">
        <v>119.11</v>
      </c>
      <c r="AG85">
        <v>122.09</v>
      </c>
      <c r="AH85">
        <v>125.09</v>
      </c>
      <c r="AI85">
        <v>128.13</v>
      </c>
      <c r="AJ85">
        <v>131.97</v>
      </c>
      <c r="AK85">
        <v>135.72</v>
      </c>
      <c r="AL85">
        <v>139.46</v>
      </c>
      <c r="AM85">
        <v>143.13999999999999</v>
      </c>
      <c r="AN85">
        <v>146.85</v>
      </c>
    </row>
    <row r="86" spans="1:40" x14ac:dyDescent="0.25">
      <c r="A86" t="s">
        <v>24</v>
      </c>
      <c r="B86">
        <v>93.1</v>
      </c>
      <c r="C86">
        <v>94.81</v>
      </c>
      <c r="D86">
        <v>96.04</v>
      </c>
      <c r="E86">
        <v>96.13</v>
      </c>
      <c r="F86">
        <v>97.44</v>
      </c>
      <c r="G86">
        <v>97.81</v>
      </c>
      <c r="H86">
        <v>98.48</v>
      </c>
      <c r="I86">
        <v>97.71</v>
      </c>
      <c r="J86">
        <v>92.79</v>
      </c>
      <c r="K86">
        <v>95.58</v>
      </c>
      <c r="L86">
        <v>98.13</v>
      </c>
      <c r="M86">
        <v>100.22</v>
      </c>
      <c r="N86">
        <v>102.18</v>
      </c>
      <c r="O86">
        <v>104.28</v>
      </c>
      <c r="P86">
        <v>107.16</v>
      </c>
      <c r="Q86">
        <v>109.9</v>
      </c>
      <c r="R86">
        <v>112.65</v>
      </c>
      <c r="S86">
        <v>115.22</v>
      </c>
      <c r="T86">
        <v>117.84</v>
      </c>
      <c r="U86">
        <v>120.44</v>
      </c>
      <c r="V86">
        <v>122.85</v>
      </c>
      <c r="W86">
        <v>125.47</v>
      </c>
      <c r="X86">
        <v>128.21</v>
      </c>
      <c r="Y86">
        <v>131.01</v>
      </c>
      <c r="Z86">
        <v>134.12</v>
      </c>
      <c r="AA86">
        <v>137.33000000000001</v>
      </c>
      <c r="AB86">
        <v>140.49</v>
      </c>
      <c r="AC86">
        <v>143.72</v>
      </c>
      <c r="AD86">
        <v>147.09</v>
      </c>
      <c r="AE86">
        <v>150.19</v>
      </c>
      <c r="AF86">
        <v>153.37</v>
      </c>
      <c r="AG86">
        <v>156.65</v>
      </c>
      <c r="AH86">
        <v>160.22</v>
      </c>
      <c r="AI86">
        <v>164.01</v>
      </c>
      <c r="AJ86">
        <v>167.91</v>
      </c>
      <c r="AK86">
        <v>171.93</v>
      </c>
      <c r="AL86">
        <v>175.86</v>
      </c>
      <c r="AM86">
        <v>180.05</v>
      </c>
      <c r="AN86">
        <v>184.39</v>
      </c>
    </row>
    <row r="87" spans="1:40" x14ac:dyDescent="0.25">
      <c r="A87" t="s">
        <v>31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0.63</v>
      </c>
      <c r="T87">
        <v>1.1000000000000001</v>
      </c>
      <c r="U87">
        <v>1.62</v>
      </c>
      <c r="V87">
        <v>2.14</v>
      </c>
      <c r="W87">
        <v>2.65</v>
      </c>
      <c r="X87">
        <v>3.15</v>
      </c>
      <c r="Y87">
        <v>3.95</v>
      </c>
      <c r="Z87">
        <v>4.43</v>
      </c>
      <c r="AA87">
        <v>4.9000000000000004</v>
      </c>
      <c r="AB87">
        <v>5.38</v>
      </c>
      <c r="AC87">
        <v>5.86</v>
      </c>
      <c r="AD87">
        <v>6.34</v>
      </c>
      <c r="AE87">
        <v>6.79</v>
      </c>
      <c r="AF87">
        <v>7.25</v>
      </c>
      <c r="AG87">
        <v>7.7</v>
      </c>
      <c r="AH87">
        <v>8.15</v>
      </c>
      <c r="AI87">
        <v>8.6</v>
      </c>
      <c r="AJ87">
        <v>8.86</v>
      </c>
      <c r="AK87">
        <v>9.1199999999999992</v>
      </c>
      <c r="AL87">
        <v>9.3800000000000008</v>
      </c>
      <c r="AM87">
        <v>9.64</v>
      </c>
      <c r="AN87">
        <v>9.9</v>
      </c>
    </row>
    <row r="88" spans="1:40" x14ac:dyDescent="0.25">
      <c r="A88" t="s">
        <v>29</v>
      </c>
      <c r="B88">
        <v>13.35</v>
      </c>
      <c r="C88">
        <v>13.74</v>
      </c>
      <c r="D88">
        <v>13.91</v>
      </c>
      <c r="E88">
        <v>14.13</v>
      </c>
      <c r="F88">
        <v>14.15</v>
      </c>
      <c r="G88">
        <v>14.18</v>
      </c>
      <c r="H88">
        <v>14.21</v>
      </c>
      <c r="I88">
        <v>14.08</v>
      </c>
      <c r="J88">
        <v>12.26</v>
      </c>
      <c r="K88">
        <v>12.65</v>
      </c>
      <c r="L88">
        <v>12.9</v>
      </c>
      <c r="M88">
        <v>13.13</v>
      </c>
      <c r="N88">
        <v>13.34</v>
      </c>
      <c r="O88">
        <v>13.63</v>
      </c>
      <c r="P88">
        <v>14.12</v>
      </c>
      <c r="Q88">
        <v>14.6</v>
      </c>
      <c r="R88">
        <v>15.08</v>
      </c>
      <c r="S88">
        <v>15.43</v>
      </c>
      <c r="T88">
        <v>15.88</v>
      </c>
      <c r="U88">
        <v>16.239999999999998</v>
      </c>
      <c r="V88">
        <v>16.559999999999999</v>
      </c>
      <c r="W88">
        <v>16.93</v>
      </c>
      <c r="X88">
        <v>17.34</v>
      </c>
      <c r="Y88">
        <v>17.73</v>
      </c>
      <c r="Z88">
        <v>18.190000000000001</v>
      </c>
      <c r="AA88">
        <v>18.670000000000002</v>
      </c>
      <c r="AB88">
        <v>19.14</v>
      </c>
      <c r="AC88">
        <v>19.63</v>
      </c>
      <c r="AD88">
        <v>20.14</v>
      </c>
      <c r="AE88">
        <v>20.57</v>
      </c>
      <c r="AF88">
        <v>21.03</v>
      </c>
      <c r="AG88">
        <v>21.51</v>
      </c>
      <c r="AH88">
        <v>22.03</v>
      </c>
      <c r="AI88">
        <v>22.59</v>
      </c>
      <c r="AJ88">
        <v>23.19</v>
      </c>
      <c r="AK88">
        <v>23.82</v>
      </c>
      <c r="AL88">
        <v>24.47</v>
      </c>
      <c r="AM88">
        <v>25.16</v>
      </c>
      <c r="AN88">
        <v>25.89</v>
      </c>
    </row>
    <row r="89" spans="1:40" x14ac:dyDescent="0.25">
      <c r="A89" t="s">
        <v>23</v>
      </c>
      <c r="B89">
        <v>205.45</v>
      </c>
      <c r="C89">
        <v>210.29</v>
      </c>
      <c r="D89">
        <v>210.09</v>
      </c>
      <c r="E89">
        <v>214.84</v>
      </c>
      <c r="F89">
        <v>210.99</v>
      </c>
      <c r="G89">
        <v>215.85</v>
      </c>
      <c r="H89">
        <v>213.65</v>
      </c>
      <c r="I89">
        <v>210.07</v>
      </c>
      <c r="J89">
        <v>193.07</v>
      </c>
      <c r="K89">
        <v>196.38</v>
      </c>
      <c r="L89">
        <v>199.05</v>
      </c>
      <c r="M89">
        <v>201.54</v>
      </c>
      <c r="N89">
        <v>203.91</v>
      </c>
      <c r="O89">
        <v>207.14</v>
      </c>
      <c r="P89">
        <v>212.19</v>
      </c>
      <c r="Q89">
        <v>217.65</v>
      </c>
      <c r="R89">
        <v>223.52</v>
      </c>
      <c r="S89">
        <v>228.69</v>
      </c>
      <c r="T89">
        <v>234.66</v>
      </c>
      <c r="U89">
        <v>240.3</v>
      </c>
      <c r="V89">
        <v>245.53</v>
      </c>
      <c r="W89">
        <v>251.1</v>
      </c>
      <c r="X89">
        <v>256.91000000000003</v>
      </c>
      <c r="Y89">
        <v>262.83</v>
      </c>
      <c r="Z89">
        <v>269.37</v>
      </c>
      <c r="AA89">
        <v>276.17</v>
      </c>
      <c r="AB89">
        <v>282.98</v>
      </c>
      <c r="AC89">
        <v>290.05</v>
      </c>
      <c r="AD89">
        <v>297.62</v>
      </c>
      <c r="AE89">
        <v>304.49</v>
      </c>
      <c r="AF89">
        <v>311.5</v>
      </c>
      <c r="AG89">
        <v>318.7</v>
      </c>
      <c r="AH89">
        <v>326.24</v>
      </c>
      <c r="AI89">
        <v>334.31</v>
      </c>
      <c r="AJ89">
        <v>342.67</v>
      </c>
      <c r="AK89">
        <v>351.49</v>
      </c>
      <c r="AL89">
        <v>360.41</v>
      </c>
      <c r="AM89">
        <v>369.89</v>
      </c>
      <c r="AN89">
        <v>380</v>
      </c>
    </row>
    <row r="90" spans="1:40" x14ac:dyDescent="0.25">
      <c r="A90" t="s">
        <v>30</v>
      </c>
      <c r="B90">
        <v>10.11</v>
      </c>
      <c r="C90">
        <v>8.43</v>
      </c>
      <c r="D90">
        <v>7.26</v>
      </c>
      <c r="E90">
        <v>6.85</v>
      </c>
      <c r="F90">
        <v>6.43</v>
      </c>
      <c r="G90">
        <v>5.96</v>
      </c>
      <c r="H90">
        <v>5.84</v>
      </c>
      <c r="I90">
        <v>5.52</v>
      </c>
      <c r="J90">
        <v>4.53</v>
      </c>
      <c r="K90">
        <v>4.6900000000000004</v>
      </c>
      <c r="L90">
        <v>4.71</v>
      </c>
      <c r="M90">
        <v>4.74</v>
      </c>
      <c r="N90">
        <v>4.7699999999999996</v>
      </c>
      <c r="O90">
        <v>4.84</v>
      </c>
      <c r="P90">
        <v>5.01</v>
      </c>
      <c r="Q90">
        <v>5.21</v>
      </c>
      <c r="R90">
        <v>5.45</v>
      </c>
      <c r="S90">
        <v>5.64</v>
      </c>
      <c r="T90">
        <v>5.88</v>
      </c>
      <c r="U90">
        <v>6.08</v>
      </c>
      <c r="V90">
        <v>6.21</v>
      </c>
      <c r="W90">
        <v>6.36</v>
      </c>
      <c r="X90">
        <v>6.52</v>
      </c>
      <c r="Y90">
        <v>6.66</v>
      </c>
      <c r="Z90">
        <v>6.83</v>
      </c>
      <c r="AA90">
        <v>7</v>
      </c>
      <c r="AB90">
        <v>7.17</v>
      </c>
      <c r="AC90">
        <v>7.34</v>
      </c>
      <c r="AD90">
        <v>7.52</v>
      </c>
      <c r="AE90">
        <v>7.63</v>
      </c>
      <c r="AF90">
        <v>7.74</v>
      </c>
      <c r="AG90">
        <v>7.85</v>
      </c>
      <c r="AH90">
        <v>7.96</v>
      </c>
      <c r="AI90">
        <v>8.08</v>
      </c>
      <c r="AJ90">
        <v>8.2100000000000009</v>
      </c>
      <c r="AK90">
        <v>8.35</v>
      </c>
      <c r="AL90">
        <v>8.49</v>
      </c>
      <c r="AM90">
        <v>8.65</v>
      </c>
      <c r="AN90">
        <v>8.82</v>
      </c>
    </row>
    <row r="91" spans="1:40" x14ac:dyDescent="0.25">
      <c r="A91" t="s">
        <v>28</v>
      </c>
      <c r="B91">
        <v>14.11</v>
      </c>
      <c r="C91">
        <v>14.52</v>
      </c>
      <c r="D91">
        <v>14.79</v>
      </c>
      <c r="E91">
        <v>15.03</v>
      </c>
      <c r="F91">
        <v>15.21</v>
      </c>
      <c r="G91">
        <v>15.35</v>
      </c>
      <c r="H91">
        <v>15.51</v>
      </c>
      <c r="I91">
        <v>15.54</v>
      </c>
      <c r="J91">
        <v>14.21</v>
      </c>
      <c r="K91">
        <v>14.6</v>
      </c>
      <c r="L91">
        <v>14.95</v>
      </c>
      <c r="M91">
        <v>15.3</v>
      </c>
      <c r="N91">
        <v>15.64</v>
      </c>
      <c r="O91">
        <v>16</v>
      </c>
      <c r="P91">
        <v>16.440000000000001</v>
      </c>
      <c r="Q91">
        <v>16.88</v>
      </c>
      <c r="R91">
        <v>17.34</v>
      </c>
      <c r="S91">
        <v>17.8</v>
      </c>
      <c r="T91">
        <v>18.27</v>
      </c>
      <c r="U91">
        <v>18.809999999999999</v>
      </c>
      <c r="V91">
        <v>19.32</v>
      </c>
      <c r="W91">
        <v>19.88</v>
      </c>
      <c r="X91">
        <v>20.49</v>
      </c>
      <c r="Y91">
        <v>21.14</v>
      </c>
      <c r="Z91">
        <v>21.81</v>
      </c>
      <c r="AA91">
        <v>22.5</v>
      </c>
      <c r="AB91">
        <v>23.19</v>
      </c>
      <c r="AC91">
        <v>23.92</v>
      </c>
      <c r="AD91">
        <v>24.68</v>
      </c>
      <c r="AE91">
        <v>25.46</v>
      </c>
      <c r="AF91">
        <v>26.29</v>
      </c>
      <c r="AG91">
        <v>27.15</v>
      </c>
      <c r="AH91">
        <v>28.04</v>
      </c>
      <c r="AI91">
        <v>28.99</v>
      </c>
      <c r="AJ91">
        <v>30</v>
      </c>
      <c r="AK91">
        <v>31.06</v>
      </c>
      <c r="AL91">
        <v>32.130000000000003</v>
      </c>
      <c r="AM91">
        <v>33.26</v>
      </c>
      <c r="AN91">
        <v>34.44</v>
      </c>
    </row>
    <row r="92" spans="1:40" x14ac:dyDescent="0.25">
      <c r="A92" t="s">
        <v>25</v>
      </c>
      <c r="B92">
        <v>235.5</v>
      </c>
      <c r="C92">
        <v>241.63</v>
      </c>
      <c r="D92">
        <v>245.65</v>
      </c>
      <c r="E92">
        <v>248.47</v>
      </c>
      <c r="F92">
        <v>251.07</v>
      </c>
      <c r="G92">
        <v>252.54</v>
      </c>
      <c r="H92">
        <v>254.74</v>
      </c>
      <c r="I92">
        <v>254.67</v>
      </c>
      <c r="J92">
        <v>230.24</v>
      </c>
      <c r="K92">
        <v>236.69</v>
      </c>
      <c r="L92">
        <v>242.59</v>
      </c>
      <c r="M92">
        <v>248.33</v>
      </c>
      <c r="N92">
        <v>253.83</v>
      </c>
      <c r="O92">
        <v>259.61</v>
      </c>
      <c r="P92">
        <v>266.92</v>
      </c>
      <c r="Q92">
        <v>274.13</v>
      </c>
      <c r="R92">
        <v>281.63</v>
      </c>
      <c r="S92">
        <v>289.23</v>
      </c>
      <c r="T92">
        <v>297.02</v>
      </c>
      <c r="U92">
        <v>305.64</v>
      </c>
      <c r="V92">
        <v>313.91000000000003</v>
      </c>
      <c r="W92">
        <v>323.06</v>
      </c>
      <c r="X92">
        <v>332.87</v>
      </c>
      <c r="Y92">
        <v>343.27</v>
      </c>
      <c r="Z92">
        <v>354.09</v>
      </c>
      <c r="AA92">
        <v>365.3</v>
      </c>
      <c r="AB92">
        <v>376.62</v>
      </c>
      <c r="AC92">
        <v>388.36</v>
      </c>
      <c r="AD92">
        <v>400.79</v>
      </c>
      <c r="AE92">
        <v>413.32</v>
      </c>
      <c r="AF92">
        <v>426.43</v>
      </c>
      <c r="AG92">
        <v>440.09</v>
      </c>
      <c r="AH92">
        <v>454.44</v>
      </c>
      <c r="AI92">
        <v>469.74</v>
      </c>
      <c r="AJ92">
        <v>485.82</v>
      </c>
      <c r="AK92">
        <v>502.71</v>
      </c>
      <c r="AL92">
        <v>519.79999999999995</v>
      </c>
      <c r="AM92">
        <v>537.78</v>
      </c>
      <c r="AN92">
        <v>556.72</v>
      </c>
    </row>
    <row r="93" spans="1:40" x14ac:dyDescent="0.25">
      <c r="A93" t="s">
        <v>37</v>
      </c>
      <c r="B93">
        <v>27.52</v>
      </c>
      <c r="C93">
        <v>27.49</v>
      </c>
      <c r="D93">
        <v>27.45</v>
      </c>
      <c r="E93">
        <v>27.42</v>
      </c>
      <c r="F93">
        <v>27.39</v>
      </c>
      <c r="G93">
        <v>27.36</v>
      </c>
      <c r="H93">
        <v>27.33</v>
      </c>
      <c r="I93">
        <v>27.24</v>
      </c>
      <c r="J93">
        <v>27.16</v>
      </c>
      <c r="K93">
        <v>26.07</v>
      </c>
      <c r="L93">
        <v>25.79</v>
      </c>
      <c r="M93">
        <v>25.7</v>
      </c>
      <c r="N93">
        <v>25.62</v>
      </c>
      <c r="O93">
        <v>24.83</v>
      </c>
      <c r="P93">
        <v>22.54</v>
      </c>
      <c r="Q93">
        <v>20.239999999999998</v>
      </c>
      <c r="R93">
        <v>17.95</v>
      </c>
      <c r="S93">
        <v>15.66</v>
      </c>
      <c r="T93">
        <v>13.37</v>
      </c>
      <c r="U93">
        <v>12.37</v>
      </c>
      <c r="V93">
        <v>11.37</v>
      </c>
      <c r="W93">
        <v>10.37</v>
      </c>
      <c r="X93">
        <v>9.3699999999999992</v>
      </c>
      <c r="Y93">
        <v>8.41</v>
      </c>
      <c r="Z93">
        <v>7.24</v>
      </c>
      <c r="AA93">
        <v>6.06</v>
      </c>
      <c r="AB93">
        <v>4.88</v>
      </c>
      <c r="AC93">
        <v>3.7</v>
      </c>
      <c r="AD93">
        <v>2.52</v>
      </c>
      <c r="AE93">
        <v>2.52</v>
      </c>
      <c r="AF93">
        <v>2.52</v>
      </c>
      <c r="AG93">
        <v>2.52</v>
      </c>
      <c r="AH93">
        <v>2.52</v>
      </c>
      <c r="AI93">
        <v>2.52</v>
      </c>
      <c r="AJ93">
        <v>2.52</v>
      </c>
      <c r="AK93">
        <v>2.52</v>
      </c>
      <c r="AL93">
        <v>2.52</v>
      </c>
      <c r="AM93">
        <v>2.52</v>
      </c>
      <c r="AN93">
        <v>2.52</v>
      </c>
    </row>
    <row r="94" spans="1:40" x14ac:dyDescent="0.25">
      <c r="A94" t="s">
        <v>26</v>
      </c>
      <c r="B94">
        <v>17.78</v>
      </c>
      <c r="C94">
        <v>18.190000000000001</v>
      </c>
      <c r="D94">
        <v>18.54</v>
      </c>
      <c r="E94">
        <v>18.73</v>
      </c>
      <c r="F94">
        <v>19.13</v>
      </c>
      <c r="G94">
        <v>19.23</v>
      </c>
      <c r="H94">
        <v>19.5</v>
      </c>
      <c r="I94">
        <v>19.52</v>
      </c>
      <c r="J94">
        <v>18.16</v>
      </c>
      <c r="K94">
        <v>18.68</v>
      </c>
      <c r="L94">
        <v>19.149999999999999</v>
      </c>
      <c r="M94">
        <v>19.61</v>
      </c>
      <c r="N94">
        <v>20.04</v>
      </c>
      <c r="O94">
        <v>20.51</v>
      </c>
      <c r="P94">
        <v>21.11</v>
      </c>
      <c r="Q94">
        <v>21.69</v>
      </c>
      <c r="R94">
        <v>22.28</v>
      </c>
      <c r="S94">
        <v>22.83</v>
      </c>
      <c r="T94">
        <v>23.42</v>
      </c>
      <c r="U94">
        <v>24.02</v>
      </c>
      <c r="V94">
        <v>24.61</v>
      </c>
      <c r="W94">
        <v>25.26</v>
      </c>
      <c r="X94">
        <v>25.94</v>
      </c>
      <c r="Y94">
        <v>26.65</v>
      </c>
      <c r="Z94">
        <v>27.42</v>
      </c>
      <c r="AA94">
        <v>28.22</v>
      </c>
      <c r="AB94">
        <v>29.03</v>
      </c>
      <c r="AC94">
        <v>29.88</v>
      </c>
      <c r="AD94">
        <v>30.78</v>
      </c>
      <c r="AE94">
        <v>31.65</v>
      </c>
      <c r="AF94">
        <v>32.57</v>
      </c>
      <c r="AG94">
        <v>33.53</v>
      </c>
      <c r="AH94">
        <v>34.54</v>
      </c>
      <c r="AI94">
        <v>35.619999999999997</v>
      </c>
      <c r="AJ94">
        <v>36.75</v>
      </c>
      <c r="AK94">
        <v>37.93</v>
      </c>
      <c r="AL94">
        <v>39.130000000000003</v>
      </c>
      <c r="AM94">
        <v>40.380000000000003</v>
      </c>
      <c r="AN94">
        <v>41.7</v>
      </c>
    </row>
    <row r="95" spans="1:40" x14ac:dyDescent="0.25">
      <c r="A95" t="s">
        <v>35</v>
      </c>
      <c r="B95">
        <v>11.26</v>
      </c>
      <c r="C95">
        <v>11.57</v>
      </c>
      <c r="D95">
        <v>11.91</v>
      </c>
      <c r="E95">
        <v>12.12</v>
      </c>
      <c r="F95">
        <v>12.2</v>
      </c>
      <c r="G95">
        <v>12.36</v>
      </c>
      <c r="H95">
        <v>12.64</v>
      </c>
      <c r="I95">
        <v>12.79</v>
      </c>
      <c r="J95">
        <v>12</v>
      </c>
      <c r="K95">
        <v>12.34</v>
      </c>
      <c r="L95">
        <v>12.61</v>
      </c>
      <c r="M95">
        <v>12.86</v>
      </c>
      <c r="N95">
        <v>13.09</v>
      </c>
      <c r="O95">
        <v>13.32</v>
      </c>
      <c r="P95">
        <v>13.6</v>
      </c>
      <c r="Q95">
        <v>13.87</v>
      </c>
      <c r="R95">
        <v>14.15</v>
      </c>
      <c r="S95">
        <v>14.45</v>
      </c>
      <c r="T95">
        <v>14.74</v>
      </c>
      <c r="U95">
        <v>15.11</v>
      </c>
      <c r="V95">
        <v>15.46</v>
      </c>
      <c r="W95">
        <v>15.83</v>
      </c>
      <c r="X95">
        <v>16.22</v>
      </c>
      <c r="Y95">
        <v>16.63</v>
      </c>
      <c r="Z95">
        <v>17.04</v>
      </c>
      <c r="AA95">
        <v>17.47</v>
      </c>
      <c r="AB95">
        <v>17.89</v>
      </c>
      <c r="AC95">
        <v>18.329999999999998</v>
      </c>
      <c r="AD95">
        <v>18.8</v>
      </c>
      <c r="AE95">
        <v>19.29</v>
      </c>
      <c r="AF95">
        <v>19.79</v>
      </c>
      <c r="AG95">
        <v>20.29</v>
      </c>
      <c r="AH95">
        <v>20.8</v>
      </c>
      <c r="AI95">
        <v>21.32</v>
      </c>
      <c r="AJ95">
        <v>21.84</v>
      </c>
      <c r="AK95">
        <v>22.38</v>
      </c>
      <c r="AL95">
        <v>22.91</v>
      </c>
      <c r="AM95">
        <v>23.46</v>
      </c>
      <c r="AN95">
        <v>24.05</v>
      </c>
    </row>
    <row r="96" spans="1:40" x14ac:dyDescent="0.25">
      <c r="A96" t="s">
        <v>34</v>
      </c>
      <c r="B96">
        <v>135.96</v>
      </c>
      <c r="C96">
        <v>139.72999999999999</v>
      </c>
      <c r="D96">
        <v>142.69999999999999</v>
      </c>
      <c r="E96">
        <v>144.16</v>
      </c>
      <c r="F96">
        <v>145.31</v>
      </c>
      <c r="G96">
        <v>147.16</v>
      </c>
      <c r="H96">
        <v>148.75</v>
      </c>
      <c r="I96">
        <v>149.16999999999999</v>
      </c>
      <c r="J96">
        <v>138.22</v>
      </c>
      <c r="K96">
        <v>141.11000000000001</v>
      </c>
      <c r="L96">
        <v>144.02000000000001</v>
      </c>
      <c r="M96">
        <v>146.85</v>
      </c>
      <c r="N96">
        <v>149.56</v>
      </c>
      <c r="O96">
        <v>152.32</v>
      </c>
      <c r="P96">
        <v>155.71</v>
      </c>
      <c r="Q96">
        <v>158.9</v>
      </c>
      <c r="R96">
        <v>162.26</v>
      </c>
      <c r="S96">
        <v>165.94</v>
      </c>
      <c r="T96">
        <v>169.63</v>
      </c>
      <c r="U96">
        <v>174.19</v>
      </c>
      <c r="V96">
        <v>178.43</v>
      </c>
      <c r="W96">
        <v>183.19</v>
      </c>
      <c r="X96">
        <v>188.3</v>
      </c>
      <c r="Y96">
        <v>193.91</v>
      </c>
      <c r="Z96">
        <v>199.62</v>
      </c>
      <c r="AA96">
        <v>205.55</v>
      </c>
      <c r="AB96">
        <v>211.53</v>
      </c>
      <c r="AC96">
        <v>217.76</v>
      </c>
      <c r="AD96">
        <v>224.36</v>
      </c>
      <c r="AE96">
        <v>231.21</v>
      </c>
      <c r="AF96">
        <v>238.37</v>
      </c>
      <c r="AG96">
        <v>245.82</v>
      </c>
      <c r="AH96">
        <v>253.64</v>
      </c>
      <c r="AI96">
        <v>261.98</v>
      </c>
      <c r="AJ96">
        <v>270.7</v>
      </c>
      <c r="AK96">
        <v>279.86</v>
      </c>
      <c r="AL96">
        <v>289.08</v>
      </c>
      <c r="AM96">
        <v>298.81</v>
      </c>
      <c r="AN96">
        <v>309.06</v>
      </c>
    </row>
    <row r="97" spans="1:40" x14ac:dyDescent="0.25">
      <c r="A97" t="s">
        <v>33</v>
      </c>
      <c r="B97">
        <v>21.15</v>
      </c>
      <c r="C97">
        <v>22.37</v>
      </c>
      <c r="D97">
        <v>23.86</v>
      </c>
      <c r="E97">
        <v>24.79</v>
      </c>
      <c r="F97">
        <v>25.39</v>
      </c>
      <c r="G97">
        <v>26.91</v>
      </c>
      <c r="H97">
        <v>28.69</v>
      </c>
      <c r="I97">
        <v>29.81</v>
      </c>
      <c r="J97">
        <v>28.74</v>
      </c>
      <c r="K97">
        <v>30.06</v>
      </c>
      <c r="L97">
        <v>31.41</v>
      </c>
      <c r="M97">
        <v>32.79</v>
      </c>
      <c r="N97">
        <v>34.18</v>
      </c>
      <c r="O97">
        <v>35.74</v>
      </c>
      <c r="P97">
        <v>37.880000000000003</v>
      </c>
      <c r="Q97">
        <v>40.24</v>
      </c>
      <c r="R97">
        <v>42.9</v>
      </c>
      <c r="S97">
        <v>45.9</v>
      </c>
      <c r="T97">
        <v>49.13</v>
      </c>
      <c r="U97">
        <v>52.76</v>
      </c>
      <c r="V97">
        <v>56.4</v>
      </c>
      <c r="W97">
        <v>60.42</v>
      </c>
      <c r="X97">
        <v>64.709999999999994</v>
      </c>
      <c r="Y97">
        <v>69.47</v>
      </c>
      <c r="Z97">
        <v>74.56</v>
      </c>
      <c r="AA97">
        <v>79.92</v>
      </c>
      <c r="AB97">
        <v>85.44</v>
      </c>
      <c r="AC97">
        <v>91.27</v>
      </c>
      <c r="AD97">
        <v>97.47</v>
      </c>
      <c r="AE97">
        <v>103.66</v>
      </c>
      <c r="AF97">
        <v>109.94</v>
      </c>
      <c r="AG97">
        <v>116.29</v>
      </c>
      <c r="AH97">
        <v>122.76</v>
      </c>
      <c r="AI97">
        <v>129.41999999999999</v>
      </c>
      <c r="AJ97">
        <v>136.13999999999999</v>
      </c>
      <c r="AK97">
        <v>142.99</v>
      </c>
      <c r="AL97">
        <v>149.66</v>
      </c>
      <c r="AM97">
        <v>156.57</v>
      </c>
      <c r="AN97">
        <v>163.72</v>
      </c>
    </row>
    <row r="98" spans="1:40" x14ac:dyDescent="0.25">
      <c r="A98" t="s">
        <v>36</v>
      </c>
      <c r="B98">
        <v>1.1399999999999999</v>
      </c>
      <c r="C98">
        <v>1.1599999999999999</v>
      </c>
      <c r="D98">
        <v>1.1399999999999999</v>
      </c>
      <c r="E98">
        <v>1.1299999999999999</v>
      </c>
      <c r="F98">
        <v>1.1499999999999999</v>
      </c>
      <c r="G98">
        <v>1.1499999999999999</v>
      </c>
      <c r="H98">
        <v>1.1200000000000001</v>
      </c>
      <c r="I98">
        <v>1.0900000000000001</v>
      </c>
      <c r="J98">
        <v>0.99</v>
      </c>
      <c r="K98">
        <v>0.99</v>
      </c>
      <c r="L98">
        <v>1</v>
      </c>
      <c r="M98">
        <v>1.02</v>
      </c>
      <c r="N98">
        <v>1.03</v>
      </c>
      <c r="O98">
        <v>1.05</v>
      </c>
      <c r="P98">
        <v>1.07</v>
      </c>
      <c r="Q98">
        <v>1.0900000000000001</v>
      </c>
      <c r="R98">
        <v>1.1100000000000001</v>
      </c>
      <c r="S98">
        <v>1.1399999999999999</v>
      </c>
      <c r="T98">
        <v>1.1599999999999999</v>
      </c>
      <c r="U98">
        <v>1.2</v>
      </c>
      <c r="V98">
        <v>1.23</v>
      </c>
      <c r="W98">
        <v>1.27</v>
      </c>
      <c r="X98">
        <v>1.31</v>
      </c>
      <c r="Y98">
        <v>1.36</v>
      </c>
      <c r="Z98">
        <v>1.42</v>
      </c>
      <c r="AA98">
        <v>1.47</v>
      </c>
      <c r="AB98">
        <v>1.53</v>
      </c>
      <c r="AC98">
        <v>1.58</v>
      </c>
      <c r="AD98">
        <v>1.65</v>
      </c>
      <c r="AE98">
        <v>1.71</v>
      </c>
      <c r="AF98">
        <v>1.79</v>
      </c>
      <c r="AG98">
        <v>1.87</v>
      </c>
      <c r="AH98">
        <v>1.95</v>
      </c>
      <c r="AI98">
        <v>2.0499999999999998</v>
      </c>
      <c r="AJ98">
        <v>2.16</v>
      </c>
      <c r="AK98">
        <v>2.2799999999999998</v>
      </c>
      <c r="AL98">
        <v>2.4</v>
      </c>
      <c r="AM98">
        <v>2.5299999999999998</v>
      </c>
      <c r="AN98">
        <v>2.66</v>
      </c>
    </row>
    <row r="99" spans="1:40" x14ac:dyDescent="0.25">
      <c r="A99" t="s">
        <v>72</v>
      </c>
      <c r="B99">
        <f>SUM(B81:B98)</f>
        <v>2893.58</v>
      </c>
      <c r="C99">
        <f t="shared" ref="C99" si="126">SUM(C81:C98)</f>
        <v>2965.2699999999995</v>
      </c>
      <c r="D99">
        <f t="shared" ref="D99" si="127">SUM(D81:D98)</f>
        <v>3020.96</v>
      </c>
      <c r="E99">
        <f t="shared" ref="E99" si="128">SUM(E81:E98)</f>
        <v>3059.4500000000003</v>
      </c>
      <c r="F99">
        <f t="shared" ref="F99" si="129">SUM(F81:F98)</f>
        <v>3083.92</v>
      </c>
      <c r="G99">
        <f t="shared" ref="G99" si="130">SUM(G81:G98)</f>
        <v>3120.5399999999995</v>
      </c>
      <c r="H99">
        <f t="shared" ref="H99" si="131">SUM(H81:H98)</f>
        <v>3152.24</v>
      </c>
      <c r="I99">
        <f t="shared" ref="I99" si="132">SUM(I81:I98)</f>
        <v>3179.29</v>
      </c>
      <c r="J99">
        <f t="shared" ref="J99" si="133">SUM(J81:J98)</f>
        <v>2948.9199999999996</v>
      </c>
      <c r="K99">
        <f t="shared" ref="K99" si="134">SUM(K81:K98)</f>
        <v>3014.3800000000006</v>
      </c>
      <c r="L99">
        <f t="shared" ref="L99" si="135">SUM(L81:L98)</f>
        <v>3077.2000000000003</v>
      </c>
      <c r="M99">
        <f t="shared" ref="M99" si="136">SUM(M81:M98)</f>
        <v>3140.61</v>
      </c>
      <c r="N99">
        <f t="shared" ref="N99" si="137">SUM(N81:N98)</f>
        <v>3201.7699999999991</v>
      </c>
      <c r="O99">
        <f t="shared" ref="O99" si="138">SUM(O81:O98)</f>
        <v>3265.5400000000009</v>
      </c>
      <c r="P99">
        <f t="shared" ref="P99" si="139">SUM(P81:P98)</f>
        <v>3341.2800000000007</v>
      </c>
      <c r="Q99">
        <f t="shared" ref="Q99" si="140">SUM(Q81:Q98)</f>
        <v>3416.2799999999997</v>
      </c>
      <c r="R99">
        <f t="shared" ref="R99" si="141">SUM(R81:R98)</f>
        <v>3494.88</v>
      </c>
      <c r="S99">
        <f t="shared" ref="S99" si="142">SUM(S81:S98)</f>
        <v>3576.08</v>
      </c>
      <c r="T99">
        <f t="shared" ref="T99" si="143">SUM(T81:T98)</f>
        <v>3660.1199999999994</v>
      </c>
      <c r="U99">
        <f t="shared" ref="U99" si="144">SUM(U81:U98)</f>
        <v>3761.0299999999997</v>
      </c>
      <c r="V99">
        <f t="shared" ref="V99" si="145">SUM(V81:V98)</f>
        <v>3857.2000000000003</v>
      </c>
      <c r="W99">
        <f t="shared" ref="W99" si="146">SUM(W81:W98)</f>
        <v>3964.01</v>
      </c>
      <c r="X99">
        <f t="shared" ref="X99" si="147">SUM(X81:X98)</f>
        <v>4078.2199999999993</v>
      </c>
      <c r="Y99">
        <f t="shared" ref="Y99" si="148">SUM(Y81:Y98)</f>
        <v>4200.2899999999991</v>
      </c>
      <c r="Z99">
        <f t="shared" ref="Z99" si="149">SUM(Z81:Z98)</f>
        <v>4325.97</v>
      </c>
      <c r="AA99">
        <f t="shared" ref="AA99" si="150">SUM(AA81:AA98)</f>
        <v>4457.0000000000018</v>
      </c>
      <c r="AB99">
        <f t="shared" ref="AB99" si="151">SUM(AB81:AB98)</f>
        <v>4590.03</v>
      </c>
      <c r="AC99">
        <f t="shared" ref="AC99" si="152">SUM(AC81:AC98)</f>
        <v>4728.5300000000007</v>
      </c>
      <c r="AD99">
        <f t="shared" ref="AD99" si="153">SUM(AD81:AD98)</f>
        <v>4875.51</v>
      </c>
      <c r="AE99">
        <f t="shared" ref="AE99" si="154">SUM(AE81:AE98)</f>
        <v>5028.54</v>
      </c>
      <c r="AF99">
        <f t="shared" ref="AF99" si="155">SUM(AF81:AF98)</f>
        <v>5188.0999999999995</v>
      </c>
      <c r="AG99">
        <f t="shared" ref="AG99" si="156">SUM(AG81:AG98)</f>
        <v>5353.79</v>
      </c>
      <c r="AH99">
        <f t="shared" ref="AH99" si="157">SUM(AH81:AH98)</f>
        <v>5526.5</v>
      </c>
      <c r="AI99">
        <f t="shared" ref="AI99" si="158">SUM(AI81:AI98)</f>
        <v>5709.9300000000012</v>
      </c>
      <c r="AJ99">
        <f t="shared" ref="AJ99" si="159">SUM(AJ81:AJ98)</f>
        <v>5902.43</v>
      </c>
      <c r="AK99">
        <f t="shared" ref="AK99" si="160">SUM(AK81:AK98)</f>
        <v>6104.12</v>
      </c>
      <c r="AL99">
        <f t="shared" ref="AL99" si="161">SUM(AL81:AL98)</f>
        <v>6308.13</v>
      </c>
      <c r="AM99">
        <f t="shared" ref="AM99" si="162">SUM(AM81:AM98)</f>
        <v>6522.2000000000007</v>
      </c>
      <c r="AN99">
        <f t="shared" ref="AN99" si="163">SUM(AN81:AN98)</f>
        <v>6747.130000000001</v>
      </c>
    </row>
    <row r="100" spans="1:40" x14ac:dyDescent="0.25">
      <c r="A100" t="s">
        <v>73</v>
      </c>
      <c r="C100" s="1">
        <f>C99/B99-1</f>
        <v>2.477553756937767E-2</v>
      </c>
      <c r="D100" s="1">
        <f t="shared" ref="D100:AN100" si="164">D99/C99-1</f>
        <v>1.878075183710104E-2</v>
      </c>
      <c r="E100" s="1">
        <f t="shared" si="164"/>
        <v>1.2740982998781902E-2</v>
      </c>
      <c r="F100" s="1">
        <f t="shared" si="164"/>
        <v>7.9981696056479201E-3</v>
      </c>
      <c r="G100" s="1">
        <f t="shared" si="164"/>
        <v>1.187449739292834E-2</v>
      </c>
      <c r="H100" s="1">
        <f t="shared" si="164"/>
        <v>1.0158498208643563E-2</v>
      </c>
      <c r="I100" s="1">
        <f t="shared" si="164"/>
        <v>8.581199401060946E-3</v>
      </c>
      <c r="J100" s="1">
        <f t="shared" si="164"/>
        <v>-7.2459574307471297E-2</v>
      </c>
      <c r="K100" s="1">
        <f t="shared" si="164"/>
        <v>2.2197957218236253E-2</v>
      </c>
      <c r="L100" s="1">
        <f t="shared" si="164"/>
        <v>2.0840106423211324E-2</v>
      </c>
      <c r="M100" s="1">
        <f t="shared" si="164"/>
        <v>2.0606395424411783E-2</v>
      </c>
      <c r="N100" s="1">
        <f t="shared" si="164"/>
        <v>1.9473923855556352E-2</v>
      </c>
      <c r="O100" s="1">
        <f t="shared" si="164"/>
        <v>1.9917108349444712E-2</v>
      </c>
      <c r="P100" s="1">
        <f t="shared" si="164"/>
        <v>2.3193713750252476E-2</v>
      </c>
      <c r="Q100" s="1">
        <f t="shared" si="164"/>
        <v>2.2446487573624108E-2</v>
      </c>
      <c r="R100" s="1">
        <f t="shared" si="164"/>
        <v>2.3007481822333142E-2</v>
      </c>
      <c r="S100" s="1">
        <f t="shared" si="164"/>
        <v>2.3233988005310513E-2</v>
      </c>
      <c r="T100" s="1">
        <f t="shared" si="164"/>
        <v>2.3500592827900846E-2</v>
      </c>
      <c r="U100" s="1">
        <f t="shared" si="164"/>
        <v>2.7570134312536299E-2</v>
      </c>
      <c r="V100" s="1">
        <f t="shared" si="164"/>
        <v>2.5570123077986784E-2</v>
      </c>
      <c r="W100" s="1">
        <f t="shared" si="164"/>
        <v>2.7691071243388876E-2</v>
      </c>
      <c r="X100" s="1">
        <f t="shared" si="164"/>
        <v>2.8811733572821296E-2</v>
      </c>
      <c r="Y100" s="1">
        <f t="shared" si="164"/>
        <v>2.9932176292598145E-2</v>
      </c>
      <c r="Z100" s="1">
        <f t="shared" si="164"/>
        <v>2.9921743498663389E-2</v>
      </c>
      <c r="AA100" s="1">
        <f t="shared" si="164"/>
        <v>3.0289160581326691E-2</v>
      </c>
      <c r="AB100" s="1">
        <f t="shared" si="164"/>
        <v>2.9847431007403502E-2</v>
      </c>
      <c r="AC100" s="1">
        <f t="shared" si="164"/>
        <v>3.0174094722692724E-2</v>
      </c>
      <c r="AD100" s="1">
        <f t="shared" si="164"/>
        <v>3.1083656019947004E-2</v>
      </c>
      <c r="AE100" s="1">
        <f t="shared" si="164"/>
        <v>3.1387485616889199E-2</v>
      </c>
      <c r="AF100" s="1">
        <f t="shared" si="164"/>
        <v>3.1730880136182638E-2</v>
      </c>
      <c r="AG100" s="1">
        <f t="shared" si="164"/>
        <v>3.1936547098166956E-2</v>
      </c>
      <c r="AH100" s="1">
        <f t="shared" si="164"/>
        <v>3.2259390076936123E-2</v>
      </c>
      <c r="AI100" s="1">
        <f t="shared" si="164"/>
        <v>3.3190988871799831E-2</v>
      </c>
      <c r="AJ100" s="1">
        <f t="shared" si="164"/>
        <v>3.3713197885087753E-2</v>
      </c>
      <c r="AK100" s="1">
        <f t="shared" si="164"/>
        <v>3.4170672079126607E-2</v>
      </c>
      <c r="AL100" s="1">
        <f t="shared" si="164"/>
        <v>3.3421688957622209E-2</v>
      </c>
      <c r="AM100" s="1">
        <f t="shared" si="164"/>
        <v>3.3935572031648098E-2</v>
      </c>
      <c r="AN100" s="1">
        <f t="shared" si="164"/>
        <v>3.4486829597375257E-2</v>
      </c>
    </row>
    <row r="101" spans="1:40" x14ac:dyDescent="0.25">
      <c r="A101" t="s">
        <v>78</v>
      </c>
      <c r="C101" s="1">
        <f>C83/C99</f>
        <v>0.63554077706245982</v>
      </c>
      <c r="D101" s="1">
        <f t="shared" ref="D101:AN101" si="165">D83/D99</f>
        <v>0.63816799957629367</v>
      </c>
      <c r="E101" s="1">
        <f t="shared" si="165"/>
        <v>0.63979146578633417</v>
      </c>
      <c r="F101" s="1">
        <f t="shared" si="165"/>
        <v>0.64292199538250017</v>
      </c>
      <c r="G101" s="1">
        <f t="shared" si="165"/>
        <v>0.64328609791895008</v>
      </c>
      <c r="H101" s="1">
        <f t="shared" si="165"/>
        <v>0.64608024769687589</v>
      </c>
      <c r="I101" s="1">
        <f t="shared" si="165"/>
        <v>0.65144733572590108</v>
      </c>
      <c r="J101" s="1">
        <f t="shared" si="165"/>
        <v>0.64959374957611604</v>
      </c>
      <c r="K101" s="1">
        <f t="shared" si="165"/>
        <v>0.65027965949880229</v>
      </c>
      <c r="L101" s="1">
        <f t="shared" si="165"/>
        <v>0.65131613154816059</v>
      </c>
      <c r="M101" s="1">
        <f t="shared" si="165"/>
        <v>0.65213764205042968</v>
      </c>
      <c r="N101" s="1">
        <f t="shared" si="165"/>
        <v>0.65312623954874971</v>
      </c>
      <c r="O101" s="1">
        <f t="shared" si="165"/>
        <v>0.65407558933591359</v>
      </c>
      <c r="P101" s="1">
        <f t="shared" si="165"/>
        <v>0.65498252166834259</v>
      </c>
      <c r="Q101" s="1">
        <f t="shared" si="165"/>
        <v>0.65585373564227756</v>
      </c>
      <c r="R101" s="1">
        <f t="shared" si="165"/>
        <v>0.65671782722153549</v>
      </c>
      <c r="S101" s="1">
        <f t="shared" si="165"/>
        <v>0.65758875640365988</v>
      </c>
      <c r="T101" s="1">
        <f t="shared" si="165"/>
        <v>0.6583909817164465</v>
      </c>
      <c r="U101" s="1">
        <f t="shared" si="165"/>
        <v>0.65874507781113156</v>
      </c>
      <c r="V101" s="1">
        <f t="shared" si="165"/>
        <v>0.65962615368661204</v>
      </c>
      <c r="W101" s="1">
        <f t="shared" si="165"/>
        <v>0.66027583179658977</v>
      </c>
      <c r="X101" s="1">
        <f t="shared" si="165"/>
        <v>0.66099425729852734</v>
      </c>
      <c r="Y101" s="1">
        <f t="shared" si="165"/>
        <v>0.66164002961700275</v>
      </c>
      <c r="Z101" s="1">
        <f t="shared" si="165"/>
        <v>0.66260746144795268</v>
      </c>
      <c r="AA101" s="1">
        <f t="shared" si="165"/>
        <v>0.66353601076957569</v>
      </c>
      <c r="AB101" s="1">
        <f t="shared" si="165"/>
        <v>0.66448585303364038</v>
      </c>
      <c r="AC101" s="1">
        <f t="shared" si="165"/>
        <v>0.66543513523230258</v>
      </c>
      <c r="AD101" s="1">
        <f t="shared" si="165"/>
        <v>0.66640002789451769</v>
      </c>
      <c r="AE101" s="1">
        <f t="shared" si="165"/>
        <v>0.6672672386020595</v>
      </c>
      <c r="AF101" s="1">
        <f t="shared" si="165"/>
        <v>0.66818295715194398</v>
      </c>
      <c r="AG101" s="1">
        <f t="shared" si="165"/>
        <v>0.66915586901989055</v>
      </c>
      <c r="AH101" s="1">
        <f t="shared" si="165"/>
        <v>0.6700714738080159</v>
      </c>
      <c r="AI101" s="1">
        <f t="shared" si="165"/>
        <v>0.67100997735523893</v>
      </c>
      <c r="AJ101" s="1">
        <f t="shared" si="165"/>
        <v>0.67192834137804258</v>
      </c>
      <c r="AK101" s="1">
        <f t="shared" si="165"/>
        <v>0.67288978591508686</v>
      </c>
      <c r="AL101" s="1">
        <f t="shared" si="165"/>
        <v>0.67389226284176129</v>
      </c>
      <c r="AM101" s="1">
        <f t="shared" si="165"/>
        <v>0.67487044248873074</v>
      </c>
      <c r="AN101" s="1">
        <f t="shared" si="165"/>
        <v>0.67584884239669296</v>
      </c>
    </row>
    <row r="102" spans="1:40" x14ac:dyDescent="0.25">
      <c r="A102" t="s">
        <v>75</v>
      </c>
      <c r="C102" s="1">
        <f>C82/B82-1</f>
        <v>-6.6245106895512773E-3</v>
      </c>
      <c r="D102" s="1">
        <f t="shared" ref="D102:AN102" si="166">D82/C82-1</f>
        <v>-3.9405880569870488E-3</v>
      </c>
      <c r="E102" s="1">
        <f t="shared" si="166"/>
        <v>-3.9561777236762907E-3</v>
      </c>
      <c r="F102" s="1">
        <f t="shared" si="166"/>
        <v>-1.8026275588145291E-2</v>
      </c>
      <c r="G102" s="1">
        <f t="shared" si="166"/>
        <v>-6.6894835096452665E-3</v>
      </c>
      <c r="H102" s="1">
        <f t="shared" si="166"/>
        <v>-1.1276429130775201E-2</v>
      </c>
      <c r="I102" s="1">
        <f t="shared" si="166"/>
        <v>-1.4097893236179271E-2</v>
      </c>
      <c r="J102" s="1">
        <f t="shared" si="166"/>
        <v>-1.0604113110539881E-2</v>
      </c>
      <c r="K102" s="1">
        <f t="shared" si="166"/>
        <v>-1.9649236765183486E-2</v>
      </c>
      <c r="L102" s="1">
        <f t="shared" si="166"/>
        <v>-4.4724200761967481E-3</v>
      </c>
      <c r="M102" s="1">
        <f t="shared" si="166"/>
        <v>-4.3261231281197521E-3</v>
      </c>
      <c r="N102" s="1">
        <f t="shared" si="166"/>
        <v>-8.3556149732619822E-3</v>
      </c>
      <c r="O102" s="1">
        <f t="shared" si="166"/>
        <v>-9.9427030670711236E-3</v>
      </c>
      <c r="P102" s="1">
        <f t="shared" si="166"/>
        <v>-4.0000000000000036E-2</v>
      </c>
      <c r="Q102" s="1">
        <f t="shared" si="166"/>
        <v>-5.3900709219858123E-2</v>
      </c>
      <c r="R102" s="1">
        <f t="shared" si="166"/>
        <v>-5.6221889055472318E-2</v>
      </c>
      <c r="S102" s="1">
        <f t="shared" si="166"/>
        <v>-6.7513899920571885E-2</v>
      </c>
      <c r="T102" s="1">
        <f t="shared" si="166"/>
        <v>-7.3466780238500951E-2</v>
      </c>
      <c r="U102" s="1">
        <f t="shared" si="166"/>
        <v>5.7458055619397097E-3</v>
      </c>
      <c r="V102" s="1">
        <f t="shared" si="166"/>
        <v>-2.468007312614251E-2</v>
      </c>
      <c r="W102" s="1">
        <f t="shared" si="166"/>
        <v>-8.6691658856606901E-3</v>
      </c>
      <c r="X102" s="1">
        <f t="shared" si="166"/>
        <v>-8.7449775466793556E-3</v>
      </c>
      <c r="Y102" s="1">
        <f t="shared" si="166"/>
        <v>-1.8836432999523089E-2</v>
      </c>
      <c r="Z102" s="1">
        <f t="shared" si="166"/>
        <v>-3.1348724179829923E-2</v>
      </c>
      <c r="AA102" s="1">
        <f t="shared" si="166"/>
        <v>-3.2363271450075226E-2</v>
      </c>
      <c r="AB102" s="1">
        <f t="shared" si="166"/>
        <v>-3.3445683173450869E-2</v>
      </c>
      <c r="AC102" s="1">
        <f t="shared" si="166"/>
        <v>-3.4334763948497882E-2</v>
      </c>
      <c r="AD102" s="1">
        <f t="shared" si="166"/>
        <v>-3.5833333333333273E-2</v>
      </c>
      <c r="AE102" s="1">
        <f t="shared" si="166"/>
        <v>4.321521175453702E-3</v>
      </c>
      <c r="AF102" s="1">
        <f t="shared" si="166"/>
        <v>4.3029259896729677E-3</v>
      </c>
      <c r="AG102" s="1">
        <f t="shared" si="166"/>
        <v>3.9988574692944034E-3</v>
      </c>
      <c r="AH102" s="1">
        <f t="shared" si="166"/>
        <v>4.2674253200567502E-3</v>
      </c>
      <c r="AI102" s="1">
        <f t="shared" si="166"/>
        <v>4.2492917847027911E-3</v>
      </c>
      <c r="AJ102" s="1">
        <f t="shared" si="166"/>
        <v>8.4626234132580969E-3</v>
      </c>
      <c r="AK102" s="1">
        <f t="shared" si="166"/>
        <v>8.1118881118880104E-3</v>
      </c>
      <c r="AL102" s="1">
        <f t="shared" si="166"/>
        <v>8.3240843507215168E-3</v>
      </c>
      <c r="AM102" s="1">
        <f t="shared" si="166"/>
        <v>8.255365987892116E-3</v>
      </c>
      <c r="AN102" s="1">
        <f t="shared" si="166"/>
        <v>7.9148471615719806E-3</v>
      </c>
    </row>
    <row r="103" spans="1:40" x14ac:dyDescent="0.25">
      <c r="A103" t="s">
        <v>76</v>
      </c>
      <c r="C103" s="1">
        <f>C81/B81-1</f>
        <v>4.2251503867086759E-2</v>
      </c>
      <c r="D103" s="1">
        <f t="shared" ref="D103:AN103" si="167">D81/C81-1</f>
        <v>3.7652878933626566E-2</v>
      </c>
      <c r="E103" s="1">
        <f t="shared" si="167"/>
        <v>-1.5229770891272754E-2</v>
      </c>
      <c r="F103" s="1">
        <f t="shared" si="167"/>
        <v>-1.0892953200645539E-2</v>
      </c>
      <c r="G103" s="1">
        <f t="shared" si="167"/>
        <v>3.3310673011556879E-2</v>
      </c>
      <c r="H103" s="1">
        <f t="shared" si="167"/>
        <v>-1.6052631578947318E-2</v>
      </c>
      <c r="I103" s="1">
        <f t="shared" si="167"/>
        <v>-1.6715699384862281E-2</v>
      </c>
      <c r="J103" s="1">
        <f t="shared" si="167"/>
        <v>-3.4951720386237062E-2</v>
      </c>
      <c r="K103" s="1">
        <f t="shared" si="167"/>
        <v>2.8184892897406888E-2</v>
      </c>
      <c r="L103" s="1">
        <f t="shared" si="167"/>
        <v>2.7960526315789602E-2</v>
      </c>
      <c r="M103" s="1">
        <f t="shared" si="167"/>
        <v>2.0266666666666655E-2</v>
      </c>
      <c r="N103" s="1">
        <f t="shared" si="167"/>
        <v>1.8034500784108953E-2</v>
      </c>
      <c r="O103" s="1">
        <f t="shared" si="167"/>
        <v>1.5789473684210353E-2</v>
      </c>
      <c r="P103" s="1">
        <f t="shared" si="167"/>
        <v>2.5527612789081333E-2</v>
      </c>
      <c r="Q103" s="1">
        <f t="shared" si="167"/>
        <v>2.3536660505237172E-2</v>
      </c>
      <c r="R103" s="1">
        <f t="shared" si="167"/>
        <v>2.3356609679749507E-2</v>
      </c>
      <c r="S103" s="1">
        <f t="shared" si="167"/>
        <v>2.1058823529411796E-2</v>
      </c>
      <c r="T103" s="1">
        <f t="shared" si="167"/>
        <v>2.0970157852286953E-2</v>
      </c>
      <c r="U103" s="1">
        <f t="shared" si="167"/>
        <v>2.1555129217921243E-2</v>
      </c>
      <c r="V103" s="1">
        <f t="shared" si="167"/>
        <v>1.878038002651361E-2</v>
      </c>
      <c r="W103" s="1">
        <f t="shared" si="167"/>
        <v>1.9301669919757014E-2</v>
      </c>
      <c r="X103" s="1">
        <f t="shared" si="167"/>
        <v>1.9468085106382871E-2</v>
      </c>
      <c r="Y103" s="1">
        <f t="shared" si="167"/>
        <v>1.9409370760722133E-2</v>
      </c>
      <c r="Z103" s="1">
        <f t="shared" si="167"/>
        <v>2.0780018425632152E-2</v>
      </c>
      <c r="AA103" s="1">
        <f t="shared" si="167"/>
        <v>2.1359807460890501E-2</v>
      </c>
      <c r="AB103" s="1">
        <f t="shared" si="167"/>
        <v>2.130584192439855E-2</v>
      </c>
      <c r="AC103" s="1">
        <f t="shared" si="167"/>
        <v>2.1534320323014944E-2</v>
      </c>
      <c r="AD103" s="1">
        <f t="shared" si="167"/>
        <v>2.2021456804065309E-2</v>
      </c>
      <c r="AE103" s="1">
        <f t="shared" si="167"/>
        <v>2.0718232044198981E-2</v>
      </c>
      <c r="AF103" s="1">
        <f t="shared" si="167"/>
        <v>2.0658547586829057E-2</v>
      </c>
      <c r="AG103" s="1">
        <f t="shared" si="167"/>
        <v>2.0505568322432222E-2</v>
      </c>
      <c r="AH103" s="1">
        <f t="shared" si="167"/>
        <v>2.1739130434782705E-2</v>
      </c>
      <c r="AI103" s="1">
        <f t="shared" si="167"/>
        <v>2.3141476646605152E-2</v>
      </c>
      <c r="AJ103" s="1">
        <f t="shared" si="167"/>
        <v>2.3695111847555905E-2</v>
      </c>
      <c r="AK103" s="1">
        <f t="shared" si="167"/>
        <v>2.4765296212366561E-2</v>
      </c>
      <c r="AL103" s="1">
        <f t="shared" si="167"/>
        <v>2.3692939504027732E-2</v>
      </c>
      <c r="AM103" s="1">
        <f t="shared" si="167"/>
        <v>2.4918993982409932E-2</v>
      </c>
      <c r="AN103" s="1">
        <f t="shared" si="167"/>
        <v>2.5592773805043434E-2</v>
      </c>
    </row>
    <row r="104" spans="1:40" x14ac:dyDescent="0.25">
      <c r="A104" t="s">
        <v>82</v>
      </c>
      <c r="C104" s="16">
        <f t="shared" ref="C104:J104" si="168">C103/C100</f>
        <v>1.7053718309349306</v>
      </c>
      <c r="D104" s="16">
        <f t="shared" si="168"/>
        <v>2.0048653674899199</v>
      </c>
      <c r="E104" s="16">
        <f t="shared" si="168"/>
        <v>-1.1953371959391823</v>
      </c>
      <c r="F104" s="16">
        <f t="shared" si="168"/>
        <v>-1.3619307588768139</v>
      </c>
      <c r="G104" s="16">
        <f t="shared" si="168"/>
        <v>2.805228036968916</v>
      </c>
      <c r="H104" s="16">
        <f t="shared" si="168"/>
        <v>-1.580217001494238</v>
      </c>
      <c r="I104" s="16">
        <f t="shared" si="168"/>
        <v>-1.947944407724125</v>
      </c>
      <c r="J104" s="16">
        <f t="shared" si="168"/>
        <v>0.48236165779728013</v>
      </c>
      <c r="K104" s="16">
        <f>K103/K100</f>
        <v>1.2697066049957155</v>
      </c>
      <c r="L104" s="16">
        <f t="shared" ref="L104:AN104" si="169">L103/L100</f>
        <v>1.3416690753866634</v>
      </c>
      <c r="M104" s="16">
        <f t="shared" si="169"/>
        <v>0.98351343110970968</v>
      </c>
      <c r="N104" s="16">
        <f t="shared" si="169"/>
        <v>0.92608458972500818</v>
      </c>
      <c r="O104" s="16">
        <f t="shared" si="169"/>
        <v>0.79275934072279941</v>
      </c>
      <c r="P104" s="16">
        <f t="shared" si="169"/>
        <v>1.1006263621238084</v>
      </c>
      <c r="Q104" s="16">
        <f t="shared" si="169"/>
        <v>1.0485676401725355</v>
      </c>
      <c r="R104" s="16">
        <f t="shared" si="169"/>
        <v>1.0151745358363151</v>
      </c>
      <c r="S104" s="16">
        <f t="shared" si="169"/>
        <v>0.90638006374964353</v>
      </c>
      <c r="T104" s="16">
        <f t="shared" si="169"/>
        <v>0.89232463222758962</v>
      </c>
      <c r="U104" s="16">
        <f t="shared" si="169"/>
        <v>0.78182895206716496</v>
      </c>
      <c r="V104" s="16">
        <f t="shared" si="169"/>
        <v>0.73446576573898326</v>
      </c>
      <c r="W104" s="16">
        <f t="shared" si="169"/>
        <v>0.69703586943626117</v>
      </c>
      <c r="X104" s="16">
        <f t="shared" si="169"/>
        <v>0.67569988654717805</v>
      </c>
      <c r="Y104" s="16">
        <f t="shared" si="169"/>
        <v>0.64844502354216826</v>
      </c>
      <c r="Z104" s="16">
        <f t="shared" si="169"/>
        <v>0.69447886372531731</v>
      </c>
      <c r="AA104" s="16">
        <f t="shared" si="169"/>
        <v>0.70519641518421117</v>
      </c>
      <c r="AB104" s="16">
        <f t="shared" si="169"/>
        <v>0.71382498276363371</v>
      </c>
      <c r="AC104" s="16">
        <f t="shared" si="169"/>
        <v>0.71366914304871742</v>
      </c>
      <c r="AD104" s="16">
        <f t="shared" si="169"/>
        <v>0.70845774351426682</v>
      </c>
      <c r="AE104" s="16">
        <f t="shared" si="169"/>
        <v>0.66007937995042099</v>
      </c>
      <c r="AF104" s="16">
        <f t="shared" si="169"/>
        <v>0.65105498171392262</v>
      </c>
      <c r="AG104" s="16">
        <f t="shared" si="169"/>
        <v>0.6420721770391129</v>
      </c>
      <c r="AH104" s="16">
        <f t="shared" si="169"/>
        <v>0.67388535192192345</v>
      </c>
      <c r="AI104" s="16">
        <f t="shared" si="169"/>
        <v>0.69722166868812163</v>
      </c>
      <c r="AJ104" s="16">
        <f t="shared" si="169"/>
        <v>0.7028437921647559</v>
      </c>
      <c r="AK104" s="16">
        <f t="shared" si="169"/>
        <v>0.72475297398363481</v>
      </c>
      <c r="AL104" s="16">
        <f t="shared" si="169"/>
        <v>0.7089091019328716</v>
      </c>
      <c r="AM104" s="16">
        <f t="shared" si="169"/>
        <v>0.73430304811631397</v>
      </c>
      <c r="AN104" s="16">
        <f t="shared" si="169"/>
        <v>0.74210282893012769</v>
      </c>
    </row>
    <row r="105" spans="1:40" x14ac:dyDescent="0.25">
      <c r="A105" t="s">
        <v>77</v>
      </c>
      <c r="C105" s="1">
        <f>C89/B89-1</f>
        <v>2.3558043319542588E-2</v>
      </c>
      <c r="D105" s="1">
        <f t="shared" ref="D105:AN105" si="170">D89/C89-1</f>
        <v>-9.5106757335106096E-4</v>
      </c>
      <c r="E105" s="1">
        <f t="shared" si="170"/>
        <v>2.2609357894235904E-2</v>
      </c>
      <c r="F105" s="1">
        <f t="shared" si="170"/>
        <v>-1.7920312790914106E-2</v>
      </c>
      <c r="G105" s="1">
        <f t="shared" si="170"/>
        <v>2.3034267026873279E-2</v>
      </c>
      <c r="H105" s="1">
        <f t="shared" si="170"/>
        <v>-1.0192263145702984E-2</v>
      </c>
      <c r="I105" s="1">
        <f t="shared" si="170"/>
        <v>-1.6756377252515886E-2</v>
      </c>
      <c r="J105" s="1">
        <f t="shared" si="170"/>
        <v>-8.0925405817108609E-2</v>
      </c>
      <c r="K105" s="1">
        <f t="shared" si="170"/>
        <v>1.7144041021391221E-2</v>
      </c>
      <c r="L105" s="1">
        <f t="shared" si="170"/>
        <v>1.3596089214787721E-2</v>
      </c>
      <c r="M105" s="1">
        <f t="shared" si="170"/>
        <v>1.2509419743782946E-2</v>
      </c>
      <c r="N105" s="1">
        <f t="shared" si="170"/>
        <v>1.1759452217922073E-2</v>
      </c>
      <c r="O105" s="1">
        <f t="shared" si="170"/>
        <v>1.5840321710558491E-2</v>
      </c>
      <c r="P105" s="1">
        <f t="shared" si="170"/>
        <v>2.4379646615815487E-2</v>
      </c>
      <c r="Q105" s="1">
        <f t="shared" si="170"/>
        <v>2.5731655591686664E-2</v>
      </c>
      <c r="R105" s="1">
        <f t="shared" si="170"/>
        <v>2.6969905812083583E-2</v>
      </c>
      <c r="S105" s="1">
        <f t="shared" si="170"/>
        <v>2.3129921259842368E-2</v>
      </c>
      <c r="T105" s="1">
        <f t="shared" si="170"/>
        <v>2.6105207923389662E-2</v>
      </c>
      <c r="U105" s="1">
        <f t="shared" si="170"/>
        <v>2.4034773715162494E-2</v>
      </c>
      <c r="V105" s="1">
        <f t="shared" si="170"/>
        <v>2.1764461090303833E-2</v>
      </c>
      <c r="W105" s="1">
        <f t="shared" si="170"/>
        <v>2.268561886531173E-2</v>
      </c>
      <c r="X105" s="1">
        <f t="shared" si="170"/>
        <v>2.3138191955396348E-2</v>
      </c>
      <c r="Y105" s="1">
        <f t="shared" si="170"/>
        <v>2.3043089019500806E-2</v>
      </c>
      <c r="Z105" s="1">
        <f t="shared" si="170"/>
        <v>2.4883004223262173E-2</v>
      </c>
      <c r="AA105" s="1">
        <f t="shared" si="170"/>
        <v>2.5244088057319036E-2</v>
      </c>
      <c r="AB105" s="1">
        <f t="shared" si="170"/>
        <v>2.4658724698555234E-2</v>
      </c>
      <c r="AC105" s="1">
        <f t="shared" si="170"/>
        <v>2.4984097816100004E-2</v>
      </c>
      <c r="AD105" s="1">
        <f t="shared" si="170"/>
        <v>2.6098948457162541E-2</v>
      </c>
      <c r="AE105" s="1">
        <f t="shared" si="170"/>
        <v>2.3083126133996323E-2</v>
      </c>
      <c r="AF105" s="1">
        <f t="shared" si="170"/>
        <v>2.3022102532102906E-2</v>
      </c>
      <c r="AG105" s="1">
        <f t="shared" si="170"/>
        <v>2.3113964686998445E-2</v>
      </c>
      <c r="AH105" s="1">
        <f t="shared" si="170"/>
        <v>2.3658613115782989E-2</v>
      </c>
      <c r="AI105" s="1">
        <f t="shared" si="170"/>
        <v>2.4736390387444906E-2</v>
      </c>
      <c r="AJ105" s="1">
        <f t="shared" si="170"/>
        <v>2.5006730280278777E-2</v>
      </c>
      <c r="AK105" s="1">
        <f t="shared" si="170"/>
        <v>2.5739049231038535E-2</v>
      </c>
      <c r="AL105" s="1">
        <f t="shared" si="170"/>
        <v>2.5377677885572991E-2</v>
      </c>
      <c r="AM105" s="1">
        <f t="shared" si="170"/>
        <v>2.6303376709858162E-2</v>
      </c>
      <c r="AN105" s="1">
        <f t="shared" si="170"/>
        <v>2.7332450187893764E-2</v>
      </c>
    </row>
    <row r="106" spans="1:40" x14ac:dyDescent="0.25">
      <c r="A106" t="s">
        <v>83</v>
      </c>
      <c r="C106" s="16">
        <f t="shared" ref="C106:J106" si="171">C105/C100</f>
        <v>0.95085901783459603</v>
      </c>
      <c r="D106" s="16">
        <f t="shared" si="171"/>
        <v>-5.064054845090088E-2</v>
      </c>
      <c r="E106" s="16">
        <f t="shared" si="171"/>
        <v>1.7745379533429615</v>
      </c>
      <c r="F106" s="16">
        <f t="shared" si="171"/>
        <v>-2.240551735519543</v>
      </c>
      <c r="G106" s="16">
        <f t="shared" si="171"/>
        <v>1.9398098517071514</v>
      </c>
      <c r="H106" s="16">
        <f t="shared" si="171"/>
        <v>-1.0033238118830097</v>
      </c>
      <c r="I106" s="16">
        <f t="shared" si="171"/>
        <v>-1.9526847552853968</v>
      </c>
      <c r="J106" s="16">
        <f t="shared" si="171"/>
        <v>1.1168352366205441</v>
      </c>
      <c r="K106" s="16">
        <f>K105/K100</f>
        <v>0.7723251672593956</v>
      </c>
      <c r="L106" s="16">
        <f t="shared" ref="L106:AN106" si="172">L105/L100</f>
        <v>0.65240018158662805</v>
      </c>
      <c r="M106" s="16">
        <f t="shared" si="172"/>
        <v>0.60706491776642357</v>
      </c>
      <c r="N106" s="16">
        <f t="shared" si="172"/>
        <v>0.60385633142787676</v>
      </c>
      <c r="O106" s="16">
        <f t="shared" si="172"/>
        <v>0.79531232308630373</v>
      </c>
      <c r="P106" s="16">
        <f t="shared" si="172"/>
        <v>1.0511316505124195</v>
      </c>
      <c r="Q106" s="16">
        <f t="shared" si="172"/>
        <v>1.1463555492718966</v>
      </c>
      <c r="R106" s="16">
        <f t="shared" si="172"/>
        <v>1.1722232802506944</v>
      </c>
      <c r="S106" s="16">
        <f t="shared" si="172"/>
        <v>0.99552092626352573</v>
      </c>
      <c r="T106" s="16">
        <f t="shared" si="172"/>
        <v>1.1108318889894775</v>
      </c>
      <c r="U106" s="16">
        <f t="shared" si="172"/>
        <v>0.87176846665682528</v>
      </c>
      <c r="V106" s="16">
        <f t="shared" si="172"/>
        <v>0.85116763122038974</v>
      </c>
      <c r="W106" s="16">
        <f t="shared" si="172"/>
        <v>0.81923948213913256</v>
      </c>
      <c r="X106" s="16">
        <f t="shared" si="172"/>
        <v>0.8030822545583679</v>
      </c>
      <c r="Y106" s="16">
        <f t="shared" si="172"/>
        <v>0.76984342181624377</v>
      </c>
      <c r="Z106" s="16">
        <f t="shared" si="172"/>
        <v>0.83160275150322382</v>
      </c>
      <c r="AA106" s="16">
        <f t="shared" si="172"/>
        <v>0.83343637039852636</v>
      </c>
      <c r="AB106" s="16">
        <f t="shared" si="172"/>
        <v>0.82615903165799309</v>
      </c>
      <c r="AC106" s="16">
        <f t="shared" si="172"/>
        <v>0.82799825630925949</v>
      </c>
      <c r="AD106" s="16">
        <f t="shared" si="172"/>
        <v>0.83963573784288192</v>
      </c>
      <c r="AE106" s="16">
        <f t="shared" si="172"/>
        <v>0.73542450694348049</v>
      </c>
      <c r="AF106" s="16">
        <f t="shared" si="172"/>
        <v>0.72554251357972466</v>
      </c>
      <c r="AG106" s="16">
        <f t="shared" si="172"/>
        <v>0.72374651573792403</v>
      </c>
      <c r="AH106" s="16">
        <f t="shared" si="172"/>
        <v>0.73338686997364322</v>
      </c>
      <c r="AI106" s="16">
        <f t="shared" si="172"/>
        <v>0.74527428161267495</v>
      </c>
      <c r="AJ106" s="16">
        <f t="shared" si="172"/>
        <v>0.74174898404817069</v>
      </c>
      <c r="AK106" s="16">
        <f t="shared" si="172"/>
        <v>0.75324972161614034</v>
      </c>
      <c r="AL106" s="16">
        <f t="shared" si="172"/>
        <v>0.75931763705153243</v>
      </c>
      <c r="AM106" s="16">
        <f t="shared" si="172"/>
        <v>0.7750974901889911</v>
      </c>
      <c r="AN106" s="16">
        <f t="shared" si="172"/>
        <v>0.79254748862081537</v>
      </c>
    </row>
    <row r="109" spans="1:40" x14ac:dyDescent="0.25">
      <c r="A109" s="20" t="s">
        <v>126</v>
      </c>
    </row>
    <row r="110" spans="1:40" x14ac:dyDescent="0.25">
      <c r="B110" s="3" t="s">
        <v>87</v>
      </c>
      <c r="C110" s="3" t="s">
        <v>88</v>
      </c>
      <c r="D110" s="3" t="s">
        <v>89</v>
      </c>
      <c r="E110" s="3" t="s">
        <v>90</v>
      </c>
      <c r="F110" s="3" t="s">
        <v>91</v>
      </c>
      <c r="G110" s="3" t="s">
        <v>92</v>
      </c>
      <c r="H110" s="3" t="s">
        <v>93</v>
      </c>
      <c r="I110" s="3" t="s">
        <v>94</v>
      </c>
      <c r="J110" s="3" t="s">
        <v>95</v>
      </c>
      <c r="K110" s="3" t="s">
        <v>96</v>
      </c>
      <c r="L110" s="3" t="s">
        <v>97</v>
      </c>
      <c r="M110" s="3" t="s">
        <v>98</v>
      </c>
      <c r="N110" s="3" t="s">
        <v>99</v>
      </c>
      <c r="O110" s="3" t="s">
        <v>100</v>
      </c>
      <c r="P110" s="3" t="s">
        <v>101</v>
      </c>
      <c r="Q110" s="3" t="s">
        <v>102</v>
      </c>
      <c r="R110" s="3" t="s">
        <v>103</v>
      </c>
      <c r="S110" s="3" t="s">
        <v>104</v>
      </c>
      <c r="T110" s="3" t="s">
        <v>105</v>
      </c>
      <c r="U110" s="3" t="s">
        <v>106</v>
      </c>
      <c r="V110" s="3" t="s">
        <v>107</v>
      </c>
      <c r="W110" s="3" t="s">
        <v>108</v>
      </c>
      <c r="X110" s="3" t="s">
        <v>109</v>
      </c>
      <c r="Y110" s="3" t="s">
        <v>110</v>
      </c>
      <c r="Z110" s="3" t="s">
        <v>111</v>
      </c>
      <c r="AA110" s="3" t="s">
        <v>112</v>
      </c>
      <c r="AB110" s="3" t="s">
        <v>113</v>
      </c>
      <c r="AC110" s="3" t="s">
        <v>114</v>
      </c>
      <c r="AD110" s="3" t="s">
        <v>115</v>
      </c>
      <c r="AE110" s="3" t="s">
        <v>116</v>
      </c>
      <c r="AF110" s="3" t="s">
        <v>117</v>
      </c>
      <c r="AG110" s="3" t="s">
        <v>118</v>
      </c>
      <c r="AH110" s="3" t="s">
        <v>119</v>
      </c>
      <c r="AI110" s="3" t="s">
        <v>120</v>
      </c>
      <c r="AJ110" s="3" t="s">
        <v>121</v>
      </c>
      <c r="AK110" s="3" t="s">
        <v>122</v>
      </c>
      <c r="AL110" s="3" t="s">
        <v>123</v>
      </c>
      <c r="AM110" s="3" t="s">
        <v>124</v>
      </c>
      <c r="AN110" s="3" t="s">
        <v>125</v>
      </c>
    </row>
    <row r="111" spans="1:40" x14ac:dyDescent="0.25">
      <c r="A111" s="3" t="s">
        <v>21</v>
      </c>
      <c r="B111">
        <v>1833.85</v>
      </c>
      <c r="C111">
        <v>1884.55</v>
      </c>
      <c r="D111">
        <v>1927.88</v>
      </c>
      <c r="E111">
        <v>1957.41</v>
      </c>
      <c r="F111">
        <v>1982.72</v>
      </c>
      <c r="G111">
        <v>2007.4</v>
      </c>
      <c r="H111">
        <v>2036.6</v>
      </c>
      <c r="I111">
        <v>2071.14</v>
      </c>
      <c r="J111">
        <v>1915.6</v>
      </c>
      <c r="K111">
        <v>1994.8603392660509</v>
      </c>
      <c r="L111">
        <v>2066.85982042161</v>
      </c>
      <c r="M111">
        <v>2144.8246137664132</v>
      </c>
      <c r="N111">
        <v>2234.7683727554477</v>
      </c>
      <c r="O111">
        <v>2333.0848389663406</v>
      </c>
      <c r="P111">
        <v>2443.4189438340218</v>
      </c>
      <c r="Q111">
        <v>2562.8702114155644</v>
      </c>
      <c r="R111">
        <v>2692.5214860629872</v>
      </c>
      <c r="S111">
        <v>2839.2275592547094</v>
      </c>
      <c r="T111">
        <v>2995.6115538425747</v>
      </c>
      <c r="U111">
        <v>3156.1625655350422</v>
      </c>
      <c r="V111">
        <v>3327.9094143671055</v>
      </c>
      <c r="W111">
        <v>3509.788592493026</v>
      </c>
      <c r="X111">
        <v>3702.8829442648207</v>
      </c>
      <c r="Y111">
        <v>3895.6002341639869</v>
      </c>
      <c r="Z111">
        <v>4097.2219852078397</v>
      </c>
      <c r="AA111">
        <v>4322.2119040983498</v>
      </c>
      <c r="AB111">
        <v>4563.8988961668201</v>
      </c>
      <c r="AC111">
        <v>4820.8520599480789</v>
      </c>
      <c r="AD111">
        <v>5090.7896877003686</v>
      </c>
      <c r="AE111">
        <v>5373.5377508671127</v>
      </c>
      <c r="AF111">
        <v>5673.833693488391</v>
      </c>
      <c r="AG111">
        <v>5992.0932504493467</v>
      </c>
      <c r="AH111">
        <v>6329.727986708861</v>
      </c>
      <c r="AI111">
        <v>6683.1123073382978</v>
      </c>
      <c r="AJ111">
        <v>7044.7919891643905</v>
      </c>
      <c r="AK111">
        <v>7425.3344328724534</v>
      </c>
      <c r="AL111">
        <v>7825.890160586503</v>
      </c>
      <c r="AM111">
        <v>8248.3251451631404</v>
      </c>
      <c r="AN111">
        <v>8695.7332276081215</v>
      </c>
    </row>
    <row r="112" spans="1:40" x14ac:dyDescent="0.25">
      <c r="A112" s="3" t="s">
        <v>70</v>
      </c>
      <c r="B112">
        <v>69.819999999999993</v>
      </c>
      <c r="C112">
        <v>72.77</v>
      </c>
      <c r="D112">
        <v>75.510000000000005</v>
      </c>
      <c r="E112">
        <v>74.36</v>
      </c>
      <c r="F112">
        <v>73.55</v>
      </c>
      <c r="G112">
        <v>76</v>
      </c>
      <c r="H112">
        <v>74.78</v>
      </c>
      <c r="I112">
        <v>73.53</v>
      </c>
      <c r="J112">
        <v>70.959999999999994</v>
      </c>
      <c r="K112">
        <v>73.969354882249334</v>
      </c>
      <c r="L112">
        <v>76.547401572731289</v>
      </c>
      <c r="M112">
        <v>78.949004002930323</v>
      </c>
      <c r="N112">
        <v>81.644680200179067</v>
      </c>
      <c r="O112">
        <v>84.605022787763843</v>
      </c>
      <c r="P112">
        <v>87.75161209446027</v>
      </c>
      <c r="Q112">
        <v>90.996225990144666</v>
      </c>
      <c r="R112">
        <v>94.231037426891902</v>
      </c>
      <c r="S112">
        <v>97.887354596395895</v>
      </c>
      <c r="T112">
        <v>101.55347422476528</v>
      </c>
      <c r="U112">
        <v>105.19018647639355</v>
      </c>
      <c r="V112">
        <v>108.90531839920246</v>
      </c>
      <c r="W112">
        <v>112.62045032197796</v>
      </c>
      <c r="X112">
        <v>116.58064371726222</v>
      </c>
      <c r="Y112">
        <v>120.24676334546632</v>
      </c>
      <c r="Z112">
        <v>124.06972231606426</v>
      </c>
      <c r="AA112">
        <v>128.60826078643456</v>
      </c>
      <c r="AB112">
        <v>133.53889761282349</v>
      </c>
      <c r="AC112">
        <v>138.763608206214</v>
      </c>
      <c r="AD112">
        <v>144.32160240220801</v>
      </c>
      <c r="AE112">
        <v>150.1442629884946</v>
      </c>
      <c r="AF112">
        <v>156.3590219307855</v>
      </c>
      <c r="AG112">
        <v>163.05410135918632</v>
      </c>
      <c r="AH112">
        <v>170.20989635589095</v>
      </c>
      <c r="AI112">
        <v>177.66956757848172</v>
      </c>
      <c r="AJ112">
        <v>185.12923880103136</v>
      </c>
      <c r="AK112">
        <v>193.16725509868724</v>
      </c>
      <c r="AL112">
        <v>201.74440663584227</v>
      </c>
      <c r="AM112">
        <v>210.77247128238685</v>
      </c>
      <c r="AN112">
        <v>220.27105395611983</v>
      </c>
    </row>
    <row r="113" spans="1:40" x14ac:dyDescent="0.25">
      <c r="A113" s="3" t="s">
        <v>23</v>
      </c>
      <c r="B113">
        <v>205.45</v>
      </c>
      <c r="C113">
        <v>210.29</v>
      </c>
      <c r="D113">
        <v>210.09</v>
      </c>
      <c r="E113">
        <v>214.84</v>
      </c>
      <c r="F113">
        <v>210.99</v>
      </c>
      <c r="G113">
        <v>215.85</v>
      </c>
      <c r="H113">
        <v>213.65</v>
      </c>
      <c r="I113">
        <v>210.07</v>
      </c>
      <c r="J113">
        <v>193.07</v>
      </c>
      <c r="K113">
        <v>198.29404481500649</v>
      </c>
      <c r="L113">
        <v>202.649007220024</v>
      </c>
      <c r="M113">
        <v>207.25227888500945</v>
      </c>
      <c r="N113">
        <v>212.74373367223615</v>
      </c>
      <c r="O113">
        <v>218.7031559109507</v>
      </c>
      <c r="P113">
        <v>225.76086910726582</v>
      </c>
      <c r="Q113">
        <v>233.64946328888254</v>
      </c>
      <c r="R113">
        <v>242.36893845579499</v>
      </c>
      <c r="S113">
        <v>251.96704638876358</v>
      </c>
      <c r="T113">
        <v>261.95671892397382</v>
      </c>
      <c r="U113">
        <v>271.64078006224878</v>
      </c>
      <c r="V113">
        <v>282.06021862427485</v>
      </c>
      <c r="W113">
        <v>292.79481893931535</v>
      </c>
      <c r="X113">
        <v>303.90188314428747</v>
      </c>
      <c r="Y113">
        <v>314.89434307538914</v>
      </c>
      <c r="Z113">
        <v>325.60029232186952</v>
      </c>
      <c r="AA113">
        <v>336.6309536775172</v>
      </c>
      <c r="AB113">
        <v>349.23742379835801</v>
      </c>
      <c r="AC113">
        <v>362.74162739753228</v>
      </c>
      <c r="AD113">
        <v>376.895255215063</v>
      </c>
      <c r="AE113">
        <v>392.33818111318595</v>
      </c>
      <c r="AF113">
        <v>409.09905616035451</v>
      </c>
      <c r="AG113">
        <v>427.37843783577188</v>
      </c>
      <c r="AH113">
        <v>447.26227934480767</v>
      </c>
      <c r="AI113">
        <v>468.55002320824985</v>
      </c>
      <c r="AJ113">
        <v>490.64954734462754</v>
      </c>
      <c r="AK113">
        <v>514.5922902184285</v>
      </c>
      <c r="AL113">
        <v>540.52150717193774</v>
      </c>
      <c r="AM113">
        <v>568.59955425974522</v>
      </c>
      <c r="AN113">
        <v>599.16069394718772</v>
      </c>
    </row>
    <row r="114" spans="1:40" x14ac:dyDescent="0.25">
      <c r="A114" s="3" t="s">
        <v>24</v>
      </c>
      <c r="B114">
        <v>93.1</v>
      </c>
      <c r="C114">
        <v>94.81</v>
      </c>
      <c r="D114">
        <v>96.04</v>
      </c>
      <c r="E114">
        <v>96.13</v>
      </c>
      <c r="F114">
        <v>97.44</v>
      </c>
      <c r="G114">
        <v>97.81</v>
      </c>
      <c r="H114">
        <v>98.48</v>
      </c>
      <c r="I114">
        <v>97.71</v>
      </c>
      <c r="J114">
        <v>92.79</v>
      </c>
      <c r="K114">
        <v>97.164896707550014</v>
      </c>
      <c r="L114">
        <v>100.84274488289863</v>
      </c>
      <c r="M114">
        <v>104.4472195285134</v>
      </c>
      <c r="N114">
        <v>108.53779380835738</v>
      </c>
      <c r="O114">
        <v>112.95854897181287</v>
      </c>
      <c r="P114">
        <v>117.53522288584188</v>
      </c>
      <c r="Q114">
        <v>122.34118908014129</v>
      </c>
      <c r="R114">
        <v>127.38561924592128</v>
      </c>
      <c r="S114">
        <v>133.12709794378537</v>
      </c>
      <c r="T114">
        <v>139.06118215706289</v>
      </c>
      <c r="U114">
        <v>144.60088364818583</v>
      </c>
      <c r="V114">
        <v>150.38822080199571</v>
      </c>
      <c r="W114">
        <v>156.07466935243968</v>
      </c>
      <c r="X114">
        <v>162.24721753707666</v>
      </c>
      <c r="Y114">
        <v>168.09875652926692</v>
      </c>
      <c r="Z114">
        <v>173.98698228627208</v>
      </c>
      <c r="AA114">
        <v>180.59977164896804</v>
      </c>
      <c r="AB114">
        <v>187.60694373373019</v>
      </c>
      <c r="AC114">
        <v>195.19193236478739</v>
      </c>
      <c r="AD114">
        <v>203.3914243069818</v>
      </c>
      <c r="AE114">
        <v>211.8935820591185</v>
      </c>
      <c r="AF114">
        <v>220.95521297511701</v>
      </c>
      <c r="AG114">
        <v>230.658862275877</v>
      </c>
      <c r="AH114">
        <v>240.93115643170387</v>
      </c>
      <c r="AI114">
        <v>251.47860132383192</v>
      </c>
      <c r="AJ114">
        <v>261.95267268623104</v>
      </c>
      <c r="AK114">
        <v>273.07793412459421</v>
      </c>
      <c r="AL114">
        <v>284.77184041801735</v>
      </c>
      <c r="AM114">
        <v>296.91515958075252</v>
      </c>
      <c r="AN114">
        <v>309.58126514248795</v>
      </c>
    </row>
    <row r="115" spans="1:40" x14ac:dyDescent="0.25">
      <c r="A115" s="3" t="s">
        <v>25</v>
      </c>
      <c r="B115">
        <v>235.5</v>
      </c>
      <c r="C115">
        <v>241.63</v>
      </c>
      <c r="D115">
        <v>245.65</v>
      </c>
      <c r="E115">
        <v>248.47</v>
      </c>
      <c r="F115">
        <v>251.07</v>
      </c>
      <c r="G115">
        <v>252.54</v>
      </c>
      <c r="H115">
        <v>254.74</v>
      </c>
      <c r="I115">
        <v>254.67</v>
      </c>
      <c r="J115">
        <v>230.24</v>
      </c>
      <c r="K115">
        <v>240.59417139393693</v>
      </c>
      <c r="L115">
        <v>249.7968040999923</v>
      </c>
      <c r="M115">
        <v>259.56069095638566</v>
      </c>
      <c r="N115">
        <v>270.67932921019093</v>
      </c>
      <c r="O115">
        <v>282.67855587229479</v>
      </c>
      <c r="P115">
        <v>295.97447315762054</v>
      </c>
      <c r="Q115">
        <v>310.18000923832312</v>
      </c>
      <c r="R115">
        <v>325.51773041540525</v>
      </c>
      <c r="S115">
        <v>342.87790189288529</v>
      </c>
      <c r="T115">
        <v>361.07995459585732</v>
      </c>
      <c r="U115">
        <v>379.78520067496476</v>
      </c>
      <c r="V115">
        <v>399.56457107626096</v>
      </c>
      <c r="W115">
        <v>420.26323706861029</v>
      </c>
      <c r="X115">
        <v>442.34568484540824</v>
      </c>
      <c r="Y115">
        <v>464.31201107380878</v>
      </c>
      <c r="Z115">
        <v>487.28472405452015</v>
      </c>
      <c r="AA115">
        <v>513.10241496972685</v>
      </c>
      <c r="AB115">
        <v>540.24582689519559</v>
      </c>
      <c r="AC115">
        <v>568.79237419648973</v>
      </c>
      <c r="AD115">
        <v>598.4033690242585</v>
      </c>
      <c r="AE115">
        <v>629.46588320632691</v>
      </c>
      <c r="AF115">
        <v>662.53149409734397</v>
      </c>
      <c r="AG115">
        <v>697.65826247147993</v>
      </c>
      <c r="AH115">
        <v>734.91392589860072</v>
      </c>
      <c r="AI115">
        <v>773.82432138961917</v>
      </c>
      <c r="AJ115">
        <v>813.38306219219305</v>
      </c>
      <c r="AK115">
        <v>855.11908202622328</v>
      </c>
      <c r="AL115">
        <v>899.1581792357498</v>
      </c>
      <c r="AM115">
        <v>945.59712177772496</v>
      </c>
      <c r="AN115">
        <v>994.85201186705478</v>
      </c>
    </row>
    <row r="116" spans="1:40" x14ac:dyDescent="0.25">
      <c r="A116" s="3" t="s">
        <v>26</v>
      </c>
      <c r="B116">
        <v>17.78</v>
      </c>
      <c r="C116">
        <v>18.190000000000001</v>
      </c>
      <c r="D116">
        <v>18.54</v>
      </c>
      <c r="E116">
        <v>18.73</v>
      </c>
      <c r="F116">
        <v>19.13</v>
      </c>
      <c r="G116">
        <v>19.23</v>
      </c>
      <c r="H116">
        <v>19.5</v>
      </c>
      <c r="I116">
        <v>19.52</v>
      </c>
      <c r="J116">
        <v>18.16</v>
      </c>
      <c r="K116">
        <v>18.941916037731868</v>
      </c>
      <c r="L116">
        <v>19.626092570589773</v>
      </c>
      <c r="M116">
        <v>20.359138855827979</v>
      </c>
      <c r="N116">
        <v>21.199698596337456</v>
      </c>
      <c r="O116">
        <v>22.186867594037498</v>
      </c>
      <c r="P116">
        <v>23.183810542175578</v>
      </c>
      <c r="Q116">
        <v>24.258945094120527</v>
      </c>
      <c r="R116">
        <v>25.412271249867906</v>
      </c>
      <c r="S116">
        <v>26.68288481133504</v>
      </c>
      <c r="T116">
        <v>28.012142075635538</v>
      </c>
      <c r="U116">
        <v>29.312077488450718</v>
      </c>
      <c r="V116">
        <v>30.690204505057096</v>
      </c>
      <c r="W116">
        <v>32.12697522449362</v>
      </c>
      <c r="X116">
        <v>33.622389646758698</v>
      </c>
      <c r="Y116">
        <v>34.951646910847074</v>
      </c>
      <c r="Z116">
        <v>36.43728738254871</v>
      </c>
      <c r="AA116">
        <v>38.079311061856721</v>
      </c>
      <c r="AB116">
        <v>39.848396097331893</v>
      </c>
      <c r="AC116">
        <v>41.724994588015043</v>
      </c>
      <c r="AD116">
        <v>43.70910653390311</v>
      </c>
      <c r="AE116">
        <v>45.849601687378026</v>
      </c>
      <c r="AF116">
        <v>48.146480048435208</v>
      </c>
      <c r="AG116">
        <v>50.589967666593921</v>
      </c>
      <c r="AH116">
        <v>53.189838492327119</v>
      </c>
      <c r="AI116">
        <v>55.887448822774303</v>
      </c>
      <c r="AJ116">
        <v>58.614381004602329</v>
      </c>
      <c r="AK116">
        <v>61.497696393998346</v>
      </c>
      <c r="AL116">
        <v>64.537394990959541</v>
      </c>
      <c r="AM116">
        <v>67.743250745958846</v>
      </c>
      <c r="AN116">
        <v>71.134811559944438</v>
      </c>
    </row>
    <row r="117" spans="1:40" x14ac:dyDescent="0.25">
      <c r="A117" s="3" t="s">
        <v>27</v>
      </c>
      <c r="B117">
        <v>52.81</v>
      </c>
      <c r="C117">
        <v>54.31</v>
      </c>
      <c r="D117">
        <v>55.26</v>
      </c>
      <c r="E117">
        <v>55.73</v>
      </c>
      <c r="F117">
        <v>56.3</v>
      </c>
      <c r="G117">
        <v>56.6</v>
      </c>
      <c r="H117">
        <v>57.09</v>
      </c>
      <c r="I117">
        <v>56.96</v>
      </c>
      <c r="J117">
        <v>52.37</v>
      </c>
      <c r="K117">
        <v>54.620084822891016</v>
      </c>
      <c r="L117">
        <v>56.570802136994082</v>
      </c>
      <c r="M117">
        <v>58.62774663158558</v>
      </c>
      <c r="N117">
        <v>61.003372667703147</v>
      </c>
      <c r="O117">
        <v>63.610767097641222</v>
      </c>
      <c r="P117">
        <v>66.391987822930645</v>
      </c>
      <c r="Q117">
        <v>69.376005892799427</v>
      </c>
      <c r="R117">
        <v>72.611106389295344</v>
      </c>
      <c r="S117">
        <v>76.26145859138704</v>
      </c>
      <c r="T117">
        <v>80.124265154454321</v>
      </c>
      <c r="U117">
        <v>83.871187520555438</v>
      </c>
      <c r="V117">
        <v>87.840221264040096</v>
      </c>
      <c r="W117">
        <v>91.96376727003711</v>
      </c>
      <c r="X117">
        <v>96.338395702641634</v>
      </c>
      <c r="Y117">
        <v>100.59713993828771</v>
      </c>
      <c r="Z117">
        <v>105.00073942003478</v>
      </c>
      <c r="AA117">
        <v>109.91616077143787</v>
      </c>
      <c r="AB117">
        <v>115.15026366430418</v>
      </c>
      <c r="AC117">
        <v>120.7127051150395</v>
      </c>
      <c r="AD117">
        <v>126.54554302518582</v>
      </c>
      <c r="AE117">
        <v>132.82260369010405</v>
      </c>
      <c r="AF117">
        <v>139.5535441261988</v>
      </c>
      <c r="AG117">
        <v>146.75767836628384</v>
      </c>
      <c r="AH117">
        <v>154.44466342676407</v>
      </c>
      <c r="AI117">
        <v>162.48895809432148</v>
      </c>
      <c r="AJ117">
        <v>170.71673607359702</v>
      </c>
      <c r="AK117">
        <v>179.42736487326002</v>
      </c>
      <c r="AL117">
        <v>188.66912957535061</v>
      </c>
      <c r="AM117">
        <v>198.43237316345707</v>
      </c>
      <c r="AN117">
        <v>208.83297983447909</v>
      </c>
    </row>
    <row r="118" spans="1:40" x14ac:dyDescent="0.25">
      <c r="A118" s="3" t="s">
        <v>28</v>
      </c>
      <c r="B118">
        <v>14.11</v>
      </c>
      <c r="C118">
        <v>14.52</v>
      </c>
      <c r="D118">
        <v>14.79</v>
      </c>
      <c r="E118">
        <v>15.03</v>
      </c>
      <c r="F118">
        <v>15.21</v>
      </c>
      <c r="G118">
        <v>15.35</v>
      </c>
      <c r="H118">
        <v>15.51</v>
      </c>
      <c r="I118">
        <v>15.54</v>
      </c>
      <c r="J118">
        <v>14.21</v>
      </c>
      <c r="K118">
        <v>14.824012344662277</v>
      </c>
      <c r="L118">
        <v>15.369801095329013</v>
      </c>
      <c r="M118">
        <v>15.964320984497457</v>
      </c>
      <c r="N118">
        <v>16.636810695282954</v>
      </c>
      <c r="O118">
        <v>17.358031544559537</v>
      </c>
      <c r="P118">
        <v>18.166968443145585</v>
      </c>
      <c r="Q118">
        <v>19.034382707918397</v>
      </c>
      <c r="R118">
        <v>19.960274338873962</v>
      </c>
      <c r="S118">
        <v>21.012866929936997</v>
      </c>
      <c r="T118">
        <v>22.123936887172817</v>
      </c>
      <c r="U118">
        <v>23.254499299766032</v>
      </c>
      <c r="V118">
        <v>24.443539078528438</v>
      </c>
      <c r="W118">
        <v>25.710548678862427</v>
      </c>
      <c r="X118">
        <v>27.045781873062417</v>
      </c>
      <c r="Y118">
        <v>28.381015067214289</v>
      </c>
      <c r="Z118">
        <v>29.764979399826899</v>
      </c>
      <c r="AA118">
        <v>31.32437583101219</v>
      </c>
      <c r="AB118">
        <v>32.951995856053834</v>
      </c>
      <c r="AC118">
        <v>34.6575857026506</v>
      </c>
      <c r="AD118">
        <v>36.431399143100343</v>
      </c>
      <c r="AE118">
        <v>38.312421088201233</v>
      </c>
      <c r="AF118">
        <v>40.300651537950152</v>
      </c>
      <c r="AG118">
        <v>42.415582947743054</v>
      </c>
      <c r="AH118">
        <v>44.64746908987734</v>
      </c>
      <c r="AI118">
        <v>46.976817508952436</v>
      </c>
      <c r="AJ118">
        <v>49.345150838774209</v>
      </c>
      <c r="AK118">
        <v>51.840185128630452</v>
      </c>
      <c r="AL118">
        <v>54.452174150820298</v>
      </c>
      <c r="AM118">
        <v>57.210356588436404</v>
      </c>
      <c r="AN118">
        <v>60.124478669174067</v>
      </c>
    </row>
    <row r="119" spans="1:40" x14ac:dyDescent="0.25">
      <c r="A119" s="3" t="s">
        <v>29</v>
      </c>
      <c r="B119">
        <v>13.35</v>
      </c>
      <c r="C119">
        <v>13.74</v>
      </c>
      <c r="D119">
        <v>13.91</v>
      </c>
      <c r="E119">
        <v>14.13</v>
      </c>
      <c r="F119">
        <v>14.15</v>
      </c>
      <c r="G119">
        <v>14.18</v>
      </c>
      <c r="H119">
        <v>14.21</v>
      </c>
      <c r="I119">
        <v>14.08</v>
      </c>
      <c r="J119">
        <v>12.26</v>
      </c>
      <c r="K119">
        <v>12.778840124390374</v>
      </c>
      <c r="L119">
        <v>13.163166142179319</v>
      </c>
      <c r="M119">
        <v>13.557100310408256</v>
      </c>
      <c r="N119">
        <v>14.018291531880806</v>
      </c>
      <c r="O119">
        <v>14.517915355188556</v>
      </c>
      <c r="P119">
        <v>15.055971780327514</v>
      </c>
      <c r="Q119">
        <v>15.632460807293949</v>
      </c>
      <c r="R119">
        <v>16.23777428561954</v>
      </c>
      <c r="S119">
        <v>16.919952967623679</v>
      </c>
      <c r="T119">
        <v>17.621347950516579</v>
      </c>
      <c r="U119">
        <v>18.274702181055108</v>
      </c>
      <c r="V119">
        <v>18.947272712484722</v>
      </c>
      <c r="W119">
        <v>19.64866769526693</v>
      </c>
      <c r="X119">
        <v>20.359670828476606</v>
      </c>
      <c r="Y119">
        <v>21.032241359807486</v>
      </c>
      <c r="Z119">
        <v>21.695203740646768</v>
      </c>
      <c r="AA119">
        <v>22.34855797099625</v>
      </c>
      <c r="AB119">
        <v>23.136426307758093</v>
      </c>
      <c r="AC119">
        <v>23.962727246325755</v>
      </c>
      <c r="AD119">
        <v>24.817852636238026</v>
      </c>
      <c r="AE119">
        <v>25.845924734376961</v>
      </c>
      <c r="AF119">
        <v>26.970078337062869</v>
      </c>
      <c r="AG119">
        <v>28.180705293832322</v>
      </c>
      <c r="AH119">
        <v>29.487413755138995</v>
      </c>
      <c r="AI119">
        <v>30.870987420063372</v>
      </c>
      <c r="AJ119">
        <v>32.302601837230874</v>
      </c>
      <c r="AK119">
        <v>33.83990590938226</v>
      </c>
      <c r="AL119">
        <v>35.492507786970137</v>
      </c>
      <c r="AM119">
        <v>37.260407469990298</v>
      </c>
      <c r="AN119">
        <v>39.182037560263602</v>
      </c>
    </row>
    <row r="120" spans="1:40" x14ac:dyDescent="0.25">
      <c r="A120" s="3" t="s">
        <v>30</v>
      </c>
      <c r="B120">
        <v>10.11</v>
      </c>
      <c r="C120">
        <v>8.43</v>
      </c>
      <c r="D120">
        <v>7.26</v>
      </c>
      <c r="E120">
        <v>6.85</v>
      </c>
      <c r="F120">
        <v>6.43</v>
      </c>
      <c r="G120">
        <v>5.96</v>
      </c>
      <c r="H120">
        <v>5.84</v>
      </c>
      <c r="I120">
        <v>5.52</v>
      </c>
      <c r="J120">
        <v>4.53</v>
      </c>
      <c r="K120">
        <v>4.7307978715016317</v>
      </c>
      <c r="L120">
        <v>4.8191489344975622</v>
      </c>
      <c r="M120">
        <v>4.9074999974787676</v>
      </c>
      <c r="N120">
        <v>5.0520744646627449</v>
      </c>
      <c r="O120">
        <v>5.228776591371334</v>
      </c>
      <c r="P120">
        <v>5.421542547824111</v>
      </c>
      <c r="Q120">
        <v>5.6384042489017565</v>
      </c>
      <c r="R120">
        <v>5.863297864831841</v>
      </c>
      <c r="S120">
        <v>6.1363829700245045</v>
      </c>
      <c r="T120">
        <v>6.4415957347061434</v>
      </c>
      <c r="U120">
        <v>6.7146808398290121</v>
      </c>
      <c r="V120">
        <v>6.9797340300399977</v>
      </c>
      <c r="W120">
        <v>7.2046276458290173</v>
      </c>
      <c r="X120">
        <v>7.4054255169607703</v>
      </c>
      <c r="Y120">
        <v>7.5740957285646378</v>
      </c>
      <c r="Z120">
        <v>7.7026063657722439</v>
      </c>
      <c r="AA120">
        <v>7.8070212583419396</v>
      </c>
      <c r="AB120">
        <v>7.8873404062788577</v>
      </c>
      <c r="AC120">
        <v>7.9756914690807896</v>
      </c>
      <c r="AD120">
        <v>8.0640425318738256</v>
      </c>
      <c r="AE120">
        <v>8.232712743373904</v>
      </c>
      <c r="AF120">
        <v>8.4415425292115298</v>
      </c>
      <c r="AG120">
        <v>8.6985638042495044</v>
      </c>
      <c r="AH120">
        <v>9.0118084833488119</v>
      </c>
      <c r="AI120">
        <v>9.3652127367630946</v>
      </c>
      <c r="AJ120">
        <v>9.7507446496186301</v>
      </c>
      <c r="AK120">
        <v>10.192499966513008</v>
      </c>
      <c r="AL120">
        <v>10.69851060230534</v>
      </c>
      <c r="AM120">
        <v>11.268776556987625</v>
      </c>
      <c r="AN120">
        <v>11.927393575148884</v>
      </c>
    </row>
    <row r="121" spans="1:40" x14ac:dyDescent="0.25">
      <c r="A121" s="3" t="s">
        <v>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</row>
    <row r="122" spans="1:40" x14ac:dyDescent="0.25">
      <c r="A122" s="3" t="s">
        <v>32</v>
      </c>
      <c r="B122">
        <v>84.25</v>
      </c>
      <c r="C122">
        <v>83.73</v>
      </c>
      <c r="D122">
        <v>83.25</v>
      </c>
      <c r="E122">
        <v>82.69</v>
      </c>
      <c r="F122">
        <v>81.209999999999994</v>
      </c>
      <c r="G122">
        <v>80.83</v>
      </c>
      <c r="H122">
        <v>80.180000000000007</v>
      </c>
      <c r="I122">
        <v>78.209999999999994</v>
      </c>
      <c r="J122">
        <v>76.040000000000006</v>
      </c>
      <c r="K122">
        <v>79.868832789361164</v>
      </c>
      <c r="L122">
        <v>80.787339845850937</v>
      </c>
      <c r="M122">
        <v>82.128979367024627</v>
      </c>
      <c r="N122">
        <v>82.882361559221735</v>
      </c>
      <c r="O122">
        <v>81.035027139198789</v>
      </c>
      <c r="P122">
        <v>84.110477735106869</v>
      </c>
      <c r="Q122">
        <v>85.957812153019546</v>
      </c>
      <c r="R122">
        <v>87.26849076206102</v>
      </c>
      <c r="S122">
        <v>89.67312159680472</v>
      </c>
      <c r="T122">
        <v>91.210846894169521</v>
      </c>
      <c r="U122">
        <v>95.359609107557191</v>
      </c>
      <c r="V122">
        <v>98.011927238600578</v>
      </c>
      <c r="W122">
        <v>100.65392506560029</v>
      </c>
      <c r="X122">
        <v>103.37848532469806</v>
      </c>
      <c r="Y122">
        <v>106.47457652832807</v>
      </c>
      <c r="Z122">
        <v>111.34576002258379</v>
      </c>
      <c r="AA122">
        <v>117.16641148620606</v>
      </c>
      <c r="AB122">
        <v>120.41730724997892</v>
      </c>
      <c r="AC122">
        <v>125.30913135213515</v>
      </c>
      <c r="AD122">
        <v>130.2112757582662</v>
      </c>
      <c r="AE122">
        <v>133.67889790627359</v>
      </c>
      <c r="AF122">
        <v>136.31057542904583</v>
      </c>
      <c r="AG122">
        <v>139.06609659997619</v>
      </c>
      <c r="AH122">
        <v>141.8628989869452</v>
      </c>
      <c r="AI122">
        <v>144.72162319798196</v>
      </c>
      <c r="AJ122">
        <v>147.57002710498378</v>
      </c>
      <c r="AK122">
        <v>150.4081107079511</v>
      </c>
      <c r="AL122">
        <v>153.33907704702921</v>
      </c>
      <c r="AM122">
        <v>156.32164490615958</v>
      </c>
      <c r="AN122">
        <v>159.35581428534195</v>
      </c>
    </row>
    <row r="123" spans="1:40" x14ac:dyDescent="0.25">
      <c r="A123" s="3" t="s">
        <v>33</v>
      </c>
      <c r="B123">
        <v>21.15</v>
      </c>
      <c r="C123">
        <v>22.37</v>
      </c>
      <c r="D123">
        <v>23.86</v>
      </c>
      <c r="E123">
        <v>24.79</v>
      </c>
      <c r="F123">
        <v>25.39</v>
      </c>
      <c r="G123">
        <v>26.91</v>
      </c>
      <c r="H123">
        <v>28.69</v>
      </c>
      <c r="I123">
        <v>29.81</v>
      </c>
      <c r="J123">
        <v>28.74</v>
      </c>
      <c r="K123">
        <v>30.22671499076683</v>
      </c>
      <c r="L123">
        <v>31.552448103408469</v>
      </c>
      <c r="M123">
        <v>33.010754527365201</v>
      </c>
      <c r="N123">
        <v>34.724738051742897</v>
      </c>
      <c r="O123">
        <v>36.628112020855937</v>
      </c>
      <c r="P123">
        <v>38.853449746041001</v>
      </c>
      <c r="Q123">
        <v>41.306056004898913</v>
      </c>
      <c r="R123">
        <v>43.96699175294566</v>
      </c>
      <c r="S123">
        <v>47.129812179560112</v>
      </c>
      <c r="T123">
        <v>50.718761106821802</v>
      </c>
      <c r="U123">
        <v>54.648612834578742</v>
      </c>
      <c r="V123">
        <v>59.070879718626777</v>
      </c>
      <c r="W123">
        <v>63.90033605881748</v>
      </c>
      <c r="X123">
        <v>69.127512332906761</v>
      </c>
      <c r="Y123">
        <v>74.468322873771484</v>
      </c>
      <c r="Z123">
        <v>80.017462903785244</v>
      </c>
      <c r="AA123">
        <v>86.267347579272993</v>
      </c>
      <c r="AB123">
        <v>93.056995022196489</v>
      </c>
      <c r="AC123">
        <v>100.39587475478656</v>
      </c>
      <c r="AD123">
        <v>108.2839867770379</v>
      </c>
      <c r="AE123">
        <v>116.48459303302971</v>
      </c>
      <c r="AF123">
        <v>125.06398017841776</v>
      </c>
      <c r="AG123">
        <v>134.06002630214692</v>
      </c>
      <c r="AH123">
        <v>143.52007901539781</v>
      </c>
      <c r="AI123">
        <v>153.33997357356841</v>
      </c>
      <c r="AJ123">
        <v>163.13145956496945</v>
      </c>
      <c r="AK123">
        <v>173.43429975707159</v>
      </c>
      <c r="AL123">
        <v>184.30531128328985</v>
      </c>
      <c r="AM123">
        <v>195.76343318809407</v>
      </c>
      <c r="AN123">
        <v>207.94123878278739</v>
      </c>
    </row>
    <row r="124" spans="1:40" x14ac:dyDescent="0.25">
      <c r="A124" s="3" t="s">
        <v>34</v>
      </c>
      <c r="B124">
        <v>135.96</v>
      </c>
      <c r="C124">
        <v>139.72999999999999</v>
      </c>
      <c r="D124">
        <v>142.69999999999999</v>
      </c>
      <c r="E124">
        <v>144.16</v>
      </c>
      <c r="F124">
        <v>145.31</v>
      </c>
      <c r="G124">
        <v>147.16</v>
      </c>
      <c r="H124">
        <v>148.75</v>
      </c>
      <c r="I124">
        <v>149.16999999999999</v>
      </c>
      <c r="J124">
        <v>138.22</v>
      </c>
      <c r="K124">
        <v>143.53280403176132</v>
      </c>
      <c r="L124">
        <v>148.17787859489698</v>
      </c>
      <c r="M124">
        <v>153.21971994368354</v>
      </c>
      <c r="N124">
        <v>159.08412657982095</v>
      </c>
      <c r="O124">
        <v>165.34530000159904</v>
      </c>
      <c r="P124">
        <v>172.24517117588886</v>
      </c>
      <c r="Q124">
        <v>179.65793599991073</v>
      </c>
      <c r="R124">
        <v>187.67068962173454</v>
      </c>
      <c r="S124">
        <v>196.75761673642197</v>
      </c>
      <c r="T124">
        <v>206.20260168203126</v>
      </c>
      <c r="U124">
        <v>215.62823215024673</v>
      </c>
      <c r="V124">
        <v>225.62481970022623</v>
      </c>
      <c r="W124">
        <v>236.14397813859347</v>
      </c>
      <c r="X124">
        <v>247.17603022667146</v>
      </c>
      <c r="Y124">
        <v>257.95647410916763</v>
      </c>
      <c r="Z124">
        <v>269.17239373197702</v>
      </c>
      <c r="AA124">
        <v>282.04312116808433</v>
      </c>
      <c r="AB124">
        <v>295.60093255003414</v>
      </c>
      <c r="AC124">
        <v>309.96195474191705</v>
      </c>
      <c r="AD124">
        <v>325.04876983433491</v>
      </c>
      <c r="AE124">
        <v>341.29685356763213</v>
      </c>
      <c r="AF124">
        <v>358.68685146445546</v>
      </c>
      <c r="AG124">
        <v>377.24779524082408</v>
      </c>
      <c r="AH124">
        <v>397.01839385143137</v>
      </c>
      <c r="AI124">
        <v>417.71800737472</v>
      </c>
      <c r="AJ124">
        <v>438.75632425155931</v>
      </c>
      <c r="AK124">
        <v>461.08171387202378</v>
      </c>
      <c r="AL124">
        <v>484.71353071345879</v>
      </c>
      <c r="AM124">
        <v>509.7195154465806</v>
      </c>
      <c r="AN124">
        <v>536.30289008354384</v>
      </c>
    </row>
    <row r="125" spans="1:40" x14ac:dyDescent="0.25">
      <c r="A125" s="3" t="s">
        <v>35</v>
      </c>
      <c r="B125">
        <v>11.26</v>
      </c>
      <c r="C125">
        <v>11.57</v>
      </c>
      <c r="D125">
        <v>11.91</v>
      </c>
      <c r="E125">
        <v>12.12</v>
      </c>
      <c r="F125">
        <v>12.2</v>
      </c>
      <c r="G125">
        <v>12.36</v>
      </c>
      <c r="H125">
        <v>12.64</v>
      </c>
      <c r="I125">
        <v>12.79</v>
      </c>
      <c r="J125">
        <v>12</v>
      </c>
      <c r="K125">
        <v>12.53097345031931</v>
      </c>
      <c r="L125">
        <v>12.936444084849176</v>
      </c>
      <c r="M125">
        <v>13.341914719348784</v>
      </c>
      <c r="N125">
        <v>13.795655667561395</v>
      </c>
      <c r="O125">
        <v>14.268704741237839</v>
      </c>
      <c r="P125">
        <v>14.790024128617974</v>
      </c>
      <c r="Q125">
        <v>15.340305704203608</v>
      </c>
      <c r="R125">
        <v>15.890587279754614</v>
      </c>
      <c r="S125">
        <v>16.508447294489393</v>
      </c>
      <c r="T125">
        <v>17.155269497422296</v>
      </c>
      <c r="U125">
        <v>17.763475449341964</v>
      </c>
      <c r="V125">
        <v>18.419951714946997</v>
      </c>
      <c r="W125">
        <v>19.115044231490334</v>
      </c>
      <c r="X125">
        <v>19.800482685255876</v>
      </c>
      <c r="Y125">
        <v>20.45695895076134</v>
      </c>
      <c r="Z125">
        <v>21.084473028010532</v>
      </c>
      <c r="AA125">
        <v>21.798873669902882</v>
      </c>
      <c r="AB125">
        <v>22.580852750949852</v>
      </c>
      <c r="AC125">
        <v>23.411102145665787</v>
      </c>
      <c r="AD125">
        <v>24.299275916787984</v>
      </c>
      <c r="AE125">
        <v>25.264682189792484</v>
      </c>
      <c r="AF125">
        <v>26.268704713717415</v>
      </c>
      <c r="AG125">
        <v>27.359613802256224</v>
      </c>
      <c r="AH125">
        <v>28.489139141711082</v>
      </c>
      <c r="AI125">
        <v>29.686242920295815</v>
      </c>
      <c r="AJ125">
        <v>30.854384510627639</v>
      </c>
      <c r="AK125">
        <v>32.099758602824444</v>
      </c>
      <c r="AL125">
        <v>33.393403008670809</v>
      </c>
      <c r="AM125">
        <v>34.764279916376736</v>
      </c>
      <c r="AN125">
        <v>36.173773074992027</v>
      </c>
    </row>
    <row r="126" spans="1:40" x14ac:dyDescent="0.25">
      <c r="A126" s="3" t="s">
        <v>36</v>
      </c>
      <c r="B126">
        <v>1.1399999999999999</v>
      </c>
      <c r="C126">
        <v>1.1599999999999999</v>
      </c>
      <c r="D126">
        <v>1.1399999999999999</v>
      </c>
      <c r="E126">
        <v>1.1299999999999999</v>
      </c>
      <c r="F126">
        <v>1.1499999999999999</v>
      </c>
      <c r="G126">
        <v>1.1499999999999999</v>
      </c>
      <c r="H126">
        <v>1.1200000000000001</v>
      </c>
      <c r="I126">
        <v>1.0900000000000001</v>
      </c>
      <c r="J126">
        <v>0.99</v>
      </c>
      <c r="K126">
        <v>0.99980197920811664</v>
      </c>
      <c r="L126">
        <v>1.0292079187640339</v>
      </c>
      <c r="M126">
        <v>1.0684158384613154</v>
      </c>
      <c r="N126">
        <v>1.1174257382830033</v>
      </c>
      <c r="O126">
        <v>1.1664356380617003</v>
      </c>
      <c r="P126">
        <v>1.2252475179427544</v>
      </c>
      <c r="Q126">
        <v>1.2938613779124597</v>
      </c>
      <c r="R126">
        <v>1.382079198086734</v>
      </c>
      <c r="S126">
        <v>1.4800989983197652</v>
      </c>
      <c r="T126">
        <v>1.5781187984878831</v>
      </c>
      <c r="U126">
        <v>1.6957425588126054</v>
      </c>
      <c r="V126">
        <v>1.8133663190693374</v>
      </c>
      <c r="W126">
        <v>1.9407920593602679</v>
      </c>
      <c r="X126">
        <v>2.0780197796796709</v>
      </c>
      <c r="Y126">
        <v>2.2250494800225482</v>
      </c>
      <c r="Z126">
        <v>2.3916831404684293</v>
      </c>
      <c r="AA126">
        <v>2.5681187809258881</v>
      </c>
      <c r="AB126">
        <v>2.7641583814682615</v>
      </c>
      <c r="AC126">
        <v>2.96999996201377</v>
      </c>
      <c r="AD126">
        <v>3.1758415424913444</v>
      </c>
      <c r="AE126">
        <v>3.4012870830381723</v>
      </c>
      <c r="AF126">
        <v>3.646336583647166</v>
      </c>
      <c r="AG126">
        <v>3.9109900443121512</v>
      </c>
      <c r="AH126">
        <v>4.1952474650277596</v>
      </c>
      <c r="AI126">
        <v>4.4893068657331385</v>
      </c>
      <c r="AJ126">
        <v>4.8029702264824037</v>
      </c>
      <c r="AK126">
        <v>5.1362375472717465</v>
      </c>
      <c r="AL126">
        <v>5.4989108081480129</v>
      </c>
      <c r="AM126">
        <v>5.881188029056486</v>
      </c>
      <c r="AN126">
        <v>6.2928711900416285</v>
      </c>
    </row>
    <row r="127" spans="1:40" x14ac:dyDescent="0.25">
      <c r="A127" s="3" t="s">
        <v>37</v>
      </c>
      <c r="B127">
        <v>27.52</v>
      </c>
      <c r="C127">
        <v>27.49</v>
      </c>
      <c r="D127">
        <v>27.45</v>
      </c>
      <c r="E127">
        <v>27.42</v>
      </c>
      <c r="F127">
        <v>27.39</v>
      </c>
      <c r="G127">
        <v>27.36</v>
      </c>
      <c r="H127">
        <v>27.33</v>
      </c>
      <c r="I127">
        <v>27.24</v>
      </c>
      <c r="J127">
        <v>27.16</v>
      </c>
      <c r="K127">
        <v>27.12836956416427</v>
      </c>
      <c r="L127">
        <v>27.128369563109924</v>
      </c>
      <c r="M127">
        <v>27.117826083795933</v>
      </c>
      <c r="N127">
        <v>27.117826082741587</v>
      </c>
      <c r="O127">
        <v>26.527391299193273</v>
      </c>
      <c r="P127">
        <v>26.527391298138923</v>
      </c>
      <c r="Q127">
        <v>26.516847818826591</v>
      </c>
      <c r="R127">
        <v>26.516847817772245</v>
      </c>
      <c r="S127">
        <v>26.537934773232188</v>
      </c>
      <c r="T127">
        <v>26.506304337407663</v>
      </c>
      <c r="U127">
        <v>25.778804336668198</v>
      </c>
      <c r="V127">
        <v>25.051304335958491</v>
      </c>
      <c r="W127">
        <v>25.662826073719142</v>
      </c>
      <c r="X127">
        <v>25.082934768639912</v>
      </c>
      <c r="Y127">
        <v>24.513586941839613</v>
      </c>
      <c r="Z127">
        <v>23.817717376014585</v>
      </c>
      <c r="AA127">
        <v>22.700108680074987</v>
      </c>
      <c r="AB127">
        <v>21.392717375630689</v>
      </c>
      <c r="AC127">
        <v>20.095869549503451</v>
      </c>
      <c r="AD127">
        <v>18.788478245192184</v>
      </c>
      <c r="AE127">
        <v>19.062608678676323</v>
      </c>
      <c r="AF127">
        <v>19.347282590396201</v>
      </c>
      <c r="AG127">
        <v>19.621413023850234</v>
      </c>
      <c r="AH127">
        <v>19.906086935539296</v>
      </c>
      <c r="AI127">
        <v>20.19076084721328</v>
      </c>
      <c r="AJ127">
        <v>20.475434758872403</v>
      </c>
      <c r="AK127">
        <v>20.749565192268761</v>
      </c>
      <c r="AL127">
        <v>21.034239103898756</v>
      </c>
      <c r="AM127">
        <v>21.318913015514482</v>
      </c>
      <c r="AN127">
        <v>21.603586927116126</v>
      </c>
    </row>
    <row r="128" spans="1:40" x14ac:dyDescent="0.25">
      <c r="A128" s="3" t="s">
        <v>38</v>
      </c>
      <c r="B128">
        <v>66.42</v>
      </c>
      <c r="C128">
        <v>65.98</v>
      </c>
      <c r="D128">
        <v>65.72</v>
      </c>
      <c r="E128">
        <v>65.459999999999994</v>
      </c>
      <c r="F128">
        <v>64.28</v>
      </c>
      <c r="G128">
        <v>63.85</v>
      </c>
      <c r="H128">
        <v>63.13</v>
      </c>
      <c r="I128">
        <v>62.24</v>
      </c>
      <c r="J128">
        <v>61.58</v>
      </c>
      <c r="K128">
        <v>61.25417989313442</v>
      </c>
      <c r="L128">
        <v>61.001932068231298</v>
      </c>
      <c r="M128">
        <v>61.306731520996301</v>
      </c>
      <c r="N128">
        <v>61.769185863658223</v>
      </c>
      <c r="O128">
        <v>62.610011942070962</v>
      </c>
      <c r="P128">
        <v>62.179088575301975</v>
      </c>
      <c r="Q128">
        <v>62.010923358363861</v>
      </c>
      <c r="R128">
        <v>62.45235704900896</v>
      </c>
      <c r="S128">
        <v>62.799197805713334</v>
      </c>
      <c r="T128">
        <v>63.209100518366384</v>
      </c>
      <c r="U128">
        <v>62.925321715524937</v>
      </c>
      <c r="V128">
        <v>62.862259758521539</v>
      </c>
      <c r="W128">
        <v>62.052964656095284</v>
      </c>
      <c r="X128">
        <v>61.811227157234974</v>
      </c>
      <c r="Y128">
        <v>60.66560162310725</v>
      </c>
      <c r="Z128">
        <v>59.530486414990719</v>
      </c>
      <c r="AA128">
        <v>58.910377180461147</v>
      </c>
      <c r="AB128">
        <v>57.743730994411983</v>
      </c>
      <c r="AC128">
        <v>56.577084808384058</v>
      </c>
      <c r="AD128">
        <v>55.389417970396636</v>
      </c>
      <c r="AE128">
        <v>54.769308735912702</v>
      </c>
      <c r="AF128">
        <v>54.159709827430859</v>
      </c>
      <c r="AG128">
        <v>53.550110918960847</v>
      </c>
      <c r="AH128">
        <v>52.951022336492571</v>
      </c>
      <c r="AI128">
        <v>52.341423428046618</v>
      </c>
      <c r="AJ128">
        <v>51.742334845602265</v>
      </c>
      <c r="AK128">
        <v>51.143246263170084</v>
      </c>
      <c r="AL128">
        <v>50.533647354761293</v>
      </c>
      <c r="AM128">
        <v>49.934558772353881</v>
      </c>
      <c r="AN128">
        <v>49.335470189959082</v>
      </c>
    </row>
    <row r="129" spans="1:62" x14ac:dyDescent="0.25">
      <c r="A129" t="s">
        <v>72</v>
      </c>
      <c r="B129">
        <f>SUM(B111:B128)</f>
        <v>2893.5800000000004</v>
      </c>
      <c r="C129">
        <f t="shared" ref="C129" si="173">SUM(C111:C128)</f>
        <v>2965.2699999999995</v>
      </c>
      <c r="D129">
        <f t="shared" ref="D129" si="174">SUM(D111:D128)</f>
        <v>3020.9599999999996</v>
      </c>
      <c r="E129">
        <f t="shared" ref="E129" si="175">SUM(E111:E128)</f>
        <v>3059.4500000000003</v>
      </c>
      <c r="F129">
        <f t="shared" ref="F129" si="176">SUM(F111:F128)</f>
        <v>3083.9200000000005</v>
      </c>
      <c r="G129">
        <f t="shared" ref="G129" si="177">SUM(G111:G128)</f>
        <v>3120.5399999999995</v>
      </c>
      <c r="H129">
        <f t="shared" ref="H129" si="178">SUM(H111:H128)</f>
        <v>3152.2400000000002</v>
      </c>
      <c r="I129">
        <f t="shared" ref="I129" si="179">SUM(I111:I128)</f>
        <v>3179.29</v>
      </c>
      <c r="J129">
        <f t="shared" ref="J129" si="180">SUM(J111:J128)</f>
        <v>2948.9199999999992</v>
      </c>
      <c r="K129">
        <f t="shared" ref="K129" si="181">SUM(K111:K128)</f>
        <v>3066.3201349646861</v>
      </c>
      <c r="L129">
        <f t="shared" ref="L129" si="182">SUM(L111:L128)</f>
        <v>3168.8584092559568</v>
      </c>
      <c r="M129">
        <f t="shared" ref="M129" si="183">SUM(M111:M128)</f>
        <v>3279.6439559197274</v>
      </c>
      <c r="N129">
        <f t="shared" ref="N129" si="184">SUM(N111:N128)</f>
        <v>3406.7754771453078</v>
      </c>
      <c r="O129">
        <f t="shared" ref="O129" si="185">SUM(O111:O128)</f>
        <v>3542.5134634741785</v>
      </c>
      <c r="P129">
        <f t="shared" ref="P129" si="186">SUM(P111:P128)</f>
        <v>3698.5922523926524</v>
      </c>
      <c r="Q129">
        <f t="shared" ref="Q129" si="187">SUM(Q111:Q128)</f>
        <v>3866.061040181226</v>
      </c>
      <c r="R129">
        <f t="shared" ref="R129" si="188">SUM(R111:R128)</f>
        <v>4047.2575792168536</v>
      </c>
      <c r="S129">
        <f t="shared" ref="S129" si="189">SUM(S111:S128)</f>
        <v>4252.9867357313888</v>
      </c>
      <c r="T129">
        <f t="shared" ref="T129" si="190">SUM(T111:T128)</f>
        <v>4470.1671743814259</v>
      </c>
      <c r="U129">
        <f t="shared" ref="U129" si="191">SUM(U111:U128)</f>
        <v>4692.6065618792227</v>
      </c>
      <c r="V129">
        <f t="shared" ref="V129" si="192">SUM(V111:V128)</f>
        <v>4928.5832236449414</v>
      </c>
      <c r="W129">
        <f t="shared" ref="W129" si="193">SUM(W111:W128)</f>
        <v>5177.666220973535</v>
      </c>
      <c r="X129">
        <f t="shared" ref="X129" si="194">SUM(X111:X128)</f>
        <v>5441.1847293518413</v>
      </c>
      <c r="Y129">
        <f t="shared" ref="Y129" si="195">SUM(Y111:Y128)</f>
        <v>5702.4488176996365</v>
      </c>
      <c r="Z129">
        <f t="shared" ref="Z129" si="196">SUM(Z111:Z128)</f>
        <v>5976.1244991132244</v>
      </c>
      <c r="AA129">
        <f t="shared" ref="AA129" si="197">SUM(AA111:AA128)</f>
        <v>6282.0830906195679</v>
      </c>
      <c r="AB129">
        <f t="shared" ref="AB129" si="198">SUM(AB111:AB128)</f>
        <v>6607.059104863325</v>
      </c>
      <c r="AC129">
        <f t="shared" ref="AC129" si="199">SUM(AC111:AC128)</f>
        <v>6954.0963235486188</v>
      </c>
      <c r="AD129">
        <f t="shared" ref="AD129" si="200">SUM(AD111:AD128)</f>
        <v>7318.5663285636874</v>
      </c>
      <c r="AE129">
        <f t="shared" ref="AE129" si="201">SUM(AE111:AE128)</f>
        <v>7702.4011553720284</v>
      </c>
      <c r="AF129">
        <f t="shared" ref="AF129" si="202">SUM(AF111:AF128)</f>
        <v>8109.6742160179629</v>
      </c>
      <c r="AG129">
        <f t="shared" ref="AG129" si="203">SUM(AG111:AG128)</f>
        <v>8542.3014584026914</v>
      </c>
      <c r="AH129">
        <f t="shared" ref="AH129" si="204">SUM(AH111:AH128)</f>
        <v>9001.7693057198649</v>
      </c>
      <c r="AI129">
        <f t="shared" ref="AI129" si="205">SUM(AI111:AI128)</f>
        <v>9482.7115836289122</v>
      </c>
      <c r="AJ129">
        <f t="shared" ref="AJ129" si="206">SUM(AJ111:AJ128)</f>
        <v>9973.9690598553916</v>
      </c>
      <c r="AK129">
        <f t="shared" ref="AK129" si="207">SUM(AK111:AK128)</f>
        <v>10492.141578554751</v>
      </c>
      <c r="AL129">
        <f t="shared" ref="AL129" si="208">SUM(AL111:AL128)</f>
        <v>11038.753930473713</v>
      </c>
      <c r="AM129">
        <f t="shared" ref="AM129" si="209">SUM(AM111:AM128)</f>
        <v>11615.828149862718</v>
      </c>
      <c r="AN129">
        <f t="shared" ref="AN129" si="210">SUM(AN111:AN128)</f>
        <v>12227.805598253761</v>
      </c>
    </row>
    <row r="130" spans="1:62" x14ac:dyDescent="0.25">
      <c r="A130" t="s">
        <v>73</v>
      </c>
      <c r="C130" s="1">
        <f>C129/B129-1</f>
        <v>2.4775537569377448E-2</v>
      </c>
      <c r="D130" s="1">
        <f t="shared" ref="D130:AN130" si="211">D129/C129-1</f>
        <v>1.8780751837100818E-2</v>
      </c>
      <c r="E130" s="1">
        <f t="shared" si="211"/>
        <v>1.2740982998782124E-2</v>
      </c>
      <c r="F130" s="1">
        <f t="shared" si="211"/>
        <v>7.9981696056481422E-3</v>
      </c>
      <c r="G130" s="1">
        <f t="shared" si="211"/>
        <v>1.1874497392928118E-2</v>
      </c>
      <c r="H130" s="1">
        <f t="shared" si="211"/>
        <v>1.0158498208643563E-2</v>
      </c>
      <c r="I130" s="1">
        <f t="shared" si="211"/>
        <v>8.581199401060724E-3</v>
      </c>
      <c r="J130" s="1">
        <f t="shared" si="211"/>
        <v>-7.2459574307471408E-2</v>
      </c>
      <c r="K130" s="1">
        <f t="shared" si="211"/>
        <v>3.9811230879334358E-2</v>
      </c>
      <c r="L130" s="1">
        <f t="shared" si="211"/>
        <v>3.3440172512336774E-2</v>
      </c>
      <c r="M130" s="1">
        <f t="shared" si="211"/>
        <v>3.4960712141689942E-2</v>
      </c>
      <c r="N130" s="1">
        <f t="shared" si="211"/>
        <v>3.8763817943136436E-2</v>
      </c>
      <c r="O130" s="1">
        <f t="shared" si="211"/>
        <v>3.9843537456307976E-2</v>
      </c>
      <c r="P130" s="1">
        <f t="shared" si="211"/>
        <v>4.4058770849499052E-2</v>
      </c>
      <c r="Q130" s="1">
        <f t="shared" si="211"/>
        <v>4.5279061967492318E-2</v>
      </c>
      <c r="R130" s="1">
        <f t="shared" si="211"/>
        <v>4.686851478866827E-2</v>
      </c>
      <c r="S130" s="1">
        <f t="shared" si="211"/>
        <v>5.0831742850017347E-2</v>
      </c>
      <c r="T130" s="1">
        <f t="shared" si="211"/>
        <v>5.1065392897983841E-2</v>
      </c>
      <c r="U130" s="1">
        <f t="shared" si="211"/>
        <v>4.976086549348735E-2</v>
      </c>
      <c r="V130" s="1">
        <f t="shared" si="211"/>
        <v>5.0286905295384265E-2</v>
      </c>
      <c r="W130" s="1">
        <f t="shared" si="211"/>
        <v>5.0538458219314464E-2</v>
      </c>
      <c r="X130" s="1">
        <f t="shared" si="211"/>
        <v>5.0895229072676296E-2</v>
      </c>
      <c r="Y130" s="1">
        <f t="shared" si="211"/>
        <v>4.8016029843360508E-2</v>
      </c>
      <c r="Z130" s="1">
        <f t="shared" si="211"/>
        <v>4.7992658972078051E-2</v>
      </c>
      <c r="AA130" s="1">
        <f t="shared" si="211"/>
        <v>5.1196823552076776E-2</v>
      </c>
      <c r="AB130" s="1">
        <f t="shared" si="211"/>
        <v>5.17306138037259E-2</v>
      </c>
      <c r="AC130" s="1">
        <f t="shared" si="211"/>
        <v>5.2525217827981363E-2</v>
      </c>
      <c r="AD130" s="1">
        <f t="shared" si="211"/>
        <v>5.2410836441949549E-2</v>
      </c>
      <c r="AE130" s="1">
        <f t="shared" si="211"/>
        <v>5.2446723794832506E-2</v>
      </c>
      <c r="AF130" s="1">
        <f t="shared" si="211"/>
        <v>5.2876116477247104E-2</v>
      </c>
      <c r="AG130" s="1">
        <f t="shared" si="211"/>
        <v>5.3347055733782511E-2</v>
      </c>
      <c r="AH130" s="1">
        <f t="shared" si="211"/>
        <v>5.3787360415057162E-2</v>
      </c>
      <c r="AI130" s="1">
        <f t="shared" si="211"/>
        <v>5.3427527586543455E-2</v>
      </c>
      <c r="AJ130" s="1">
        <f t="shared" si="211"/>
        <v>5.1805590826424996E-2</v>
      </c>
      <c r="AK130" s="1">
        <f t="shared" si="211"/>
        <v>5.1952489083304965E-2</v>
      </c>
      <c r="AL130" s="1">
        <f t="shared" si="211"/>
        <v>5.209730995588191E-2</v>
      </c>
      <c r="AM130" s="1">
        <f t="shared" si="211"/>
        <v>5.2277115970121191E-2</v>
      </c>
      <c r="AN130" s="1">
        <f t="shared" si="211"/>
        <v>5.2684788419349537E-2</v>
      </c>
    </row>
    <row r="131" spans="1:62" x14ac:dyDescent="0.25">
      <c r="A131" t="s">
        <v>78</v>
      </c>
      <c r="C131" s="1">
        <f>C111/C129</f>
        <v>0.63554077706245982</v>
      </c>
      <c r="D131" s="1">
        <f t="shared" ref="D131:AN131" si="212">D111/D129</f>
        <v>0.63816799957629378</v>
      </c>
      <c r="E131" s="1">
        <f t="shared" si="212"/>
        <v>0.63979146578633417</v>
      </c>
      <c r="F131" s="1">
        <f t="shared" si="212"/>
        <v>0.64292199538250006</v>
      </c>
      <c r="G131" s="1">
        <f t="shared" si="212"/>
        <v>0.64328609791895008</v>
      </c>
      <c r="H131" s="1">
        <f t="shared" si="212"/>
        <v>0.64608024769687578</v>
      </c>
      <c r="I131" s="1">
        <f t="shared" si="212"/>
        <v>0.65144733572590108</v>
      </c>
      <c r="J131" s="1">
        <f t="shared" si="212"/>
        <v>0.64959374957611615</v>
      </c>
      <c r="K131" s="1">
        <f t="shared" si="212"/>
        <v>0.65057145094506752</v>
      </c>
      <c r="L131" s="1">
        <f t="shared" si="212"/>
        <v>0.65224113970649311</v>
      </c>
      <c r="M131" s="1">
        <f t="shared" si="212"/>
        <v>0.65398093286773529</v>
      </c>
      <c r="N131" s="1">
        <f t="shared" si="212"/>
        <v>0.6559775916398406</v>
      </c>
      <c r="O131" s="1">
        <f t="shared" si="212"/>
        <v>0.65859589893506321</v>
      </c>
      <c r="P131" s="1">
        <f t="shared" si="212"/>
        <v>0.66063485161235391</v>
      </c>
      <c r="Q131" s="1">
        <f t="shared" si="212"/>
        <v>0.66291509233269297</v>
      </c>
      <c r="R131" s="1">
        <f t="shared" si="212"/>
        <v>0.66527060197240806</v>
      </c>
      <c r="S131" s="1">
        <f t="shared" si="212"/>
        <v>0.66758439084725851</v>
      </c>
      <c r="T131" s="1">
        <f t="shared" si="212"/>
        <v>0.67013412183116006</v>
      </c>
      <c r="U131" s="1">
        <f t="shared" si="212"/>
        <v>0.67258196993849639</v>
      </c>
      <c r="V131" s="1">
        <f t="shared" si="212"/>
        <v>0.67522638116394529</v>
      </c>
      <c r="W131" s="1">
        <f t="shared" si="212"/>
        <v>0.67787077086500469</v>
      </c>
      <c r="X131" s="1">
        <f t="shared" si="212"/>
        <v>0.68052880548055039</v>
      </c>
      <c r="Y131" s="1">
        <f t="shared" si="212"/>
        <v>0.6831451467082994</v>
      </c>
      <c r="Z131" s="1">
        <f t="shared" si="212"/>
        <v>0.6855984987956345</v>
      </c>
      <c r="AA131" s="1">
        <f t="shared" si="212"/>
        <v>0.68802208467320247</v>
      </c>
      <c r="AB131" s="1">
        <f t="shared" si="212"/>
        <v>0.6907610214667862</v>
      </c>
      <c r="AC131" s="1">
        <f t="shared" si="212"/>
        <v>0.69323918387832129</v>
      </c>
      <c r="AD131" s="1">
        <f t="shared" si="212"/>
        <v>0.69559930991285646</v>
      </c>
      <c r="AE131" s="1">
        <f t="shared" si="212"/>
        <v>0.69764449325251598</v>
      </c>
      <c r="AF131" s="1">
        <f t="shared" si="212"/>
        <v>0.69963768486305167</v>
      </c>
      <c r="AG131" s="1">
        <f t="shared" si="212"/>
        <v>0.70146122559924229</v>
      </c>
      <c r="AH131" s="1">
        <f t="shared" si="212"/>
        <v>0.70316487478598821</v>
      </c>
      <c r="AI131" s="1">
        <f t="shared" si="212"/>
        <v>0.70476806643324652</v>
      </c>
      <c r="AJ131" s="1">
        <f t="shared" si="212"/>
        <v>0.70631781058147081</v>
      </c>
      <c r="AK131" s="1">
        <f t="shared" si="212"/>
        <v>0.70770436876770226</v>
      </c>
      <c r="AL131" s="1">
        <f t="shared" si="212"/>
        <v>0.70894688022551711</v>
      </c>
      <c r="AM131" s="1">
        <f t="shared" si="212"/>
        <v>0.71009359287573681</v>
      </c>
      <c r="AN131" s="1">
        <f t="shared" si="212"/>
        <v>0.7111442161666317</v>
      </c>
    </row>
    <row r="132" spans="1:62" x14ac:dyDescent="0.25">
      <c r="A132" t="s">
        <v>75</v>
      </c>
      <c r="C132" s="1">
        <f>C128/B128-1</f>
        <v>-6.6245106895512773E-3</v>
      </c>
      <c r="D132" s="1">
        <f t="shared" ref="D132:AN132" si="213">D128/C128-1</f>
        <v>-3.9405880569870488E-3</v>
      </c>
      <c r="E132" s="1">
        <f t="shared" si="213"/>
        <v>-3.9561777236762907E-3</v>
      </c>
      <c r="F132" s="1">
        <f t="shared" si="213"/>
        <v>-1.8026275588145291E-2</v>
      </c>
      <c r="G132" s="1">
        <f t="shared" si="213"/>
        <v>-6.6894835096452665E-3</v>
      </c>
      <c r="H132" s="1">
        <f t="shared" si="213"/>
        <v>-1.1276429130775201E-2</v>
      </c>
      <c r="I132" s="1">
        <f t="shared" si="213"/>
        <v>-1.4097893236179271E-2</v>
      </c>
      <c r="J132" s="1">
        <f t="shared" si="213"/>
        <v>-1.0604113110539881E-2</v>
      </c>
      <c r="K132" s="1">
        <f t="shared" si="213"/>
        <v>-5.2910053079827657E-3</v>
      </c>
      <c r="L132" s="1">
        <f t="shared" si="213"/>
        <v>-4.1180508063809462E-3</v>
      </c>
      <c r="M132" s="1">
        <f t="shared" si="213"/>
        <v>4.9965540833047939E-3</v>
      </c>
      <c r="N132" s="1">
        <f t="shared" si="213"/>
        <v>7.5432881706234411E-3</v>
      </c>
      <c r="O132" s="1">
        <f t="shared" si="213"/>
        <v>1.3612387255170777E-2</v>
      </c>
      <c r="P132" s="1">
        <f t="shared" si="213"/>
        <v>-6.8826590732435911E-3</v>
      </c>
      <c r="Q132" s="1">
        <f t="shared" si="213"/>
        <v>-2.7045301047546877E-3</v>
      </c>
      <c r="R132" s="1">
        <f t="shared" si="213"/>
        <v>7.11864405072693E-3</v>
      </c>
      <c r="S132" s="1">
        <f t="shared" si="213"/>
        <v>5.5536856108120425E-3</v>
      </c>
      <c r="T132" s="1">
        <f t="shared" si="213"/>
        <v>6.5271966358741995E-3</v>
      </c>
      <c r="U132" s="1">
        <f t="shared" si="213"/>
        <v>-4.4895244595196671E-3</v>
      </c>
      <c r="V132" s="1">
        <f t="shared" si="213"/>
        <v>-1.0021713879905247E-3</v>
      </c>
      <c r="W132" s="1">
        <f t="shared" si="213"/>
        <v>-1.2874101337353672E-2</v>
      </c>
      <c r="X132" s="1">
        <f t="shared" si="213"/>
        <v>-3.8956639735111542E-3</v>
      </c>
      <c r="Y132" s="1">
        <f t="shared" si="213"/>
        <v>-1.853426289715121E-2</v>
      </c>
      <c r="Z132" s="1">
        <f t="shared" si="213"/>
        <v>-1.8711018728019502E-2</v>
      </c>
      <c r="AA132" s="1">
        <f t="shared" si="213"/>
        <v>-1.0416666684138098E-2</v>
      </c>
      <c r="AB132" s="1">
        <f t="shared" si="213"/>
        <v>-1.9803746672260369E-2</v>
      </c>
      <c r="AC132" s="1">
        <f t="shared" si="213"/>
        <v>-2.0203858772839367E-2</v>
      </c>
      <c r="AD132" s="1">
        <f t="shared" si="213"/>
        <v>-2.0992011907467911E-2</v>
      </c>
      <c r="AE132" s="1">
        <f t="shared" si="213"/>
        <v>-1.1195445939066517E-2</v>
      </c>
      <c r="AF132" s="1">
        <f t="shared" si="213"/>
        <v>-1.1130301304718149E-2</v>
      </c>
      <c r="AG132" s="1">
        <f t="shared" si="213"/>
        <v>-1.1255579293396822E-2</v>
      </c>
      <c r="AH132" s="1">
        <f t="shared" si="213"/>
        <v>-1.1187438684765683E-2</v>
      </c>
      <c r="AI132" s="1">
        <f t="shared" si="213"/>
        <v>-1.1512504981907257E-2</v>
      </c>
      <c r="AJ132" s="1">
        <f t="shared" si="213"/>
        <v>-1.144578315238054E-2</v>
      </c>
      <c r="AK132" s="1">
        <f t="shared" si="213"/>
        <v>-1.1578305931107424E-2</v>
      </c>
      <c r="AL132" s="1">
        <f t="shared" si="213"/>
        <v>-1.191944103962328E-2</v>
      </c>
      <c r="AM132" s="1">
        <f t="shared" si="213"/>
        <v>-1.1855241285111062E-2</v>
      </c>
      <c r="AN132" s="1">
        <f t="shared" si="213"/>
        <v>-1.1997474236750127E-2</v>
      </c>
    </row>
    <row r="133" spans="1:62" x14ac:dyDescent="0.25">
      <c r="A133" t="s">
        <v>76</v>
      </c>
      <c r="C133" s="1">
        <f>C112/B112-1</f>
        <v>4.2251503867086759E-2</v>
      </c>
      <c r="D133" s="1">
        <f t="shared" ref="D133:AN133" si="214">D112/C112-1</f>
        <v>3.7652878933626566E-2</v>
      </c>
      <c r="E133" s="1">
        <f t="shared" si="214"/>
        <v>-1.5229770891272754E-2</v>
      </c>
      <c r="F133" s="1">
        <f t="shared" si="214"/>
        <v>-1.0892953200645539E-2</v>
      </c>
      <c r="G133" s="1">
        <f t="shared" si="214"/>
        <v>3.3310673011556879E-2</v>
      </c>
      <c r="H133" s="1">
        <f t="shared" si="214"/>
        <v>-1.6052631578947318E-2</v>
      </c>
      <c r="I133" s="1">
        <f t="shared" si="214"/>
        <v>-1.6715699384862281E-2</v>
      </c>
      <c r="J133" s="1">
        <f t="shared" si="214"/>
        <v>-3.4951720386237062E-2</v>
      </c>
      <c r="K133" s="1">
        <f t="shared" si="214"/>
        <v>4.2409172523243166E-2</v>
      </c>
      <c r="L133" s="1">
        <f t="shared" si="214"/>
        <v>3.4852902186127022E-2</v>
      </c>
      <c r="M133" s="1">
        <f t="shared" si="214"/>
        <v>3.1374055563690995E-2</v>
      </c>
      <c r="N133" s="1">
        <f t="shared" si="214"/>
        <v>3.4144524447055513E-2</v>
      </c>
      <c r="O133" s="1">
        <f t="shared" si="214"/>
        <v>3.6258854591952661E-2</v>
      </c>
      <c r="P133" s="1">
        <f t="shared" si="214"/>
        <v>3.719151893132655E-2</v>
      </c>
      <c r="Q133" s="1">
        <f t="shared" si="214"/>
        <v>3.6974977647040053E-2</v>
      </c>
      <c r="R133" s="1">
        <f t="shared" si="214"/>
        <v>3.5548852730415303E-2</v>
      </c>
      <c r="S133" s="1">
        <f t="shared" si="214"/>
        <v>3.8801622791648782E-2</v>
      </c>
      <c r="T133" s="1">
        <f t="shared" si="214"/>
        <v>3.745243339638038E-2</v>
      </c>
      <c r="U133" s="1">
        <f t="shared" si="214"/>
        <v>3.5810810800812609E-2</v>
      </c>
      <c r="V133" s="1">
        <f t="shared" si="214"/>
        <v>3.531823687414648E-2</v>
      </c>
      <c r="W133" s="1">
        <f t="shared" si="214"/>
        <v>3.4113411331826216E-2</v>
      </c>
      <c r="X133" s="1">
        <f t="shared" si="214"/>
        <v>3.5164069970970768E-2</v>
      </c>
      <c r="Y133" s="1">
        <f t="shared" si="214"/>
        <v>3.1447069696195706E-2</v>
      </c>
      <c r="Z133" s="1">
        <f t="shared" si="214"/>
        <v>3.179261432272118E-2</v>
      </c>
      <c r="AA133" s="1">
        <f t="shared" si="214"/>
        <v>3.6580548304996574E-2</v>
      </c>
      <c r="AB133" s="1">
        <f t="shared" si="214"/>
        <v>3.833841462623222E-2</v>
      </c>
      <c r="AC133" s="1">
        <f t="shared" si="214"/>
        <v>3.9125009168031299E-2</v>
      </c>
      <c r="AD133" s="1">
        <f t="shared" si="214"/>
        <v>4.0053687474992605E-2</v>
      </c>
      <c r="AE133" s="1">
        <f t="shared" si="214"/>
        <v>4.0345038368265085E-2</v>
      </c>
      <c r="AF133" s="1">
        <f t="shared" si="214"/>
        <v>4.1391917470513961E-2</v>
      </c>
      <c r="AG133" s="1">
        <f t="shared" si="214"/>
        <v>4.2818632054148376E-2</v>
      </c>
      <c r="AH133" s="1">
        <f t="shared" si="214"/>
        <v>4.388601658624558E-2</v>
      </c>
      <c r="AI133" s="1">
        <f t="shared" si="214"/>
        <v>4.3826307296453537E-2</v>
      </c>
      <c r="AJ133" s="1">
        <f t="shared" si="214"/>
        <v>4.1986206890803013E-2</v>
      </c>
      <c r="AK133" s="1">
        <f t="shared" si="214"/>
        <v>4.3418405162324314E-2</v>
      </c>
      <c r="AL133" s="1">
        <f t="shared" si="214"/>
        <v>4.4402719978461347E-2</v>
      </c>
      <c r="AM133" s="1">
        <f t="shared" si="214"/>
        <v>4.4750012142049878E-2</v>
      </c>
      <c r="AN133" s="1">
        <f t="shared" si="214"/>
        <v>4.5065575290461179E-2</v>
      </c>
    </row>
    <row r="134" spans="1:62" x14ac:dyDescent="0.25">
      <c r="A134" t="s">
        <v>82</v>
      </c>
      <c r="C134" s="16">
        <f t="shared" ref="C134" si="215">C133/C130</f>
        <v>1.7053718309349459</v>
      </c>
      <c r="D134" s="16">
        <f t="shared" ref="D134" si="216">D133/D130</f>
        <v>2.0048653674899435</v>
      </c>
      <c r="E134" s="16">
        <f t="shared" ref="E134" si="217">E133/E130</f>
        <v>-1.1953371959391614</v>
      </c>
      <c r="F134" s="16">
        <f t="shared" ref="F134" si="218">F133/F130</f>
        <v>-1.3619307588767759</v>
      </c>
      <c r="G134" s="16">
        <f t="shared" ref="G134" si="219">G133/G130</f>
        <v>2.8052280369689684</v>
      </c>
      <c r="H134" s="16">
        <f t="shared" ref="H134" si="220">H133/H130</f>
        <v>-1.580217001494238</v>
      </c>
      <c r="I134" s="16">
        <f t="shared" ref="I134" si="221">I133/I130</f>
        <v>-1.9479444077241754</v>
      </c>
      <c r="J134" s="16">
        <f t="shared" ref="J134" si="222">J133/J130</f>
        <v>0.48236165779727941</v>
      </c>
      <c r="K134" s="16">
        <f t="shared" ref="K134" si="223">K133/K130</f>
        <v>1.06525650140743</v>
      </c>
      <c r="L134" s="16">
        <f t="shared" ref="L134" si="224">L133/L130</f>
        <v>1.0422464828274753</v>
      </c>
      <c r="M134" s="16">
        <f t="shared" ref="M134" si="225">M133/M130</f>
        <v>0.89740893825438028</v>
      </c>
      <c r="N134" s="16">
        <f t="shared" ref="N134" si="226">N133/N130</f>
        <v>0.88083491923171564</v>
      </c>
      <c r="O134" s="16">
        <f t="shared" ref="O134" si="227">O133/O130</f>
        <v>0.91003100896133426</v>
      </c>
      <c r="P134" s="16">
        <f t="shared" ref="P134" si="228">P133/P130</f>
        <v>0.84413428278263958</v>
      </c>
      <c r="Q134" s="16">
        <f t="shared" ref="Q134" si="229">Q133/Q130</f>
        <v>0.81660211233143243</v>
      </c>
      <c r="R134" s="16">
        <f t="shared" ref="R134" si="230">R133/R130</f>
        <v>0.75848046157865878</v>
      </c>
      <c r="S134" s="16">
        <f t="shared" ref="S134" si="231">S133/S130</f>
        <v>0.76333449565433387</v>
      </c>
      <c r="T134" s="16">
        <f t="shared" ref="T134" si="232">T133/T130</f>
        <v>0.73342103665394642</v>
      </c>
      <c r="U134" s="16">
        <f t="shared" ref="U134" si="233">U133/U130</f>
        <v>0.71965811779337907</v>
      </c>
      <c r="V134" s="16">
        <f t="shared" ref="V134" si="234">V133/V130</f>
        <v>0.70233466678229395</v>
      </c>
      <c r="W134" s="16">
        <f t="shared" ref="W134" si="235">W133/W130</f>
        <v>0.6749990508968271</v>
      </c>
      <c r="X134" s="16">
        <f t="shared" ref="X134" si="236">X133/X130</f>
        <v>0.69091092842431112</v>
      </c>
      <c r="Y134" s="16">
        <f t="shared" ref="Y134" si="237">Y133/Y130</f>
        <v>0.65492856862142468</v>
      </c>
      <c r="Z134" s="16">
        <f t="shared" ref="Z134" si="238">Z133/Z130</f>
        <v>0.66244744516485332</v>
      </c>
      <c r="AA134" s="16">
        <f t="shared" ref="AA134" si="239">AA133/AA130</f>
        <v>0.71450816216727375</v>
      </c>
      <c r="AB134" s="16">
        <f t="shared" ref="AB134" si="240">AB133/AB130</f>
        <v>0.74111656149478922</v>
      </c>
      <c r="AC134" s="16">
        <f t="shared" ref="AC134" si="241">AC133/AC130</f>
        <v>0.74488047429264592</v>
      </c>
      <c r="AD134" s="16">
        <f t="shared" ref="AD134" si="242">AD133/AD130</f>
        <v>0.76422530518772069</v>
      </c>
      <c r="AE134" s="16">
        <f t="shared" ref="AE134" si="243">AE133/AE130</f>
        <v>0.76925755221797509</v>
      </c>
      <c r="AF134" s="16">
        <f t="shared" ref="AF134" si="244">AF133/AF130</f>
        <v>0.78280933298732602</v>
      </c>
      <c r="AG134" s="16">
        <f t="shared" ref="AG134" si="245">AG133/AG130</f>
        <v>0.80264283502028555</v>
      </c>
      <c r="AH134" s="16">
        <f t="shared" ref="AH134" si="246">AH133/AH130</f>
        <v>0.81591690403829864</v>
      </c>
      <c r="AI134" s="16">
        <f t="shared" ref="AI134" si="247">AI133/AI130</f>
        <v>0.8202945050276268</v>
      </c>
      <c r="AJ134" s="16">
        <f t="shared" ref="AJ134" si="248">AJ133/AJ130</f>
        <v>0.81045706112064431</v>
      </c>
      <c r="AK134" s="16">
        <f t="shared" ref="AK134" si="249">AK133/AK130</f>
        <v>0.83573291537011085</v>
      </c>
      <c r="AL134" s="16">
        <f t="shared" ref="AL134" si="250">AL133/AL130</f>
        <v>0.85230350695771717</v>
      </c>
      <c r="AM134" s="16">
        <f t="shared" ref="AM134" si="251">AM133/AM130</f>
        <v>0.85601531973620348</v>
      </c>
      <c r="AN134" s="16">
        <f t="shared" ref="AN134" si="252">AN133/AN130</f>
        <v>0.8553811573040303</v>
      </c>
    </row>
    <row r="135" spans="1:62" x14ac:dyDescent="0.25">
      <c r="A135" t="s">
        <v>77</v>
      </c>
      <c r="C135" s="1">
        <f>C119/B119-1</f>
        <v>2.9213483146067531E-2</v>
      </c>
      <c r="D135" s="1">
        <f t="shared" ref="D135:AN135" si="253">D119/C119-1</f>
        <v>1.2372634643377012E-2</v>
      </c>
      <c r="E135" s="1">
        <f t="shared" si="253"/>
        <v>1.5815959741193542E-2</v>
      </c>
      <c r="F135" s="1">
        <f t="shared" si="253"/>
        <v>1.4154281670204494E-3</v>
      </c>
      <c r="G135" s="1">
        <f t="shared" si="253"/>
        <v>2.1201413427560656E-3</v>
      </c>
      <c r="H135" s="1">
        <f t="shared" si="253"/>
        <v>2.1156558533146352E-3</v>
      </c>
      <c r="I135" s="1">
        <f t="shared" si="253"/>
        <v>-9.1484869809993485E-3</v>
      </c>
      <c r="J135" s="1">
        <f t="shared" si="253"/>
        <v>-0.12926136363636365</v>
      </c>
      <c r="K135" s="1">
        <f t="shared" si="253"/>
        <v>4.2319749134614559E-2</v>
      </c>
      <c r="L135" s="1">
        <f t="shared" si="253"/>
        <v>3.007518789247543E-2</v>
      </c>
      <c r="M135" s="1">
        <f t="shared" si="253"/>
        <v>2.9927007224092916E-2</v>
      </c>
      <c r="N135" s="1">
        <f t="shared" si="253"/>
        <v>3.401842657448495E-2</v>
      </c>
      <c r="O135" s="1">
        <f t="shared" si="253"/>
        <v>3.5640849826206855E-2</v>
      </c>
      <c r="P135" s="1">
        <f t="shared" si="253"/>
        <v>3.7061548574648606E-2</v>
      </c>
      <c r="Q135" s="1">
        <f t="shared" si="253"/>
        <v>3.8289725524040197E-2</v>
      </c>
      <c r="R135" s="1">
        <f t="shared" si="253"/>
        <v>3.8721573384220997E-2</v>
      </c>
      <c r="S135" s="1">
        <f t="shared" si="253"/>
        <v>4.2011834257869252E-2</v>
      </c>
      <c r="T135" s="1">
        <f t="shared" si="253"/>
        <v>4.145371941842968E-2</v>
      </c>
      <c r="U135" s="1">
        <f t="shared" si="253"/>
        <v>3.7077426333856245E-2</v>
      </c>
      <c r="V135" s="1">
        <f t="shared" si="253"/>
        <v>3.6803364824563367E-2</v>
      </c>
      <c r="W135" s="1">
        <f t="shared" si="253"/>
        <v>3.7018255525506083E-2</v>
      </c>
      <c r="X135" s="1">
        <f t="shared" si="253"/>
        <v>3.6185819020235543E-2</v>
      </c>
      <c r="Y135" s="1">
        <f t="shared" si="253"/>
        <v>3.3034450163613283E-2</v>
      </c>
      <c r="Z135" s="1">
        <f t="shared" si="253"/>
        <v>3.152124252939581E-2</v>
      </c>
      <c r="AA135" s="1">
        <f t="shared" si="253"/>
        <v>3.0115146101412194E-2</v>
      </c>
      <c r="AB135" s="1">
        <f t="shared" si="253"/>
        <v>3.5253654297710435E-2</v>
      </c>
      <c r="AC135" s="1">
        <f t="shared" si="253"/>
        <v>3.5714285671274437E-2</v>
      </c>
      <c r="AD135" s="1">
        <f t="shared" si="253"/>
        <v>3.5685645507791186E-2</v>
      </c>
      <c r="AE135" s="1">
        <f t="shared" si="253"/>
        <v>4.1424699920966868E-2</v>
      </c>
      <c r="AF135" s="1">
        <f t="shared" si="253"/>
        <v>4.349442375302992E-2</v>
      </c>
      <c r="AG135" s="1">
        <f t="shared" si="253"/>
        <v>4.4887780511404074E-2</v>
      </c>
      <c r="AH135" s="1">
        <f t="shared" si="253"/>
        <v>4.6368905521774195E-2</v>
      </c>
      <c r="AI135" s="1">
        <f t="shared" si="253"/>
        <v>4.6920821080256747E-2</v>
      </c>
      <c r="AJ135" s="1">
        <f t="shared" si="253"/>
        <v>4.6374105165067681E-2</v>
      </c>
      <c r="AK135" s="1">
        <f t="shared" si="253"/>
        <v>4.7590719778477508E-2</v>
      </c>
      <c r="AL135" s="1">
        <f t="shared" si="253"/>
        <v>4.8835888669823024E-2</v>
      </c>
      <c r="AM135" s="1">
        <f t="shared" si="253"/>
        <v>4.9810503490801183E-2</v>
      </c>
      <c r="AN135" s="1">
        <f t="shared" si="253"/>
        <v>5.1572975733585213E-2</v>
      </c>
    </row>
    <row r="136" spans="1:62" x14ac:dyDescent="0.25">
      <c r="A136" t="s">
        <v>83</v>
      </c>
      <c r="C136" s="16">
        <f t="shared" ref="C136" si="254">C135/C130</f>
        <v>1.1791261063160696</v>
      </c>
      <c r="D136" s="16">
        <f t="shared" ref="D136" si="255">D135/D130</f>
        <v>0.65879336198539395</v>
      </c>
      <c r="E136" s="16">
        <f t="shared" ref="E136" si="256">E135/E130</f>
        <v>1.2413453296896595</v>
      </c>
      <c r="F136" s="16">
        <f t="shared" ref="F136" si="257">F135/F130</f>
        <v>0.17696901126238973</v>
      </c>
      <c r="G136" s="16">
        <f t="shared" ref="G136" si="258">G135/G130</f>
        <v>0.17854577525266208</v>
      </c>
      <c r="H136" s="16">
        <f t="shared" ref="H136" si="259">H135/H130</f>
        <v>0.20826462828083062</v>
      </c>
      <c r="I136" s="16">
        <f t="shared" ref="I136" si="260">I135/I130</f>
        <v>-1.0661081922730407</v>
      </c>
      <c r="J136" s="16">
        <f t="shared" ref="J136" si="261">J135/J130</f>
        <v>1.7839100611861491</v>
      </c>
      <c r="K136" s="16">
        <f t="shared" ref="K136" si="262">K135/K130</f>
        <v>1.0630103164326514</v>
      </c>
      <c r="L136" s="16">
        <f t="shared" ref="L136" si="263">L135/L130</f>
        <v>0.89937298862259363</v>
      </c>
      <c r="M136" s="16">
        <f t="shared" ref="M136" si="264">M135/M130</f>
        <v>0.85601823849593628</v>
      </c>
      <c r="N136" s="16">
        <f t="shared" ref="N136" si="265">N135/N130</f>
        <v>0.87758194057116323</v>
      </c>
      <c r="O136" s="16">
        <f t="shared" ref="O136" si="266">O135/O130</f>
        <v>0.89452021837393969</v>
      </c>
      <c r="P136" s="16">
        <f t="shared" ref="P136" si="267">P135/P130</f>
        <v>0.84118435126680335</v>
      </c>
      <c r="Q136" s="16">
        <f t="shared" ref="Q136" si="268">Q135/Q130</f>
        <v>0.84563866520755115</v>
      </c>
      <c r="R136" s="16">
        <f t="shared" ref="R136" si="269">R135/R130</f>
        <v>0.8261745344143695</v>
      </c>
      <c r="S136" s="16">
        <f t="shared" ref="S136" si="270">S135/S130</f>
        <v>0.82648817259380891</v>
      </c>
      <c r="T136" s="16">
        <f t="shared" ref="T136" si="271">T135/T130</f>
        <v>0.81177715603293343</v>
      </c>
      <c r="U136" s="16">
        <f t="shared" ref="U136" si="272">U135/U130</f>
        <v>0.74511216728553287</v>
      </c>
      <c r="V136" s="16">
        <f t="shared" ref="V136" si="273">V135/V130</f>
        <v>0.73186776176384583</v>
      </c>
      <c r="W136" s="16">
        <f t="shared" ref="W136" si="274">W135/W130</f>
        <v>0.73247694587087109</v>
      </c>
      <c r="X136" s="16">
        <f t="shared" ref="X136" si="275">X135/X130</f>
        <v>0.71098646532396348</v>
      </c>
      <c r="Y136" s="16">
        <f t="shared" ref="Y136" si="276">Y135/Y130</f>
        <v>0.68798795467637297</v>
      </c>
      <c r="Z136" s="16">
        <f t="shared" ref="Z136" si="277">Z135/Z130</f>
        <v>0.65679300135745244</v>
      </c>
      <c r="AA136" s="16">
        <f t="shared" ref="AA136" si="278">AA135/AA130</f>
        <v>0.5882229406435624</v>
      </c>
      <c r="AB136" s="16">
        <f t="shared" ref="AB136" si="279">AB135/AB130</f>
        <v>0.68148532765275804</v>
      </c>
      <c r="AC136" s="16">
        <f t="shared" ref="AC136" si="280">AC135/AC130</f>
        <v>0.67994550328639736</v>
      </c>
      <c r="AD136" s="16">
        <f t="shared" ref="AD136" si="281">AD135/AD130</f>
        <v>0.68088296105170443</v>
      </c>
      <c r="AE136" s="16">
        <f t="shared" ref="AE136" si="282">AE135/AE130</f>
        <v>0.78984342440563238</v>
      </c>
      <c r="AF136" s="16">
        <f t="shared" ref="AF136" si="283">AF135/AF130</f>
        <v>0.82257220557689448</v>
      </c>
      <c r="AG136" s="16">
        <f t="shared" ref="AG136" si="284">AG135/AG130</f>
        <v>0.84142938900709519</v>
      </c>
      <c r="AH136" s="16">
        <f t="shared" ref="AH136" si="285">AH135/AH130</f>
        <v>0.86207810095090198</v>
      </c>
      <c r="AI136" s="16">
        <f t="shared" ref="AI136" si="286">AI135/AI130</f>
        <v>0.8782143437997022</v>
      </c>
      <c r="AJ136" s="16">
        <f t="shared" ref="AJ136" si="287">AJ135/AJ130</f>
        <v>0.89515638033054101</v>
      </c>
      <c r="AK136" s="16">
        <f t="shared" ref="AK136" si="288">AK135/AK130</f>
        <v>0.91604311204736633</v>
      </c>
      <c r="AL136" s="16">
        <f t="shared" ref="AL136" si="289">AL135/AL130</f>
        <v>0.93739751075783395</v>
      </c>
      <c r="AM136" s="16">
        <f t="shared" ref="AM136" si="290">AM135/AM130</f>
        <v>0.95281659224028747</v>
      </c>
      <c r="AN136" s="16">
        <f t="shared" ref="AN136" si="291">AN135/AN130</f>
        <v>0.97889689378811306</v>
      </c>
    </row>
    <row r="140" spans="1:62" x14ac:dyDescent="0.25">
      <c r="A140" t="s">
        <v>127</v>
      </c>
    </row>
    <row r="141" spans="1:62" x14ac:dyDescent="0.25">
      <c r="B141" s="3" t="s">
        <v>87</v>
      </c>
      <c r="C141" s="3" t="s">
        <v>88</v>
      </c>
      <c r="D141" s="3" t="s">
        <v>89</v>
      </c>
      <c r="E141" s="3" t="s">
        <v>90</v>
      </c>
      <c r="F141" s="3" t="s">
        <v>91</v>
      </c>
      <c r="G141" s="3" t="s">
        <v>92</v>
      </c>
      <c r="H141" s="3" t="s">
        <v>93</v>
      </c>
      <c r="I141" s="3" t="s">
        <v>94</v>
      </c>
      <c r="J141" s="3" t="s">
        <v>95</v>
      </c>
      <c r="K141" s="3" t="s">
        <v>96</v>
      </c>
      <c r="L141" s="3" t="s">
        <v>97</v>
      </c>
      <c r="M141" s="3" t="s">
        <v>98</v>
      </c>
      <c r="N141" s="3" t="s">
        <v>99</v>
      </c>
      <c r="O141" s="3" t="s">
        <v>100</v>
      </c>
      <c r="P141" s="3" t="s">
        <v>101</v>
      </c>
      <c r="Q141" s="3" t="s">
        <v>102</v>
      </c>
      <c r="R141" s="3" t="s">
        <v>103</v>
      </c>
      <c r="S141" s="3" t="s">
        <v>104</v>
      </c>
      <c r="T141" s="3" t="s">
        <v>105</v>
      </c>
      <c r="U141" s="3" t="s">
        <v>106</v>
      </c>
      <c r="V141" s="3" t="s">
        <v>107</v>
      </c>
      <c r="W141" s="3" t="s">
        <v>108</v>
      </c>
      <c r="X141" s="3" t="s">
        <v>109</v>
      </c>
      <c r="Y141" s="3" t="s">
        <v>110</v>
      </c>
      <c r="Z141" s="3" t="s">
        <v>111</v>
      </c>
      <c r="AA141" s="3" t="s">
        <v>112</v>
      </c>
      <c r="AB141" s="3" t="s">
        <v>113</v>
      </c>
      <c r="AC141" s="3" t="s">
        <v>114</v>
      </c>
      <c r="AD141" s="3" t="s">
        <v>115</v>
      </c>
      <c r="AE141" s="3" t="s">
        <v>116</v>
      </c>
      <c r="AF141" s="3" t="s">
        <v>117</v>
      </c>
      <c r="AG141" s="3" t="s">
        <v>118</v>
      </c>
      <c r="AH141" s="3" t="s">
        <v>119</v>
      </c>
      <c r="AI141" s="3" t="s">
        <v>120</v>
      </c>
      <c r="AJ141" s="3" t="s">
        <v>121</v>
      </c>
      <c r="AK141" s="3" t="s">
        <v>122</v>
      </c>
      <c r="AL141" s="3" t="s">
        <v>123</v>
      </c>
      <c r="AM141" s="3" t="s">
        <v>124</v>
      </c>
      <c r="AN141" s="3" t="s">
        <v>125</v>
      </c>
      <c r="AO141" s="3" t="s">
        <v>211</v>
      </c>
      <c r="AP141" s="3" t="s">
        <v>212</v>
      </c>
      <c r="AQ141" s="3" t="s">
        <v>213</v>
      </c>
      <c r="AR141" s="3" t="s">
        <v>214</v>
      </c>
      <c r="AS141" s="3" t="s">
        <v>215</v>
      </c>
      <c r="AT141" s="3" t="s">
        <v>216</v>
      </c>
      <c r="AU141" s="3" t="s">
        <v>217</v>
      </c>
      <c r="AV141" s="3" t="s">
        <v>218</v>
      </c>
      <c r="AW141" s="3" t="s">
        <v>219</v>
      </c>
      <c r="AX141" s="3" t="s">
        <v>220</v>
      </c>
      <c r="AY141" s="3" t="s">
        <v>221</v>
      </c>
      <c r="AZ141" s="3" t="s">
        <v>222</v>
      </c>
      <c r="BA141" s="3" t="s">
        <v>223</v>
      </c>
      <c r="BB141" s="3" t="s">
        <v>224</v>
      </c>
      <c r="BC141" s="3" t="s">
        <v>225</v>
      </c>
      <c r="BD141" s="3" t="s">
        <v>226</v>
      </c>
      <c r="BE141" s="3" t="s">
        <v>227</v>
      </c>
      <c r="BF141" s="3" t="s">
        <v>228</v>
      </c>
      <c r="BG141" s="3" t="s">
        <v>229</v>
      </c>
      <c r="BH141" s="3" t="s">
        <v>230</v>
      </c>
      <c r="BI141" s="3" t="s">
        <v>231</v>
      </c>
      <c r="BJ141" s="3" t="s">
        <v>232</v>
      </c>
    </row>
    <row r="142" spans="1:62" x14ac:dyDescent="0.25">
      <c r="A142" s="3" t="s">
        <v>51</v>
      </c>
      <c r="B142">
        <v>0.50003199863472492</v>
      </c>
      <c r="C142">
        <v>0.49674335943460585</v>
      </c>
      <c r="D142">
        <v>0.48822868689454441</v>
      </c>
      <c r="E142">
        <v>0.48147500627885365</v>
      </c>
      <c r="F142">
        <v>0.47737656478533347</v>
      </c>
      <c r="G142">
        <v>0.47023794558911891</v>
      </c>
      <c r="H142">
        <v>0.46353394236211087</v>
      </c>
      <c r="I142">
        <v>0.46108769196199162</v>
      </c>
      <c r="J142">
        <v>0.47398769619141334</v>
      </c>
      <c r="K142">
        <v>0.48048204001899236</v>
      </c>
      <c r="L142">
        <v>0.46632260330648179</v>
      </c>
      <c r="M142">
        <v>0.45300257157848828</v>
      </c>
      <c r="N142">
        <v>0.4383019395470128</v>
      </c>
      <c r="O142">
        <v>0.42309324660385594</v>
      </c>
      <c r="P142">
        <v>0.40826007694324618</v>
      </c>
      <c r="Q142">
        <v>0.39299615998795007</v>
      </c>
      <c r="R142">
        <v>0.37789791506907178</v>
      </c>
      <c r="S142">
        <v>0.36226951963365644</v>
      </c>
      <c r="T142">
        <v>0.34685097544437032</v>
      </c>
      <c r="U142">
        <v>0.33263631471972044</v>
      </c>
      <c r="V142">
        <v>0.31889658049946834</v>
      </c>
      <c r="W142">
        <v>0.30575326561032051</v>
      </c>
      <c r="X142">
        <v>0.29312905643528181</v>
      </c>
      <c r="Y142">
        <v>0.28141052105932723</v>
      </c>
      <c r="Z142">
        <v>0.27064183869216824</v>
      </c>
      <c r="AA142">
        <v>0.25930987140118861</v>
      </c>
      <c r="AB142">
        <v>0.24835342739275609</v>
      </c>
      <c r="AC142">
        <v>0.23803758192513916</v>
      </c>
      <c r="AD142">
        <v>0.22807517013521361</v>
      </c>
      <c r="AE142">
        <v>0.2187533568861037</v>
      </c>
      <c r="AF142">
        <v>0.20991751494381938</v>
      </c>
      <c r="AG142">
        <v>0.20139092746951501</v>
      </c>
      <c r="AH142">
        <v>0.19314046005590704</v>
      </c>
      <c r="AI142">
        <v>0.18524342631999047</v>
      </c>
      <c r="AJ142">
        <v>0.17810848395159587</v>
      </c>
      <c r="AK142">
        <v>0.17139324407545983</v>
      </c>
      <c r="AL142">
        <v>0.16492098985273657</v>
      </c>
      <c r="AM142">
        <v>0.15866963167857043</v>
      </c>
      <c r="AN142">
        <v>0.1526060351456778</v>
      </c>
    </row>
    <row r="143" spans="1:62" x14ac:dyDescent="0.25">
      <c r="A143" s="3" t="s">
        <v>52</v>
      </c>
      <c r="B143">
        <v>0.30001919918083497</v>
      </c>
      <c r="C143">
        <v>0.29644362454654938</v>
      </c>
      <c r="D143">
        <v>0.29989890368726985</v>
      </c>
      <c r="E143">
        <v>0.30319595185227072</v>
      </c>
      <c r="F143">
        <v>0.30522800836475233</v>
      </c>
      <c r="G143">
        <v>0.30605482173653453</v>
      </c>
      <c r="H143">
        <v>0.30932373575545163</v>
      </c>
      <c r="I143">
        <v>0.31228368417755731</v>
      </c>
      <c r="J143">
        <v>0.32375163521226069</v>
      </c>
      <c r="K143">
        <v>0.31007808577642904</v>
      </c>
      <c r="L143">
        <v>0.31742933525837452</v>
      </c>
      <c r="M143">
        <v>0.32340320310815612</v>
      </c>
      <c r="N143">
        <v>0.32959823883114625</v>
      </c>
      <c r="O143">
        <v>0.33633843730358653</v>
      </c>
      <c r="P143">
        <v>0.34171991379260791</v>
      </c>
      <c r="Q143">
        <v>0.34765271854906404</v>
      </c>
      <c r="R143">
        <v>0.35335492305300714</v>
      </c>
      <c r="S143">
        <v>0.35882669039922782</v>
      </c>
      <c r="T143">
        <v>0.3648028168763679</v>
      </c>
      <c r="U143">
        <v>0.36945447891612304</v>
      </c>
      <c r="V143">
        <v>0.37410426288303206</v>
      </c>
      <c r="W143">
        <v>0.37845444222098673</v>
      </c>
      <c r="X143">
        <v>0.38260088146586674</v>
      </c>
      <c r="Y143">
        <v>0.38673209101811257</v>
      </c>
      <c r="Z143">
        <v>0.38955170464331734</v>
      </c>
      <c r="AA143">
        <v>0.39212763822087277</v>
      </c>
      <c r="AB143">
        <v>0.39511646256846666</v>
      </c>
      <c r="AC143">
        <v>0.39762237118576232</v>
      </c>
      <c r="AD143">
        <v>0.40005310990863213</v>
      </c>
      <c r="AE143">
        <v>0.40166701636128477</v>
      </c>
      <c r="AF143">
        <v>0.40297118523651337</v>
      </c>
      <c r="AG143">
        <v>0.40411450699483698</v>
      </c>
      <c r="AH143">
        <v>0.40513939150298151</v>
      </c>
      <c r="AI143">
        <v>0.40606127973837347</v>
      </c>
      <c r="AJ143">
        <v>0.4062118011468015</v>
      </c>
      <c r="AK143">
        <v>0.40610030287348792</v>
      </c>
      <c r="AL143">
        <v>0.40587567537895236</v>
      </c>
      <c r="AM143">
        <v>0.40554145734916591</v>
      </c>
      <c r="AN143">
        <v>0.40511223227252768</v>
      </c>
    </row>
    <row r="144" spans="1:62" x14ac:dyDescent="0.25">
      <c r="A144" s="3" t="s">
        <v>53</v>
      </c>
      <c r="B144">
        <v>0.19994880218444011</v>
      </c>
      <c r="C144">
        <v>0.20681301601884478</v>
      </c>
      <c r="D144">
        <v>0.21187240941818569</v>
      </c>
      <c r="E144">
        <v>0.21532904186887569</v>
      </c>
      <c r="F144">
        <v>0.21739542684991425</v>
      </c>
      <c r="G144">
        <v>0.22370723267434656</v>
      </c>
      <c r="H144">
        <v>0.22714232188243744</v>
      </c>
      <c r="I144">
        <v>0.22662862386045102</v>
      </c>
      <c r="J144">
        <v>0.20226066859632597</v>
      </c>
      <c r="K144">
        <v>0.20943987420457857</v>
      </c>
      <c r="L144">
        <v>0.21624806143514369</v>
      </c>
      <c r="M144">
        <v>0.22359422531335565</v>
      </c>
      <c r="N144">
        <v>0.23209982162184098</v>
      </c>
      <c r="O144">
        <v>0.24056831609255752</v>
      </c>
      <c r="P144">
        <v>0.25002000926414591</v>
      </c>
      <c r="Q144">
        <v>0.25935112146298583</v>
      </c>
      <c r="R144">
        <v>0.26874716187792108</v>
      </c>
      <c r="S144">
        <v>0.27890378996711568</v>
      </c>
      <c r="T144">
        <v>0.28834620767926183</v>
      </c>
      <c r="U144">
        <v>0.29790920636415652</v>
      </c>
      <c r="V144">
        <v>0.3069991566174996</v>
      </c>
      <c r="W144">
        <v>0.3157922921686927</v>
      </c>
      <c r="X144">
        <v>0.32427006209885151</v>
      </c>
      <c r="Y144">
        <v>0.33185738792256025</v>
      </c>
      <c r="Z144">
        <v>0.33980645666451437</v>
      </c>
      <c r="AA144">
        <v>0.34856249037793868</v>
      </c>
      <c r="AB144">
        <v>0.35653011003877721</v>
      </c>
      <c r="AC144">
        <v>0.36434004688909855</v>
      </c>
      <c r="AD144">
        <v>0.37187171995615426</v>
      </c>
      <c r="AE144">
        <v>0.37957962675261148</v>
      </c>
      <c r="AF144">
        <v>0.38711129981966724</v>
      </c>
      <c r="AG144">
        <v>0.39449456553564799</v>
      </c>
      <c r="AH144">
        <v>0.40172014844111148</v>
      </c>
      <c r="AI144">
        <v>0.40869529394163606</v>
      </c>
      <c r="AJ144">
        <v>0.41567971490160266</v>
      </c>
      <c r="AK144">
        <v>0.42250645305105222</v>
      </c>
      <c r="AL144">
        <v>0.42920333476831102</v>
      </c>
      <c r="AM144">
        <v>0.43578891097226369</v>
      </c>
      <c r="AN144">
        <v>0.44228173258179448</v>
      </c>
    </row>
    <row r="145" spans="1:62" x14ac:dyDescent="0.25">
      <c r="A145" s="3"/>
    </row>
    <row r="146" spans="1:62" x14ac:dyDescent="0.25">
      <c r="A146" s="3" t="s">
        <v>129</v>
      </c>
      <c r="C146" s="1">
        <f>C143/B143-1</f>
        <v>-1.1917819406385477E-2</v>
      </c>
      <c r="D146" s="1">
        <f t="shared" ref="D146:AN146" si="292">D143/C143-1</f>
        <v>1.1655771467528719E-2</v>
      </c>
      <c r="E146" s="1">
        <f t="shared" si="292"/>
        <v>1.0993865347500575E-2</v>
      </c>
      <c r="F146" s="1">
        <f t="shared" si="292"/>
        <v>6.7021228353065787E-3</v>
      </c>
      <c r="G146" s="1">
        <f t="shared" si="292"/>
        <v>2.7088384719731184E-3</v>
      </c>
      <c r="H146" s="1">
        <f t="shared" si="292"/>
        <v>1.0680812020439578E-2</v>
      </c>
      <c r="I146" s="1">
        <f t="shared" si="292"/>
        <v>9.5690956753664569E-3</v>
      </c>
      <c r="J146" s="1">
        <f t="shared" si="292"/>
        <v>3.6722863267435235E-2</v>
      </c>
      <c r="K146" s="1">
        <f t="shared" si="292"/>
        <v>-4.2234688411278309E-2</v>
      </c>
      <c r="L146" s="1">
        <f t="shared" si="292"/>
        <v>2.3707736274035884E-2</v>
      </c>
      <c r="M146" s="1">
        <f t="shared" si="292"/>
        <v>1.8819520397883593E-2</v>
      </c>
      <c r="N146" s="1">
        <f t="shared" si="292"/>
        <v>1.9155764888693083E-2</v>
      </c>
      <c r="O146" s="1">
        <f t="shared" si="292"/>
        <v>2.0449740557907825E-2</v>
      </c>
      <c r="P146" s="1">
        <f t="shared" si="292"/>
        <v>1.6000182828238341E-2</v>
      </c>
      <c r="Q146" s="1">
        <f t="shared" si="292"/>
        <v>1.736160088129024E-2</v>
      </c>
      <c r="R146" s="1">
        <f t="shared" si="292"/>
        <v>1.6402013272732052E-2</v>
      </c>
      <c r="S146" s="1">
        <f t="shared" si="292"/>
        <v>1.5485187807613654E-2</v>
      </c>
      <c r="T146" s="1">
        <f t="shared" si="292"/>
        <v>1.6654631990979052E-2</v>
      </c>
      <c r="U146" s="1">
        <f t="shared" si="292"/>
        <v>1.2751168095644472E-2</v>
      </c>
      <c r="V146" s="1">
        <f t="shared" si="292"/>
        <v>1.2585539578651828E-2</v>
      </c>
      <c r="W146" s="1">
        <f t="shared" si="292"/>
        <v>1.1628253857440818E-2</v>
      </c>
      <c r="X146" s="1">
        <f t="shared" si="292"/>
        <v>1.0956244087257483E-2</v>
      </c>
      <c r="Y146" s="1">
        <f t="shared" si="292"/>
        <v>1.0797700037746383E-2</v>
      </c>
      <c r="Z146" s="1">
        <f t="shared" si="292"/>
        <v>7.2908705811867147E-3</v>
      </c>
      <c r="AA146" s="1">
        <f t="shared" si="292"/>
        <v>6.6125588640768562E-3</v>
      </c>
      <c r="AB146" s="1">
        <f t="shared" si="292"/>
        <v>7.6220701023639315E-3</v>
      </c>
      <c r="AC146" s="1">
        <f t="shared" si="292"/>
        <v>6.3422025015256178E-3</v>
      </c>
      <c r="AD146" s="1">
        <f t="shared" si="292"/>
        <v>6.1131840133166193E-3</v>
      </c>
      <c r="AE146" s="1">
        <f t="shared" si="292"/>
        <v>4.0342304875999879E-3</v>
      </c>
      <c r="AF146" s="1">
        <f t="shared" si="292"/>
        <v>3.2468906385272334E-3</v>
      </c>
      <c r="AG146" s="1">
        <f t="shared" si="292"/>
        <v>2.8372295593606101E-3</v>
      </c>
      <c r="AH146" s="1">
        <f t="shared" si="292"/>
        <v>2.536124020307895E-3</v>
      </c>
      <c r="AI146" s="1">
        <f t="shared" si="292"/>
        <v>2.2754840796199716E-3</v>
      </c>
      <c r="AJ146" s="1">
        <f t="shared" si="292"/>
        <v>3.7068643561632975E-4</v>
      </c>
      <c r="AK146" s="1">
        <f t="shared" si="292"/>
        <v>-2.7448309723843156E-4</v>
      </c>
      <c r="AL146" s="1">
        <f t="shared" si="292"/>
        <v>-5.5313303867576824E-4</v>
      </c>
      <c r="AM146" s="1">
        <f t="shared" si="292"/>
        <v>-8.234492729193299E-4</v>
      </c>
      <c r="AN146" s="1">
        <f t="shared" si="292"/>
        <v>-1.0583999955118273E-3</v>
      </c>
      <c r="AO146" s="35">
        <f>AVERAGE(T146:AN146)</f>
        <v>5.8069335012798304E-3</v>
      </c>
      <c r="AP146" s="35">
        <f>AO146</f>
        <v>5.8069335012798304E-3</v>
      </c>
      <c r="AQ146" s="35">
        <f t="shared" ref="AP146:BJ149" si="293">AP146</f>
        <v>5.8069335012798304E-3</v>
      </c>
      <c r="AR146" s="35">
        <f t="shared" si="293"/>
        <v>5.8069335012798304E-3</v>
      </c>
      <c r="AS146" s="35">
        <f t="shared" si="293"/>
        <v>5.8069335012798304E-3</v>
      </c>
      <c r="AT146" s="35">
        <f t="shared" si="293"/>
        <v>5.8069335012798304E-3</v>
      </c>
      <c r="AU146" s="35">
        <f t="shared" si="293"/>
        <v>5.8069335012798304E-3</v>
      </c>
      <c r="AV146" s="35">
        <f t="shared" si="293"/>
        <v>5.8069335012798304E-3</v>
      </c>
      <c r="AW146" s="35">
        <f t="shared" si="293"/>
        <v>5.8069335012798304E-3</v>
      </c>
      <c r="AX146" s="35">
        <f t="shared" si="293"/>
        <v>5.8069335012798304E-3</v>
      </c>
      <c r="AY146" s="35">
        <f t="shared" si="293"/>
        <v>5.8069335012798304E-3</v>
      </c>
      <c r="AZ146" s="35">
        <f t="shared" si="293"/>
        <v>5.8069335012798304E-3</v>
      </c>
      <c r="BA146" s="35">
        <f t="shared" si="293"/>
        <v>5.8069335012798304E-3</v>
      </c>
      <c r="BB146" s="35">
        <f t="shared" si="293"/>
        <v>5.8069335012798304E-3</v>
      </c>
      <c r="BC146" s="35">
        <f t="shared" si="293"/>
        <v>5.8069335012798304E-3</v>
      </c>
      <c r="BD146" s="35">
        <f t="shared" si="293"/>
        <v>5.8069335012798304E-3</v>
      </c>
      <c r="BE146" s="35">
        <f t="shared" si="293"/>
        <v>5.8069335012798304E-3</v>
      </c>
      <c r="BF146" s="35">
        <f t="shared" si="293"/>
        <v>5.8069335012798304E-3</v>
      </c>
      <c r="BG146" s="35">
        <f t="shared" si="293"/>
        <v>5.8069335012798304E-3</v>
      </c>
      <c r="BH146" s="35">
        <f t="shared" si="293"/>
        <v>5.8069335012798304E-3</v>
      </c>
      <c r="BI146" s="35">
        <f t="shared" si="293"/>
        <v>5.8069335012798304E-3</v>
      </c>
      <c r="BJ146" s="35">
        <f t="shared" si="293"/>
        <v>5.8069335012798304E-3</v>
      </c>
    </row>
    <row r="147" spans="1:62" x14ac:dyDescent="0.25">
      <c r="A147" s="3" t="s">
        <v>131</v>
      </c>
      <c r="C147" s="1">
        <f>C144/B144-1</f>
        <v>3.432985724051929E-2</v>
      </c>
      <c r="D147" s="1">
        <f t="shared" ref="D147:AN147" si="294">D144/C144-1</f>
        <v>2.4463612091416564E-2</v>
      </c>
      <c r="E147" s="1">
        <f t="shared" si="294"/>
        <v>1.6314688921422738E-2</v>
      </c>
      <c r="F147" s="1">
        <f t="shared" si="294"/>
        <v>9.596406332857299E-3</v>
      </c>
      <c r="G147" s="1">
        <f t="shared" si="294"/>
        <v>2.9033756210473882E-2</v>
      </c>
      <c r="H147" s="1">
        <f t="shared" si="294"/>
        <v>1.5355288995467564E-2</v>
      </c>
      <c r="I147" s="1">
        <f t="shared" si="294"/>
        <v>-2.2615689481781942E-3</v>
      </c>
      <c r="J147" s="1">
        <f t="shared" si="294"/>
        <v>-0.1075237313320575</v>
      </c>
      <c r="K147" s="1">
        <f t="shared" si="294"/>
        <v>3.5494817940016521E-2</v>
      </c>
      <c r="L147" s="1">
        <f t="shared" si="294"/>
        <v>3.2506643046944061E-2</v>
      </c>
      <c r="M147" s="1">
        <f t="shared" si="294"/>
        <v>3.3971004546624384E-2</v>
      </c>
      <c r="N147" s="1">
        <f t="shared" si="294"/>
        <v>3.8040321911557262E-2</v>
      </c>
      <c r="O147" s="1">
        <f t="shared" si="294"/>
        <v>3.648643248211636E-2</v>
      </c>
      <c r="P147" s="1">
        <f t="shared" si="294"/>
        <v>3.9289019123997626E-2</v>
      </c>
      <c r="Q147" s="1">
        <f t="shared" si="294"/>
        <v>3.7321461695418279E-2</v>
      </c>
      <c r="R147" s="1">
        <f t="shared" si="294"/>
        <v>3.6229033296377056E-2</v>
      </c>
      <c r="S147" s="1">
        <f t="shared" si="294"/>
        <v>3.7792503623938822E-2</v>
      </c>
      <c r="T147" s="1">
        <f t="shared" si="294"/>
        <v>3.3855465762080428E-2</v>
      </c>
      <c r="U147" s="1">
        <f t="shared" si="294"/>
        <v>3.3164988580435706E-2</v>
      </c>
      <c r="V147" s="1">
        <f t="shared" si="294"/>
        <v>3.0512485210785201E-2</v>
      </c>
      <c r="W147" s="1">
        <f t="shared" si="294"/>
        <v>2.8642214031059154E-2</v>
      </c>
      <c r="X147" s="1">
        <f t="shared" si="294"/>
        <v>2.6846031839276474E-2</v>
      </c>
      <c r="Y147" s="1">
        <f t="shared" si="294"/>
        <v>2.3398169336384278E-2</v>
      </c>
      <c r="Z147" s="1">
        <f t="shared" si="294"/>
        <v>2.3953267371010112E-2</v>
      </c>
      <c r="AA147" s="1">
        <f t="shared" si="294"/>
        <v>2.5767708475501472E-2</v>
      </c>
      <c r="AB147" s="1">
        <f t="shared" si="294"/>
        <v>2.2858511402645165E-2</v>
      </c>
      <c r="AC147" s="1">
        <f t="shared" si="294"/>
        <v>2.1905406108538417E-2</v>
      </c>
      <c r="AD147" s="1">
        <f t="shared" si="294"/>
        <v>2.0672097759674157E-2</v>
      </c>
      <c r="AE147" s="1">
        <f t="shared" si="294"/>
        <v>2.0727327147560537E-2</v>
      </c>
      <c r="AF147" s="1">
        <f t="shared" si="294"/>
        <v>1.9842142560418496E-2</v>
      </c>
      <c r="AG147" s="1">
        <f t="shared" si="294"/>
        <v>1.9072720737989712E-2</v>
      </c>
      <c r="AH147" s="1">
        <f t="shared" si="294"/>
        <v>1.8316051821024582E-2</v>
      </c>
      <c r="AI147" s="1">
        <f t="shared" si="294"/>
        <v>1.7363195566843848E-2</v>
      </c>
      <c r="AJ147" s="1">
        <f t="shared" si="294"/>
        <v>1.7089555626162989E-2</v>
      </c>
      <c r="AK147" s="1">
        <f t="shared" si="294"/>
        <v>1.6423072631931435E-2</v>
      </c>
      <c r="AL147" s="1">
        <f t="shared" si="294"/>
        <v>1.5850365524357146E-2</v>
      </c>
      <c r="AM147" s="1">
        <f t="shared" si="294"/>
        <v>1.5343720960387275E-2</v>
      </c>
      <c r="AN147" s="1">
        <f t="shared" si="294"/>
        <v>1.4899006023455286E-2</v>
      </c>
      <c r="AO147" s="35">
        <f t="shared" ref="AO147:AO149" si="295">AVERAGE(T147:AN147)</f>
        <v>2.2214452594167707E-2</v>
      </c>
      <c r="AP147" s="35">
        <f t="shared" ref="AP147:BD147" si="296">AO147</f>
        <v>2.2214452594167707E-2</v>
      </c>
      <c r="AQ147" s="35">
        <f t="shared" si="296"/>
        <v>2.2214452594167707E-2</v>
      </c>
      <c r="AR147" s="35">
        <f t="shared" si="296"/>
        <v>2.2214452594167707E-2</v>
      </c>
      <c r="AS147" s="35">
        <f t="shared" si="296"/>
        <v>2.2214452594167707E-2</v>
      </c>
      <c r="AT147" s="35">
        <f t="shared" si="296"/>
        <v>2.2214452594167707E-2</v>
      </c>
      <c r="AU147" s="35">
        <f t="shared" si="296"/>
        <v>2.2214452594167707E-2</v>
      </c>
      <c r="AV147" s="35">
        <f t="shared" si="296"/>
        <v>2.2214452594167707E-2</v>
      </c>
      <c r="AW147" s="35">
        <f t="shared" si="296"/>
        <v>2.2214452594167707E-2</v>
      </c>
      <c r="AX147" s="35">
        <f t="shared" si="296"/>
        <v>2.2214452594167707E-2</v>
      </c>
      <c r="AY147" s="35">
        <f t="shared" si="296"/>
        <v>2.2214452594167707E-2</v>
      </c>
      <c r="AZ147" s="35">
        <f t="shared" si="296"/>
        <v>2.2214452594167707E-2</v>
      </c>
      <c r="BA147" s="35">
        <f t="shared" si="296"/>
        <v>2.2214452594167707E-2</v>
      </c>
      <c r="BB147" s="35">
        <f t="shared" si="296"/>
        <v>2.2214452594167707E-2</v>
      </c>
      <c r="BC147" s="35">
        <f t="shared" si="296"/>
        <v>2.2214452594167707E-2</v>
      </c>
      <c r="BD147" s="35">
        <f t="shared" si="296"/>
        <v>2.2214452594167707E-2</v>
      </c>
      <c r="BE147" s="35">
        <f t="shared" si="293"/>
        <v>2.2214452594167707E-2</v>
      </c>
      <c r="BF147" s="35">
        <f t="shared" si="293"/>
        <v>2.2214452594167707E-2</v>
      </c>
      <c r="BG147" s="35">
        <f t="shared" si="293"/>
        <v>2.2214452594167707E-2</v>
      </c>
      <c r="BH147" s="35">
        <f t="shared" si="293"/>
        <v>2.2214452594167707E-2</v>
      </c>
      <c r="BI147" s="35">
        <f t="shared" si="293"/>
        <v>2.2214452594167707E-2</v>
      </c>
      <c r="BJ147" s="35">
        <f t="shared" si="293"/>
        <v>2.2214452594167707E-2</v>
      </c>
    </row>
    <row r="148" spans="1:62" x14ac:dyDescent="0.25">
      <c r="A148" t="s">
        <v>130</v>
      </c>
      <c r="K148" s="17">
        <f>K146/K130</f>
        <v>-1.0608737152410412</v>
      </c>
      <c r="L148" s="17">
        <f>L146/L130</f>
        <v>0.70895974789871696</v>
      </c>
      <c r="M148" s="17">
        <f t="shared" ref="M148:AN148" si="297">M146/M130</f>
        <v>0.53830483548536456</v>
      </c>
      <c r="N148" s="17">
        <f t="shared" si="297"/>
        <v>0.49416610398885708</v>
      </c>
      <c r="O148" s="17">
        <f t="shared" si="297"/>
        <v>0.51325112837515507</v>
      </c>
      <c r="P148" s="17">
        <f t="shared" si="297"/>
        <v>0.36315545167824997</v>
      </c>
      <c r="Q148" s="17">
        <f t="shared" si="297"/>
        <v>0.38343552465275982</v>
      </c>
      <c r="R148" s="17">
        <f t="shared" si="297"/>
        <v>0.34995803359012523</v>
      </c>
      <c r="S148" s="17">
        <f t="shared" si="297"/>
        <v>0.30463617691220612</v>
      </c>
      <c r="T148" s="17">
        <f t="shared" si="297"/>
        <v>0.32614322627950659</v>
      </c>
      <c r="U148" s="17">
        <f t="shared" si="297"/>
        <v>0.25624892109871622</v>
      </c>
      <c r="V148" s="17">
        <f t="shared" si="297"/>
        <v>0.2502746889021033</v>
      </c>
      <c r="W148" s="17">
        <f t="shared" si="297"/>
        <v>0.23008722994633829</v>
      </c>
      <c r="X148" s="17">
        <f t="shared" si="297"/>
        <v>0.21527055260154968</v>
      </c>
      <c r="Y148" s="17">
        <f t="shared" si="297"/>
        <v>0.22487698531034322</v>
      </c>
      <c r="Z148" s="17">
        <f t="shared" si="297"/>
        <v>0.15191637090640292</v>
      </c>
      <c r="AA148" s="17">
        <f t="shared" si="297"/>
        <v>0.12915955337249865</v>
      </c>
      <c r="AB148" s="17">
        <f t="shared" si="297"/>
        <v>0.14734157478361395</v>
      </c>
      <c r="AC148" s="17">
        <f t="shared" si="297"/>
        <v>0.1207458581570505</v>
      </c>
      <c r="AD148" s="17">
        <f t="shared" si="297"/>
        <v>0.11663969568750551</v>
      </c>
      <c r="AE148" s="17">
        <f t="shared" si="297"/>
        <v>7.6920543280865034E-2</v>
      </c>
      <c r="AF148" s="17">
        <f t="shared" si="297"/>
        <v>6.140561854470513E-2</v>
      </c>
      <c r="AG148" s="17">
        <f t="shared" si="297"/>
        <v>5.3184370165041898E-2</v>
      </c>
      <c r="AH148" s="17">
        <f t="shared" si="297"/>
        <v>4.7150929153941819E-2</v>
      </c>
      <c r="AI148" s="17">
        <f t="shared" si="297"/>
        <v>4.2590106306792441E-2</v>
      </c>
      <c r="AJ148" s="17">
        <f t="shared" si="297"/>
        <v>7.1553365129705272E-3</v>
      </c>
      <c r="AK148" s="17">
        <f t="shared" si="297"/>
        <v>-5.2833483454142573E-3</v>
      </c>
      <c r="AL148" s="17">
        <f t="shared" si="297"/>
        <v>-1.0617305176489601E-2</v>
      </c>
      <c r="AM148" s="17">
        <f t="shared" si="297"/>
        <v>-1.5751620142740268E-2</v>
      </c>
      <c r="AN148" s="17">
        <f t="shared" si="297"/>
        <v>-2.0089290044925164E-2</v>
      </c>
      <c r="AO148" s="35">
        <f t="shared" si="295"/>
        <v>0.11454142844287508</v>
      </c>
      <c r="AP148" s="35">
        <f t="shared" si="293"/>
        <v>0.11454142844287508</v>
      </c>
      <c r="AQ148" s="35">
        <f t="shared" si="293"/>
        <v>0.11454142844287508</v>
      </c>
      <c r="AR148" s="35">
        <f t="shared" si="293"/>
        <v>0.11454142844287508</v>
      </c>
      <c r="AS148" s="35">
        <f t="shared" si="293"/>
        <v>0.11454142844287508</v>
      </c>
      <c r="AT148" s="35">
        <f t="shared" si="293"/>
        <v>0.11454142844287508</v>
      </c>
      <c r="AU148" s="35">
        <f t="shared" si="293"/>
        <v>0.11454142844287508</v>
      </c>
      <c r="AV148" s="35">
        <f t="shared" si="293"/>
        <v>0.11454142844287508</v>
      </c>
      <c r="AW148" s="35">
        <f t="shared" si="293"/>
        <v>0.11454142844287508</v>
      </c>
      <c r="AX148" s="35">
        <f t="shared" si="293"/>
        <v>0.11454142844287508</v>
      </c>
      <c r="AY148" s="35">
        <f t="shared" si="293"/>
        <v>0.11454142844287508</v>
      </c>
      <c r="AZ148" s="35">
        <f t="shared" si="293"/>
        <v>0.11454142844287508</v>
      </c>
      <c r="BA148" s="35">
        <f t="shared" si="293"/>
        <v>0.11454142844287508</v>
      </c>
      <c r="BB148" s="35">
        <f t="shared" si="293"/>
        <v>0.11454142844287508</v>
      </c>
      <c r="BC148" s="35">
        <f t="shared" si="293"/>
        <v>0.11454142844287508</v>
      </c>
      <c r="BD148" s="35">
        <f t="shared" si="293"/>
        <v>0.11454142844287508</v>
      </c>
      <c r="BE148" s="35">
        <f t="shared" si="293"/>
        <v>0.11454142844287508</v>
      </c>
      <c r="BF148" s="35">
        <f t="shared" si="293"/>
        <v>0.11454142844287508</v>
      </c>
      <c r="BG148" s="35">
        <f t="shared" si="293"/>
        <v>0.11454142844287508</v>
      </c>
      <c r="BH148" s="35">
        <f t="shared" si="293"/>
        <v>0.11454142844287508</v>
      </c>
      <c r="BI148" s="35">
        <f t="shared" si="293"/>
        <v>0.11454142844287508</v>
      </c>
      <c r="BJ148" s="35">
        <f t="shared" si="293"/>
        <v>0.11454142844287508</v>
      </c>
    </row>
    <row r="149" spans="1:62" x14ac:dyDescent="0.25">
      <c r="A149" t="s">
        <v>132</v>
      </c>
      <c r="K149" s="17">
        <f>K147/K130</f>
        <v>0.89157800841675439</v>
      </c>
      <c r="L149" s="17">
        <f>L147/L130</f>
        <v>0.97208359301829816</v>
      </c>
      <c r="M149" s="17">
        <f t="shared" ref="M149:AN149" si="298">M147/M130</f>
        <v>0.9716908628447144</v>
      </c>
      <c r="N149" s="17">
        <f t="shared" si="298"/>
        <v>0.98133579017834394</v>
      </c>
      <c r="O149" s="17">
        <f t="shared" si="298"/>
        <v>0.91574279824242555</v>
      </c>
      <c r="P149" s="17">
        <f t="shared" si="298"/>
        <v>0.89174115315666691</v>
      </c>
      <c r="Q149" s="17">
        <f t="shared" si="298"/>
        <v>0.82425430372680586</v>
      </c>
      <c r="R149" s="17">
        <f t="shared" si="298"/>
        <v>0.77299298814427986</v>
      </c>
      <c r="S149" s="17">
        <f t="shared" si="298"/>
        <v>0.74348234990581141</v>
      </c>
      <c r="T149" s="17">
        <f t="shared" si="298"/>
        <v>0.66298257666822158</v>
      </c>
      <c r="U149" s="17">
        <f t="shared" si="298"/>
        <v>0.66648737419521586</v>
      </c>
      <c r="V149" s="17">
        <f t="shared" si="298"/>
        <v>0.60676800514081108</v>
      </c>
      <c r="W149" s="17">
        <f t="shared" si="298"/>
        <v>0.56674095412180292</v>
      </c>
      <c r="X149" s="17">
        <f t="shared" si="298"/>
        <v>0.52747639274678271</v>
      </c>
      <c r="Y149" s="17">
        <f t="shared" si="298"/>
        <v>0.48729912516121315</v>
      </c>
      <c r="Z149" s="17">
        <f t="shared" si="298"/>
        <v>0.49910273537763417</v>
      </c>
      <c r="AA149" s="17">
        <f t="shared" si="298"/>
        <v>0.50330678131409612</v>
      </c>
      <c r="AB149" s="17">
        <f t="shared" si="298"/>
        <v>0.44187589749802619</v>
      </c>
      <c r="AC149" s="17">
        <f t="shared" si="298"/>
        <v>0.41704550717482058</v>
      </c>
      <c r="AD149" s="17">
        <f t="shared" si="298"/>
        <v>0.39442411461169208</v>
      </c>
      <c r="AE149" s="17">
        <f t="shared" si="298"/>
        <v>0.3952072817483171</v>
      </c>
      <c r="AF149" s="17">
        <f t="shared" si="298"/>
        <v>0.3752571838167556</v>
      </c>
      <c r="AG149" s="17">
        <f t="shared" si="298"/>
        <v>0.35752152533343534</v>
      </c>
      <c r="AH149" s="17">
        <f t="shared" si="298"/>
        <v>0.34052706211434036</v>
      </c>
      <c r="AI149" s="17">
        <f t="shared" si="298"/>
        <v>0.32498594547012194</v>
      </c>
      <c r="AJ149" s="17">
        <f t="shared" si="298"/>
        <v>0.32987859714642898</v>
      </c>
      <c r="AK149" s="17">
        <f t="shared" si="298"/>
        <v>0.31611714706483662</v>
      </c>
      <c r="AL149" s="17">
        <f t="shared" si="298"/>
        <v>0.30424537347091185</v>
      </c>
      <c r="AM149" s="17">
        <f t="shared" si="298"/>
        <v>0.29350741095122629</v>
      </c>
      <c r="AN149" s="17">
        <f t="shared" si="298"/>
        <v>0.28279521414920078</v>
      </c>
      <c r="AO149" s="35">
        <f t="shared" si="295"/>
        <v>0.43302629548932831</v>
      </c>
      <c r="AP149" s="35">
        <f t="shared" si="293"/>
        <v>0.43302629548932831</v>
      </c>
      <c r="AQ149" s="35">
        <f t="shared" si="293"/>
        <v>0.43302629548932831</v>
      </c>
      <c r="AR149" s="35">
        <f t="shared" si="293"/>
        <v>0.43302629548932831</v>
      </c>
      <c r="AS149" s="35">
        <f t="shared" si="293"/>
        <v>0.43302629548932831</v>
      </c>
      <c r="AT149" s="35">
        <f t="shared" si="293"/>
        <v>0.43302629548932831</v>
      </c>
      <c r="AU149" s="35">
        <f t="shared" si="293"/>
        <v>0.43302629548932831</v>
      </c>
      <c r="AV149" s="35">
        <f t="shared" si="293"/>
        <v>0.43302629548932831</v>
      </c>
      <c r="AW149" s="35">
        <f t="shared" si="293"/>
        <v>0.43302629548932831</v>
      </c>
      <c r="AX149" s="35">
        <f t="shared" si="293"/>
        <v>0.43302629548932831</v>
      </c>
      <c r="AY149" s="35">
        <f t="shared" si="293"/>
        <v>0.43302629548932831</v>
      </c>
      <c r="AZ149" s="35">
        <f t="shared" si="293"/>
        <v>0.43302629548932831</v>
      </c>
      <c r="BA149" s="35">
        <f t="shared" si="293"/>
        <v>0.43302629548932831</v>
      </c>
      <c r="BB149" s="35">
        <f t="shared" si="293"/>
        <v>0.43302629548932831</v>
      </c>
      <c r="BC149" s="35">
        <f t="shared" si="293"/>
        <v>0.43302629548932831</v>
      </c>
      <c r="BD149" s="35">
        <f t="shared" si="293"/>
        <v>0.43302629548932831</v>
      </c>
      <c r="BE149" s="35">
        <f t="shared" si="293"/>
        <v>0.43302629548932831</v>
      </c>
      <c r="BF149" s="35">
        <f t="shared" si="293"/>
        <v>0.43302629548932831</v>
      </c>
      <c r="BG149" s="35">
        <f t="shared" si="293"/>
        <v>0.43302629548932831</v>
      </c>
      <c r="BH149" s="35">
        <f t="shared" si="293"/>
        <v>0.43302629548932831</v>
      </c>
      <c r="BI149" s="35">
        <f t="shared" si="293"/>
        <v>0.43302629548932831</v>
      </c>
      <c r="BJ149" s="35">
        <f t="shared" si="293"/>
        <v>0.43302629548932831</v>
      </c>
    </row>
    <row r="152" spans="1:62" x14ac:dyDescent="0.25">
      <c r="A152" t="s">
        <v>128</v>
      </c>
    </row>
    <row r="153" spans="1:62" x14ac:dyDescent="0.25">
      <c r="B153" s="3" t="s">
        <v>87</v>
      </c>
      <c r="C153" s="3" t="s">
        <v>88</v>
      </c>
      <c r="D153" s="3" t="s">
        <v>89</v>
      </c>
      <c r="E153" s="3" t="s">
        <v>90</v>
      </c>
      <c r="F153" s="3" t="s">
        <v>91</v>
      </c>
      <c r="G153" s="3" t="s">
        <v>92</v>
      </c>
      <c r="H153" s="3" t="s">
        <v>93</v>
      </c>
      <c r="I153" s="3" t="s">
        <v>94</v>
      </c>
      <c r="J153" s="3" t="s">
        <v>95</v>
      </c>
      <c r="K153" s="3" t="s">
        <v>96</v>
      </c>
      <c r="L153" s="3" t="s">
        <v>97</v>
      </c>
      <c r="M153" s="3" t="s">
        <v>98</v>
      </c>
      <c r="N153" s="3" t="s">
        <v>99</v>
      </c>
      <c r="O153" s="3" t="s">
        <v>100</v>
      </c>
      <c r="P153" s="3" t="s">
        <v>101</v>
      </c>
      <c r="Q153" s="3" t="s">
        <v>102</v>
      </c>
      <c r="R153" s="3" t="s">
        <v>103</v>
      </c>
      <c r="S153" s="3" t="s">
        <v>104</v>
      </c>
      <c r="T153" s="3" t="s">
        <v>105</v>
      </c>
      <c r="U153" s="3" t="s">
        <v>106</v>
      </c>
      <c r="V153" s="3" t="s">
        <v>107</v>
      </c>
      <c r="W153" s="3" t="s">
        <v>108</v>
      </c>
      <c r="X153" s="3" t="s">
        <v>109</v>
      </c>
      <c r="Y153" s="3" t="s">
        <v>110</v>
      </c>
      <c r="Z153" s="3" t="s">
        <v>111</v>
      </c>
      <c r="AA153" s="3" t="s">
        <v>112</v>
      </c>
      <c r="AB153" s="3" t="s">
        <v>113</v>
      </c>
      <c r="AC153" s="3" t="s">
        <v>114</v>
      </c>
      <c r="AD153" s="3" t="s">
        <v>115</v>
      </c>
      <c r="AE153" s="3" t="s">
        <v>116</v>
      </c>
      <c r="AF153" s="3" t="s">
        <v>117</v>
      </c>
      <c r="AG153" s="3" t="s">
        <v>118</v>
      </c>
      <c r="AH153" s="3" t="s">
        <v>119</v>
      </c>
      <c r="AI153" s="3" t="s">
        <v>120</v>
      </c>
      <c r="AJ153" s="3" t="s">
        <v>121</v>
      </c>
      <c r="AK153" s="3" t="s">
        <v>122</v>
      </c>
      <c r="AL153" s="3" t="s">
        <v>123</v>
      </c>
      <c r="AM153" s="3" t="s">
        <v>124</v>
      </c>
      <c r="AN153" s="3" t="s">
        <v>125</v>
      </c>
    </row>
    <row r="154" spans="1:62" x14ac:dyDescent="0.25">
      <c r="B154">
        <v>0.29299999999999998</v>
      </c>
      <c r="C154">
        <v>0.29799999999999999</v>
      </c>
      <c r="D154">
        <v>0.30099999999999999</v>
      </c>
      <c r="E154">
        <v>0.30299999999999999</v>
      </c>
      <c r="F154">
        <v>0.30299999999999999</v>
      </c>
      <c r="G154">
        <v>0.307</v>
      </c>
      <c r="H154">
        <v>0.308</v>
      </c>
      <c r="I154">
        <v>0.30599999999999999</v>
      </c>
      <c r="J154">
        <v>0.27900000000000003</v>
      </c>
      <c r="K154">
        <v>0.29081079913606916</v>
      </c>
      <c r="L154">
        <v>0.29743930885529163</v>
      </c>
      <c r="M154">
        <v>0.30520810765907963</v>
      </c>
      <c r="N154">
        <v>0.31461781026748631</v>
      </c>
      <c r="O154">
        <v>0.3244725037381625</v>
      </c>
      <c r="P154">
        <v>0.33579195879714235</v>
      </c>
      <c r="Q154">
        <v>0.34753786343246384</v>
      </c>
      <c r="R154">
        <v>0.39310307360026581</v>
      </c>
      <c r="S154">
        <v>0.40956773550423659</v>
      </c>
      <c r="T154">
        <v>0.42587479647782017</v>
      </c>
      <c r="U154">
        <v>0.4432850639641136</v>
      </c>
      <c r="V154">
        <v>0.46098272138228935</v>
      </c>
      <c r="W154">
        <v>0.4793200531649775</v>
      </c>
      <c r="X154">
        <v>0.49854736667220462</v>
      </c>
      <c r="Y154">
        <v>0.51659730852301033</v>
      </c>
      <c r="Z154">
        <v>0.536260342249543</v>
      </c>
      <c r="AA154">
        <v>0.5601786010965274</v>
      </c>
      <c r="AB154">
        <v>0.62079006479481613</v>
      </c>
      <c r="AC154">
        <v>0.64689619538129239</v>
      </c>
      <c r="AD154">
        <v>0.67391084897823539</v>
      </c>
      <c r="AE154">
        <v>0.701685695298222</v>
      </c>
      <c r="AF154">
        <v>0.7310272802791159</v>
      </c>
      <c r="AG154">
        <v>0.76197268649277261</v>
      </c>
      <c r="AH154">
        <v>0.79467024422661536</v>
      </c>
      <c r="AI154">
        <v>0.82848027911613187</v>
      </c>
      <c r="AJ154">
        <v>0.862002924073766</v>
      </c>
      <c r="AK154">
        <v>0.89707376640637937</v>
      </c>
      <c r="AL154">
        <v>0.9338411364013951</v>
      </c>
      <c r="AM154">
        <v>0.97244409370327267</v>
      </c>
      <c r="AN154">
        <v>1.0131607576009301</v>
      </c>
    </row>
    <row r="155" spans="1:62" x14ac:dyDescent="0.25">
      <c r="A155" t="s">
        <v>73</v>
      </c>
      <c r="C155" s="1">
        <f>C154/B154-1</f>
        <v>1.7064846416382284E-2</v>
      </c>
      <c r="D155" s="1">
        <f t="shared" ref="D155:AN155" si="299">D154/C154-1</f>
        <v>1.0067114093959662E-2</v>
      </c>
      <c r="E155" s="1">
        <f t="shared" si="299"/>
        <v>6.6445182724252927E-3</v>
      </c>
      <c r="F155" s="1">
        <f t="shared" si="299"/>
        <v>0</v>
      </c>
      <c r="G155" s="1">
        <f t="shared" si="299"/>
        <v>1.3201320132013139E-2</v>
      </c>
      <c r="H155" s="1">
        <f t="shared" si="299"/>
        <v>3.2573289902280145E-3</v>
      </c>
      <c r="I155" s="1">
        <f t="shared" si="299"/>
        <v>-6.4935064935065512E-3</v>
      </c>
      <c r="J155" s="1">
        <f t="shared" si="299"/>
        <v>-8.8235294117646967E-2</v>
      </c>
      <c r="K155" s="1">
        <f t="shared" si="299"/>
        <v>4.2332613390928753E-2</v>
      </c>
      <c r="L155" s="1">
        <f t="shared" si="299"/>
        <v>2.2793203481143776E-2</v>
      </c>
      <c r="M155" s="1">
        <f t="shared" si="299"/>
        <v>2.6118937788305763E-2</v>
      </c>
      <c r="N155" s="1">
        <f t="shared" si="299"/>
        <v>3.0830447724925492E-2</v>
      </c>
      <c r="O155" s="1">
        <f t="shared" si="299"/>
        <v>3.1322745086483694E-2</v>
      </c>
      <c r="P155" s="1">
        <f t="shared" si="299"/>
        <v>3.4885714285714187E-2</v>
      </c>
      <c r="Q155" s="1">
        <f t="shared" si="299"/>
        <v>3.497970790425442E-2</v>
      </c>
      <c r="R155" s="1">
        <f t="shared" si="299"/>
        <v>0.13110862142552282</v>
      </c>
      <c r="S155" s="1">
        <f t="shared" si="299"/>
        <v>4.1883828974365045E-2</v>
      </c>
      <c r="T155" s="1">
        <f t="shared" si="299"/>
        <v>3.9815296860499227E-2</v>
      </c>
      <c r="U155" s="1">
        <f t="shared" si="299"/>
        <v>4.0881187687753062E-2</v>
      </c>
      <c r="V155" s="1">
        <f t="shared" si="299"/>
        <v>3.992387485360549E-2</v>
      </c>
      <c r="W155" s="1">
        <f t="shared" si="299"/>
        <v>3.9778783308195065E-2</v>
      </c>
      <c r="X155" s="1">
        <f t="shared" si="299"/>
        <v>4.0113726476219913E-2</v>
      </c>
      <c r="Y155" s="1">
        <f t="shared" si="299"/>
        <v>3.6205069081577612E-2</v>
      </c>
      <c r="Z155" s="1">
        <f t="shared" si="299"/>
        <v>3.8062594214342216E-2</v>
      </c>
      <c r="AA155" s="1">
        <f t="shared" si="299"/>
        <v>4.4601953496412605E-2</v>
      </c>
      <c r="AB155" s="1">
        <f t="shared" si="299"/>
        <v>0.10820024824162178</v>
      </c>
      <c r="AC155" s="1">
        <f t="shared" si="299"/>
        <v>4.2053074085689257E-2</v>
      </c>
      <c r="AD155" s="1">
        <f t="shared" si="299"/>
        <v>4.1760415024577613E-2</v>
      </c>
      <c r="AE155" s="1">
        <f t="shared" si="299"/>
        <v>4.121442229650718E-2</v>
      </c>
      <c r="AF155" s="1">
        <f t="shared" si="299"/>
        <v>4.1815851708967067E-2</v>
      </c>
      <c r="AG155" s="1">
        <f t="shared" si="299"/>
        <v>4.2331397265833015E-2</v>
      </c>
      <c r="AH155" s="1">
        <f t="shared" si="299"/>
        <v>4.2911718902082896E-2</v>
      </c>
      <c r="AI155" s="1">
        <f t="shared" si="299"/>
        <v>4.2545993303701568E-2</v>
      </c>
      <c r="AJ155" s="1">
        <f t="shared" si="299"/>
        <v>4.046281583600031E-2</v>
      </c>
      <c r="AK155" s="1">
        <f t="shared" si="299"/>
        <v>4.0685293927857025E-2</v>
      </c>
      <c r="AL155" s="1">
        <f t="shared" si="299"/>
        <v>4.0985893659897688E-2</v>
      </c>
      <c r="AM155" s="1">
        <f t="shared" si="299"/>
        <v>4.1337820531911929E-2</v>
      </c>
      <c r="AN155" s="1">
        <f t="shared" si="299"/>
        <v>4.1870441870441866E-2</v>
      </c>
      <c r="AO155" s="35">
        <f>AN155</f>
        <v>4.1870441870441866E-2</v>
      </c>
      <c r="AP155" s="35">
        <f t="shared" ref="AP155:BJ155" si="300">AO155</f>
        <v>4.1870441870441866E-2</v>
      </c>
      <c r="AQ155" s="35">
        <f t="shared" si="300"/>
        <v>4.1870441870441866E-2</v>
      </c>
      <c r="AR155" s="35">
        <f t="shared" si="300"/>
        <v>4.1870441870441866E-2</v>
      </c>
      <c r="AS155" s="35">
        <f t="shared" si="300"/>
        <v>4.1870441870441866E-2</v>
      </c>
      <c r="AT155" s="35">
        <f t="shared" si="300"/>
        <v>4.1870441870441866E-2</v>
      </c>
      <c r="AU155" s="35">
        <f t="shared" si="300"/>
        <v>4.1870441870441866E-2</v>
      </c>
      <c r="AV155" s="35">
        <f t="shared" si="300"/>
        <v>4.1870441870441866E-2</v>
      </c>
      <c r="AW155" s="35">
        <f t="shared" si="300"/>
        <v>4.1870441870441866E-2</v>
      </c>
      <c r="AX155" s="35">
        <f t="shared" si="300"/>
        <v>4.1870441870441866E-2</v>
      </c>
      <c r="AY155" s="35">
        <f t="shared" si="300"/>
        <v>4.1870441870441866E-2</v>
      </c>
      <c r="AZ155" s="35">
        <f t="shared" si="300"/>
        <v>4.1870441870441866E-2</v>
      </c>
      <c r="BA155" s="35">
        <f t="shared" si="300"/>
        <v>4.1870441870441866E-2</v>
      </c>
      <c r="BB155" s="35">
        <f t="shared" si="300"/>
        <v>4.1870441870441866E-2</v>
      </c>
      <c r="BC155" s="35">
        <f t="shared" si="300"/>
        <v>4.1870441870441866E-2</v>
      </c>
      <c r="BD155" s="35">
        <f t="shared" si="300"/>
        <v>4.1870441870441866E-2</v>
      </c>
      <c r="BE155" s="35">
        <f t="shared" si="300"/>
        <v>4.1870441870441866E-2</v>
      </c>
      <c r="BF155" s="35">
        <f t="shared" si="300"/>
        <v>4.1870441870441866E-2</v>
      </c>
      <c r="BG155" s="35">
        <f t="shared" si="300"/>
        <v>4.1870441870441866E-2</v>
      </c>
      <c r="BH155" s="35">
        <f t="shared" si="300"/>
        <v>4.1870441870441866E-2</v>
      </c>
      <c r="BI155" s="35">
        <f t="shared" si="300"/>
        <v>4.1870441870441866E-2</v>
      </c>
      <c r="BJ155" s="35">
        <f t="shared" si="300"/>
        <v>4.1870441870441866E-2</v>
      </c>
    </row>
    <row r="156" spans="1:62" x14ac:dyDescent="0.25">
      <c r="A156" t="s">
        <v>133</v>
      </c>
      <c r="C156" s="17">
        <f>C155/C130</f>
        <v>0.68877804845189017</v>
      </c>
      <c r="D156" s="17">
        <f t="shared" ref="D156:AN156" si="301">D155/D130</f>
        <v>0.5360336040473298</v>
      </c>
      <c r="E156" s="17">
        <f t="shared" si="301"/>
        <v>0.52150750637218679</v>
      </c>
      <c r="F156" s="17">
        <f t="shared" si="301"/>
        <v>0</v>
      </c>
      <c r="G156" s="17">
        <f t="shared" si="301"/>
        <v>1.1117371704401748</v>
      </c>
      <c r="H156" s="17">
        <f t="shared" si="301"/>
        <v>0.32065064375917796</v>
      </c>
      <c r="I156" s="17">
        <f t="shared" si="301"/>
        <v>-0.7567131574525453</v>
      </c>
      <c r="J156" s="17">
        <f t="shared" si="301"/>
        <v>1.2177175336862129</v>
      </c>
      <c r="K156" s="17">
        <f t="shared" si="301"/>
        <v>1.0633334477709711</v>
      </c>
      <c r="L156" s="17">
        <f t="shared" si="301"/>
        <v>0.68161142029799304</v>
      </c>
      <c r="M156" s="17">
        <f t="shared" si="301"/>
        <v>0.74709398602780341</v>
      </c>
      <c r="N156" s="17">
        <f t="shared" si="301"/>
        <v>0.79534084517039594</v>
      </c>
      <c r="O156" s="17">
        <f t="shared" si="301"/>
        <v>0.78614367815186847</v>
      </c>
      <c r="P156" s="17">
        <f t="shared" si="301"/>
        <v>0.79179953532704683</v>
      </c>
      <c r="Q156" s="17">
        <f t="shared" si="301"/>
        <v>0.77253605495113342</v>
      </c>
      <c r="R156" s="17">
        <f t="shared" si="301"/>
        <v>2.7973709433016185</v>
      </c>
      <c r="S156" s="17">
        <f t="shared" si="301"/>
        <v>0.82396995707871445</v>
      </c>
      <c r="T156" s="17">
        <f t="shared" si="301"/>
        <v>0.77969236308512202</v>
      </c>
      <c r="U156" s="17">
        <f t="shared" si="301"/>
        <v>0.82155298711803049</v>
      </c>
      <c r="V156" s="17">
        <f t="shared" si="301"/>
        <v>0.79392188918951079</v>
      </c>
      <c r="W156" s="17">
        <f t="shared" si="301"/>
        <v>0.78709926479301784</v>
      </c>
      <c r="X156" s="17">
        <f t="shared" si="301"/>
        <v>0.78816280439447794</v>
      </c>
      <c r="Y156" s="17">
        <f t="shared" si="301"/>
        <v>0.75402046357616392</v>
      </c>
      <c r="Z156" s="17">
        <f t="shared" si="301"/>
        <v>0.79309200676892877</v>
      </c>
      <c r="AA156" s="17">
        <f t="shared" si="301"/>
        <v>0.87118595260200171</v>
      </c>
      <c r="AB156" s="17">
        <f t="shared" si="301"/>
        <v>2.0916095960537135</v>
      </c>
      <c r="AC156" s="17">
        <f t="shared" si="301"/>
        <v>0.80062636243436269</v>
      </c>
      <c r="AD156" s="17">
        <f t="shared" si="301"/>
        <v>0.79678970723605247</v>
      </c>
      <c r="AE156" s="17">
        <f t="shared" si="301"/>
        <v>0.78583406768618735</v>
      </c>
      <c r="AF156" s="17">
        <f t="shared" si="301"/>
        <v>0.79082683250689689</v>
      </c>
      <c r="AG156" s="17">
        <f t="shared" si="301"/>
        <v>0.79350953269247193</v>
      </c>
      <c r="AH156" s="17">
        <f t="shared" si="301"/>
        <v>0.79780302604457698</v>
      </c>
      <c r="AI156" s="17">
        <f t="shared" si="301"/>
        <v>0.79633094072684418</v>
      </c>
      <c r="AJ156" s="17">
        <f t="shared" si="301"/>
        <v>0.7810511412092811</v>
      </c>
      <c r="AK156" s="17">
        <f t="shared" si="301"/>
        <v>0.78312501760250264</v>
      </c>
      <c r="AL156" s="17">
        <f t="shared" si="301"/>
        <v>0.78671804157654557</v>
      </c>
      <c r="AM156" s="17">
        <f t="shared" si="301"/>
        <v>0.79074409069426133</v>
      </c>
      <c r="AN156" s="17">
        <f t="shared" si="301"/>
        <v>0.79473493444009191</v>
      </c>
      <c r="AO156" s="35">
        <f>AN156</f>
        <v>0.79473493444009191</v>
      </c>
      <c r="AP156" s="35">
        <f t="shared" ref="AP156:BJ156" si="302">AO156</f>
        <v>0.79473493444009191</v>
      </c>
      <c r="AQ156" s="35">
        <f t="shared" si="302"/>
        <v>0.79473493444009191</v>
      </c>
      <c r="AR156" s="35">
        <f t="shared" si="302"/>
        <v>0.79473493444009191</v>
      </c>
      <c r="AS156" s="35">
        <f t="shared" si="302"/>
        <v>0.79473493444009191</v>
      </c>
      <c r="AT156" s="35">
        <f t="shared" si="302"/>
        <v>0.79473493444009191</v>
      </c>
      <c r="AU156" s="35">
        <f t="shared" si="302"/>
        <v>0.79473493444009191</v>
      </c>
      <c r="AV156" s="35">
        <f t="shared" si="302"/>
        <v>0.79473493444009191</v>
      </c>
      <c r="AW156" s="35">
        <f t="shared" si="302"/>
        <v>0.79473493444009191</v>
      </c>
      <c r="AX156" s="35">
        <f t="shared" si="302"/>
        <v>0.79473493444009191</v>
      </c>
      <c r="AY156" s="35">
        <f t="shared" si="302"/>
        <v>0.79473493444009191</v>
      </c>
      <c r="AZ156" s="35">
        <f t="shared" si="302"/>
        <v>0.79473493444009191</v>
      </c>
      <c r="BA156" s="35">
        <f t="shared" si="302"/>
        <v>0.79473493444009191</v>
      </c>
      <c r="BB156" s="35">
        <f t="shared" si="302"/>
        <v>0.79473493444009191</v>
      </c>
      <c r="BC156" s="35">
        <f t="shared" si="302"/>
        <v>0.79473493444009191</v>
      </c>
      <c r="BD156" s="35">
        <f t="shared" si="302"/>
        <v>0.79473493444009191</v>
      </c>
      <c r="BE156" s="35">
        <f t="shared" si="302"/>
        <v>0.79473493444009191</v>
      </c>
      <c r="BF156" s="35">
        <f t="shared" si="302"/>
        <v>0.79473493444009191</v>
      </c>
      <c r="BG156" s="35">
        <f t="shared" si="302"/>
        <v>0.79473493444009191</v>
      </c>
      <c r="BH156" s="35">
        <f t="shared" si="302"/>
        <v>0.79473493444009191</v>
      </c>
      <c r="BI156" s="35">
        <f t="shared" si="302"/>
        <v>0.79473493444009191</v>
      </c>
      <c r="BJ156" s="35">
        <f t="shared" si="302"/>
        <v>0.79473493444009191</v>
      </c>
    </row>
  </sheetData>
  <sortState xmlns:xlrd2="http://schemas.microsoft.com/office/spreadsheetml/2017/richdata2" ref="B12:AE33">
    <sortCondition ref="B12"/>
  </sortState>
  <phoneticPr fontId="12" type="noConversion"/>
  <dataValidations disablePrompts="1" count="1">
    <dataValidation type="list" allowBlank="1" showInputMessage="1" showErrorMessage="1" sqref="C2" xr:uid="{29DD86B7-4D2C-4C6A-B686-AB9DCC290944}">
      <formula1>$A$53:$A$62</formula1>
    </dataValidation>
  </dataValidations>
  <pageMargins left="0.7" right="0.7" top="0.75" bottom="0.75" header="0.3" footer="0.3"/>
  <pageSetup paperSize="9" orientation="portrait" horizont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357C7-7E56-47B2-BA40-9D9E03450891}">
  <sheetPr codeName="Sheet6"/>
  <dimension ref="B7:AO30"/>
  <sheetViews>
    <sheetView topLeftCell="B1" workbookViewId="0">
      <selection activeCell="F30" sqref="F30:Z30"/>
    </sheetView>
  </sheetViews>
  <sheetFormatPr defaultRowHeight="15" x14ac:dyDescent="0.25"/>
  <sheetData>
    <row r="7" spans="2:41" x14ac:dyDescent="0.25">
      <c r="C7">
        <v>2012</v>
      </c>
      <c r="D7">
        <v>2013</v>
      </c>
      <c r="E7">
        <v>2014</v>
      </c>
      <c r="F7">
        <v>2015</v>
      </c>
      <c r="G7">
        <v>2016</v>
      </c>
      <c r="H7">
        <v>2017</v>
      </c>
      <c r="I7">
        <v>2018</v>
      </c>
      <c r="J7">
        <v>2019</v>
      </c>
      <c r="K7">
        <v>2020</v>
      </c>
      <c r="L7">
        <v>2021</v>
      </c>
      <c r="M7">
        <v>2022</v>
      </c>
      <c r="N7">
        <v>2023</v>
      </c>
      <c r="O7">
        <v>2024</v>
      </c>
      <c r="P7">
        <v>2025</v>
      </c>
      <c r="Q7">
        <v>2026</v>
      </c>
      <c r="R7">
        <v>2027</v>
      </c>
      <c r="S7">
        <v>2028</v>
      </c>
      <c r="T7">
        <v>2029</v>
      </c>
      <c r="U7">
        <v>2030</v>
      </c>
      <c r="V7">
        <v>2031</v>
      </c>
      <c r="W7">
        <v>2032</v>
      </c>
      <c r="X7">
        <v>2033</v>
      </c>
      <c r="Y7">
        <v>2034</v>
      </c>
      <c r="Z7">
        <v>2035</v>
      </c>
      <c r="AA7">
        <v>2036</v>
      </c>
      <c r="AB7">
        <v>2037</v>
      </c>
      <c r="AC7">
        <v>2038</v>
      </c>
      <c r="AD7">
        <v>2039</v>
      </c>
      <c r="AE7">
        <v>2040</v>
      </c>
      <c r="AF7">
        <v>2041</v>
      </c>
      <c r="AG7">
        <v>2042</v>
      </c>
      <c r="AH7">
        <v>2043</v>
      </c>
      <c r="AI7">
        <v>2044</v>
      </c>
      <c r="AJ7">
        <v>2045</v>
      </c>
      <c r="AK7">
        <v>2046</v>
      </c>
      <c r="AL7">
        <v>2047</v>
      </c>
      <c r="AM7">
        <v>2048</v>
      </c>
      <c r="AN7">
        <v>2049</v>
      </c>
      <c r="AO7">
        <v>2050</v>
      </c>
    </row>
    <row r="8" spans="2:41" x14ac:dyDescent="0.25">
      <c r="B8" t="s">
        <v>51</v>
      </c>
      <c r="C8">
        <v>0.5</v>
      </c>
      <c r="D8">
        <v>0.48899999999999999</v>
      </c>
      <c r="E8">
        <v>0.47299999999999998</v>
      </c>
      <c r="F8">
        <v>0.46100000000000002</v>
      </c>
      <c r="G8">
        <v>0.45200000000000001</v>
      </c>
      <c r="H8">
        <v>0.442</v>
      </c>
      <c r="I8">
        <v>0.43099999999999999</v>
      </c>
      <c r="J8">
        <v>0.42499999999999999</v>
      </c>
      <c r="K8">
        <v>0.432</v>
      </c>
      <c r="L8">
        <v>0.441</v>
      </c>
      <c r="M8">
        <v>0.43099999999999999</v>
      </c>
      <c r="N8">
        <v>0.42399999999999999</v>
      </c>
      <c r="O8">
        <v>0.41599999999999998</v>
      </c>
      <c r="P8">
        <v>0.40500000000000003</v>
      </c>
      <c r="Q8">
        <v>0.39300000000000002</v>
      </c>
      <c r="R8">
        <v>0.38100000000000001</v>
      </c>
      <c r="S8">
        <v>0.36899999999999999</v>
      </c>
      <c r="T8">
        <v>0.35699999999999998</v>
      </c>
      <c r="U8">
        <v>0.34300000000000003</v>
      </c>
      <c r="V8">
        <v>0.33</v>
      </c>
      <c r="W8">
        <v>0.318</v>
      </c>
      <c r="X8">
        <v>0.307</v>
      </c>
      <c r="Y8">
        <v>0.29599999999999999</v>
      </c>
      <c r="Z8">
        <v>0.28599999999999998</v>
      </c>
      <c r="AA8">
        <v>0.27800000000000002</v>
      </c>
      <c r="AB8">
        <v>0.26900000000000002</v>
      </c>
      <c r="AC8">
        <v>0.26100000000000001</v>
      </c>
      <c r="AD8">
        <v>0.253</v>
      </c>
      <c r="AE8">
        <v>0.246</v>
      </c>
      <c r="AF8">
        <v>0.23899999999999999</v>
      </c>
      <c r="AG8">
        <v>0.23200000000000001</v>
      </c>
      <c r="AH8">
        <v>0.22600000000000001</v>
      </c>
      <c r="AI8">
        <v>0.219</v>
      </c>
      <c r="AJ8">
        <v>0.21299999999999999</v>
      </c>
      <c r="AK8">
        <v>0.20699999999999999</v>
      </c>
      <c r="AL8">
        <v>0.20100000000000001</v>
      </c>
      <c r="AM8">
        <v>0.19500000000000001</v>
      </c>
      <c r="AN8">
        <v>0.189</v>
      </c>
      <c r="AO8">
        <v>0.184</v>
      </c>
    </row>
    <row r="9" spans="2:41" x14ac:dyDescent="0.25">
      <c r="B9" t="s">
        <v>52</v>
      </c>
      <c r="C9">
        <v>0.3</v>
      </c>
      <c r="D9">
        <v>0.29399999999999998</v>
      </c>
      <c r="E9">
        <v>0.29699999999999999</v>
      </c>
      <c r="F9">
        <v>0.29899999999999999</v>
      </c>
      <c r="G9">
        <v>0.3</v>
      </c>
      <c r="H9">
        <v>0.29899999999999999</v>
      </c>
      <c r="I9">
        <v>0.3</v>
      </c>
      <c r="J9">
        <v>0.30099999999999999</v>
      </c>
      <c r="K9">
        <v>0.309</v>
      </c>
      <c r="L9">
        <v>0.29299999999999998</v>
      </c>
      <c r="M9">
        <v>0.29499999999999998</v>
      </c>
      <c r="N9">
        <v>0.29699999999999999</v>
      </c>
      <c r="O9">
        <v>0.29799999999999999</v>
      </c>
      <c r="P9">
        <v>0.29799999999999999</v>
      </c>
      <c r="Q9">
        <v>0.30099999999999999</v>
      </c>
      <c r="R9">
        <v>0.30299999999999999</v>
      </c>
      <c r="S9">
        <v>0.30599999999999999</v>
      </c>
      <c r="T9">
        <v>0.308</v>
      </c>
      <c r="U9">
        <v>0.311</v>
      </c>
      <c r="V9">
        <v>0.314</v>
      </c>
      <c r="W9">
        <v>0.317</v>
      </c>
      <c r="X9">
        <v>0.31900000000000001</v>
      </c>
      <c r="Y9">
        <v>0.32200000000000001</v>
      </c>
      <c r="Z9">
        <v>0.32500000000000001</v>
      </c>
      <c r="AA9">
        <v>0.32700000000000001</v>
      </c>
      <c r="AB9">
        <v>0.33</v>
      </c>
      <c r="AC9">
        <v>0.33200000000000002</v>
      </c>
      <c r="AD9">
        <v>0.33500000000000002</v>
      </c>
      <c r="AE9">
        <v>0.33700000000000002</v>
      </c>
      <c r="AF9">
        <v>0.34</v>
      </c>
      <c r="AG9">
        <v>0.34200000000000003</v>
      </c>
      <c r="AH9">
        <v>0.34499999999999997</v>
      </c>
      <c r="AI9">
        <v>0.34699999999999998</v>
      </c>
      <c r="AJ9">
        <v>0.34899999999999998</v>
      </c>
      <c r="AK9">
        <v>0.35199999999999998</v>
      </c>
      <c r="AL9">
        <v>0.35499999999999998</v>
      </c>
      <c r="AM9">
        <v>0.35799999999999998</v>
      </c>
      <c r="AN9">
        <v>0.36099999999999999</v>
      </c>
      <c r="AO9">
        <v>0.36299999999999999</v>
      </c>
    </row>
    <row r="10" spans="2:41" x14ac:dyDescent="0.25">
      <c r="B10" t="s">
        <v>53</v>
      </c>
      <c r="C10">
        <v>0.2</v>
      </c>
      <c r="D10">
        <v>0.21099999999999999</v>
      </c>
      <c r="E10">
        <v>0.218</v>
      </c>
      <c r="F10">
        <v>0.223</v>
      </c>
      <c r="G10">
        <v>0.224</v>
      </c>
      <c r="H10">
        <v>0.22900000000000001</v>
      </c>
      <c r="I10">
        <v>0.23200000000000001</v>
      </c>
      <c r="J10">
        <v>0.23</v>
      </c>
      <c r="K10">
        <v>0.20799999999999999</v>
      </c>
      <c r="L10">
        <v>0.214</v>
      </c>
      <c r="M10">
        <v>0.218</v>
      </c>
      <c r="N10">
        <v>0.223</v>
      </c>
      <c r="O10">
        <v>0.22800000000000001</v>
      </c>
      <c r="P10">
        <v>0.23599999999999999</v>
      </c>
      <c r="Q10">
        <v>0.24399999999999999</v>
      </c>
      <c r="R10">
        <v>0.253</v>
      </c>
      <c r="S10">
        <v>0.26200000000000001</v>
      </c>
      <c r="T10">
        <v>0.27200000000000002</v>
      </c>
      <c r="U10">
        <v>0.28299999999999997</v>
      </c>
      <c r="V10">
        <v>0.29299999999999998</v>
      </c>
      <c r="W10">
        <v>0.30199999999999999</v>
      </c>
      <c r="X10">
        <v>0.312</v>
      </c>
      <c r="Y10">
        <v>0.32100000000000001</v>
      </c>
      <c r="Z10">
        <v>0.32900000000000001</v>
      </c>
      <c r="AA10">
        <v>0.33600000000000002</v>
      </c>
      <c r="AB10">
        <v>0.34399999999999997</v>
      </c>
      <c r="AC10">
        <v>0.35199999999999998</v>
      </c>
      <c r="AD10">
        <v>0.35799999999999998</v>
      </c>
      <c r="AE10">
        <v>0.36499999999999999</v>
      </c>
      <c r="AF10">
        <v>0.372</v>
      </c>
      <c r="AG10">
        <v>0.38</v>
      </c>
      <c r="AH10">
        <v>0.38700000000000001</v>
      </c>
      <c r="AI10">
        <v>0.39300000000000002</v>
      </c>
      <c r="AJ10">
        <v>0.4</v>
      </c>
      <c r="AK10">
        <v>0.40799999999999997</v>
      </c>
      <c r="AL10">
        <v>0.41499999999999998</v>
      </c>
      <c r="AM10">
        <v>0.42199999999999999</v>
      </c>
      <c r="AN10">
        <v>0.42899999999999999</v>
      </c>
      <c r="AO10">
        <v>0.435</v>
      </c>
    </row>
    <row r="11" spans="2:41" x14ac:dyDescent="0.25">
      <c r="C11">
        <f>SUM(C8:C10)</f>
        <v>1</v>
      </c>
      <c r="D11">
        <f t="shared" ref="D11:AO11" si="0">SUM(D8:D10)</f>
        <v>0.99399999999999988</v>
      </c>
      <c r="E11">
        <f t="shared" si="0"/>
        <v>0.98799999999999999</v>
      </c>
      <c r="F11">
        <f t="shared" si="0"/>
        <v>0.98299999999999998</v>
      </c>
      <c r="G11">
        <f t="shared" si="0"/>
        <v>0.97599999999999998</v>
      </c>
      <c r="H11">
        <f t="shared" si="0"/>
        <v>0.97</v>
      </c>
      <c r="I11">
        <f t="shared" si="0"/>
        <v>0.96299999999999997</v>
      </c>
      <c r="J11">
        <f t="shared" si="0"/>
        <v>0.95599999999999996</v>
      </c>
      <c r="K11">
        <f t="shared" si="0"/>
        <v>0.94899999999999995</v>
      </c>
      <c r="L11">
        <f t="shared" si="0"/>
        <v>0.94799999999999995</v>
      </c>
      <c r="M11">
        <f t="shared" si="0"/>
        <v>0.94399999999999995</v>
      </c>
      <c r="N11">
        <f t="shared" si="0"/>
        <v>0.94399999999999995</v>
      </c>
      <c r="O11">
        <f t="shared" si="0"/>
        <v>0.94199999999999995</v>
      </c>
      <c r="P11">
        <f t="shared" si="0"/>
        <v>0.93900000000000006</v>
      </c>
      <c r="Q11">
        <f t="shared" si="0"/>
        <v>0.93799999999999994</v>
      </c>
      <c r="R11">
        <f t="shared" si="0"/>
        <v>0.93699999999999994</v>
      </c>
      <c r="S11">
        <f t="shared" si="0"/>
        <v>0.93700000000000006</v>
      </c>
      <c r="T11">
        <f t="shared" si="0"/>
        <v>0.93700000000000006</v>
      </c>
      <c r="U11">
        <f t="shared" si="0"/>
        <v>0.93700000000000006</v>
      </c>
      <c r="V11">
        <f t="shared" si="0"/>
        <v>0.93700000000000006</v>
      </c>
      <c r="W11">
        <f t="shared" si="0"/>
        <v>0.93700000000000006</v>
      </c>
      <c r="X11">
        <f t="shared" si="0"/>
        <v>0.93799999999999994</v>
      </c>
      <c r="Y11">
        <f t="shared" si="0"/>
        <v>0.93900000000000006</v>
      </c>
      <c r="Z11">
        <f t="shared" si="0"/>
        <v>0.94</v>
      </c>
      <c r="AA11">
        <f t="shared" si="0"/>
        <v>0.94100000000000006</v>
      </c>
      <c r="AB11">
        <f t="shared" si="0"/>
        <v>0.94299999999999995</v>
      </c>
      <c r="AC11">
        <f t="shared" si="0"/>
        <v>0.94499999999999995</v>
      </c>
      <c r="AD11">
        <f t="shared" si="0"/>
        <v>0.94600000000000006</v>
      </c>
      <c r="AE11">
        <f t="shared" si="0"/>
        <v>0.94799999999999995</v>
      </c>
      <c r="AF11">
        <f t="shared" si="0"/>
        <v>0.95099999999999996</v>
      </c>
      <c r="AG11">
        <f t="shared" si="0"/>
        <v>0.95400000000000007</v>
      </c>
      <c r="AH11">
        <f t="shared" si="0"/>
        <v>0.95799999999999996</v>
      </c>
      <c r="AI11">
        <f t="shared" si="0"/>
        <v>0.95899999999999996</v>
      </c>
      <c r="AJ11">
        <f t="shared" si="0"/>
        <v>0.96199999999999997</v>
      </c>
      <c r="AK11">
        <f t="shared" si="0"/>
        <v>0.96699999999999986</v>
      </c>
      <c r="AL11">
        <f t="shared" si="0"/>
        <v>0.97100000000000009</v>
      </c>
      <c r="AM11">
        <f t="shared" si="0"/>
        <v>0.97499999999999987</v>
      </c>
      <c r="AN11">
        <f t="shared" si="0"/>
        <v>0.97900000000000009</v>
      </c>
      <c r="AO11">
        <f t="shared" si="0"/>
        <v>0.98199999999999998</v>
      </c>
    </row>
    <row r="12" spans="2:41" x14ac:dyDescent="0.25">
      <c r="C12">
        <f>C8/C$11</f>
        <v>0.5</v>
      </c>
      <c r="D12">
        <f t="shared" ref="D12:AO14" si="1">D8/D$11</f>
        <v>0.49195171026156947</v>
      </c>
      <c r="E12">
        <f t="shared" si="1"/>
        <v>0.47874493927125505</v>
      </c>
      <c r="F12">
        <f t="shared" si="1"/>
        <v>0.46897253306205494</v>
      </c>
      <c r="G12">
        <f t="shared" si="1"/>
        <v>0.46311475409836067</v>
      </c>
      <c r="H12">
        <f t="shared" si="1"/>
        <v>0.4556701030927835</v>
      </c>
      <c r="I12">
        <f t="shared" si="1"/>
        <v>0.44755970924195226</v>
      </c>
      <c r="J12">
        <f t="shared" si="1"/>
        <v>0.44456066945606693</v>
      </c>
      <c r="K12">
        <f t="shared" si="1"/>
        <v>0.45521601685985247</v>
      </c>
      <c r="L12">
        <f t="shared" si="1"/>
        <v>0.46518987341772156</v>
      </c>
      <c r="M12">
        <f t="shared" si="1"/>
        <v>0.4565677966101695</v>
      </c>
      <c r="N12">
        <f t="shared" si="1"/>
        <v>0.44915254237288138</v>
      </c>
      <c r="O12">
        <f t="shared" si="1"/>
        <v>0.44161358811040341</v>
      </c>
      <c r="P12">
        <f t="shared" si="1"/>
        <v>0.43130990415335463</v>
      </c>
      <c r="Q12">
        <f t="shared" si="1"/>
        <v>0.41897654584221755</v>
      </c>
      <c r="R12">
        <f t="shared" si="1"/>
        <v>0.40661686232657418</v>
      </c>
      <c r="S12">
        <f t="shared" si="1"/>
        <v>0.39381003201707576</v>
      </c>
      <c r="T12">
        <f t="shared" si="1"/>
        <v>0.38100320170757734</v>
      </c>
      <c r="U12">
        <f t="shared" si="1"/>
        <v>0.36606189967982927</v>
      </c>
      <c r="V12">
        <f t="shared" si="1"/>
        <v>0.35218783351120597</v>
      </c>
      <c r="W12">
        <f t="shared" si="1"/>
        <v>0.33938100320170755</v>
      </c>
      <c r="X12">
        <f t="shared" si="1"/>
        <v>0.32729211087420046</v>
      </c>
      <c r="Y12">
        <f t="shared" si="1"/>
        <v>0.31522896698615543</v>
      </c>
      <c r="Z12">
        <f t="shared" si="1"/>
        <v>0.30425531914893617</v>
      </c>
      <c r="AA12">
        <f t="shared" si="1"/>
        <v>0.29543039319872477</v>
      </c>
      <c r="AB12">
        <f t="shared" si="1"/>
        <v>0.28525980911983034</v>
      </c>
      <c r="AC12">
        <f t="shared" si="1"/>
        <v>0.27619047619047621</v>
      </c>
      <c r="AD12">
        <f t="shared" si="1"/>
        <v>0.26744186046511625</v>
      </c>
      <c r="AE12">
        <f t="shared" si="1"/>
        <v>0.25949367088607594</v>
      </c>
      <c r="AF12">
        <f t="shared" si="1"/>
        <v>0.25131440588853837</v>
      </c>
      <c r="AG12">
        <f t="shared" si="1"/>
        <v>0.24318658280922431</v>
      </c>
      <c r="AH12">
        <f t="shared" si="1"/>
        <v>0.23590814196242174</v>
      </c>
      <c r="AI12">
        <f t="shared" si="1"/>
        <v>0.22836287799791449</v>
      </c>
      <c r="AJ12">
        <f t="shared" si="1"/>
        <v>0.22141372141372143</v>
      </c>
      <c r="AK12">
        <f t="shared" si="1"/>
        <v>0.21406411582213031</v>
      </c>
      <c r="AL12">
        <f t="shared" si="1"/>
        <v>0.2070030895983522</v>
      </c>
      <c r="AM12">
        <f t="shared" si="1"/>
        <v>0.20000000000000004</v>
      </c>
      <c r="AN12">
        <f t="shared" si="1"/>
        <v>0.19305413687436157</v>
      </c>
      <c r="AO12">
        <f t="shared" si="1"/>
        <v>0.18737270875763748</v>
      </c>
    </row>
    <row r="13" spans="2:41" x14ac:dyDescent="0.25">
      <c r="C13">
        <f t="shared" ref="C13:R14" si="2">C9/C$11</f>
        <v>0.3</v>
      </c>
      <c r="D13">
        <f t="shared" si="2"/>
        <v>0.29577464788732394</v>
      </c>
      <c r="E13">
        <f t="shared" si="2"/>
        <v>0.30060728744939269</v>
      </c>
      <c r="F13">
        <f t="shared" si="2"/>
        <v>0.3041709053916582</v>
      </c>
      <c r="G13">
        <f t="shared" si="2"/>
        <v>0.30737704918032788</v>
      </c>
      <c r="H13">
        <f t="shared" si="2"/>
        <v>0.30824742268041239</v>
      </c>
      <c r="I13">
        <f t="shared" si="2"/>
        <v>0.3115264797507788</v>
      </c>
      <c r="J13">
        <f t="shared" si="2"/>
        <v>0.31485355648535562</v>
      </c>
      <c r="K13">
        <f t="shared" si="2"/>
        <v>0.32560590094836672</v>
      </c>
      <c r="L13">
        <f t="shared" si="2"/>
        <v>0.30907172995780591</v>
      </c>
      <c r="M13">
        <f t="shared" si="2"/>
        <v>0.3125</v>
      </c>
      <c r="N13">
        <f t="shared" si="2"/>
        <v>0.3146186440677966</v>
      </c>
      <c r="O13">
        <f t="shared" si="2"/>
        <v>0.31634819532908703</v>
      </c>
      <c r="P13">
        <f t="shared" si="2"/>
        <v>0.31735889243876458</v>
      </c>
      <c r="Q13">
        <f t="shared" si="2"/>
        <v>0.32089552238805968</v>
      </c>
      <c r="R13">
        <f t="shared" si="2"/>
        <v>0.3233724653148346</v>
      </c>
      <c r="S13">
        <f t="shared" si="1"/>
        <v>0.32657417289220914</v>
      </c>
      <c r="T13">
        <f t="shared" si="1"/>
        <v>0.3287086446104589</v>
      </c>
      <c r="U13">
        <f t="shared" si="1"/>
        <v>0.33191035218783349</v>
      </c>
      <c r="V13">
        <f t="shared" si="1"/>
        <v>0.33511205976520808</v>
      </c>
      <c r="W13">
        <f t="shared" si="1"/>
        <v>0.33831376734258267</v>
      </c>
      <c r="X13">
        <f t="shared" si="1"/>
        <v>0.3400852878464819</v>
      </c>
      <c r="Y13">
        <f t="shared" si="1"/>
        <v>0.34291799787007454</v>
      </c>
      <c r="Z13">
        <f t="shared" si="1"/>
        <v>0.34574468085106386</v>
      </c>
      <c r="AA13">
        <f t="shared" si="1"/>
        <v>0.34750265674814029</v>
      </c>
      <c r="AB13">
        <f t="shared" si="1"/>
        <v>0.34994697773064692</v>
      </c>
      <c r="AC13">
        <f t="shared" si="1"/>
        <v>0.35132275132275137</v>
      </c>
      <c r="AD13">
        <f t="shared" si="1"/>
        <v>0.35412262156448204</v>
      </c>
      <c r="AE13">
        <f t="shared" si="1"/>
        <v>0.35548523206751059</v>
      </c>
      <c r="AF13">
        <f t="shared" si="1"/>
        <v>0.35751840168243959</v>
      </c>
      <c r="AG13">
        <f t="shared" si="1"/>
        <v>0.35849056603773582</v>
      </c>
      <c r="AH13">
        <f t="shared" si="1"/>
        <v>0.36012526096033404</v>
      </c>
      <c r="AI13">
        <f t="shared" si="1"/>
        <v>0.36183524504692388</v>
      </c>
      <c r="AJ13">
        <f t="shared" si="1"/>
        <v>0.36278586278586278</v>
      </c>
      <c r="AK13">
        <f t="shared" si="1"/>
        <v>0.36401240951396074</v>
      </c>
      <c r="AL13">
        <f t="shared" si="1"/>
        <v>0.36560247167868171</v>
      </c>
      <c r="AM13">
        <f t="shared" si="1"/>
        <v>0.36717948717948723</v>
      </c>
      <c r="AN13">
        <f t="shared" si="1"/>
        <v>0.36874361593462712</v>
      </c>
      <c r="AO13">
        <f t="shared" si="1"/>
        <v>0.36965376782077392</v>
      </c>
    </row>
    <row r="14" spans="2:41" x14ac:dyDescent="0.25">
      <c r="C14">
        <f t="shared" si="2"/>
        <v>0.2</v>
      </c>
      <c r="D14">
        <f t="shared" si="1"/>
        <v>0.21227364185110667</v>
      </c>
      <c r="E14">
        <f t="shared" si="1"/>
        <v>0.22064777327935223</v>
      </c>
      <c r="F14">
        <f t="shared" si="1"/>
        <v>0.22685656154628689</v>
      </c>
      <c r="G14">
        <f t="shared" si="1"/>
        <v>0.22950819672131148</v>
      </c>
      <c r="H14">
        <f t="shared" si="1"/>
        <v>0.23608247422680415</v>
      </c>
      <c r="I14">
        <f t="shared" si="1"/>
        <v>0.24091381100726897</v>
      </c>
      <c r="J14">
        <f t="shared" si="1"/>
        <v>0.24058577405857742</v>
      </c>
      <c r="K14">
        <f t="shared" si="1"/>
        <v>0.21917808219178081</v>
      </c>
      <c r="L14">
        <f t="shared" si="1"/>
        <v>0.22573839662447259</v>
      </c>
      <c r="M14">
        <f t="shared" si="1"/>
        <v>0.23093220338983053</v>
      </c>
      <c r="N14">
        <f t="shared" si="1"/>
        <v>0.23622881355932204</v>
      </c>
      <c r="O14">
        <f t="shared" si="1"/>
        <v>0.24203821656050958</v>
      </c>
      <c r="P14">
        <f t="shared" si="1"/>
        <v>0.25133120340788068</v>
      </c>
      <c r="Q14">
        <f t="shared" si="1"/>
        <v>0.26012793176972282</v>
      </c>
      <c r="R14">
        <f t="shared" si="1"/>
        <v>0.27001067235859127</v>
      </c>
      <c r="S14">
        <f t="shared" si="1"/>
        <v>0.27961579509071505</v>
      </c>
      <c r="T14">
        <f t="shared" si="1"/>
        <v>0.2902881536819637</v>
      </c>
      <c r="U14">
        <f t="shared" si="1"/>
        <v>0.30202774813233718</v>
      </c>
      <c r="V14">
        <f t="shared" si="1"/>
        <v>0.31270010672358589</v>
      </c>
      <c r="W14">
        <f t="shared" si="1"/>
        <v>0.32230522945570966</v>
      </c>
      <c r="X14">
        <f t="shared" si="1"/>
        <v>0.3326226012793177</v>
      </c>
      <c r="Y14">
        <f t="shared" si="1"/>
        <v>0.34185303514376997</v>
      </c>
      <c r="Z14">
        <f t="shared" si="1"/>
        <v>0.35000000000000003</v>
      </c>
      <c r="AA14">
        <f t="shared" si="1"/>
        <v>0.35706695005313499</v>
      </c>
      <c r="AB14">
        <f t="shared" si="1"/>
        <v>0.36479321314952279</v>
      </c>
      <c r="AC14">
        <f t="shared" si="1"/>
        <v>0.37248677248677248</v>
      </c>
      <c r="AD14">
        <f t="shared" si="1"/>
        <v>0.37843551797040165</v>
      </c>
      <c r="AE14">
        <f t="shared" si="1"/>
        <v>0.38502109704641352</v>
      </c>
      <c r="AF14">
        <f t="shared" si="1"/>
        <v>0.39116719242902209</v>
      </c>
      <c r="AG14">
        <f t="shared" si="1"/>
        <v>0.39832285115303978</v>
      </c>
      <c r="AH14">
        <f t="shared" si="1"/>
        <v>0.4039665970772443</v>
      </c>
      <c r="AI14">
        <f t="shared" si="1"/>
        <v>0.40980187695516168</v>
      </c>
      <c r="AJ14">
        <f t="shared" si="1"/>
        <v>0.41580041580041582</v>
      </c>
      <c r="AK14">
        <f t="shared" si="1"/>
        <v>0.421923474663909</v>
      </c>
      <c r="AL14">
        <f t="shared" si="1"/>
        <v>0.42739443872296595</v>
      </c>
      <c r="AM14">
        <f t="shared" si="1"/>
        <v>0.43282051282051287</v>
      </c>
      <c r="AN14">
        <f t="shared" si="1"/>
        <v>0.4382022471910112</v>
      </c>
      <c r="AO14">
        <f t="shared" si="1"/>
        <v>0.44297352342158858</v>
      </c>
    </row>
    <row r="29" spans="5:26" x14ac:dyDescent="0.25">
      <c r="F29">
        <v>2030</v>
      </c>
      <c r="G29">
        <v>2031</v>
      </c>
      <c r="H29">
        <v>2032</v>
      </c>
      <c r="I29">
        <v>2033</v>
      </c>
      <c r="J29">
        <v>2034</v>
      </c>
      <c r="K29">
        <v>2035</v>
      </c>
      <c r="L29">
        <v>2036</v>
      </c>
      <c r="M29">
        <v>2037</v>
      </c>
      <c r="N29">
        <v>2038</v>
      </c>
      <c r="O29">
        <v>2039</v>
      </c>
      <c r="P29">
        <v>2040</v>
      </c>
      <c r="Q29">
        <v>2041</v>
      </c>
      <c r="R29">
        <v>2042</v>
      </c>
      <c r="S29">
        <v>2043</v>
      </c>
      <c r="T29">
        <v>2044</v>
      </c>
      <c r="U29">
        <v>2045</v>
      </c>
      <c r="V29">
        <v>2046</v>
      </c>
      <c r="W29">
        <v>2047</v>
      </c>
      <c r="X29">
        <v>2048</v>
      </c>
      <c r="Y29">
        <v>2049</v>
      </c>
      <c r="Z29">
        <v>2050</v>
      </c>
    </row>
    <row r="30" spans="5:26" x14ac:dyDescent="0.25">
      <c r="E30" t="s">
        <v>31</v>
      </c>
      <c r="F30">
        <v>1E-4</v>
      </c>
      <c r="G30">
        <v>1E-4</v>
      </c>
      <c r="H30">
        <v>1E-4</v>
      </c>
      <c r="I30">
        <v>1E-4</v>
      </c>
      <c r="J30">
        <v>1E-4</v>
      </c>
      <c r="K30">
        <v>1E-4</v>
      </c>
      <c r="L30">
        <v>1E-4</v>
      </c>
      <c r="M30">
        <v>1E-4</v>
      </c>
      <c r="N30">
        <v>1E-4</v>
      </c>
      <c r="O30">
        <v>1E-4</v>
      </c>
      <c r="P30">
        <v>1E-4</v>
      </c>
      <c r="Q30">
        <v>1E-4</v>
      </c>
      <c r="R30">
        <v>1E-4</v>
      </c>
      <c r="S30">
        <v>1E-4</v>
      </c>
      <c r="T30">
        <v>1E-4</v>
      </c>
      <c r="U30">
        <v>1E-4</v>
      </c>
      <c r="V30">
        <v>1E-4</v>
      </c>
      <c r="W30">
        <v>1E-4</v>
      </c>
      <c r="X30">
        <v>1E-4</v>
      </c>
      <c r="Y30">
        <v>1E-4</v>
      </c>
      <c r="Z30">
        <v>1E-4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C3C72-382E-427D-8E33-9C4D24AEC1F9}">
  <sheetPr codeName="Sheet7"/>
  <dimension ref="A1:W26"/>
  <sheetViews>
    <sheetView workbookViewId="0">
      <selection activeCell="H11" sqref="H11"/>
    </sheetView>
  </sheetViews>
  <sheetFormatPr defaultRowHeight="15" x14ac:dyDescent="0.25"/>
  <cols>
    <col min="5" max="5" width="13" customWidth="1"/>
    <col min="6" max="6" width="9.5703125" customWidth="1"/>
    <col min="8" max="8" width="10.5703125" bestFit="1" customWidth="1"/>
    <col min="11" max="12" width="10.5703125" bestFit="1" customWidth="1"/>
  </cols>
  <sheetData>
    <row r="1" spans="1:23" x14ac:dyDescent="0.25">
      <c r="A1" s="39" t="s">
        <v>240</v>
      </c>
      <c r="B1" s="39"/>
      <c r="C1" s="39"/>
      <c r="D1" s="39"/>
      <c r="E1" s="39"/>
      <c r="F1" s="39"/>
      <c r="G1" s="39"/>
      <c r="H1" s="39"/>
      <c r="I1" s="39"/>
    </row>
    <row r="2" spans="1:23" x14ac:dyDescent="0.25">
      <c r="A2" s="40" t="s">
        <v>241</v>
      </c>
      <c r="B2" s="40"/>
      <c r="C2" s="40"/>
      <c r="D2" s="40"/>
      <c r="E2" s="40"/>
      <c r="F2" s="40"/>
      <c r="G2" s="40"/>
      <c r="H2" s="40"/>
      <c r="I2" s="40"/>
    </row>
    <row r="3" spans="1:23" x14ac:dyDescent="0.25">
      <c r="A3" s="41" t="s">
        <v>242</v>
      </c>
      <c r="B3" s="41"/>
      <c r="C3" s="41"/>
      <c r="D3" s="41"/>
      <c r="E3" s="41"/>
      <c r="F3" s="41"/>
      <c r="G3" s="41"/>
      <c r="H3" s="41"/>
      <c r="I3" s="41"/>
    </row>
    <row r="4" spans="1:23" x14ac:dyDescent="0.25">
      <c r="A4" s="42" t="s">
        <v>243</v>
      </c>
      <c r="B4" s="42"/>
      <c r="C4" s="42"/>
      <c r="D4" s="42"/>
      <c r="E4" s="42"/>
      <c r="F4" s="42"/>
      <c r="G4" s="42"/>
      <c r="H4" s="42"/>
      <c r="I4" s="42"/>
    </row>
    <row r="5" spans="1:23" x14ac:dyDescent="0.25">
      <c r="A5" s="43" t="s">
        <v>244</v>
      </c>
      <c r="B5" s="43"/>
      <c r="C5" s="43"/>
      <c r="D5" s="43"/>
      <c r="E5" s="43"/>
      <c r="F5" s="43"/>
      <c r="G5" s="43"/>
      <c r="H5" s="43"/>
      <c r="I5" s="43"/>
    </row>
    <row r="6" spans="1:23" x14ac:dyDescent="0.25">
      <c r="A6" s="44" t="s">
        <v>245</v>
      </c>
      <c r="B6" s="44"/>
      <c r="C6" s="44"/>
      <c r="D6" s="44"/>
      <c r="E6" s="44"/>
      <c r="F6" s="44"/>
      <c r="G6" s="44"/>
      <c r="H6" s="44"/>
      <c r="I6" s="44"/>
    </row>
    <row r="7" spans="1:23" x14ac:dyDescent="0.25">
      <c r="A7" s="44" t="s">
        <v>246</v>
      </c>
      <c r="B7" s="44"/>
      <c r="C7" s="44"/>
      <c r="D7" s="44"/>
      <c r="E7" s="44"/>
      <c r="F7" s="44"/>
      <c r="G7" s="44"/>
      <c r="H7" s="44"/>
      <c r="I7" s="44"/>
      <c r="W7" t="s">
        <v>255</v>
      </c>
    </row>
    <row r="8" spans="1:23" x14ac:dyDescent="0.25">
      <c r="C8" t="s">
        <v>146</v>
      </c>
      <c r="D8" t="s">
        <v>239</v>
      </c>
      <c r="E8" t="s">
        <v>252</v>
      </c>
      <c r="G8" t="s">
        <v>251</v>
      </c>
      <c r="H8" t="s">
        <v>250</v>
      </c>
      <c r="I8" t="s">
        <v>249</v>
      </c>
      <c r="J8" t="s">
        <v>253</v>
      </c>
      <c r="K8" t="s">
        <v>254</v>
      </c>
      <c r="L8" t="s">
        <v>256</v>
      </c>
    </row>
    <row r="9" spans="1:23" x14ac:dyDescent="0.25">
      <c r="C9">
        <v>2020</v>
      </c>
      <c r="D9" s="1">
        <v>0.65689441125743975</v>
      </c>
      <c r="E9" s="35">
        <f>E10</f>
        <v>0.40070868670482801</v>
      </c>
      <c r="F9" s="35"/>
      <c r="G9" s="9"/>
      <c r="H9" s="34"/>
      <c r="I9" s="13"/>
      <c r="J9" s="13"/>
      <c r="K9" s="34"/>
      <c r="O9" s="33"/>
      <c r="P9" s="33"/>
      <c r="R9" s="1"/>
      <c r="S9" s="1"/>
    </row>
    <row r="10" spans="1:23" x14ac:dyDescent="0.25">
      <c r="C10">
        <v>2022</v>
      </c>
      <c r="D10" s="1">
        <f>(D9+D11)/2</f>
        <v>0.66094445471117147</v>
      </c>
      <c r="E10" s="35">
        <f>H10/G10</f>
        <v>0.40070868670482801</v>
      </c>
      <c r="F10" s="35"/>
      <c r="G10" s="9">
        <f>Drivers!D35</f>
        <v>59893.885000000002</v>
      </c>
      <c r="H10" s="34">
        <v>24000</v>
      </c>
      <c r="I10" s="13">
        <v>0.32600000000000001</v>
      </c>
      <c r="J10" s="13">
        <f t="shared" ref="J10" si="0">1-I10</f>
        <v>0.67399999999999993</v>
      </c>
      <c r="K10" s="34">
        <f t="shared" ref="K10" si="1">J10*H10</f>
        <v>16175.999999999998</v>
      </c>
      <c r="L10">
        <v>16201</v>
      </c>
      <c r="M10" s="34">
        <f>1-L10/H10</f>
        <v>0.32495833333333335</v>
      </c>
      <c r="O10" s="33"/>
      <c r="P10" s="33"/>
      <c r="R10" s="1"/>
      <c r="S10" s="1"/>
    </row>
    <row r="11" spans="1:23" x14ac:dyDescent="0.25">
      <c r="C11">
        <v>2025</v>
      </c>
      <c r="D11" s="1">
        <v>0.66499449816490319</v>
      </c>
      <c r="E11" s="1">
        <f>($E$17-$E$10)/($C$17-$C$10)*3+E9</f>
        <v>0.42516935113861948</v>
      </c>
      <c r="F11" s="47"/>
      <c r="G11" s="9"/>
      <c r="H11" s="34"/>
      <c r="I11" s="13"/>
      <c r="J11" s="13"/>
      <c r="K11" s="34"/>
      <c r="O11" s="33"/>
      <c r="P11" s="33"/>
      <c r="R11" s="1"/>
      <c r="S11" s="1"/>
    </row>
    <row r="12" spans="1:23" x14ac:dyDescent="0.25">
      <c r="C12">
        <v>2030</v>
      </c>
      <c r="D12" s="1">
        <v>0.67567586253217848</v>
      </c>
      <c r="E12" s="1">
        <f>($E$17-$E$11)/($C$17-$C$11)*5+E11</f>
        <v>0.46593712519493863</v>
      </c>
      <c r="F12" s="1"/>
    </row>
    <row r="13" spans="1:23" x14ac:dyDescent="0.25">
      <c r="C13">
        <v>2035</v>
      </c>
      <c r="D13" s="1">
        <v>0.68230721712569542</v>
      </c>
      <c r="E13" s="1">
        <f>($E$17-$E$11)/($C$17-$C$11)*5+E12</f>
        <v>0.50670489925125772</v>
      </c>
      <c r="F13" s="1"/>
    </row>
    <row r="14" spans="1:23" x14ac:dyDescent="0.25">
      <c r="C14">
        <v>2040</v>
      </c>
      <c r="D14" s="1">
        <v>0.68432409943013062</v>
      </c>
      <c r="E14" s="1">
        <f>($E$17-$E$11)/($C$17-$C$11)*5+E13</f>
        <v>0.54747267330757687</v>
      </c>
      <c r="F14" s="1"/>
    </row>
    <row r="15" spans="1:23" x14ac:dyDescent="0.25">
      <c r="C15">
        <v>2045</v>
      </c>
      <c r="D15" s="1">
        <v>0.68329379537331036</v>
      </c>
      <c r="E15" s="1">
        <f>($E$17-$E$11)/($C$17-$C$11)*5+E14</f>
        <v>0.58824044736389602</v>
      </c>
      <c r="F15" s="1"/>
    </row>
    <row r="16" spans="1:23" x14ac:dyDescent="0.25">
      <c r="C16">
        <v>2050</v>
      </c>
      <c r="D16" s="1">
        <v>0.67702428042598461</v>
      </c>
      <c r="E16" s="1">
        <f>($E$17-$E$11)/($C$17-$C$11)*5+E15</f>
        <v>0.62900822142021517</v>
      </c>
      <c r="F16" s="1"/>
    </row>
    <row r="17" spans="3:11" x14ac:dyDescent="0.25">
      <c r="C17">
        <v>2055</v>
      </c>
      <c r="D17" s="1">
        <v>0.66977599547653432</v>
      </c>
      <c r="E17" s="1">
        <f>D17</f>
        <v>0.66977599547653432</v>
      </c>
      <c r="F17" s="9">
        <f>D17*G17</f>
        <v>50098.608174449066</v>
      </c>
      <c r="G17" s="9">
        <f>Drivers!AK35</f>
        <v>74799.05</v>
      </c>
      <c r="K17" s="9">
        <v>50000</v>
      </c>
    </row>
    <row r="18" spans="3:11" x14ac:dyDescent="0.25">
      <c r="C18">
        <v>2060</v>
      </c>
      <c r="D18" s="1">
        <v>0.66679752332956665</v>
      </c>
      <c r="E18" s="1">
        <f>E17*D18/D17</f>
        <v>0.66679752332956665</v>
      </c>
      <c r="F18" s="1"/>
    </row>
    <row r="19" spans="3:11" x14ac:dyDescent="0.25">
      <c r="C19">
        <v>2065</v>
      </c>
      <c r="D19" s="1">
        <v>0.66760747425401545</v>
      </c>
      <c r="E19" s="1">
        <f t="shared" ref="E19:E26" si="2">E18*D19/D18</f>
        <v>0.66760747425401545</v>
      </c>
      <c r="F19" s="1"/>
    </row>
    <row r="20" spans="3:11" x14ac:dyDescent="0.25">
      <c r="C20">
        <v>2070</v>
      </c>
      <c r="D20" s="1">
        <v>0.66865737498380307</v>
      </c>
      <c r="E20" s="1">
        <f t="shared" si="2"/>
        <v>0.66865737498380307</v>
      </c>
      <c r="F20" s="1"/>
    </row>
    <row r="21" spans="3:11" x14ac:dyDescent="0.25">
      <c r="C21">
        <v>2075</v>
      </c>
      <c r="D21" s="1">
        <v>0.66443995787363663</v>
      </c>
      <c r="E21" s="1">
        <f t="shared" si="2"/>
        <v>0.66443995787363663</v>
      </c>
      <c r="F21" s="1"/>
    </row>
    <row r="22" spans="3:11" x14ac:dyDescent="0.25">
      <c r="C22">
        <v>2080</v>
      </c>
      <c r="D22" s="1">
        <v>0.65749144238725898</v>
      </c>
      <c r="E22" s="1">
        <f t="shared" si="2"/>
        <v>0.65749144238725898</v>
      </c>
      <c r="F22" s="1"/>
    </row>
    <row r="23" spans="3:11" x14ac:dyDescent="0.25">
      <c r="C23">
        <v>2085</v>
      </c>
      <c r="D23" s="1">
        <v>0.65129730571815114</v>
      </c>
      <c r="E23" s="1">
        <f t="shared" si="2"/>
        <v>0.65129730571815114</v>
      </c>
      <c r="F23" s="1"/>
    </row>
    <row r="24" spans="3:11" x14ac:dyDescent="0.25">
      <c r="C24">
        <v>2090</v>
      </c>
      <c r="D24" s="1">
        <v>0.64619542947705577</v>
      </c>
      <c r="E24" s="1">
        <f t="shared" si="2"/>
        <v>0.64619542947705577</v>
      </c>
      <c r="F24" s="1"/>
    </row>
    <row r="25" spans="3:11" x14ac:dyDescent="0.25">
      <c r="C25">
        <v>2095</v>
      </c>
      <c r="D25" s="1">
        <v>0.64174407812794831</v>
      </c>
      <c r="E25" s="1">
        <f t="shared" si="2"/>
        <v>0.64174407812794831</v>
      </c>
      <c r="F25" s="1"/>
    </row>
    <row r="26" spans="3:11" x14ac:dyDescent="0.25">
      <c r="C26">
        <v>2100</v>
      </c>
      <c r="D26" s="1">
        <v>0.63710709593251891</v>
      </c>
      <c r="E26" s="1">
        <f t="shared" si="2"/>
        <v>0.63710709593251891</v>
      </c>
      <c r="F26" s="1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Drivers</vt:lpstr>
      <vt:lpstr>Index_E2G</vt:lpstr>
      <vt:lpstr>Index_G2E</vt:lpstr>
      <vt:lpstr>GDP_CGE</vt:lpstr>
      <vt:lpstr>GDP_Simple</vt:lpstr>
      <vt:lpstr>Sheet1</vt:lpstr>
      <vt:lpstr>Population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 Merven</cp:lastModifiedBy>
  <dcterms:created xsi:type="dcterms:W3CDTF">2020-07-09T15:17:14Z</dcterms:created>
  <dcterms:modified xsi:type="dcterms:W3CDTF">2023-12-01T14:54:02Z</dcterms:modified>
</cp:coreProperties>
</file>