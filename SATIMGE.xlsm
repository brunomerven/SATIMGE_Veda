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7199101D-5C1B-40D4-A4CF-160A718047F0}" xr6:coauthVersionLast="47" xr6:coauthVersionMax="47" xr10:uidLastSave="{00000000-0000-0000-0000-000000000000}"/>
  <bookViews>
    <workbookView xWindow="38280" yWindow="8415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52" r:id="rId9"/>
    <pivotCache cacheId="15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4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<sst xmlns="http://schemas.openxmlformats.org/spreadsheetml/2006/main" count="464" uniqueCount="246">
  <si>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</si>
  <si>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</si>
  <si>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</si>
  <si>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</si>
  <si>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</si>
  <si>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</si>
  <si>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</si>
  <si>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</si>
  <si>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</si>
  <si>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</si>
  <si>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</si>
  <si>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</si>
  <si>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</si>
  <si>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</si>
  <si>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</si>
  <si>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</si>
  <si>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</si>
  <si>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</si>
  <si>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</si>
  <si>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</si>
  <si>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</si>
  <si>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</si>
  <si>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</si>
  <si>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</si>
  <si>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</si>
  <si>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</si>
  <si>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</si>
  <si>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</si>
  <si>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</si>
  <si>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</si>
  <si>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</si>
  <si>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</si>
  <si>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</si>
  <si>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</si>
  <si>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</si>
  <si>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</si>
  <si>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</si>
  <si>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</si>
  <si>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</si>
  <si>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</si>
  <si>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</si>
  <si>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</si>
  <si>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</si>
  <si>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</si>
  <si>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</si>
  <si>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</si>
  <si>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</si>
  <si>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</si>
  <si>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</si>
  <si>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</si>
  <si>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</si>
  <si>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</si>
  <si>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</si>
  <si>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</si>
  <si>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</si>
  <si>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</si>
  <si>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</si>
  <si>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</si>
  <si>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</si>
  <si>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</si>
  <si>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</si>
  <si>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</si>
  <si>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</si>
  <si>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</si>
  <si>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</si>
  <si>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</si>
  <si>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</si>
  <si>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</si>
  <si>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</si>
  <si>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</si>
  <si>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</si>
  <si>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</si>
  <si>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</si>
  <si>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</si>
  <si>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</si>
  <si>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</si>
  <si>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</si>
  <si>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</si>
  <si>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</si>
  <si>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</si>
  <si>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</si>
  <si>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</si>
  <si>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</si>
  <si>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</si>
  <si>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</si>
  <si>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</si>
  <si>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</si>
  <si>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</si>
  <si>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</si>
  <si>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</si>
  <si>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</si>
  <si>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</si>
  <si>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</si>
  <si>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</si>
  <si>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</si>
  <si>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</si>
  <si>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</si>
  <si>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</si>
  <si>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</si>
  <si>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</si>
  <si>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</si>
  <si>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</si>
  <si>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</si>
  <si>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</si>
  <si>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</si>
  <si>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</si>
  <si>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</si>
  <si>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</si>
  <si>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</si>
  <si>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</si>
  <si>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</si>
  <si>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</si>
  <si>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</si>
  <si>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</si>
  <si>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</si>
  <si>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</si>
  <si>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</si>
  <si>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</si>
  <si>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</si>
  <si>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</si>
  <si>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</si>
  <si>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</si>
  <si>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</si>
  <si>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</si>
  <si>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</si>
  <si>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</si>
  <si>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</si>
  <si>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</si>
  <si>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</si>
  <si>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</si>
  <si>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</si>
  <si>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</si>
  <si>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</si>
  <si>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</si>
  <si>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</si>
  <si>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</si>
  <si>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</si>
  <si>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</si>
  <si>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</si>
  <si>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</si>
  <si>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</si>
  <si>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</si>
  <si>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</si>
  <si>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</si>
  <si>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</si>
  <si>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</si>
  <si>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</si>
  <si>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</si>
  <si>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</si>
  <si>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</si>
  <si>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</si>
  <si>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</si>
  <si>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</si>
  <si>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</si>
  <si>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</si>
  <si>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</si>
  <si>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</si>
  <si>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</si>
  <si>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</si>
  <si>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</si>
  <si>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</si>
  <si>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</si>
  <si>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</si>
  <si>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</si>
  <si>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</si>
  <si>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</si>
  <si>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</si>
  <si>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</si>
  <si>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</si>
  <si>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</si>
  <si>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</si>
  <si>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</si>
  <si>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</si>
  <si>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</si>
  <si>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</si>
  <si>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</si>
  <si>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</si>
  <si>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</si>
  <si>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</si>
  <si>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</si>
  <si>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</si>
  <si>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</si>
  <si>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</si>
  <si>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</si>
  <si>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</si>
  <si>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</si>
  <si>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</si>
  <si>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</si>
  <si>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</si>
  <si>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</si>
  <si>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</si>
  <si>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</si>
  <si>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</si>
  <si>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</si>
  <si>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</si>
  <si>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</si>
  <si>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</si>
  <si>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</si>
  <si>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</si>
  <si>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</si>
  <si>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</si>
  <si>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</si>
  <si>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</si>
  <si>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</si>
  <si>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</si>
  <si>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</si>
  <si>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</si>
  <si>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</si>
  <si>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</si>
  <si>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</si>
  <si>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</si>
  <si>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</si>
  <si>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</si>
  <si>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</si>
  <si>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</si>
  <si>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</si>
  <si>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</si>
  <si>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</si>
  <si>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</si>
  <si>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</si>
  <si>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</si>
  <si>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</si>
  <si>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</si>
  <si>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</si>
  <si>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</si>
  <si>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</si>
  <si>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</si>
  <si>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</si>
  <si>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</si>
  <si>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</si>
  <si>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</si>
  <si>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</si>
  <si>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</si>
  <si>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</si>
  <si>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</si>
  <si>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</si>
  <si>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</si>
  <si>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</si>
  <si>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NZ10_2050A_09</t>
  </si>
  <si>
    <t>NZ10_2050A_08</t>
  </si>
  <si>
    <t>NZ10_2050A_10</t>
  </si>
  <si>
    <t>NZ10_2050A_11</t>
  </si>
  <si>
    <t>NZ10_2050A_99</t>
  </si>
  <si>
    <t>NZ10_2055A_09</t>
  </si>
  <si>
    <t>NZ10_2055A_11</t>
  </si>
  <si>
    <t>NZ10_2055A_99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</si>
</sst>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14" borderId="0" xfId="0" applyFill="1"/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5198.532624305553" createdVersion="6" refreshedVersion="8" minRefreshableVersion="3" recordCount="85" xr:uid="{D229C3DF-142A-4D15-BB2C-2EA205AB0203}">
  <cacheSource type="worksheet">
    <worksheetSource ref="A9:P108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10">
        <s v="NZ10_2050A_09"/>
        <s v="NZ10_2050A_08"/>
        <s v="NZ10_2050A_10"/>
        <s v="NZ10_2050A_11"/>
        <s v="NZ10_2050A_99"/>
        <s v="NZ10_2055A_09"/>
        <s v="NZ10_2055A_11"/>
        <s v="NZ10_2055A_99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yce Mccall" refreshedDate="45198.532624652777" createdVersion="6" refreshedVersion="8" minRefreshableVersion="3" recordCount="85" xr:uid="{C0EB43E8-6CC6-4DE4-B7F1-02B09F7BA69A}">
  <cacheSource type="worksheet">
    <worksheetSource ref="A9:P107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10">
        <s v="NZ10_2050A_09"/>
        <s v="NZ10_2050A_08"/>
        <s v="NZ10_2050A_10"/>
        <s v="NZ10_2050A_11"/>
        <s v="NZ10_2050A_99"/>
        <s v="NZ10_2055A_09"/>
        <s v="NZ10_2055A_11"/>
        <s v="NZ10_2055A_99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11">
        <s v="NZ10_2050A_09"/>
        <s v="NZ10_2050A_08"/>
        <s v="NZ10_2050A_10"/>
        <s v="NZ10_2050A_11"/>
        <s v="NZ10_2050A_99"/>
        <s v="NZ10_2055A_09"/>
        <s v="NZ10_2055A_11"/>
        <s v="NZ10_2055A_99"/>
        <m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1"/>
    <x v="0"/>
    <s v="yes tested"/>
    <s v="base"/>
    <s v="NZ10_2050A_09"/>
    <n v="1"/>
    <n v="0"/>
    <s v="No Pams"/>
    <n v="0"/>
    <n v="0"/>
    <n v="-1"/>
    <n v="-1"/>
    <n v="-1"/>
    <n v="1"/>
    <n v="-1"/>
    <n v="100"/>
  </r>
  <r>
    <n v="1"/>
    <x v="1"/>
    <s v="yes tested"/>
    <s v="base"/>
    <s v="NZ10_2050A_08"/>
    <n v="1"/>
    <n v="0"/>
    <s v="No Pams"/>
    <n v="0"/>
    <n v="0"/>
    <n v="-1"/>
    <n v="-1"/>
    <n v="-1"/>
    <n v="1"/>
    <n v="-1"/>
    <n v="100"/>
  </r>
  <r>
    <n v="1"/>
    <x v="2"/>
    <s v="yes tested"/>
    <s v="base"/>
    <s v="NZ10_2050A_10"/>
    <n v="1"/>
    <n v="0"/>
    <s v="No Pams"/>
    <n v="0"/>
    <n v="0"/>
    <n v="-1"/>
    <n v="-1"/>
    <n v="-1"/>
    <n v="1"/>
    <n v="-1"/>
    <n v="100"/>
  </r>
  <r>
    <n v="1"/>
    <x v="3"/>
    <s v="yes tested"/>
    <s v="base"/>
    <s v="NZ10_2050A_11"/>
    <n v="1"/>
    <n v="0"/>
    <s v="No Pams"/>
    <n v="0"/>
    <n v="0"/>
    <n v="-1"/>
    <n v="-1"/>
    <n v="-1"/>
    <n v="1"/>
    <n v="-1"/>
    <n v="100"/>
  </r>
  <r>
    <n v="1"/>
    <x v="4"/>
    <s v="yes tested"/>
    <s v="base"/>
    <s v="NZ10_2050A_99"/>
    <n v="1"/>
    <n v="0"/>
    <s v="No Pams"/>
    <n v="0"/>
    <n v="0"/>
    <n v="-1"/>
    <n v="-1"/>
    <n v="-1"/>
    <n v="1"/>
    <n v="-1"/>
    <n v="100"/>
  </r>
  <r>
    <n v="1"/>
    <x v="5"/>
    <s v="yes tested"/>
    <s v="base"/>
    <s v="NZ10_2055A_09"/>
    <n v="1"/>
    <n v="0"/>
    <s v="No Pams"/>
    <n v="0"/>
    <n v="0"/>
    <n v="-1"/>
    <n v="-1"/>
    <n v="-1"/>
    <n v="1"/>
    <n v="-1"/>
    <n v="100"/>
  </r>
  <r>
    <n v="1"/>
    <x v="6"/>
    <s v="yes tested"/>
    <s v="base"/>
    <s v="NZ10_2055A_11"/>
    <n v="1"/>
    <n v="0"/>
    <s v="No Pams"/>
    <n v="0"/>
    <n v="0"/>
    <n v="-1"/>
    <n v="-1"/>
    <n v="-1"/>
    <n v="1"/>
    <n v="-1"/>
    <n v="100"/>
  </r>
  <r>
    <n v="1"/>
    <x v="7"/>
    <s v="yes tested"/>
    <s v="base"/>
    <s v="NZ10_2055A_99"/>
    <n v="1"/>
    <n v="0"/>
    <s v="No Pams"/>
    <n v="0"/>
    <n v="0"/>
    <n v="-1"/>
    <n v="-1"/>
    <n v="-1"/>
    <n v="1"/>
    <n v="-1"/>
    <n v="100"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  <r>
    <m/>
    <x v="8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1"/>
    <x v="0"/>
    <s v="yes tested"/>
    <x v="0"/>
    <x v="0"/>
    <n v="1"/>
    <n v="0"/>
    <s v="No Pams"/>
    <n v="0"/>
    <n v="0"/>
    <n v="-1"/>
    <n v="-1"/>
    <n v="-1"/>
    <n v="1"/>
    <n v="-1"/>
    <n v="100"/>
  </r>
  <r>
    <n v="1"/>
    <x v="1"/>
    <s v="yes tested"/>
    <x v="0"/>
    <x v="1"/>
    <n v="1"/>
    <n v="0"/>
    <s v="No Pams"/>
    <n v="0"/>
    <n v="0"/>
    <n v="-1"/>
    <n v="-1"/>
    <n v="-1"/>
    <n v="1"/>
    <n v="-1"/>
    <n v="100"/>
  </r>
  <r>
    <n v="1"/>
    <x v="2"/>
    <s v="yes tested"/>
    <x v="0"/>
    <x v="2"/>
    <n v="1"/>
    <n v="0"/>
    <s v="No Pams"/>
    <n v="0"/>
    <n v="0"/>
    <n v="-1"/>
    <n v="-1"/>
    <n v="-1"/>
    <n v="1"/>
    <n v="-1"/>
    <n v="100"/>
  </r>
  <r>
    <n v="1"/>
    <x v="3"/>
    <s v="yes tested"/>
    <x v="0"/>
    <x v="3"/>
    <n v="1"/>
    <n v="0"/>
    <s v="No Pams"/>
    <n v="0"/>
    <n v="0"/>
    <n v="-1"/>
    <n v="-1"/>
    <n v="-1"/>
    <n v="1"/>
    <n v="-1"/>
    <n v="100"/>
  </r>
  <r>
    <n v="1"/>
    <x v="4"/>
    <s v="yes tested"/>
    <x v="0"/>
    <x v="4"/>
    <n v="1"/>
    <n v="0"/>
    <s v="No Pams"/>
    <n v="0"/>
    <n v="0"/>
    <n v="-1"/>
    <n v="-1"/>
    <n v="-1"/>
    <n v="1"/>
    <n v="-1"/>
    <n v="100"/>
  </r>
  <r>
    <n v="1"/>
    <x v="5"/>
    <s v="yes tested"/>
    <x v="0"/>
    <x v="5"/>
    <n v="1"/>
    <n v="0"/>
    <s v="No Pams"/>
    <n v="0"/>
    <n v="0"/>
    <n v="-1"/>
    <n v="-1"/>
    <n v="-1"/>
    <n v="1"/>
    <n v="-1"/>
    <n v="100"/>
  </r>
  <r>
    <n v="1"/>
    <x v="6"/>
    <s v="yes tested"/>
    <x v="0"/>
    <x v="6"/>
    <n v="1"/>
    <n v="0"/>
    <s v="No Pams"/>
    <n v="0"/>
    <n v="0"/>
    <n v="-1"/>
    <n v="-1"/>
    <n v="-1"/>
    <n v="1"/>
    <n v="-1"/>
    <n v="100"/>
  </r>
  <r>
    <n v="1"/>
    <x v="7"/>
    <s v="yes tested"/>
    <x v="0"/>
    <x v="7"/>
    <n v="1"/>
    <n v="0"/>
    <s v="No Pams"/>
    <n v="0"/>
    <n v="0"/>
    <n v="-1"/>
    <n v="-1"/>
    <n v="-1"/>
    <n v="1"/>
    <n v="-1"/>
    <n v="100"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  <r>
    <m/>
    <x v="8"/>
    <m/>
    <x v="1"/>
    <x v="8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5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5" firstHeaderRow="1" firstDataRow="1" firstDataCol="1"/>
  <pivotFields count="16">
    <pivotField showAll="0"/>
    <pivotField axis="axisRow" showAll="0">
      <items count="11">
        <item m="1" x="9"/>
        <item x="8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5" firstHeaderRow="1" firstDataRow="1" firstDataCol="1"/>
  <pivotFields count="16">
    <pivotField showAll="0"/>
    <pivotField axis="axisRow" showAll="0">
      <items count="11">
        <item x="8"/>
        <item m="1" x="9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5" firstHeaderRow="1" firstDataRow="1" firstDataCol="1"/>
  <pivotFields count="16">
    <pivotField showAll="0"/>
    <pivotField showAll="0"/>
    <pivotField showAll="0"/>
    <pivotField showAll="0"/>
    <pivotField axis="axisRow" showAll="0">
      <items count="212">
        <item m="1" x="136"/>
        <item m="1" x="103"/>
        <item m="1" x="93"/>
        <item x="8"/>
        <item m="1" x="102"/>
        <item m="1" x="46"/>
        <item m="1" x="122"/>
        <item m="1" x="144"/>
        <item m="1" x="96"/>
        <item m="1" x="104"/>
        <item m="1" x="97"/>
        <item m="1" x="74"/>
        <item m="1" x="21"/>
        <item m="1" x="118"/>
        <item m="1" x="19"/>
        <item m="1" x="186"/>
        <item m="1" x="65"/>
        <item m="1" x="167"/>
        <item m="1" x="180"/>
        <item m="1" x="75"/>
        <item m="1" x="68"/>
        <item m="1" x="173"/>
        <item m="1" x="129"/>
        <item m="1" x="130"/>
        <item m="1" x="169"/>
        <item m="1" x="88"/>
        <item m="1" x="162"/>
        <item m="1" x="35"/>
        <item m="1" x="56"/>
        <item m="1" x="207"/>
        <item m="1" x="138"/>
        <item m="1" x="181"/>
        <item m="1" x="107"/>
        <item m="1" x="183"/>
        <item m="1" x="194"/>
        <item m="1" x="115"/>
        <item m="1" x="140"/>
        <item m="1" x="134"/>
        <item m="1" x="178"/>
        <item m="1" x="176"/>
        <item m="1" x="61"/>
        <item m="1" x="199"/>
        <item m="1" x="132"/>
        <item m="1" x="158"/>
        <item m="1" x="175"/>
        <item m="1" x="203"/>
        <item m="1" x="210"/>
        <item m="1" x="111"/>
        <item m="1" x="95"/>
        <item m="1" x="94"/>
        <item m="1" x="146"/>
        <item m="1" x="99"/>
        <item m="1" x="155"/>
        <item m="1" x="49"/>
        <item m="1" x="117"/>
        <item m="1" x="153"/>
        <item m="1" x="177"/>
        <item m="1" x="114"/>
        <item m="1" x="105"/>
        <item m="1" x="43"/>
        <item m="1" x="185"/>
        <item m="1" x="63"/>
        <item m="1" x="83"/>
        <item m="1" x="126"/>
        <item m="1" x="137"/>
        <item m="1" x="84"/>
        <item m="1" x="33"/>
        <item m="1" x="131"/>
        <item m="1" x="143"/>
        <item m="1" x="70"/>
        <item m="1" x="166"/>
        <item m="1" x="182"/>
        <item m="1" x="119"/>
        <item m="1" x="73"/>
        <item m="1" x="85"/>
        <item m="1" x="62"/>
        <item m="1" x="148"/>
        <item m="1" x="30"/>
        <item m="1" x="157"/>
        <item m="1" x="174"/>
        <item m="1" x="195"/>
        <item m="1" x="170"/>
        <item m="1" x="188"/>
        <item m="1" x="208"/>
        <item m="1" x="86"/>
        <item m="1" x="165"/>
        <item m="1" x="205"/>
        <item m="1" x="44"/>
        <item m="1" x="58"/>
        <item m="1" x="91"/>
        <item m="1" x="133"/>
        <item m="1" x="36"/>
        <item m="1" x="41"/>
        <item m="1" x="16"/>
        <item m="1" x="27"/>
        <item m="1" x="187"/>
        <item m="1" x="98"/>
        <item m="1" x="184"/>
        <item m="1" x="59"/>
        <item m="1" x="189"/>
        <item m="1" x="152"/>
        <item m="1" x="124"/>
        <item m="1" x="72"/>
        <item m="1" x="151"/>
        <item m="1" x="20"/>
        <item m="1" x="172"/>
        <item m="1" x="101"/>
        <item m="1" x="24"/>
        <item m="1" x="150"/>
        <item m="1" x="32"/>
        <item m="1" x="53"/>
        <item m="1" x="110"/>
        <item m="1" x="76"/>
        <item m="1" x="66"/>
        <item m="1" x="57"/>
        <item m="1" x="204"/>
        <item m="1" x="209"/>
        <item m="1" x="196"/>
        <item m="1" x="202"/>
        <item m="1" x="112"/>
        <item m="1" x="45"/>
        <item m="1" x="34"/>
        <item m="1" x="128"/>
        <item m="1" x="200"/>
        <item m="1" x="92"/>
        <item m="1" x="168"/>
        <item m="1" x="161"/>
        <item m="1" x="160"/>
        <item m="1" x="39"/>
        <item m="1" x="147"/>
        <item m="1" x="78"/>
        <item m="1" x="127"/>
        <item m="1" x="51"/>
        <item m="1" x="26"/>
        <item m="1" x="190"/>
        <item m="1" x="192"/>
        <item m="1" x="90"/>
        <item m="1" x="48"/>
        <item m="1" x="69"/>
        <item m="1" x="64"/>
        <item m="1" x="60"/>
        <item m="1" x="191"/>
        <item m="1" x="31"/>
        <item m="1" x="201"/>
        <item m="1" x="106"/>
        <item m="1" x="156"/>
        <item m="1" x="79"/>
        <item m="1" x="71"/>
        <item m="1" x="80"/>
        <item m="1" x="47"/>
        <item m="1" x="206"/>
        <item m="1" x="125"/>
        <item m="1" x="120"/>
        <item m="1" x="38"/>
        <item m="1" x="171"/>
        <item m="1" x="40"/>
        <item m="1" x="139"/>
        <item m="1" x="116"/>
        <item m="1" x="108"/>
        <item m="1" x="87"/>
        <item m="1" x="67"/>
        <item m="1" x="52"/>
        <item m="1" x="28"/>
        <item m="1" x="22"/>
        <item m="1" x="197"/>
        <item m="1" x="179"/>
        <item m="1" x="37"/>
        <item m="1" x="81"/>
        <item m="1" x="50"/>
        <item m="1" x="23"/>
        <item m="1" x="198"/>
        <item m="1" x="163"/>
        <item m="1" x="145"/>
        <item m="1" x="121"/>
        <item m="1" x="55"/>
        <item m="1" x="25"/>
        <item m="1" x="18"/>
        <item m="1" x="29"/>
        <item m="1" x="42"/>
        <item m="1" x="164"/>
        <item m="1" x="123"/>
        <item m="1" x="82"/>
        <item m="1" x="141"/>
        <item m="1" x="100"/>
        <item m="1" x="77"/>
        <item m="1" x="159"/>
        <item m="1" x="54"/>
        <item m="1" x="113"/>
        <item m="1" x="142"/>
        <item m="1" x="89"/>
        <item m="1" x="154"/>
        <item m="1" x="149"/>
        <item m="1" x="17"/>
        <item m="1" x="135"/>
        <item m="1" x="109"/>
        <item m="1" x="9"/>
        <item m="1" x="193"/>
        <item m="1" x="15"/>
        <item m="1" x="11"/>
        <item m="1" x="14"/>
        <item m="1" x="10"/>
        <item m="1" x="13"/>
        <item m="1" x="12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9">
    <i>
      <x v="3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5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8"/>
        <item m="1" x="9"/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9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5" firstHeaderRow="1" firstDataRow="1" firstDataCol="1"/>
  <pivotFields count="16">
    <pivotField showAll="0"/>
    <pivotField axis="axisRow" showAll="0">
      <items count="11">
        <item x="8"/>
        <item m="1" x="9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5" firstHeaderRow="1" firstDataRow="1" firstDataCol="1"/>
  <pivotFields count="16">
    <pivotField showAll="0"/>
    <pivotField axis="axisRow" showAll="0">
      <items count="11">
        <item x="8"/>
        <item m="1" x="9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5" firstHeaderRow="0" firstDataRow="1" firstDataCol="1"/>
  <pivotFields count="16">
    <pivotField showAll="0"/>
    <pivotField axis="axisRow" showAll="0">
      <items count="11">
        <item x="8"/>
        <item m="1" x="9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5" firstHeaderRow="1" firstDataRow="1" firstDataCol="1"/>
  <pivotFields count="16">
    <pivotField showAll="0"/>
    <pivotField axis="axisRow" showAll="0">
      <items count="11">
        <item x="8"/>
        <item m="1" x="9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5" firstHeaderRow="1" firstDataRow="1" firstDataCol="1"/>
  <pivotFields count="16">
    <pivotField showAll="0"/>
    <pivotField axis="axisRow" showAll="0">
      <items count="11">
        <item x="8"/>
        <item m="1" x="9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5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5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8"/>
        <item m="1" x="9"/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1">
        <item m="1" x="136"/>
        <item m="1" x="103"/>
        <item m="1" x="93"/>
        <item x="8"/>
        <item m="1" x="102"/>
        <item m="1" x="46"/>
        <item m="1" x="122"/>
        <item m="1" x="144"/>
        <item m="1" x="96"/>
        <item m="1" x="104"/>
        <item m="1" x="97"/>
        <item m="1" x="74"/>
        <item m="1" x="21"/>
        <item m="1" x="118"/>
        <item m="1" x="19"/>
        <item m="1" x="186"/>
        <item m="1" x="65"/>
        <item m="1" x="167"/>
        <item m="1" x="180"/>
        <item m="1" x="75"/>
        <item m="1" x="68"/>
        <item m="1" x="173"/>
        <item m="1" x="129"/>
        <item m="1" x="130"/>
        <item m="1" x="169"/>
        <item m="1" x="88"/>
        <item m="1" x="162"/>
        <item m="1" x="35"/>
        <item m="1" x="56"/>
        <item m="1" x="207"/>
        <item m="1" x="138"/>
        <item m="1" x="181"/>
        <item m="1" x="107"/>
        <item m="1" x="183"/>
        <item m="1" x="194"/>
        <item m="1" x="115"/>
        <item m="1" x="140"/>
        <item m="1" x="134"/>
        <item m="1" x="178"/>
        <item m="1" x="176"/>
        <item m="1" x="61"/>
        <item m="1" x="199"/>
        <item m="1" x="132"/>
        <item m="1" x="158"/>
        <item m="1" x="175"/>
        <item m="1" x="203"/>
        <item m="1" x="210"/>
        <item m="1" x="111"/>
        <item m="1" x="95"/>
        <item m="1" x="94"/>
        <item m="1" x="146"/>
        <item m="1" x="99"/>
        <item m="1" x="155"/>
        <item m="1" x="49"/>
        <item m="1" x="117"/>
        <item m="1" x="153"/>
        <item m="1" x="177"/>
        <item m="1" x="114"/>
        <item m="1" x="105"/>
        <item m="1" x="43"/>
        <item m="1" x="185"/>
        <item m="1" x="63"/>
        <item m="1" x="83"/>
        <item m="1" x="126"/>
        <item m="1" x="137"/>
        <item m="1" x="84"/>
        <item m="1" x="33"/>
        <item m="1" x="131"/>
        <item m="1" x="143"/>
        <item m="1" x="70"/>
        <item m="1" x="166"/>
        <item m="1" x="182"/>
        <item m="1" x="119"/>
        <item m="1" x="73"/>
        <item m="1" x="85"/>
        <item m="1" x="62"/>
        <item m="1" x="148"/>
        <item m="1" x="30"/>
        <item m="1" x="157"/>
        <item m="1" x="174"/>
        <item m="1" x="195"/>
        <item m="1" x="170"/>
        <item m="1" x="188"/>
        <item m="1" x="208"/>
        <item m="1" x="86"/>
        <item m="1" x="165"/>
        <item m="1" x="205"/>
        <item m="1" x="44"/>
        <item m="1" x="58"/>
        <item m="1" x="91"/>
        <item m="1" x="133"/>
        <item m="1" x="36"/>
        <item m="1" x="41"/>
        <item m="1" x="16"/>
        <item m="1" x="27"/>
        <item m="1" x="187"/>
        <item m="1" x="98"/>
        <item m="1" x="184"/>
        <item m="1" x="59"/>
        <item m="1" x="189"/>
        <item m="1" x="152"/>
        <item m="1" x="124"/>
        <item m="1" x="72"/>
        <item m="1" x="151"/>
        <item m="1" x="20"/>
        <item m="1" x="172"/>
        <item m="1" x="101"/>
        <item m="1" x="24"/>
        <item m="1" x="150"/>
        <item m="1" x="32"/>
        <item m="1" x="53"/>
        <item m="1" x="110"/>
        <item m="1" x="76"/>
        <item m="1" x="66"/>
        <item m="1" x="57"/>
        <item m="1" x="204"/>
        <item m="1" x="209"/>
        <item m="1" x="196"/>
        <item m="1" x="202"/>
        <item m="1" x="112"/>
        <item m="1" x="45"/>
        <item m="1" x="34"/>
        <item m="1" x="128"/>
        <item m="1" x="200"/>
        <item m="1" x="92"/>
        <item m="1" x="168"/>
        <item m="1" x="161"/>
        <item m="1" x="160"/>
        <item m="1" x="39"/>
        <item m="1" x="147"/>
        <item m="1" x="78"/>
        <item m="1" x="127"/>
        <item m="1" x="51"/>
        <item m="1" x="26"/>
        <item m="1" x="190"/>
        <item m="1" x="192"/>
        <item m="1" x="90"/>
        <item m="1" x="48"/>
        <item m="1" x="69"/>
        <item m="1" x="64"/>
        <item m="1" x="60"/>
        <item m="1" x="191"/>
        <item m="1" x="31"/>
        <item m="1" x="201"/>
        <item m="1" x="106"/>
        <item m="1" x="156"/>
        <item m="1" x="79"/>
        <item m="1" x="71"/>
        <item m="1" x="80"/>
        <item m="1" x="47"/>
        <item m="1" x="206"/>
        <item m="1" x="125"/>
        <item m="1" x="120"/>
        <item m="1" x="38"/>
        <item m="1" x="171"/>
        <item m="1" x="40"/>
        <item m="1" x="139"/>
        <item m="1" x="116"/>
        <item m="1" x="108"/>
        <item m="1" x="87"/>
        <item m="1" x="67"/>
        <item m="1" x="52"/>
        <item m="1" x="28"/>
        <item m="1" x="22"/>
        <item m="1" x="197"/>
        <item m="1" x="179"/>
        <item m="1" x="37"/>
        <item m="1" x="81"/>
        <item m="1" x="50"/>
        <item m="1" x="23"/>
        <item m="1" x="198"/>
        <item m="1" x="163"/>
        <item m="1" x="145"/>
        <item m="1" x="121"/>
        <item m="1" x="55"/>
        <item m="1" x="25"/>
        <item m="1" x="18"/>
        <item m="1" x="29"/>
        <item m="1" x="42"/>
        <item m="1" x="164"/>
        <item m="1" x="123"/>
        <item m="1" x="82"/>
        <item m="1" x="141"/>
        <item m="1" x="100"/>
        <item m="1" x="77"/>
        <item m="1" x="159"/>
        <item m="1" x="54"/>
        <item m="1" x="113"/>
        <item m="1" x="142"/>
        <item m="1" x="89"/>
        <item m="1" x="154"/>
        <item m="1" x="149"/>
        <item m="1" x="17"/>
        <item m="1" x="135"/>
        <item m="1" x="109"/>
        <item m="1" x="9"/>
        <item m="1" x="193"/>
        <item m="1" x="15"/>
        <item m="1" x="11"/>
        <item m="1" x="14"/>
        <item m="1" x="10"/>
        <item m="1" x="13"/>
        <item m="1" x="12"/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9">
    <i>
      <x/>
      <x v="3"/>
    </i>
    <i>
      <x v="2"/>
      <x v="203"/>
    </i>
    <i>
      <x v="3"/>
      <x v="204"/>
    </i>
    <i>
      <x v="4"/>
      <x v="205"/>
    </i>
    <i>
      <x v="5"/>
      <x v="206"/>
    </i>
    <i>
      <x v="6"/>
      <x v="207"/>
    </i>
    <i>
      <x v="7"/>
      <x v="208"/>
    </i>
    <i>
      <x v="8"/>
      <x v="209"/>
    </i>
    <i>
      <x v="9"/>
      <x v="21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57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5" firstHeaderRow="1" firstDataRow="1" firstDataCol="1"/>
  <pivotFields count="16">
    <pivotField dataField="1" showAll="0"/>
    <pivotField axis="axisRow" showAll="0">
      <items count="11">
        <item x="8"/>
        <item m="1" x="9"/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5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7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60"/>
  <sheetViews>
    <sheetView topLeftCell="Q1" workbookViewId="0">
      <selection activeCell="AF49" sqref="AF49"/>
    </sheetView>
  </sheetViews>
  <sheetFormatPr defaultRowHeight="15"/>
  <cols>
    <col min="1" max="2" width="14.85546875" bestFit="1" customWidth="1"/>
    <col min="3" max="3" width="13.140625" customWidth="1"/>
    <col min="4" max="4" width="13.140625" bestFit="1" customWidth="1"/>
    <col min="5" max="5" width="14.85546875" bestFit="1" customWidth="1"/>
    <col min="6" max="6" width="23" bestFit="1" customWidth="1"/>
    <col min="7" max="7" width="14.85546875" bestFit="1" customWidth="1"/>
    <col min="8" max="8" width="19.85546875" bestFit="1" customWidth="1"/>
    <col min="9" max="9" width="14.85546875" bestFit="1" customWidth="1"/>
    <col min="10" max="10" width="18.5703125" bestFit="1" customWidth="1"/>
    <col min="11" max="11" width="14.85546875" bestFit="1" customWidth="1"/>
    <col min="12" max="12" width="20.7109375" bestFit="1" customWidth="1"/>
    <col min="13" max="13" width="14.8554687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14.855468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4.855468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215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216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AA7" s="9" t="s">
        <v>193</v>
      </c>
      <c r="AB7" s="22"/>
      <c r="AD7" s="10">
        <v>2017</v>
      </c>
      <c r="AE7" s="10">
        <f>2051-Scenarios!G6</f>
        <v>2048</v>
      </c>
      <c r="AF7" s="10">
        <v>2017</v>
      </c>
      <c r="AM7" t="s">
        <v>14</v>
      </c>
    </row>
    <row r="8" spans="1:39">
      <c r="A8" s="9" t="s">
        <v>238</v>
      </c>
      <c r="B8" s="9" t="s">
        <v>238</v>
      </c>
      <c r="C8" s="9" t="s">
        <v>31</v>
      </c>
      <c r="D8" s="9" t="s">
        <v>193</v>
      </c>
      <c r="E8" s="9" t="s">
        <v>238</v>
      </c>
      <c r="F8" s="22">
        <v>1</v>
      </c>
      <c r="G8" s="9" t="s">
        <v>238</v>
      </c>
      <c r="H8" s="22">
        <v>1</v>
      </c>
      <c r="I8" s="9" t="s">
        <v>238</v>
      </c>
      <c r="J8" s="22">
        <v>0</v>
      </c>
      <c r="K8" s="9" t="s">
        <v>238</v>
      </c>
      <c r="L8" s="22">
        <v>0</v>
      </c>
      <c r="M8" s="9" t="s">
        <v>238</v>
      </c>
      <c r="N8" s="22">
        <v>0</v>
      </c>
      <c r="O8" t="s">
        <v>238</v>
      </c>
      <c r="P8" t="s">
        <v>238</v>
      </c>
      <c r="Q8" t="s">
        <v>238</v>
      </c>
      <c r="R8" t="s">
        <v>30</v>
      </c>
      <c r="S8" s="9" t="s">
        <v>238</v>
      </c>
      <c r="T8" s="22">
        <v>-1</v>
      </c>
      <c r="U8" s="22">
        <v>-1</v>
      </c>
      <c r="V8" s="22">
        <v>-1</v>
      </c>
      <c r="W8" s="22">
        <v>1</v>
      </c>
      <c r="X8" s="22">
        <v>-1</v>
      </c>
      <c r="AA8" s="9" t="s">
        <v>238</v>
      </c>
      <c r="AB8" s="22">
        <v>100</v>
      </c>
      <c r="AD8" s="10">
        <v>2018</v>
      </c>
      <c r="AE8" s="10">
        <f>IF(OR(AE7=2050,AE7=""),"",AE7+1)</f>
        <v>2049</v>
      </c>
      <c r="AF8" s="10">
        <v>2018</v>
      </c>
      <c r="AM8" t="s">
        <v>15</v>
      </c>
    </row>
    <row r="9" spans="1:39">
      <c r="A9" s="9" t="s">
        <v>239</v>
      </c>
      <c r="B9" s="9" t="s">
        <v>239</v>
      </c>
      <c r="C9" s="9" t="s">
        <v>32</v>
      </c>
      <c r="E9" s="9" t="s">
        <v>239</v>
      </c>
      <c r="F9" s="22">
        <v>1</v>
      </c>
      <c r="G9" s="9" t="s">
        <v>239</v>
      </c>
      <c r="H9" s="22">
        <v>1</v>
      </c>
      <c r="I9" s="9" t="s">
        <v>239</v>
      </c>
      <c r="J9" s="22">
        <v>0</v>
      </c>
      <c r="K9" s="9" t="s">
        <v>239</v>
      </c>
      <c r="L9" s="22">
        <v>0</v>
      </c>
      <c r="M9" s="9" t="s">
        <v>239</v>
      </c>
      <c r="N9" s="22">
        <v>0</v>
      </c>
      <c r="O9" t="s">
        <v>239</v>
      </c>
      <c r="P9" t="s">
        <v>239</v>
      </c>
      <c r="Q9" t="s">
        <v>239</v>
      </c>
      <c r="R9" t="s">
        <v>30</v>
      </c>
      <c r="S9" s="9" t="s">
        <v>239</v>
      </c>
      <c r="T9" s="22">
        <v>-1</v>
      </c>
      <c r="U9" s="22">
        <v>-1</v>
      </c>
      <c r="V9" s="22">
        <v>-1</v>
      </c>
      <c r="W9" s="22">
        <v>1</v>
      </c>
      <c r="X9" s="22">
        <v>-1</v>
      </c>
      <c r="AA9" s="9" t="s">
        <v>239</v>
      </c>
      <c r="AB9" s="22">
        <v>100</v>
      </c>
      <c r="AD9" s="10">
        <v>2019</v>
      </c>
      <c r="AE9" s="10">
        <f>IF(OR(AE8=2050,AE8=""),"",AE8+1)</f>
        <v>2050</v>
      </c>
      <c r="AF9" s="10">
        <v>2019</v>
      </c>
      <c r="AM9" t="s">
        <v>16</v>
      </c>
    </row>
    <row r="10" spans="1:39">
      <c r="A10" s="9" t="s">
        <v>240</v>
      </c>
      <c r="B10" s="9" t="s">
        <v>240</v>
      </c>
      <c r="C10" s="9" t="s">
        <v>46</v>
      </c>
      <c r="E10" s="9" t="s">
        <v>240</v>
      </c>
      <c r="F10" s="22">
        <v>1</v>
      </c>
      <c r="G10" s="9" t="s">
        <v>240</v>
      </c>
      <c r="H10" s="22">
        <v>1</v>
      </c>
      <c r="I10" s="9" t="s">
        <v>240</v>
      </c>
      <c r="J10" s="22">
        <v>0</v>
      </c>
      <c r="K10" s="9" t="s">
        <v>240</v>
      </c>
      <c r="L10" s="22">
        <v>0</v>
      </c>
      <c r="M10" s="9" t="s">
        <v>240</v>
      </c>
      <c r="N10" s="22">
        <v>0</v>
      </c>
      <c r="O10" t="s">
        <v>240</v>
      </c>
      <c r="P10" t="s">
        <v>240</v>
      </c>
      <c r="Q10" t="s">
        <v>240</v>
      </c>
      <c r="R10" t="s">
        <v>30</v>
      </c>
      <c r="S10" s="9" t="s">
        <v>240</v>
      </c>
      <c r="T10" s="22">
        <v>-1</v>
      </c>
      <c r="U10" s="22">
        <v>-1</v>
      </c>
      <c r="V10" s="22">
        <v>-1</v>
      </c>
      <c r="W10" s="22">
        <v>1</v>
      </c>
      <c r="X10" s="22">
        <v>-1</v>
      </c>
      <c r="AA10" s="9" t="s">
        <v>240</v>
      </c>
      <c r="AB10" s="22">
        <v>100</v>
      </c>
      <c r="AD10" s="10">
        <v>2020</v>
      </c>
      <c r="AE10" s="10" t="str">
        <f t="shared" ref="AE10:AE13" si="0">IF(OR(AE9=2050,AE9=""),"",AE9+1)</f>
        <v/>
      </c>
      <c r="AF10" s="10">
        <v>2020</v>
      </c>
      <c r="AM10" t="s">
        <v>17</v>
      </c>
    </row>
    <row r="11" spans="1:39">
      <c r="A11" s="9" t="s">
        <v>241</v>
      </c>
      <c r="B11" s="9" t="s">
        <v>241</v>
      </c>
      <c r="C11" s="9" t="s">
        <v>47</v>
      </c>
      <c r="E11" s="9" t="s">
        <v>241</v>
      </c>
      <c r="F11" s="22">
        <v>1</v>
      </c>
      <c r="G11" s="9" t="s">
        <v>241</v>
      </c>
      <c r="H11" s="22">
        <v>1</v>
      </c>
      <c r="I11" s="9" t="s">
        <v>241</v>
      </c>
      <c r="J11" s="22">
        <v>0</v>
      </c>
      <c r="K11" s="9" t="s">
        <v>241</v>
      </c>
      <c r="L11" s="22">
        <v>0</v>
      </c>
      <c r="M11" s="9" t="s">
        <v>241</v>
      </c>
      <c r="N11" s="22">
        <v>0</v>
      </c>
      <c r="O11" t="s">
        <v>241</v>
      </c>
      <c r="P11" t="s">
        <v>241</v>
      </c>
      <c r="Q11" t="s">
        <v>241</v>
      </c>
      <c r="R11" t="s">
        <v>30</v>
      </c>
      <c r="S11" s="9" t="s">
        <v>241</v>
      </c>
      <c r="T11" s="22">
        <v>-1</v>
      </c>
      <c r="U11" s="22">
        <v>-1</v>
      </c>
      <c r="V11" s="22">
        <v>-1</v>
      </c>
      <c r="W11" s="22">
        <v>1</v>
      </c>
      <c r="X11" s="22">
        <v>-1</v>
      </c>
      <c r="AA11" s="9" t="s">
        <v>241</v>
      </c>
      <c r="AB11" s="22">
        <v>100</v>
      </c>
      <c r="AD11" s="10">
        <v>2021</v>
      </c>
      <c r="AE11" s="10" t="str">
        <f t="shared" si="0"/>
        <v/>
      </c>
      <c r="AF11" s="10">
        <v>2021</v>
      </c>
      <c r="AM11" t="s">
        <v>18</v>
      </c>
    </row>
    <row r="12" spans="1:39">
      <c r="A12" s="9" t="s">
        <v>242</v>
      </c>
      <c r="B12" s="9" t="s">
        <v>242</v>
      </c>
      <c r="C12" s="9" t="s">
        <v>48</v>
      </c>
      <c r="D12" s="9"/>
      <c r="E12" s="9" t="s">
        <v>242</v>
      </c>
      <c r="F12" s="22">
        <v>1</v>
      </c>
      <c r="G12" s="9" t="s">
        <v>242</v>
      </c>
      <c r="H12" s="22">
        <v>1</v>
      </c>
      <c r="I12" s="9" t="s">
        <v>242</v>
      </c>
      <c r="J12" s="22">
        <v>0</v>
      </c>
      <c r="K12" s="9" t="s">
        <v>242</v>
      </c>
      <c r="L12" s="22">
        <v>0</v>
      </c>
      <c r="M12" s="9" t="s">
        <v>242</v>
      </c>
      <c r="N12" s="22">
        <v>0</v>
      </c>
      <c r="O12" t="s">
        <v>242</v>
      </c>
      <c r="P12" t="s">
        <v>242</v>
      </c>
      <c r="Q12" t="s">
        <v>242</v>
      </c>
      <c r="R12" t="s">
        <v>30</v>
      </c>
      <c r="S12" s="9" t="s">
        <v>242</v>
      </c>
      <c r="T12" s="22">
        <v>-1</v>
      </c>
      <c r="U12" s="22">
        <v>-1</v>
      </c>
      <c r="V12" s="22">
        <v>-1</v>
      </c>
      <c r="W12" s="22">
        <v>1</v>
      </c>
      <c r="X12" s="22">
        <v>-1</v>
      </c>
      <c r="AA12" s="9" t="s">
        <v>242</v>
      </c>
      <c r="AB12" s="22">
        <v>100</v>
      </c>
      <c r="AD12" s="10">
        <v>2022</v>
      </c>
      <c r="AE12" s="10" t="str">
        <f t="shared" si="0"/>
        <v/>
      </c>
      <c r="AF12" s="10">
        <v>2022</v>
      </c>
      <c r="AM12" t="s">
        <v>19</v>
      </c>
    </row>
    <row r="13" spans="1:39">
      <c r="A13" s="9" t="s">
        <v>243</v>
      </c>
      <c r="B13" s="9" t="s">
        <v>243</v>
      </c>
      <c r="C13" s="9" t="s">
        <v>49</v>
      </c>
      <c r="D13" s="9"/>
      <c r="E13" s="9" t="s">
        <v>243</v>
      </c>
      <c r="F13" s="22">
        <v>1</v>
      </c>
      <c r="G13" s="9" t="s">
        <v>243</v>
      </c>
      <c r="H13" s="22">
        <v>1</v>
      </c>
      <c r="I13" s="9" t="s">
        <v>243</v>
      </c>
      <c r="J13" s="22">
        <v>0</v>
      </c>
      <c r="K13" s="9" t="s">
        <v>243</v>
      </c>
      <c r="L13" s="22">
        <v>0</v>
      </c>
      <c r="M13" s="9" t="s">
        <v>243</v>
      </c>
      <c r="N13" s="22">
        <v>0</v>
      </c>
      <c r="O13" t="s">
        <v>243</v>
      </c>
      <c r="P13" t="s">
        <v>243</v>
      </c>
      <c r="Q13" t="s">
        <v>243</v>
      </c>
      <c r="R13" t="s">
        <v>30</v>
      </c>
      <c r="S13" s="9" t="s">
        <v>243</v>
      </c>
      <c r="T13" s="22">
        <v>-1</v>
      </c>
      <c r="U13" s="22">
        <v>-1</v>
      </c>
      <c r="V13" s="22">
        <v>-1</v>
      </c>
      <c r="W13" s="22">
        <v>1</v>
      </c>
      <c r="X13" s="22">
        <v>-1</v>
      </c>
      <c r="AA13" s="9" t="s">
        <v>243</v>
      </c>
      <c r="AB13" s="22">
        <v>100</v>
      </c>
      <c r="AD13" s="10">
        <v>2023</v>
      </c>
      <c r="AE13" s="10" t="str">
        <f t="shared" si="0"/>
        <v/>
      </c>
      <c r="AF13" s="10">
        <v>2023</v>
      </c>
      <c r="AM13" t="s">
        <v>20</v>
      </c>
    </row>
    <row r="14" spans="1:39">
      <c r="A14" s="9" t="s">
        <v>244</v>
      </c>
      <c r="B14" s="9" t="s">
        <v>244</v>
      </c>
      <c r="C14" s="9" t="s">
        <v>50</v>
      </c>
      <c r="D14" s="9"/>
      <c r="E14" s="9" t="s">
        <v>244</v>
      </c>
      <c r="F14" s="22">
        <v>1</v>
      </c>
      <c r="G14" s="9" t="s">
        <v>244</v>
      </c>
      <c r="H14" s="22">
        <v>1</v>
      </c>
      <c r="I14" s="9" t="s">
        <v>244</v>
      </c>
      <c r="J14" s="22">
        <v>0</v>
      </c>
      <c r="K14" s="9" t="s">
        <v>244</v>
      </c>
      <c r="L14" s="22">
        <v>0</v>
      </c>
      <c r="M14" s="9" t="s">
        <v>244</v>
      </c>
      <c r="N14" s="22">
        <v>0</v>
      </c>
      <c r="O14" t="s">
        <v>244</v>
      </c>
      <c r="P14" t="s">
        <v>244</v>
      </c>
      <c r="Q14" t="s">
        <v>244</v>
      </c>
      <c r="R14" t="s">
        <v>30</v>
      </c>
      <c r="S14" s="9" t="s">
        <v>244</v>
      </c>
      <c r="T14" s="22">
        <v>-1</v>
      </c>
      <c r="U14" s="22">
        <v>-1</v>
      </c>
      <c r="V14" s="22">
        <v>-1</v>
      </c>
      <c r="W14" s="22">
        <v>1</v>
      </c>
      <c r="X14" s="22">
        <v>-1</v>
      </c>
      <c r="AA14" s="9" t="s">
        <v>244</v>
      </c>
      <c r="AB14" s="22">
        <v>100</v>
      </c>
      <c r="AD14" s="10">
        <v>2024</v>
      </c>
      <c r="AF14" s="10">
        <v>2024</v>
      </c>
      <c r="AM14" t="s">
        <v>21</v>
      </c>
    </row>
    <row r="15" spans="1:39">
      <c r="A15" s="9" t="s">
        <v>245</v>
      </c>
      <c r="B15" s="9" t="s">
        <v>245</v>
      </c>
      <c r="C15" s="9" t="s">
        <v>51</v>
      </c>
      <c r="D15" s="9"/>
      <c r="E15" s="9" t="s">
        <v>245</v>
      </c>
      <c r="F15" s="22">
        <v>1</v>
      </c>
      <c r="G15" s="9" t="s">
        <v>245</v>
      </c>
      <c r="H15" s="22">
        <v>1</v>
      </c>
      <c r="I15" s="9" t="s">
        <v>245</v>
      </c>
      <c r="J15" s="22">
        <v>0</v>
      </c>
      <c r="K15" s="9" t="s">
        <v>245</v>
      </c>
      <c r="L15" s="22">
        <v>0</v>
      </c>
      <c r="M15" s="9" t="s">
        <v>245</v>
      </c>
      <c r="N15" s="22">
        <v>0</v>
      </c>
      <c r="O15" t="s">
        <v>245</v>
      </c>
      <c r="P15" t="s">
        <v>245</v>
      </c>
      <c r="Q15" t="s">
        <v>245</v>
      </c>
      <c r="R15" t="s">
        <v>30</v>
      </c>
      <c r="S15" s="9" t="s">
        <v>245</v>
      </c>
      <c r="T15" s="22">
        <v>-1</v>
      </c>
      <c r="U15" s="22">
        <v>-1</v>
      </c>
      <c r="V15" s="22">
        <v>-1</v>
      </c>
      <c r="W15" s="22">
        <v>1</v>
      </c>
      <c r="X15" s="22">
        <v>-1</v>
      </c>
      <c r="AA15" s="9" t="s">
        <v>245</v>
      </c>
      <c r="AB15" s="22">
        <v>100</v>
      </c>
      <c r="AD15" s="10">
        <v>2025</v>
      </c>
      <c r="AF15" s="10">
        <v>2025</v>
      </c>
      <c r="AM15" t="s">
        <v>22</v>
      </c>
    </row>
    <row r="16" spans="1:39">
      <c r="C16" s="9" t="s">
        <v>52</v>
      </c>
      <c r="D16" s="9"/>
      <c r="AD16" s="10">
        <v>2026</v>
      </c>
      <c r="AF16" s="10">
        <v>2026</v>
      </c>
      <c r="AM16" t="s">
        <v>5</v>
      </c>
    </row>
    <row r="17" spans="30:39">
      <c r="AD17" s="10">
        <v>2027</v>
      </c>
      <c r="AF17" s="10">
        <v>2027</v>
      </c>
      <c r="AM17" t="s">
        <v>23</v>
      </c>
    </row>
    <row r="18" spans="30:39">
      <c r="AD18" s="10">
        <v>2028</v>
      </c>
      <c r="AF18" s="10">
        <v>2028</v>
      </c>
      <c r="AM18" t="s">
        <v>25</v>
      </c>
    </row>
    <row r="19" spans="30:39">
      <c r="AD19" s="10">
        <v>2029</v>
      </c>
      <c r="AF19" s="10">
        <v>2029</v>
      </c>
      <c r="AM19" t="s">
        <v>24</v>
      </c>
    </row>
    <row r="20" spans="30:39">
      <c r="AD20" s="10">
        <v>2030</v>
      </c>
      <c r="AF20" s="10">
        <v>2030</v>
      </c>
      <c r="AM20" t="s">
        <v>11</v>
      </c>
    </row>
    <row r="21" spans="30:39">
      <c r="AD21" s="10">
        <v>2031</v>
      </c>
      <c r="AF21" s="10">
        <v>2031</v>
      </c>
      <c r="AM21" t="s">
        <v>11</v>
      </c>
    </row>
    <row r="22" spans="30:39">
      <c r="AD22" s="10">
        <v>2032</v>
      </c>
      <c r="AF22" s="10">
        <v>2032</v>
      </c>
      <c r="AM22" t="s">
        <v>11</v>
      </c>
    </row>
    <row r="23" spans="30:39">
      <c r="AD23" s="10">
        <v>2033</v>
      </c>
      <c r="AF23" s="10">
        <v>2033</v>
      </c>
      <c r="AM23" t="s">
        <v>11</v>
      </c>
    </row>
    <row r="24" spans="30:39">
      <c r="AD24" s="10">
        <v>2034</v>
      </c>
      <c r="AF24" s="10">
        <v>2034</v>
      </c>
    </row>
    <row r="25" spans="30:39">
      <c r="AD25" s="10">
        <v>2035</v>
      </c>
      <c r="AF25" s="10">
        <v>2035</v>
      </c>
    </row>
    <row r="26" spans="30:39">
      <c r="AD26" s="10">
        <v>2036</v>
      </c>
      <c r="AF26" s="10">
        <v>2036</v>
      </c>
    </row>
    <row r="27" spans="30:39">
      <c r="AD27" s="10">
        <v>2037</v>
      </c>
      <c r="AF27" s="10">
        <v>2037</v>
      </c>
    </row>
    <row r="28" spans="30:39">
      <c r="AD28" s="10">
        <v>2038</v>
      </c>
      <c r="AF28" s="10">
        <v>2038</v>
      </c>
    </row>
    <row r="29" spans="30:39">
      <c r="AD29" s="10">
        <v>2039</v>
      </c>
      <c r="AF29" s="10">
        <v>2039</v>
      </c>
    </row>
    <row r="30" spans="30:39">
      <c r="AD30" s="10">
        <v>2040</v>
      </c>
      <c r="AF30" s="10">
        <v>2040</v>
      </c>
    </row>
    <row r="31" spans="30:39">
      <c r="AD31" s="10">
        <v>2041</v>
      </c>
      <c r="AF31" s="10">
        <v>2041</v>
      </c>
    </row>
    <row r="32" spans="30:39">
      <c r="AD32" s="10">
        <v>2042</v>
      </c>
      <c r="AF32" s="10">
        <v>2042</v>
      </c>
    </row>
    <row r="33" spans="30:36">
      <c r="AD33" s="10">
        <v>2043</v>
      </c>
      <c r="AF33" s="10">
        <v>2043</v>
      </c>
    </row>
    <row r="34" spans="30:36">
      <c r="AD34" s="10">
        <v>2044</v>
      </c>
      <c r="AF34" s="10">
        <v>2044</v>
      </c>
    </row>
    <row r="35" spans="30:36">
      <c r="AD35" s="10">
        <v>2045</v>
      </c>
      <c r="AF35" s="10">
        <v>2045</v>
      </c>
    </row>
    <row r="36" spans="30:36">
      <c r="AD36" s="10">
        <v>2046</v>
      </c>
      <c r="AF36" s="10">
        <v>2046</v>
      </c>
    </row>
    <row r="37" spans="30:36">
      <c r="AD37" s="10">
        <v>2047</v>
      </c>
      <c r="AF37" s="10">
        <v>2047</v>
      </c>
    </row>
    <row r="38" spans="30:36">
      <c r="AD38" s="10">
        <v>2048</v>
      </c>
      <c r="AF38" s="10">
        <v>2048</v>
      </c>
    </row>
    <row r="39" spans="30:36">
      <c r="AD39" s="10">
        <v>2049</v>
      </c>
      <c r="AF39" s="10">
        <v>2049</v>
      </c>
    </row>
    <row r="40" spans="30:36">
      <c r="AD40" s="10">
        <v>2050</v>
      </c>
      <c r="AF40" s="10">
        <v>2050</v>
      </c>
    </row>
    <row r="41" spans="30:36">
      <c r="AD41" s="10">
        <v>2051</v>
      </c>
      <c r="AF41" s="10">
        <v>2051</v>
      </c>
      <c r="AI41" s="10"/>
      <c r="AJ41" s="10">
        <v>2051</v>
      </c>
    </row>
    <row r="42" spans="30:36">
      <c r="AD42" s="10">
        <v>2052</v>
      </c>
      <c r="AF42" s="10">
        <v>2052</v>
      </c>
      <c r="AI42" s="10"/>
      <c r="AJ42" s="10">
        <v>2056</v>
      </c>
    </row>
    <row r="43" spans="30:36">
      <c r="AD43" s="10">
        <v>2053</v>
      </c>
      <c r="AF43" s="10">
        <v>2053</v>
      </c>
      <c r="AI43" s="10"/>
      <c r="AJ43" s="10">
        <v>2065</v>
      </c>
    </row>
    <row r="44" spans="30:36">
      <c r="AD44" s="10">
        <v>2054</v>
      </c>
      <c r="AF44" s="10">
        <v>2054</v>
      </c>
      <c r="AI44" s="10"/>
    </row>
    <row r="45" spans="30:36">
      <c r="AD45" s="10">
        <v>2055</v>
      </c>
      <c r="AF45" s="10">
        <v>2055</v>
      </c>
      <c r="AI45" s="10"/>
    </row>
    <row r="46" spans="30:36">
      <c r="AD46" s="10">
        <v>2056</v>
      </c>
      <c r="AF46" s="10">
        <v>2058</v>
      </c>
      <c r="AI46" s="10"/>
    </row>
    <row r="47" spans="30:36">
      <c r="AD47" s="10">
        <v>2057</v>
      </c>
      <c r="AF47" s="10">
        <v>2063</v>
      </c>
      <c r="AI47" s="10"/>
    </row>
    <row r="48" spans="30:36">
      <c r="AD48" s="10">
        <v>2058</v>
      </c>
      <c r="AF48" s="10">
        <v>2068</v>
      </c>
      <c r="AI48" s="10"/>
    </row>
    <row r="49" spans="30:35">
      <c r="AD49" s="10">
        <v>2059</v>
      </c>
      <c r="AI49" s="10"/>
    </row>
    <row r="50" spans="30:35">
      <c r="AD50" s="10">
        <v>2060</v>
      </c>
      <c r="AI50" s="10"/>
    </row>
    <row r="51" spans="30:35">
      <c r="AD51" s="10">
        <v>2061</v>
      </c>
      <c r="AI51" s="10"/>
    </row>
    <row r="52" spans="30:35">
      <c r="AD52" s="10">
        <v>2062</v>
      </c>
      <c r="AI52" s="10"/>
    </row>
    <row r="53" spans="30:35">
      <c r="AD53" s="10">
        <v>2063</v>
      </c>
      <c r="AI53" s="10"/>
    </row>
    <row r="54" spans="30:35">
      <c r="AD54" s="10">
        <v>2064</v>
      </c>
      <c r="AI54" s="10"/>
    </row>
    <row r="55" spans="30:35">
      <c r="AD55" s="10">
        <v>2065</v>
      </c>
      <c r="AI55" s="10"/>
    </row>
    <row r="56" spans="30:35">
      <c r="AD56" s="10">
        <v>2066</v>
      </c>
      <c r="AI56" s="10"/>
    </row>
    <row r="57" spans="30:35">
      <c r="AD57" s="10">
        <v>2067</v>
      </c>
      <c r="AI57" s="10"/>
    </row>
    <row r="58" spans="30:35">
      <c r="AD58" s="10">
        <v>2068</v>
      </c>
      <c r="AI58" s="10"/>
    </row>
    <row r="59" spans="30:35">
      <c r="AD59" s="10">
        <v>2069</v>
      </c>
      <c r="AI59" s="10"/>
    </row>
    <row r="60" spans="30:35">
      <c r="AD60" s="10">
        <v>2070</v>
      </c>
      <c r="AI60" s="10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3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K18" sqref="K18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1</v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211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214</v>
      </c>
      <c r="U5">
        <v>100</v>
      </c>
      <c r="AZ5" t="s">
        <v>207</v>
      </c>
    </row>
    <row r="6" spans="1:57">
      <c r="A6" s="4">
        <f>SUM(A10:A92)</f>
        <v>8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212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SUM(AY10:AY54)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213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210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231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19" t="s">
        <v>234</v>
      </c>
      <c r="BA9" t="s">
        <v>232</v>
      </c>
      <c r="BB9" t="s">
        <v>233</v>
      </c>
      <c r="BC9" t="s">
        <v>235</v>
      </c>
      <c r="BD9" t="s">
        <v>236</v>
      </c>
      <c r="BE9" t="s">
        <v>237</v>
      </c>
    </row>
    <row r="10" spans="1:57">
      <c r="A10" s="17">
        <v>1</v>
      </c>
      <c r="B10" s="21" t="s">
        <v>238</v>
      </c>
      <c r="C10" t="s">
        <v>195</v>
      </c>
      <c r="D10" t="s">
        <v>30</v>
      </c>
      <c r="E10" t="s">
        <v>238</v>
      </c>
      <c r="F10">
        <v>1</v>
      </c>
      <c r="G10">
        <v>0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1</v>
      </c>
      <c r="B11" s="21" t="s">
        <v>239</v>
      </c>
      <c r="C11" t="s">
        <v>195</v>
      </c>
      <c r="D11" t="s">
        <v>30</v>
      </c>
      <c r="E11" t="s">
        <v>239</v>
      </c>
      <c r="F11">
        <v>1</v>
      </c>
      <c r="G11">
        <v>0</v>
      </c>
      <c r="H11" t="s">
        <v>188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</row>
    <row r="12" spans="1:57">
      <c r="A12" s="17">
        <v>1</v>
      </c>
      <c r="B12" s="21" t="s">
        <v>240</v>
      </c>
      <c r="C12" t="s">
        <v>195</v>
      </c>
      <c r="D12" t="s">
        <v>30</v>
      </c>
      <c r="E12" t="s">
        <v>240</v>
      </c>
      <c r="F12">
        <v>1</v>
      </c>
      <c r="G12">
        <v>0</v>
      </c>
      <c r="H12" t="s">
        <v>188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 s="17">
        <v>1</v>
      </c>
      <c r="B13" s="21" t="s">
        <v>241</v>
      </c>
      <c r="C13" t="s">
        <v>195</v>
      </c>
      <c r="D13" t="s">
        <v>30</v>
      </c>
      <c r="E13" t="s">
        <v>241</v>
      </c>
      <c r="F13">
        <v>1</v>
      </c>
      <c r="G13">
        <v>0</v>
      </c>
      <c r="H13" t="s">
        <v>188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</row>
    <row r="14" spans="1:57">
      <c r="A14" s="17">
        <v>1</v>
      </c>
      <c r="B14" s="21" t="s">
        <v>242</v>
      </c>
      <c r="C14" t="s">
        <v>195</v>
      </c>
      <c r="D14" t="s">
        <v>30</v>
      </c>
      <c r="E14" t="s">
        <v>242</v>
      </c>
      <c r="F14">
        <v>1</v>
      </c>
      <c r="G14">
        <v>0</v>
      </c>
      <c r="H14" t="s">
        <v>188</v>
      </c>
      <c r="I14">
        <v>0</v>
      </c>
      <c r="J14">
        <v>0</v>
      </c>
      <c r="K14">
        <v>-1</v>
      </c>
      <c r="L14">
        <v>-1</v>
      </c>
      <c r="M14">
        <v>-1</v>
      </c>
      <c r="N14">
        <v>1</v>
      </c>
      <c r="O14">
        <v>-1</v>
      </c>
      <c r="P14">
        <v>100</v>
      </c>
      <c r="AY14">
        <v>0</v>
      </c>
    </row>
    <row r="15" spans="1:57" ht="16.5" customHeight="1">
      <c r="A15" s="17">
        <v>1</v>
      </c>
      <c r="B15" s="21" t="s">
        <v>243</v>
      </c>
      <c r="C15" t="s">
        <v>195</v>
      </c>
      <c r="D15" t="s">
        <v>30</v>
      </c>
      <c r="E15" t="s">
        <v>243</v>
      </c>
      <c r="F15">
        <v>1</v>
      </c>
      <c r="G15">
        <v>0</v>
      </c>
      <c r="H15" t="s">
        <v>188</v>
      </c>
      <c r="I15">
        <v>0</v>
      </c>
      <c r="J15">
        <v>0</v>
      </c>
      <c r="K15">
        <v>-1</v>
      </c>
      <c r="L15">
        <v>-1</v>
      </c>
      <c r="M15">
        <v>-1</v>
      </c>
      <c r="N15">
        <v>1</v>
      </c>
      <c r="O15">
        <v>-1</v>
      </c>
      <c r="P15">
        <v>100</v>
      </c>
      <c r="AY15">
        <v>0</v>
      </c>
      <c r="BA15">
        <v>1</v>
      </c>
    </row>
    <row r="16" spans="1:57" ht="17.25" customHeight="1">
      <c r="A16" s="17">
        <v>1</v>
      </c>
      <c r="B16" s="21" t="s">
        <v>244</v>
      </c>
      <c r="C16" t="s">
        <v>195</v>
      </c>
      <c r="D16" t="s">
        <v>30</v>
      </c>
      <c r="E16" t="s">
        <v>244</v>
      </c>
      <c r="F16">
        <v>1</v>
      </c>
      <c r="G16">
        <v>0</v>
      </c>
      <c r="H16" t="s">
        <v>188</v>
      </c>
      <c r="I16">
        <v>0</v>
      </c>
      <c r="J16">
        <v>0</v>
      </c>
      <c r="K16">
        <v>-1</v>
      </c>
      <c r="L16">
        <v>-1</v>
      </c>
      <c r="M16">
        <v>-1</v>
      </c>
      <c r="N16">
        <v>1</v>
      </c>
      <c r="O16">
        <v>-1</v>
      </c>
      <c r="P16">
        <v>100</v>
      </c>
      <c r="AY16">
        <v>0</v>
      </c>
      <c r="BA16">
        <v>1</v>
      </c>
    </row>
    <row r="17" spans="1:65" ht="17.25" customHeight="1">
      <c r="A17" s="17">
        <v>1</v>
      </c>
      <c r="B17" s="21" t="s">
        <v>245</v>
      </c>
      <c r="C17" t="s">
        <v>195</v>
      </c>
      <c r="D17" t="s">
        <v>30</v>
      </c>
      <c r="E17" t="s">
        <v>245</v>
      </c>
      <c r="F17">
        <v>1</v>
      </c>
      <c r="G17">
        <v>0</v>
      </c>
      <c r="H17" t="s">
        <v>188</v>
      </c>
      <c r="I17">
        <v>0</v>
      </c>
      <c r="J17">
        <v>0</v>
      </c>
      <c r="K17">
        <v>-1</v>
      </c>
      <c r="L17">
        <v>-1</v>
      </c>
      <c r="M17">
        <v>-1</v>
      </c>
      <c r="N17">
        <v>1</v>
      </c>
      <c r="O17">
        <v>-1</v>
      </c>
      <c r="P17">
        <v>100</v>
      </c>
      <c r="AY17">
        <v>0</v>
      </c>
      <c r="BA17">
        <v>1</v>
      </c>
      <c r="BD17">
        <v>1</v>
      </c>
    </row>
    <row r="18" spans="1:65" ht="17.25" customHeight="1">
      <c r="A18" s="17"/>
      <c r="AY18">
        <v>0</v>
      </c>
      <c r="BA18">
        <v>1</v>
      </c>
      <c r="BD18">
        <v>1</v>
      </c>
    </row>
    <row r="19" spans="1:65" ht="17.25" customHeight="1">
      <c r="A19" s="17"/>
      <c r="AY19">
        <v>0</v>
      </c>
      <c r="BA19">
        <v>1</v>
      </c>
      <c r="BD19">
        <v>1</v>
      </c>
    </row>
    <row r="20" spans="1:65">
      <c r="A20" s="17"/>
      <c r="BB20">
        <v>1</v>
      </c>
    </row>
    <row r="21" spans="1:65">
      <c r="A21" s="17"/>
      <c r="BB21">
        <v>1</v>
      </c>
    </row>
    <row r="22" spans="1:65">
      <c r="A22" s="17"/>
      <c r="BB22">
        <v>1</v>
      </c>
    </row>
    <row r="23" spans="1:65">
      <c r="A23" s="17"/>
      <c r="BB23">
        <v>1</v>
      </c>
    </row>
    <row r="24" spans="1:65">
      <c r="A24" s="17"/>
      <c r="P24" s="19"/>
      <c r="BB24">
        <v>1</v>
      </c>
      <c r="BM24" t="s">
        <v>217</v>
      </c>
    </row>
    <row r="25" spans="1:65">
      <c r="A25" s="17"/>
      <c r="P25" s="19"/>
      <c r="BB25">
        <v>1</v>
      </c>
      <c r="BM25" t="s">
        <v>218</v>
      </c>
    </row>
    <row r="26" spans="1:65">
      <c r="A26" s="17"/>
      <c r="P26" s="19"/>
      <c r="BB26">
        <v>1</v>
      </c>
      <c r="BM26" t="s">
        <v>219</v>
      </c>
    </row>
    <row r="27" spans="1:65">
      <c r="A27" s="17"/>
      <c r="P27" s="19"/>
      <c r="BB27">
        <v>1</v>
      </c>
      <c r="BM27" t="s">
        <v>220</v>
      </c>
    </row>
    <row r="28" spans="1:65">
      <c r="A28" s="17"/>
      <c r="P28" s="19"/>
      <c r="BB28">
        <v>1</v>
      </c>
      <c r="BM28" t="s">
        <v>221</v>
      </c>
    </row>
    <row r="29" spans="1:65">
      <c r="A29" s="17"/>
      <c r="P29" s="19"/>
      <c r="BB29">
        <v>1</v>
      </c>
      <c r="BM29" t="s">
        <v>222</v>
      </c>
    </row>
    <row r="30" spans="1:65">
      <c r="A30" s="17"/>
      <c r="P30" s="19"/>
      <c r="BB30">
        <v>1</v>
      </c>
      <c r="BM30" t="s">
        <v>223</v>
      </c>
    </row>
    <row r="31" spans="1:65">
      <c r="A31" s="17"/>
      <c r="P31" s="19"/>
      <c r="BB31">
        <v>1</v>
      </c>
      <c r="BM31" t="s">
        <v>224</v>
      </c>
    </row>
    <row r="32" spans="1:65">
      <c r="A32" s="17"/>
      <c r="P32" s="19"/>
      <c r="BB32">
        <v>1</v>
      </c>
      <c r="BM32" t="s">
        <v>225</v>
      </c>
    </row>
    <row r="33" spans="1:65">
      <c r="A33" s="17"/>
      <c r="L33" s="13"/>
      <c r="M33" s="13"/>
      <c r="P33" s="19"/>
      <c r="BB33">
        <v>1</v>
      </c>
      <c r="BM33" t="s">
        <v>226</v>
      </c>
    </row>
    <row r="34" spans="1:65">
      <c r="A34" s="17"/>
      <c r="P34" s="19"/>
      <c r="BB34">
        <v>1</v>
      </c>
      <c r="BM34" t="s">
        <v>227</v>
      </c>
    </row>
    <row r="35" spans="1:65">
      <c r="A35" s="17"/>
      <c r="P35" s="19"/>
      <c r="BB35">
        <v>1</v>
      </c>
      <c r="BM35" t="s">
        <v>228</v>
      </c>
    </row>
    <row r="36" spans="1:65">
      <c r="A36" s="17"/>
      <c r="P36" s="19"/>
      <c r="BB36">
        <v>1</v>
      </c>
      <c r="BM36" t="s">
        <v>229</v>
      </c>
    </row>
    <row r="37" spans="1:65">
      <c r="A37" s="17"/>
      <c r="P37" s="19"/>
      <c r="BB37">
        <v>1</v>
      </c>
      <c r="BM37" t="s">
        <v>230</v>
      </c>
    </row>
    <row r="38" spans="1:65">
      <c r="A38" s="17"/>
      <c r="P38" s="19"/>
      <c r="BB38">
        <v>1</v>
      </c>
    </row>
    <row r="39" spans="1:65">
      <c r="A39" s="17"/>
      <c r="P39" s="19"/>
      <c r="BB39">
        <v>1</v>
      </c>
    </row>
    <row r="40" spans="1:65">
      <c r="A40" s="17"/>
      <c r="P40" s="19"/>
      <c r="BB40">
        <v>1</v>
      </c>
    </row>
    <row r="41" spans="1:65">
      <c r="A41" s="17"/>
      <c r="L41" s="13"/>
      <c r="M41" s="13"/>
      <c r="P41" s="19"/>
      <c r="BB41">
        <v>1</v>
      </c>
    </row>
    <row r="42" spans="1:65">
      <c r="A42" s="17"/>
      <c r="L42" s="13"/>
      <c r="M42" s="13"/>
      <c r="P42" s="19"/>
      <c r="BB42">
        <v>1</v>
      </c>
    </row>
    <row r="43" spans="1:65">
      <c r="A43" s="17"/>
      <c r="L43" s="13"/>
      <c r="M43" s="13"/>
      <c r="P43" s="19"/>
      <c r="BB43">
        <v>1</v>
      </c>
    </row>
    <row r="44" spans="1:65">
      <c r="A44" s="17"/>
      <c r="P44" s="19"/>
      <c r="BB44">
        <v>1</v>
      </c>
    </row>
    <row r="45" spans="1:65">
      <c r="A45" s="17"/>
      <c r="L45" s="13"/>
      <c r="M45" s="13"/>
      <c r="P45" s="19"/>
      <c r="BB45">
        <v>1</v>
      </c>
    </row>
    <row r="46" spans="1:65">
      <c r="A46" s="17"/>
      <c r="P46" s="19"/>
      <c r="BB46">
        <v>1</v>
      </c>
    </row>
    <row r="47" spans="1:65">
      <c r="A47" s="17"/>
      <c r="P47" s="19"/>
      <c r="BB47">
        <v>1</v>
      </c>
    </row>
    <row r="48" spans="1:65">
      <c r="A48" s="17"/>
      <c r="P48" s="19"/>
      <c r="BB48">
        <v>1</v>
      </c>
    </row>
    <row r="49" spans="1:54">
      <c r="A49" s="17"/>
      <c r="L49" s="13"/>
      <c r="M49" s="13"/>
      <c r="P49" s="19"/>
      <c r="BB49">
        <v>1</v>
      </c>
    </row>
    <row r="50" spans="1:54">
      <c r="A50" s="17"/>
      <c r="L50" s="13"/>
      <c r="M50" s="13"/>
      <c r="P50" s="19"/>
      <c r="BB50">
        <v>1</v>
      </c>
    </row>
    <row r="51" spans="1:54">
      <c r="A51" s="17"/>
      <c r="L51" s="13"/>
      <c r="M51" s="13"/>
      <c r="P51" s="19"/>
      <c r="BB51">
        <v>1</v>
      </c>
    </row>
    <row r="52" spans="1:54">
      <c r="A52" s="17"/>
      <c r="P52" s="19"/>
      <c r="BB52">
        <v>1</v>
      </c>
    </row>
    <row r="53" spans="1:54">
      <c r="A53" s="17"/>
      <c r="P53" s="19"/>
      <c r="BB53">
        <v>1</v>
      </c>
    </row>
    <row r="54" spans="1:54">
      <c r="A54" s="17"/>
      <c r="P54" s="19"/>
      <c r="BB54">
        <v>1</v>
      </c>
    </row>
    <row r="55" spans="1:54">
      <c r="A55" s="17"/>
      <c r="P55" s="19"/>
      <c r="BB55">
        <v>1</v>
      </c>
    </row>
    <row r="56" spans="1:54">
      <c r="A56" s="17"/>
      <c r="P56" s="19"/>
      <c r="BB56">
        <v>1</v>
      </c>
    </row>
    <row r="57" spans="1:54">
      <c r="A57" s="17"/>
      <c r="P57" s="19"/>
      <c r="BB57">
        <v>1</v>
      </c>
    </row>
    <row r="58" spans="1:54">
      <c r="A58" s="17"/>
      <c r="P58" s="19"/>
      <c r="BB58">
        <v>1</v>
      </c>
    </row>
    <row r="59" spans="1:54">
      <c r="A59" s="17"/>
      <c r="L59" s="13"/>
      <c r="M59" s="13"/>
      <c r="P59" s="19"/>
      <c r="BB59">
        <v>1</v>
      </c>
    </row>
    <row r="60" spans="1:54">
      <c r="A60" s="17"/>
      <c r="L60" s="13"/>
      <c r="M60" s="13"/>
      <c r="P60" s="19"/>
      <c r="BB60">
        <v>1</v>
      </c>
    </row>
    <row r="61" spans="1:54">
      <c r="A61" s="17"/>
      <c r="L61" s="13"/>
      <c r="M61" s="13"/>
      <c r="P61" s="19"/>
      <c r="BB61">
        <v>1</v>
      </c>
    </row>
    <row r="62" spans="1:54">
      <c r="A62" s="17"/>
      <c r="P62" s="19"/>
      <c r="BB62">
        <v>1</v>
      </c>
    </row>
    <row r="63" spans="1:54">
      <c r="A63" s="17"/>
      <c r="L63" s="13"/>
      <c r="M63" s="13"/>
      <c r="P63" s="19"/>
      <c r="BB63">
        <v>1</v>
      </c>
    </row>
    <row r="64" spans="1:54">
      <c r="A64" s="17"/>
      <c r="P64" s="19"/>
      <c r="BB64">
        <v>1</v>
      </c>
    </row>
    <row r="65" spans="1:54">
      <c r="A65" s="17"/>
      <c r="P65" s="19"/>
      <c r="BB65">
        <v>1</v>
      </c>
    </row>
    <row r="66" spans="1:54">
      <c r="A66" s="17"/>
      <c r="P66" s="19"/>
      <c r="BB66">
        <v>1</v>
      </c>
    </row>
    <row r="67" spans="1:54">
      <c r="A67" s="17"/>
      <c r="L67" s="13"/>
      <c r="M67" s="13"/>
      <c r="P67" s="19"/>
      <c r="BB67">
        <v>1</v>
      </c>
    </row>
    <row r="68" spans="1:54">
      <c r="A68" s="17"/>
      <c r="L68" s="13"/>
      <c r="M68" s="13"/>
      <c r="P68" s="19"/>
      <c r="BB68">
        <v>1</v>
      </c>
    </row>
    <row r="69" spans="1:54">
      <c r="A69" s="17"/>
      <c r="L69" s="13"/>
      <c r="M69" s="13"/>
      <c r="P69" s="19"/>
      <c r="BB69">
        <v>1</v>
      </c>
    </row>
    <row r="70" spans="1:54">
      <c r="A70" s="17"/>
      <c r="P70" s="19"/>
      <c r="BB70">
        <v>1</v>
      </c>
    </row>
    <row r="71" spans="1:54">
      <c r="A71" s="17"/>
      <c r="P71" s="19"/>
      <c r="BB71">
        <v>1</v>
      </c>
    </row>
    <row r="72" spans="1:54">
      <c r="A72" s="17"/>
      <c r="P72" s="19"/>
      <c r="BB72">
        <v>1</v>
      </c>
    </row>
    <row r="73" spans="1:54">
      <c r="A73" s="17"/>
      <c r="P73" s="19"/>
      <c r="BB73">
        <v>1</v>
      </c>
    </row>
    <row r="74" spans="1:54">
      <c r="A74" s="17"/>
      <c r="P74" s="19"/>
      <c r="BB74">
        <v>1</v>
      </c>
    </row>
    <row r="75" spans="1:54">
      <c r="A75" s="17"/>
      <c r="P75" s="19"/>
      <c r="BB75">
        <v>1</v>
      </c>
    </row>
    <row r="76" spans="1:54">
      <c r="A76" s="17"/>
      <c r="P76" s="19"/>
      <c r="BB76">
        <v>1</v>
      </c>
    </row>
    <row r="77" spans="1:54">
      <c r="A77" s="17"/>
      <c r="L77" s="13"/>
      <c r="M77" s="13"/>
      <c r="P77" s="19"/>
      <c r="BB77">
        <v>1</v>
      </c>
    </row>
    <row r="78" spans="1:54">
      <c r="A78" s="17"/>
      <c r="L78" s="13"/>
      <c r="M78" s="13"/>
      <c r="P78" s="19"/>
      <c r="BB78">
        <v>1</v>
      </c>
    </row>
    <row r="79" spans="1:54">
      <c r="A79" s="17"/>
      <c r="L79" s="13"/>
      <c r="M79" s="13"/>
      <c r="P79" s="19"/>
      <c r="BB79">
        <v>1</v>
      </c>
    </row>
    <row r="80" spans="1:54">
      <c r="A80" s="17"/>
      <c r="P80" s="19"/>
      <c r="BB80">
        <v>1</v>
      </c>
    </row>
    <row r="81" spans="1:57">
      <c r="A81" s="17"/>
      <c r="L81" s="13"/>
      <c r="M81" s="13"/>
      <c r="P81" s="19"/>
      <c r="BB81">
        <v>1</v>
      </c>
    </row>
    <row r="82" spans="1:57">
      <c r="A82" s="17"/>
      <c r="P82" s="19"/>
      <c r="BB82">
        <v>1</v>
      </c>
    </row>
    <row r="83" spans="1:57">
      <c r="A83" s="17"/>
      <c r="P83" s="19"/>
      <c r="BB83">
        <v>1</v>
      </c>
    </row>
    <row r="84" spans="1:57">
      <c r="A84" s="17"/>
      <c r="P84" s="19"/>
      <c r="BB84">
        <v>1</v>
      </c>
    </row>
    <row r="85" spans="1:57">
      <c r="A85" s="17"/>
      <c r="L85" s="13"/>
      <c r="M85" s="13"/>
      <c r="P85" s="19"/>
      <c r="BB85">
        <v>1</v>
      </c>
    </row>
    <row r="86" spans="1:57">
      <c r="A86" s="17"/>
      <c r="L86" s="13"/>
      <c r="M86" s="13"/>
      <c r="P86" s="19"/>
      <c r="BB86">
        <v>1</v>
      </c>
    </row>
    <row r="87" spans="1:57">
      <c r="A87" s="17"/>
      <c r="L87" s="13"/>
      <c r="M87" s="13"/>
      <c r="P87" s="19"/>
      <c r="BB87">
        <v>1</v>
      </c>
    </row>
    <row r="88" spans="1:57">
      <c r="A88" s="17"/>
      <c r="P88" s="19"/>
      <c r="BB88">
        <v>1</v>
      </c>
      <c r="BE88">
        <v>1</v>
      </c>
    </row>
    <row r="89" spans="1:57">
      <c r="A89" s="17"/>
      <c r="P89" s="19"/>
      <c r="BB89">
        <v>1</v>
      </c>
      <c r="BE89">
        <v>1</v>
      </c>
    </row>
    <row r="90" spans="1:57">
      <c r="A90" s="17"/>
      <c r="P90" s="19"/>
      <c r="BB90">
        <v>1</v>
      </c>
      <c r="BE90">
        <v>1</v>
      </c>
    </row>
    <row r="91" spans="1:57">
      <c r="A91" s="17"/>
      <c r="BB91">
        <v>1</v>
      </c>
      <c r="BE91">
        <v>1</v>
      </c>
    </row>
    <row r="92" spans="1:57">
      <c r="A92" s="17"/>
      <c r="L92" s="13"/>
      <c r="M92" s="13"/>
      <c r="P92" s="19"/>
      <c r="BB92">
        <v>1</v>
      </c>
      <c r="BE92">
        <v>1</v>
      </c>
    </row>
    <row r="93" spans="1:57">
      <c r="A93" s="17"/>
    </row>
  </sheetData>
  <autoFilter ref="A9:BH92" xr:uid="{00000000-0001-0000-0E00-000000000000}"/>
  <sortState xmlns:xlrd2="http://schemas.microsoft.com/office/spreadsheetml/2017/richdata2" ref="A10:BH54">
    <sortCondition ref="B10:B54"/>
  </sortState>
  <mergeCells count="1">
    <mergeCell ref="R6:AE6"/>
  </mergeCells>
  <phoneticPr fontId="34" type="noConversion"/>
  <conditionalFormatting sqref="A94:A1048576 A1:A9">
    <cfRule type="iconSet" priority="765">
      <iconSet>
        <cfvo type="percent" val="0"/>
        <cfvo type="percent" val="33"/>
        <cfvo type="percent" val="67"/>
      </iconSet>
    </cfRule>
  </conditionalFormatting>
  <conditionalFormatting sqref="A24:A93">
    <cfRule type="iconSet" priority="936">
      <iconSet>
        <cfvo type="percent" val="0"/>
        <cfvo type="percent" val="33"/>
        <cfvo type="percent" val="67"/>
      </iconSet>
    </cfRule>
  </conditionalFormatting>
  <conditionalFormatting sqref="A10:A93">
    <cfRule type="iconSet" priority="937">
      <iconSet>
        <cfvo type="percent" val="0"/>
        <cfvo type="percent" val="33"/>
        <cfvo type="percent" val="67"/>
      </iconSet>
    </cfRule>
  </conditionalFormatting>
  <conditionalFormatting sqref="A15:A93">
    <cfRule type="iconSet" priority="939">
      <iconSet>
        <cfvo type="percent" val="0"/>
        <cfvo type="percent" val="33"/>
        <cfvo type="percent" val="67"/>
      </iconSet>
    </cfRule>
  </conditionalFormatting>
  <conditionalFormatting sqref="A10:A92">
    <cfRule type="iconSet" priority="94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Bryce Mc Call</cp:lastModifiedBy>
  <dcterms:created xsi:type="dcterms:W3CDTF">2014-09-01T09:42:43Z</dcterms:created>
  <dcterms:modified xsi:type="dcterms:W3CDTF">2023-09-29T12:30:53Z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