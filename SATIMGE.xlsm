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pivotTables/pivotTable9.xml" ContentType="application/vnd.openxmlformats-officedocument.spreadsheetml.pivotTable+xml"/>
  <Override PartName="/xl/pivotTables/pivotTable10.xml" ContentType="application/vnd.openxmlformats-officedocument.spreadsheetml.pivotTable+xml"/>
  <Override PartName="/xl/pivotTables/pivotTable11.xml" ContentType="application/vnd.openxmlformats-officedocument.spreadsheetml.pivotTable+xml"/>
  <Override PartName="/xl/pivotTables/pivotTable12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Models\SATIM-EL\"/>
    </mc:Choice>
  </mc:AlternateContent>
  <xr:revisionPtr revIDLastSave="0" documentId="13_ncr:1_{8366B54C-4F5B-420A-84B0-B6DB052794FD}" xr6:coauthVersionLast="47" xr6:coauthVersionMax="47" xr10:uidLastSave="{00000000-0000-0000-0000-000000000000}"/>
  <bookViews>
    <workbookView xWindow="-120" yWindow="-120" windowWidth="29040" windowHeight="15840" activeTab="2" xr2:uid="{4B221D65-8B6E-432B-B32D-B10605CA311E}"/>
  </bookViews>
  <sheets>
    <sheet name="Index" sheetId="4" r:id="rId1"/>
    <sheet name="Sets" sheetId="5" r:id="rId2"/>
    <sheet name="Scenarios" sheetId="33" r:id="rId3"/>
    <sheet name="OtherSettings" sheetId="52" r:id="rId4"/>
    <sheet name="Todo" sheetId="53" r:id="rId5"/>
  </sheets>
  <externalReferences>
    <externalReference r:id="rId6"/>
    <externalReference r:id="rId7"/>
    <externalReference r:id="rId8"/>
  </externalReferences>
  <definedNames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7</definedName>
    <definedName name="_AtRisk_SimSetting_ReportsList" hidden="1">1832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2" hidden="1">Scenarios!$A$9:$BH$104</definedName>
    <definedName name="Demand.Sectors">[1]Index!$D$2:$J$2</definedName>
    <definedName name="DieselLHV">[2]Analytica!$AO$13</definedName>
    <definedName name="emissions_start">[1]NameConv!$AY$4</definedName>
    <definedName name="emissions_types">[1]NameConv!$AX$3</definedName>
    <definedName name="epp_start">[3]PWR!$B$45</definedName>
    <definedName name="eps">#REF!</definedName>
    <definedName name="etech_data">[3]PWR!$B$46:$BH$68</definedName>
    <definedName name="etech_parameters">[3]PWR!$B$42:$BI$42</definedName>
    <definedName name="File_Path">Scenarios!$B$1</definedName>
    <definedName name="flagPenetrationOnly">[2]NT_TRP!$AJ$61</definedName>
    <definedName name="fuel_types">[3]NameConv!$B$8</definedName>
    <definedName name="FuelNames">[1]NameConv!$B$5:$C$44</definedName>
    <definedName name="GasolineLHV">[2]Analytica!$AO$10</definedName>
    <definedName name="inchtocentimetre">[1]Distribution!$A$17</definedName>
    <definedName name="MitiScen">Scenarios!#REF!</definedName>
    <definedName name="Model_RUN_code">[1]Index!$A$2</definedName>
    <definedName name="newtech_data">[3]NT_PWR!$C$39:$BD$121</definedName>
    <definedName name="newtech_parameters">[3]NT_PWR!$C$35:$BD$35</definedName>
    <definedName name="Newtech_Start">[3]NT_PWR!$C$38</definedName>
    <definedName name="Pal_Workbook_GUID" hidden="1">"E2D7SR7Q3BDXUD24G1M1SK63"</definedName>
    <definedName name="PV_BOS_Cost_Ratios">#REF!</definedName>
    <definedName name="PV_BOS_Sims">#REF!</definedName>
    <definedName name="PV_Module_Sims">#REF!</definedName>
    <definedName name="reftrofits">[2]TRP_Retrofit!$AL$67</definedName>
    <definedName name="RiskAfterRecalcMacro" hidden="1">""</definedName>
    <definedName name="RiskAfterSimMacro" hidden="1">""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5000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FALSE</definedName>
    <definedName name="RiskUseMultipleCPUs" hidden="1">TRUE</definedName>
    <definedName name="Sector.Agriculture">[1]Index!$D$2</definedName>
    <definedName name="Sector.Commercial">[1]Index!$E$2</definedName>
    <definedName name="Sector.Industry">[1]Index!$F$2</definedName>
    <definedName name="Sector.Power">[1]Index!$I$2</definedName>
    <definedName name="Sector.Residential">[1]Index!$H$2</definedName>
    <definedName name="Sector.Supply">[1]Index!$J$2</definedName>
    <definedName name="Sector.Transport">[1]Index!$G$2</definedName>
    <definedName name="sector_prefix">[1]UPS!$B$6</definedName>
    <definedName name="USD_xrate">#REF!</definedName>
    <definedName name="XLSIMSIM" hidden="1">{"Sim",3,"Output 1","'Reworked data'!$AI$84","Output 2","'Reworked data'!$AJ$84","Output 3","'Reworked data'!$AK$84","1","2","100","0"}</definedName>
  </definedNames>
  <calcPr calcId="191029"/>
  <pivotCaches>
    <pivotCache cacheId="54" r:id="rId9"/>
    <pivotCache cacheId="57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F9" i="5" l="1"/>
  <c r="AF10" i="5" s="1"/>
  <c r="AF11" i="5" s="1"/>
  <c r="AF12" i="5" s="1"/>
  <c r="AF13" i="5" s="1"/>
  <c r="AF14" i="5" s="1"/>
  <c r="AF15" i="5" s="1"/>
  <c r="AF16" i="5" s="1"/>
  <c r="AF8" i="5"/>
  <c r="AD9" i="5"/>
  <c r="AD10" i="5"/>
  <c r="AD11" i="5" s="1"/>
  <c r="AD12" i="5" s="1"/>
  <c r="AD13" i="5" s="1"/>
  <c r="AD14" i="5" s="1"/>
  <c r="AD15" i="5" s="1"/>
  <c r="AD16" i="5" s="1"/>
  <c r="AD8" i="5"/>
  <c r="A6" i="33"/>
  <c r="C20" i="4" l="1"/>
  <c r="C18" i="4" l="1"/>
  <c r="T2" i="33"/>
  <c r="T3" i="33"/>
  <c r="T4" i="33"/>
  <c r="T1" i="33"/>
  <c r="L6" i="33" l="1"/>
  <c r="M6" i="33"/>
  <c r="K6" i="33"/>
  <c r="L5" i="33"/>
  <c r="M5" i="33"/>
  <c r="K5" i="33"/>
  <c r="C22" i="4" l="1"/>
  <c r="C15" i="4"/>
  <c r="C14" i="4"/>
  <c r="B1" i="33" a="1"/>
  <c r="B1" i="33" s="1"/>
  <c r="C21" i="4"/>
  <c r="C10" i="4"/>
  <c r="AE7" i="5"/>
  <c r="AE8" i="5" s="1"/>
  <c r="AE9" i="5" s="1"/>
  <c r="AE10" i="5" s="1"/>
  <c r="AE11" i="5" s="1"/>
  <c r="AE12" i="5" s="1"/>
  <c r="AE13" i="5" s="1"/>
  <c r="C9" i="4"/>
  <c r="C13" i="4"/>
  <c r="C19" i="4"/>
  <c r="C17" i="4"/>
  <c r="C16" i="4"/>
  <c r="C12" i="4"/>
  <c r="C8" i="4"/>
  <c r="C11" i="4"/>
  <c r="C7" i="4"/>
  <c r="S9" i="33"/>
  <c r="T9" i="33" s="1"/>
  <c r="U9" i="33" s="1"/>
  <c r="V9" i="33" s="1"/>
  <c r="W9" i="33" s="1"/>
  <c r="X9" i="33" s="1"/>
  <c r="Y9" i="33" s="1"/>
  <c r="Z9" i="33" s="1"/>
  <c r="AA9" i="33" s="1"/>
  <c r="AB9" i="33" s="1"/>
  <c r="AC9" i="33" s="1"/>
  <c r="AD9" i="33" s="1"/>
  <c r="AE9" i="33" s="1"/>
  <c r="AF9" i="33" s="1"/>
  <c r="AG9" i="33" s="1"/>
  <c r="AH9" i="33" s="1"/>
  <c r="AI9" i="33" s="1"/>
  <c r="AJ9" i="33" s="1"/>
  <c r="AK9" i="33" s="1"/>
  <c r="AL9" i="33" s="1"/>
  <c r="AM9" i="33" s="1"/>
  <c r="AN9" i="33" s="1"/>
  <c r="AO9" i="33" s="1"/>
  <c r="AP9" i="33" s="1"/>
  <c r="AQ9" i="33" s="1"/>
  <c r="AR9" i="33" s="1"/>
  <c r="AS9" i="33" s="1"/>
  <c r="AT9" i="33" s="1"/>
  <c r="AU9" i="33" s="1"/>
  <c r="AV9" i="33" s="1"/>
  <c r="AW9" i="33" s="1"/>
  <c r="AX9" i="33" s="1"/>
  <c r="AY6" i="33" l="1"/>
  <c r="B6" i="3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tc={83CA511A-FBD5-43F7-B8F0-E5362C3DCE52}</author>
    <author>tc={CE11BB4C-0C18-4D35-BF73-34D81721FC90}</author>
    <author>tc={EC077787-168E-40F9-8185-2D94EE6C07E4}</author>
    <author>Fadiel</author>
    <author>tc={17FBD226-AEBE-4EC7-A6D6-D1E6F0B044C5}</author>
    <author>tc={37DC2375-4C43-4283-944C-7AF220DF9E63}</author>
    <author>tc={96C64C8E-8DBE-43D2-9EEE-9EDCF222C45D}</author>
    <author>tc={2E84C638-A7D0-4725-AAF5-9E9F72760766}</author>
    <author>tc={561DFB92-4BB0-4BCE-B206-9F4519A27285}</author>
    <author>tc={AC5BA943-4423-40A4-AA9B-8D35175CED98}</author>
    <author>tc={230F7878-D483-4C16-85B5-F653F61B75CE}</author>
    <author>tc={CA059FA7-08E5-486C-AB3A-7B25C83F46A7}</author>
    <author>tc={89A69CC2-61DB-4968-9058-E96CBEDE74A3}</author>
    <author>tc={1B64D05D-4765-442D-B929-37345BFEADDA}</author>
    <author>tc={6F091816-6B7C-4E14-A996-86F6F766500B}</author>
    <author>tc={80B76C32-5065-445C-B4CA-949AF3C466AE}</author>
    <author>tc={98C7D9E0-C6BE-4384-B3AA-9CA99F4E582B}</author>
    <author>tc={09AECD53-5E0F-4AAD-86D9-0A176D1BEB4C}</author>
    <author>tc={42BE1C3A-86F6-4EE3-967C-17E110984347}</author>
    <author>tc={2E057A1D-61F2-468B-8278-F722F83FC647}</author>
    <author>tc={6DC6F051-76B1-486C-98FF-EFB7541365C7}</author>
  </authors>
  <commentList>
    <comment ref="D10" authorId="0" shapeId="0" xr:uid="{83CA511A-FBD5-43F7-B8F0-E5362C3DCE52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1" authorId="1" shapeId="0" xr:uid="{CE11BB4C-0C18-4D35-BF73-34D81721FC9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2" authorId="2" shapeId="0" xr:uid="{EC077787-168E-40F9-8185-2D94EE6C07E4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B13" authorId="3" shapeId="0" xr:uid="{E690A731-FE56-4DA4-8FE1-55AF003F263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Moderate  (100 CC)
LandSink 20Mt
NoExports
WithH2</t>
        </r>
      </text>
    </comment>
    <comment ref="D13" authorId="4" shapeId="0" xr:uid="{17FBD226-AEBE-4EC7-A6D6-D1E6F0B044C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3" authorId="3" shapeId="0" xr:uid="{43986FC7-7C55-4D97-BB4D-4654A66ED6C4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B14" authorId="3" shapeId="0" xr:uid="{A9DD010D-55A6-4353-89DE-5569BC603559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ClimatePolicy Low  (100 CC)
LandSink 20Mt
NoExports
WithH2</t>
        </r>
      </text>
    </comment>
    <comment ref="D14" authorId="5" shapeId="0" xr:uid="{37DC2375-4C43-4283-944C-7AF220DF9E6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E14" authorId="3" shapeId="0" xr:uid="{A8A3A2AE-28AA-451E-9000-D6A64BB63E33}">
      <text>
        <r>
          <rPr>
            <b/>
            <sz val="9"/>
            <color indexed="81"/>
            <rFont val="Tahoma"/>
            <family val="2"/>
          </rPr>
          <t>Fadiel:</t>
        </r>
        <r>
          <rPr>
            <sz val="9"/>
            <color indexed="81"/>
            <rFont val="Tahoma"/>
            <family val="2"/>
          </rPr>
          <t xml:space="preserve">
Case for no net-zero with SATIMGE set CC and no Exports with local H2.
</t>
        </r>
      </text>
    </comment>
    <comment ref="D15" authorId="6" shapeId="0" xr:uid="{96C64C8E-8DBE-43D2-9EEE-9EDCF222C45D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6" authorId="7" shapeId="0" xr:uid="{2E84C638-A7D0-4725-AAF5-9E9F72760766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7" authorId="8" shapeId="0" xr:uid="{561DFB92-4BB0-4BCE-B206-9F4519A27285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8" authorId="9" shapeId="0" xr:uid="{AC5BA943-4423-40A4-AA9B-8D35175CED98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19" authorId="10" shapeId="0" xr:uid="{230F7878-D483-4C16-85B5-F653F61B75C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0" authorId="11" shapeId="0" xr:uid="{CA059FA7-08E5-486C-AB3A-7B25C83F46A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1" authorId="12" shapeId="0" xr:uid="{89A69CC2-61DB-4968-9058-E96CBEDE74A3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2" authorId="13" shapeId="0" xr:uid="{1B64D05D-4765-442D-B929-37345BFEADDA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3" authorId="14" shapeId="0" xr:uid="{6F091816-6B7C-4E14-A996-86F6F766500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4" authorId="15" shapeId="0" xr:uid="{80B76C32-5065-445C-B4CA-949AF3C466AE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5" authorId="16" shapeId="0" xr:uid="{98C7D9E0-C6BE-4384-B3AA-9CA99F4E582B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26" authorId="17" shapeId="0" xr:uid="{09AECD53-5E0F-4AAD-86D9-0A176D1BEB4C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4" authorId="18" shapeId="0" xr:uid="{42BE1C3A-86F6-4EE3-967C-17E1109843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35" authorId="19" shapeId="0" xr:uid="{2E057A1D-61F2-468B-8278-F722F83FC64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  <comment ref="D66" authorId="20" shapeId="0" xr:uid="{6DC6F051-76B1-486C-98FF-EFB7541365C7}">
      <text>
        <t>[Threaded comment]
Your version of Excel allows you to read this threaded comment; however, any edits to it will get removed if the file is opened in a newer version of Excel. Learn more: https://go.microsoft.com/fwlink/?linkid=870924
Comment:
    Note that there is still a problem running with other cases here - still looking into it.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<sst xmlns="http://schemas.openxmlformats.org/spreadsheetml/2006/main" count="356" uniqueCount="242">
  <si>
    <t>rdim</t>
  </si>
  <si>
    <t>cdim</t>
  </si>
  <si>
    <t>par</t>
  </si>
  <si>
    <t>dset</t>
  </si>
  <si>
    <t>set</t>
  </si>
  <si>
    <t>Other</t>
  </si>
  <si>
    <t>source sheet</t>
  </si>
  <si>
    <t>RUN</t>
  </si>
  <si>
    <t>MRUNCASE</t>
  </si>
  <si>
    <t>Include in Batch?</t>
  </si>
  <si>
    <t>INCLRUN</t>
  </si>
  <si>
    <t/>
  </si>
  <si>
    <t>CO2 CumCap</t>
  </si>
  <si>
    <t>Link to CGE?</t>
  </si>
  <si>
    <t>Agriculture</t>
  </si>
  <si>
    <t>Commerce</t>
  </si>
  <si>
    <t>Mining</t>
  </si>
  <si>
    <t>Food&amp;Bev</t>
  </si>
  <si>
    <t>Pulp&amp;Paper</t>
  </si>
  <si>
    <t>Chemicals</t>
  </si>
  <si>
    <t>Non-metallic minerals</t>
  </si>
  <si>
    <t>Iron&amp;steel</t>
  </si>
  <si>
    <t>Non-ferrous</t>
  </si>
  <si>
    <t>Residential</t>
  </si>
  <si>
    <t>Transport_Freight</t>
  </si>
  <si>
    <t>Transport_pass</t>
  </si>
  <si>
    <t>CO2 Price</t>
  </si>
  <si>
    <t>PamsSector</t>
  </si>
  <si>
    <t>SATIM (TIMES) Case</t>
  </si>
  <si>
    <t>eSAGE (CGE) sim</t>
  </si>
  <si>
    <t>base</t>
  </si>
  <si>
    <t>sim1</t>
  </si>
  <si>
    <t>sim2</t>
  </si>
  <si>
    <t>Row Labels</t>
  </si>
  <si>
    <t>Rerun TIMES?</t>
  </si>
  <si>
    <t>Scenario (RUN)</t>
  </si>
  <si>
    <t>Link to Waste?</t>
  </si>
  <si>
    <t>Link to AFOLU?</t>
  </si>
  <si>
    <t>Waste</t>
  </si>
  <si>
    <t>AFOLU</t>
  </si>
  <si>
    <t>TIMES Cases</t>
  </si>
  <si>
    <t>Sum of Include in Batch?</t>
  </si>
  <si>
    <t>Include RUN?</t>
  </si>
  <si>
    <t>Sum of Link to CGE?</t>
  </si>
  <si>
    <t>Sum of Rerun TIMES?</t>
  </si>
  <si>
    <t>eSAGE sims</t>
  </si>
  <si>
    <t>sim3</t>
  </si>
  <si>
    <t>sim4</t>
  </si>
  <si>
    <t>sim5</t>
  </si>
  <si>
    <t>sim6</t>
  </si>
  <si>
    <t>sim7</t>
  </si>
  <si>
    <t>sim8</t>
  </si>
  <si>
    <t>sim9</t>
  </si>
  <si>
    <t>CGE active</t>
  </si>
  <si>
    <t>TC</t>
  </si>
  <si>
    <t>TT</t>
  </si>
  <si>
    <t>Iterations</t>
  </si>
  <si>
    <t>X</t>
  </si>
  <si>
    <t>MRUNX</t>
  </si>
  <si>
    <t>SIM_SATIM</t>
  </si>
  <si>
    <t>SATIMCASES</t>
  </si>
  <si>
    <t>SIM_ESAGE</t>
  </si>
  <si>
    <t>Number of iterations with CGE</t>
  </si>
  <si>
    <t>Active sims</t>
  </si>
  <si>
    <t>XC</t>
  </si>
  <si>
    <t>Rerun TIMES? (SIM_SATIM)</t>
  </si>
  <si>
    <t>Map RUN SATIM Case (MRUNCASE)</t>
  </si>
  <si>
    <t>Map RUN eSAGE sim (MRUNX)</t>
  </si>
  <si>
    <t>Occupancy -&gt; pkm tkm</t>
  </si>
  <si>
    <t>Power</t>
  </si>
  <si>
    <t>User constraints</t>
  </si>
  <si>
    <t>HFO, kerosene</t>
  </si>
  <si>
    <t>Check Elc Price calc, and expand indicators for price calc</t>
  </si>
  <si>
    <t>Refineries</t>
  </si>
  <si>
    <t>Check Sasol</t>
  </si>
  <si>
    <t>Modify Natref emission factor to match Sasol's report (.9Mton/year)</t>
  </si>
  <si>
    <t>Industry</t>
  </si>
  <si>
    <t>Chemicals: Make Sasolburg subsector</t>
  </si>
  <si>
    <t>Set up workbook</t>
  </si>
  <si>
    <t>Link to CGE and SATIM</t>
  </si>
  <si>
    <t>International commodity Prices</t>
  </si>
  <si>
    <t>Check Gas (GIC) for Mossgas (zz's)</t>
  </si>
  <si>
    <t>Fix Losses for 2012</t>
  </si>
  <si>
    <t>Read emissions</t>
  </si>
  <si>
    <t>Read other indicators</t>
  </si>
  <si>
    <t>Write to waste workbook (drivers and PAM level)</t>
  </si>
  <si>
    <t>Land</t>
  </si>
  <si>
    <t>Agric</t>
  </si>
  <si>
    <t>Write to land workbook</t>
  </si>
  <si>
    <t>Write to agric workbook</t>
  </si>
  <si>
    <t>Carbon Tax</t>
  </si>
  <si>
    <t>Link to CGE</t>
  </si>
  <si>
    <t>link to SATIM</t>
  </si>
  <si>
    <t>Populate workbook for IRENA</t>
  </si>
  <si>
    <t>Link PAMS</t>
  </si>
  <si>
    <t>Demand workbook</t>
  </si>
  <si>
    <t>Fix Coal Exports level</t>
  </si>
  <si>
    <t>Test with higher reserve margin (25% -&gt; get other parameters from Jarrad)</t>
  </si>
  <si>
    <t>Household Indicators</t>
  </si>
  <si>
    <t>Income by CGE sectors</t>
  </si>
  <si>
    <t>Income by SATIM sectors</t>
  </si>
  <si>
    <t>Add Aluminium sector</t>
  </si>
  <si>
    <t>Add Ferroalloy sector</t>
  </si>
  <si>
    <t>Exports</t>
  </si>
  <si>
    <t>Fix Elc Exports</t>
  </si>
  <si>
    <t>Fix Exports for other fuels</t>
  </si>
  <si>
    <t>Status</t>
  </si>
  <si>
    <t>done</t>
  </si>
  <si>
    <t>Tableau</t>
  </si>
  <si>
    <t>EB check</t>
  </si>
  <si>
    <t>Inventory Check</t>
  </si>
  <si>
    <t>Task</t>
  </si>
  <si>
    <t>Setup some basic Sector Dashboards</t>
  </si>
  <si>
    <t>Fix Reserve Margin</t>
  </si>
  <si>
    <t>Fix reporting for Aluminium</t>
  </si>
  <si>
    <t>Transport Indicators</t>
  </si>
  <si>
    <r>
      <t>On 2017 Energy balance</t>
    </r>
    <r>
      <rPr>
        <sz val="11"/>
        <color theme="1"/>
        <rFont val="Calibri"/>
        <family val="2"/>
        <scheme val="minor"/>
      </rPr>
      <t>, we're mostly in good shape but a few things to checked and fixed:</t>
    </r>
  </si>
  <si>
    <t>(low/high means in model not in EB):</t>
  </si>
  <si>
    <t>Electricity demand:</t>
  </si>
  <si>
    <t>- double count of Aluminium in reporting or in model (Bryce/Bruno)</t>
  </si>
  <si>
    <t>- Residential could be slightly lower (Alison)</t>
  </si>
  <si>
    <t>- mapping problem for electricity imports in model</t>
  </si>
  <si>
    <t>- Chemicals seems a bit low - probable because own gen was not included in demand (Bryce)</t>
  </si>
  <si>
    <t>Coal demand:</t>
  </si>
  <si>
    <t>- Check reporting of SATIM for material use of CTL (Bruno)</t>
  </si>
  <si>
    <t>- NM seems a little bit low (Bryce)</t>
  </si>
  <si>
    <t>- Need to fix coal exports (Bruno)</t>
  </si>
  <si>
    <t>Gas demand:</t>
  </si>
  <si>
    <t>- NM seems low (Bryce)</t>
  </si>
  <si>
    <t>- Pulp and paper high (Bryce)</t>
  </si>
  <si>
    <t>Transport Fuels Demand</t>
  </si>
  <si>
    <t>- We seem to be ok, although I can't get the EB values to show up in the table (I did make an adjustment to DMD_PROJ for passenger transport)</t>
  </si>
  <si>
    <t>HFO Demand</t>
  </si>
  <si>
    <t>- missing in Commercial (Alison)</t>
  </si>
  <si>
    <t>LPG Demand</t>
  </si>
  <si>
    <t>- demand seems much lower than supply. Not sure where the LPG is going (Bruno can check and will revert to sectors)</t>
  </si>
  <si>
    <t>Electricity Supply:</t>
  </si>
  <si>
    <t>- Need to add HFO and kerosene (Bruno)</t>
  </si>
  <si>
    <t>Sasol:</t>
  </si>
  <si>
    <t>CTL and boiler coal and gas consumption and emissions (Fadiel)</t>
  </si>
  <si>
    <t>Coal power plants need a check (Bruno)</t>
  </si>
  <si>
    <t>Gas power plants need a check (Bruno)</t>
  </si>
  <si>
    <t>Coal demand in chemicals not double counting (Bruno/Bryce)</t>
  </si>
  <si>
    <t>Other Refineries</t>
  </si>
  <si>
    <t>Process Emissions:</t>
  </si>
  <si>
    <t>Check where ferroralloys emissions are accounted for as not showing up (Bruno)</t>
  </si>
  <si>
    <t>Other emissions (Andrew to check)</t>
  </si>
  <si>
    <t>Add Waste and AFOLU results (Bruno - will get there soon)</t>
  </si>
  <si>
    <t>Test link to CGE (Bruno)</t>
  </si>
  <si>
    <t>Economics indicators (Faaiqa)</t>
  </si>
  <si>
    <t>2017-2050:</t>
  </si>
  <si>
    <t>Demand/Supply Balance:</t>
  </si>
  <si>
    <t>- fix mapping for gas imports from Mozambique (Bruno)</t>
  </si>
  <si>
    <t>Demand Sectors:</t>
  </si>
  <si>
    <t>- There are some funky things happening in industry going forward (Bryce)</t>
  </si>
  <si>
    <t>- Funky things happening in Commerce in the future (Alison)</t>
  </si>
  <si>
    <t>- Residential and Transport seem ok</t>
  </si>
  <si>
    <t>- Need to add some other transport indicators pkm,tkm (Bruno)</t>
  </si>
  <si>
    <t>Supply Sectors:</t>
  </si>
  <si>
    <t>- Reserve Margin not working on Power (Bruno/Greg?)</t>
  </si>
  <si>
    <t>- Other reliability constraints on power + linkup with IRENA team</t>
  </si>
  <si>
    <t>- Refinery retirement? - there is currently no retirement (Fadiel/Andrew?)</t>
  </si>
  <si>
    <t>- Need other indicators such as TPES (Bruno - this requires some fiddling with sets)</t>
  </si>
  <si>
    <t>PAMS</t>
  </si>
  <si>
    <t>Need to add PAMS and links where required, incl.CO2 tax (All), then run and test PAMS, add scenario dimension to Tableau.</t>
  </si>
  <si>
    <t>Alison working on it</t>
  </si>
  <si>
    <t>Done</t>
  </si>
  <si>
    <t>- HFO in other industry</t>
  </si>
  <si>
    <t>Bryce working on it</t>
  </si>
  <si>
    <t>Natref emissions need to be lower (Fadiel)</t>
  </si>
  <si>
    <t>turn off UHETCLE-N in TCH_SUP</t>
  </si>
  <si>
    <t>Bruno working on it</t>
  </si>
  <si>
    <t>done?</t>
  </si>
  <si>
    <t>Fadiel to take a look at balance of supply and demand</t>
  </si>
  <si>
    <t>To check Residential, and light industry</t>
  </si>
  <si>
    <t>working on it</t>
  </si>
  <si>
    <t>Bryce/Bruno</t>
  </si>
  <si>
    <t>Setup IRP scenario</t>
  </si>
  <si>
    <t>Bruno</t>
  </si>
  <si>
    <t>PAMS_RES</t>
  </si>
  <si>
    <t>PAMS_COM</t>
  </si>
  <si>
    <t>PAMS_TRA</t>
  </si>
  <si>
    <t>PAMS_AFOLU</t>
  </si>
  <si>
    <t>PAMS_WASTE</t>
  </si>
  <si>
    <t>RES</t>
  </si>
  <si>
    <t>COM</t>
  </si>
  <si>
    <t>TRA</t>
  </si>
  <si>
    <t>WASTE</t>
  </si>
  <si>
    <t>No Pams</t>
  </si>
  <si>
    <t>Base Pams</t>
  </si>
  <si>
    <t>Lim Pams</t>
  </si>
  <si>
    <t>Ambitious Pams</t>
  </si>
  <si>
    <t>Pams level</t>
  </si>
  <si>
    <t>(blank)</t>
  </si>
  <si>
    <t>Configured in SATIM?</t>
  </si>
  <si>
    <t>yes tested</t>
  </si>
  <si>
    <t>Link to CGE? (SIM_esage)</t>
  </si>
  <si>
    <t>Path</t>
  </si>
  <si>
    <t>Link to Waste? (SIM_Waste)</t>
  </si>
  <si>
    <t>Link to AFOLU? (SIM_AFOLU)</t>
  </si>
  <si>
    <t>Sum of Link to Waste?</t>
  </si>
  <si>
    <t>Sum of Link to AFOLU?</t>
  </si>
  <si>
    <t>SIM_WASTE</t>
  </si>
  <si>
    <t>SIM_AFOLU</t>
  </si>
  <si>
    <t>CO2 Cumulative Cap (SIM_CO2CUMUL)</t>
  </si>
  <si>
    <t>Sum of CO2 CumCap</t>
  </si>
  <si>
    <t>SIM_CO2CUMUL</t>
  </si>
  <si>
    <t>Project Tags</t>
  </si>
  <si>
    <t>included runs</t>
  </si>
  <si>
    <t>Name Check</t>
  </si>
  <si>
    <t>NZ_nopams_45afolu</t>
  </si>
  <si>
    <t>NZ_nopams_20afolu</t>
  </si>
  <si>
    <t>NZ_pams_45</t>
  </si>
  <si>
    <t>NZ_pams_20</t>
  </si>
  <si>
    <t>F</t>
  </si>
  <si>
    <t>SATIM Active</t>
  </si>
  <si>
    <t>TTIMES</t>
  </si>
  <si>
    <t>99T0E0S0P0G0</t>
  </si>
  <si>
    <t>99T2E0S0P0G0</t>
  </si>
  <si>
    <t>99T0E1S0P0G0</t>
  </si>
  <si>
    <t>99T0E2S0P0G0</t>
  </si>
  <si>
    <t>99T0E3S0P0G0</t>
  </si>
  <si>
    <t>99T0E0S0P0G1</t>
  </si>
  <si>
    <t>99T0E0S0P1G0</t>
  </si>
  <si>
    <t>78T0E0S0P0G0</t>
  </si>
  <si>
    <t>78T0E1S0P0G0</t>
  </si>
  <si>
    <t>78T0E2S0P0G0</t>
  </si>
  <si>
    <t>78T0E3S0P0G0</t>
  </si>
  <si>
    <t>78T0E1S0P0G1</t>
  </si>
  <si>
    <t>78T0E2S0P0G1</t>
  </si>
  <si>
    <t>78T0E3S0P0G1</t>
  </si>
  <si>
    <t>78T0E1S0P1G0</t>
  </si>
  <si>
    <t>Run?</t>
  </si>
  <si>
    <t>CCDR</t>
  </si>
  <si>
    <t>Jetp</t>
  </si>
  <si>
    <t>Climate Transparency</t>
  </si>
  <si>
    <t>CATA</t>
  </si>
  <si>
    <t>Tsititca</t>
  </si>
  <si>
    <t>NECOM</t>
  </si>
  <si>
    <t>HiRes1</t>
  </si>
  <si>
    <t>Run00</t>
  </si>
  <si>
    <t>Historical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</si>
</sst>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(* #,##0.00_);_(* \(#,##0.00\);_(* &quot;-&quot;??_);_(@_)"/>
    <numFmt numFmtId="165" formatCode="[$£-809]#,##0.00;[Red]&quot;-&quot;[$£-809]#,##0.00"/>
    <numFmt numFmtId="166" formatCode="0.000_)"/>
    <numFmt numFmtId="167" formatCode="#,##0.00\ ;&quot; -&quot;#,##0.00\ ;&quot; -&quot;#\ ;@\ "/>
    <numFmt numFmtId="168" formatCode="0_(&quot;$&quot;* #,##0;_)_(&quot;$&quot;* \(#,##0;\)_(&quot;$&quot;* &quot;-&quot;;_)_(@"/>
    <numFmt numFmtId="169" formatCode="[$-809]General"/>
    <numFmt numFmtId="170" formatCode="#,##0.00&quot; &quot;;&quot; -&quot;#,##0.00&quot; &quot;;&quot; -&quot;#&quot; &quot;;@&quot; &quot;"/>
    <numFmt numFmtId="171" formatCode="#,##0_);\(#,##0\);&quot;-&quot;"/>
    <numFmt numFmtId="172" formatCode="0.00_)"/>
    <numFmt numFmtId="173" formatCode="0.00000"/>
    <numFmt numFmtId="174" formatCode="[$£-809]#,##0.000;[Red]&quot;-&quot;[$£-809]#,##0.000"/>
  </numFmts>
  <fonts count="4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0"/>
      <color theme="4"/>
      <name val="Arial"/>
      <family val="2"/>
    </font>
    <font>
      <sz val="11"/>
      <name val="Tms Rmn"/>
    </font>
    <font>
      <sz val="10"/>
      <name val="Arial Unicode MS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2"/>
      <color indexed="24"/>
      <name val="Arial"/>
      <family val="2"/>
    </font>
    <font>
      <sz val="10"/>
      <color theme="1"/>
      <name val="Verdana1"/>
    </font>
    <font>
      <sz val="10"/>
      <name val="Verdana"/>
      <family val="2"/>
    </font>
    <font>
      <sz val="10"/>
      <color theme="1"/>
      <name val="Arial Unicode MS"/>
      <family val="2"/>
    </font>
    <font>
      <sz val="10"/>
      <color theme="6" tint="-0.24994659260841701"/>
      <name val="Arial"/>
      <family val="2"/>
      <charset val="238"/>
    </font>
    <font>
      <sz val="1"/>
      <color indexed="8"/>
      <name val="Courier"/>
      <family val="3"/>
    </font>
    <font>
      <i/>
      <sz val="1"/>
      <color indexed="8"/>
      <name val="Courier"/>
      <family val="3"/>
    </font>
    <font>
      <b/>
      <sz val="12"/>
      <name val="Arial"/>
      <family val="2"/>
    </font>
    <font>
      <b/>
      <i/>
      <sz val="16"/>
      <color theme="1"/>
      <name val="Arial1"/>
    </font>
    <font>
      <b/>
      <sz val="15"/>
      <color indexed="56"/>
      <name val="Calibri"/>
      <family val="2"/>
      <scheme val="minor"/>
    </font>
    <font>
      <b/>
      <sz val="13"/>
      <color indexed="56"/>
      <name val="Calibri"/>
      <family val="2"/>
      <scheme val="minor"/>
    </font>
    <font>
      <b/>
      <sz val="11"/>
      <color indexed="56"/>
      <name val="Calibri"/>
      <family val="2"/>
      <scheme val="minor"/>
    </font>
    <font>
      <u/>
      <sz val="10"/>
      <color theme="10"/>
      <name val="Arial"/>
      <family val="2"/>
    </font>
    <font>
      <u/>
      <sz val="11"/>
      <color theme="10"/>
      <name val="Calibri"/>
      <family val="2"/>
      <scheme val="minor"/>
    </font>
    <font>
      <sz val="10"/>
      <color theme="9" tint="-0.24994659260841701"/>
      <name val="Arial"/>
      <family val="2"/>
    </font>
    <font>
      <b/>
      <i/>
      <sz val="16"/>
      <name val="Helv"/>
    </font>
    <font>
      <sz val="10"/>
      <name val="Tahoma"/>
      <family val="2"/>
    </font>
    <font>
      <b/>
      <i/>
      <u/>
      <sz val="11"/>
      <color theme="1"/>
      <name val="Arial1"/>
    </font>
    <font>
      <sz val="8"/>
      <color indexed="10"/>
      <name val="Arial Narrow"/>
      <family val="2"/>
    </font>
    <font>
      <sz val="8"/>
      <name val="Arial"/>
      <family val="2"/>
    </font>
    <font>
      <b/>
      <sz val="14"/>
      <color rgb="FF000000"/>
      <name val="Calibri"/>
      <family val="2"/>
    </font>
    <font>
      <sz val="8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FFC7CE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indexed="11"/>
      </patternFill>
    </fill>
    <fill>
      <patternFill patternType="solid">
        <fgColor rgb="FFFFEB9C"/>
        <bgColor indexed="64"/>
      </patternFill>
    </fill>
    <fill>
      <patternFill patternType="solid">
        <fgColor theme="7" tint="0.3999450666829432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theme="6" tint="0.59996337778862885"/>
        <bgColor indexed="64"/>
      </patternFill>
    </fill>
    <fill>
      <patternFill patternType="solid">
        <fgColor theme="8" tint="0.3999450666829432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thick">
        <color indexed="62"/>
      </bottom>
      <diagonal/>
    </border>
    <border>
      <left style="thin">
        <color theme="7" tint="-0.24994659260841701"/>
      </left>
      <right style="thin">
        <color theme="7" tint="-0.24994659260841701"/>
      </right>
      <top style="thin">
        <color theme="7" tint="-0.24994659260841701"/>
      </top>
      <bottom style="thin">
        <color theme="7" tint="-0.24994659260841701"/>
      </bottom>
      <diagonal/>
    </border>
    <border>
      <left style="thin">
        <color theme="6" tint="-0.499984740745262"/>
      </left>
      <right style="thin">
        <color theme="6" tint="-0.499984740745262"/>
      </right>
      <top style="thin">
        <color theme="6" tint="-0.499984740745262"/>
      </top>
      <bottom style="thin">
        <color theme="6" tint="-0.499984740745262"/>
      </bottom>
      <diagonal/>
    </border>
    <border>
      <left style="thin">
        <color theme="8" tint="-0.499984740745262"/>
      </left>
      <right style="thin">
        <color theme="8" tint="-0.499984740745262"/>
      </right>
      <top style="thin">
        <color theme="8" tint="-0.499984740745262"/>
      </top>
      <bottom style="thin">
        <color theme="8" tint="-0.499984740745262"/>
      </bottom>
      <diagonal/>
    </border>
  </borders>
  <cellStyleXfs count="87">
    <xf numFmtId="0" fontId="0" fillId="0" borderId="0"/>
    <xf numFmtId="0" fontId="2" fillId="0" borderId="0"/>
    <xf numFmtId="165" fontId="1" fillId="4" borderId="0" applyNumberFormat="0" applyBorder="0" applyAlignment="0" applyProtection="0"/>
    <xf numFmtId="0" fontId="8" fillId="0" borderId="0" applyNumberFormat="0" applyFill="0" applyBorder="0" applyAlignment="0" applyProtection="0"/>
    <xf numFmtId="165" fontId="7" fillId="3" borderId="4" applyNumberFormat="0" applyAlignment="0" applyProtection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6" fontId="9" fillId="0" borderId="0"/>
    <xf numFmtId="167" fontId="10" fillId="0" borderId="0" applyFill="0" applyBorder="0" applyAlignment="0" applyProtection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3" fontId="13" fillId="0" borderId="0" applyFont="0" applyFill="0" applyBorder="0" applyAlignment="0" applyProtection="0"/>
    <xf numFmtId="168" fontId="11" fillId="0" borderId="0" applyFont="0" applyFill="0" applyBorder="0" applyAlignment="0" applyProtection="0"/>
    <xf numFmtId="165" fontId="13" fillId="0" borderId="0" applyFont="0" applyFill="0" applyBorder="0" applyAlignment="0" applyProtection="0"/>
    <xf numFmtId="169" fontId="14" fillId="0" borderId="0"/>
    <xf numFmtId="0" fontId="15" fillId="0" borderId="0"/>
    <xf numFmtId="170" fontId="16" fillId="0" borderId="0"/>
    <xf numFmtId="4" fontId="17" fillId="0" borderId="0" applyNumberFormat="0" applyFill="0" applyBorder="0" applyAlignment="0" applyProtection="0">
      <alignment horizontal="center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8" fillId="0" borderId="0">
      <protection locked="0"/>
    </xf>
    <xf numFmtId="165" fontId="19" fillId="0" borderId="0">
      <protection locked="0"/>
    </xf>
    <xf numFmtId="2" fontId="13" fillId="0" borderId="0" applyFont="0" applyFill="0" applyBorder="0" applyAlignment="0" applyProtection="0"/>
    <xf numFmtId="165" fontId="4" fillId="5" borderId="0" applyNumberFormat="0" applyBorder="0" applyAlignment="0" applyProtection="0"/>
    <xf numFmtId="165" fontId="20" fillId="0" borderId="5" applyNumberFormat="0" applyAlignment="0" applyProtection="0">
      <alignment horizontal="left" vertical="center"/>
    </xf>
    <xf numFmtId="165" fontId="20" fillId="0" borderId="2">
      <alignment horizontal="left" vertical="center"/>
    </xf>
    <xf numFmtId="0" fontId="21" fillId="0" borderId="0">
      <alignment horizontal="center"/>
    </xf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1" fillId="0" borderId="0">
      <alignment horizontal="center" textRotation="90"/>
    </xf>
    <xf numFmtId="0" fontId="25" fillId="0" borderId="0" applyNumberFormat="0" applyFill="0" applyBorder="0" applyAlignment="0" applyProtection="0">
      <alignment vertical="top"/>
      <protection locked="0"/>
    </xf>
    <xf numFmtId="0" fontId="26" fillId="0" borderId="0" applyNumberFormat="0" applyFill="0" applyBorder="0" applyAlignment="0" applyProtection="0"/>
    <xf numFmtId="165" fontId="6" fillId="2" borderId="4" applyNumberFormat="0" applyAlignment="0" applyProtection="0"/>
    <xf numFmtId="171" fontId="11" fillId="6" borderId="0" applyNumberFormat="0" applyFont="0" applyBorder="0" applyAlignment="0" applyProtection="0"/>
    <xf numFmtId="0" fontId="27" fillId="0" borderId="0" applyNumberFormat="0" applyFill="0" applyBorder="0" applyAlignment="0" applyProtection="0"/>
    <xf numFmtId="165" fontId="5" fillId="7" borderId="0" applyNumberFormat="0" applyBorder="0" applyAlignment="0" applyProtection="0"/>
    <xf numFmtId="172" fontId="28" fillId="0" borderId="0"/>
    <xf numFmtId="0" fontId="11" fillId="0" borderId="0"/>
    <xf numFmtId="0" fontId="11" fillId="0" borderId="0"/>
    <xf numFmtId="0" fontId="11" fillId="0" borderId="0"/>
    <xf numFmtId="0" fontId="11" fillId="0" borderId="0"/>
    <xf numFmtId="0" fontId="2" fillId="0" borderId="0"/>
    <xf numFmtId="0" fontId="2" fillId="0" borderId="0"/>
    <xf numFmtId="0" fontId="29" fillId="0" borderId="0"/>
    <xf numFmtId="9" fontId="11" fillId="0" borderId="0" applyFont="0" applyFill="0" applyBorder="0" applyAlignment="0" applyProtection="0"/>
    <xf numFmtId="9" fontId="11" fillId="0" borderId="0" applyFont="0" applyFill="0" applyBorder="0" applyAlignment="0" applyProtection="0"/>
    <xf numFmtId="9" fontId="12" fillId="0" borderId="0" applyFont="0" applyFill="0" applyBorder="0" applyAlignment="0" applyProtection="0"/>
    <xf numFmtId="9" fontId="12" fillId="0" borderId="0" applyFont="0" applyFill="0" applyBorder="0" applyAlignment="0" applyProtection="0"/>
    <xf numFmtId="0" fontId="30" fillId="0" borderId="0"/>
    <xf numFmtId="165" fontId="30" fillId="0" borderId="0"/>
    <xf numFmtId="0" fontId="11" fillId="0" borderId="0"/>
    <xf numFmtId="165" fontId="31" fillId="0" borderId="0">
      <alignment vertical="top"/>
    </xf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73" fontId="11" fillId="8" borderId="7" applyNumberFormat="0" applyFont="0" applyAlignment="0"/>
    <xf numFmtId="0" fontId="11" fillId="9" borderId="8" applyNumberFormat="0" applyFont="0" applyAlignment="0"/>
    <xf numFmtId="0" fontId="32" fillId="10" borderId="8" applyNumberFormat="0" applyFont="0" applyAlignment="0"/>
    <xf numFmtId="0" fontId="22" fillId="0" borderId="6" applyNumberFormat="0" applyFill="0" applyAlignment="0" applyProtection="0"/>
    <xf numFmtId="0" fontId="23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6" fillId="2" borderId="4" applyNumberFormat="0" applyAlignment="0" applyProtection="0"/>
    <xf numFmtId="0" fontId="11" fillId="11" borderId="9" applyNumberFormat="0" applyFont="0" applyAlignment="0"/>
    <xf numFmtId="174" fontId="11" fillId="0" borderId="0"/>
    <xf numFmtId="174" fontId="2" fillId="0" borderId="0"/>
    <xf numFmtId="174" fontId="2" fillId="0" borderId="0"/>
    <xf numFmtId="165" fontId="2" fillId="0" borderId="0"/>
    <xf numFmtId="9" fontId="2" fillId="0" borderId="0" applyFont="0" applyFill="0" applyBorder="0" applyAlignment="0" applyProtection="0"/>
    <xf numFmtId="0" fontId="2" fillId="0" borderId="0"/>
    <xf numFmtId="164" fontId="11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2" fillId="0" borderId="0" applyFont="0" applyFill="0" applyBorder="0" applyAlignment="0" applyProtection="0"/>
    <xf numFmtId="164" fontId="11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6" fillId="2" borderId="4" applyNumberFormat="0" applyAlignment="0" applyProtection="0"/>
  </cellStyleXfs>
  <cellXfs count="27">
    <xf numFmtId="0" fontId="0" fillId="0" borderId="0" xfId="0"/>
    <xf numFmtId="0" fontId="3" fillId="0" borderId="1" xfId="0" applyFont="1" applyBorder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3" fillId="0" borderId="0" xfId="0" applyFont="1" applyAlignment="1">
      <alignment vertical="center" wrapText="1"/>
    </xf>
    <xf numFmtId="0" fontId="3" fillId="0" borderId="0" xfId="0" applyFont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35" fillId="0" borderId="0" xfId="0" applyFont="1"/>
    <xf numFmtId="0" fontId="0" fillId="0" borderId="0" xfId="0" quotePrefix="1"/>
    <xf numFmtId="0" fontId="35" fillId="0" borderId="0" xfId="0" pivotButton="1" applyFont="1"/>
    <xf numFmtId="0" fontId="36" fillId="0" borderId="0" xfId="0" applyFont="1"/>
    <xf numFmtId="0" fontId="0" fillId="0" borderId="0" xfId="0" applyAlignment="1">
      <alignment horizontal="right"/>
    </xf>
    <xf numFmtId="0" fontId="3" fillId="0" borderId="0" xfId="0" applyFont="1" applyAlignment="1">
      <alignment horizontal="right"/>
    </xf>
    <xf numFmtId="0" fontId="3" fillId="12" borderId="0" xfId="0" applyFont="1" applyFill="1" applyAlignment="1">
      <alignment horizontal="center" wrapText="1"/>
    </xf>
    <xf numFmtId="0" fontId="6" fillId="2" borderId="4" xfId="86" applyAlignment="1">
      <alignment horizontal="left" vertical="top"/>
    </xf>
    <xf numFmtId="0" fontId="0" fillId="13" borderId="0" xfId="0" applyFill="1"/>
    <xf numFmtId="0" fontId="39" fillId="0" borderId="0" xfId="0" applyFont="1"/>
    <xf numFmtId="0" fontId="40" fillId="0" borderId="0" xfId="0" applyFont="1"/>
    <xf numFmtId="0" fontId="6" fillId="13" borderId="4" xfId="86" applyFill="1" applyAlignment="1">
      <alignment horizontal="left" vertical="top"/>
    </xf>
    <xf numFmtId="0" fontId="0" fillId="0" borderId="0" xfId="0" applyAlignment="1">
      <alignment wrapText="1"/>
    </xf>
    <xf numFmtId="0" fontId="6" fillId="14" borderId="4" xfId="86" applyFill="1" applyAlignment="1">
      <alignment horizontal="left" vertical="top"/>
    </xf>
    <xf numFmtId="0" fontId="0" fillId="14" borderId="0" xfId="0" applyFill="1"/>
    <xf numFmtId="0" fontId="3" fillId="12" borderId="0" xfId="0" applyFont="1" applyFill="1" applyAlignment="1">
      <alignment horizontal="center" wrapText="1"/>
    </xf>
    <xf numFmtId="0" fontId="0" fillId="0" borderId="0" xfId="0" applyNumberFormat="1"/>
  </cellXfs>
  <cellStyles count="87">
    <cellStyle name="Advanced user input" xfId="66" xr:uid="{00000000-0005-0000-0000-000000000000}"/>
    <cellStyle name="Bad 2" xfId="2" xr:uid="{00000000-0005-0000-0000-000002000000}"/>
    <cellStyle name="Basic User Data Input" xfId="67" xr:uid="{00000000-0005-0000-0000-000003000000}"/>
    <cellStyle name="Basic User Selection" xfId="68" xr:uid="{00000000-0005-0000-0000-000004000000}"/>
    <cellStyle name="Calc" xfId="3" xr:uid="{00000000-0005-0000-0000-000005000000}"/>
    <cellStyle name="Calculation 2" xfId="4" xr:uid="{00000000-0005-0000-0000-000006000000}"/>
    <cellStyle name="Comma  - Style1" xfId="5" xr:uid="{00000000-0005-0000-0000-000008000000}"/>
    <cellStyle name="Comma  - Style2" xfId="6" xr:uid="{00000000-0005-0000-0000-000009000000}"/>
    <cellStyle name="Comma  - Style3" xfId="7" xr:uid="{00000000-0005-0000-0000-00000A000000}"/>
    <cellStyle name="Comma  - Style4" xfId="8" xr:uid="{00000000-0005-0000-0000-00000B000000}"/>
    <cellStyle name="Comma  - Style5" xfId="9" xr:uid="{00000000-0005-0000-0000-00000C000000}"/>
    <cellStyle name="Comma  - Style6" xfId="10" xr:uid="{00000000-0005-0000-0000-00000D000000}"/>
    <cellStyle name="Comma  - Style7" xfId="11" xr:uid="{00000000-0005-0000-0000-00000E000000}"/>
    <cellStyle name="Comma  - Style8" xfId="12" xr:uid="{00000000-0005-0000-0000-00000F000000}"/>
    <cellStyle name="Comma 2" xfId="13" xr:uid="{00000000-0005-0000-0000-000010000000}"/>
    <cellStyle name="Comma 2 2" xfId="14" xr:uid="{00000000-0005-0000-0000-000011000000}"/>
    <cellStyle name="Comma 2 2 2" xfId="80" xr:uid="{00000000-0005-0000-0000-000012000000}"/>
    <cellStyle name="Comma 2 3" xfId="65" xr:uid="{00000000-0005-0000-0000-000013000000}"/>
    <cellStyle name="Comma 2 3 2" xfId="85" xr:uid="{00000000-0005-0000-0000-000014000000}"/>
    <cellStyle name="Comma 3" xfId="15" xr:uid="{00000000-0005-0000-0000-000015000000}"/>
    <cellStyle name="Comma 3 2" xfId="16" xr:uid="{00000000-0005-0000-0000-000016000000}"/>
    <cellStyle name="Comma 3 2 2" xfId="82" xr:uid="{00000000-0005-0000-0000-000017000000}"/>
    <cellStyle name="Comma 3 3" xfId="81" xr:uid="{00000000-0005-0000-0000-000018000000}"/>
    <cellStyle name="Comma 4" xfId="17" xr:uid="{00000000-0005-0000-0000-000019000000}"/>
    <cellStyle name="Comma 4 2" xfId="83" xr:uid="{00000000-0005-0000-0000-00001A000000}"/>
    <cellStyle name="Comma 5" xfId="18" xr:uid="{00000000-0005-0000-0000-00001B000000}"/>
    <cellStyle name="Comma 5 2" xfId="84" xr:uid="{00000000-0005-0000-0000-00001C000000}"/>
    <cellStyle name="Comma0" xfId="19" xr:uid="{00000000-0005-0000-0000-00001D000000}"/>
    <cellStyle name="Currency0" xfId="20" xr:uid="{00000000-0005-0000-0000-00001E000000}"/>
    <cellStyle name="Date" xfId="21" xr:uid="{00000000-0005-0000-0000-00001F000000}"/>
    <cellStyle name="Excel Built-in Normal" xfId="22" xr:uid="{00000000-0005-0000-0000-000020000000}"/>
    <cellStyle name="Excel Built-in Normal 2" xfId="23" xr:uid="{00000000-0005-0000-0000-000021000000}"/>
    <cellStyle name="Excel_BuiltIn_Comma" xfId="24" xr:uid="{00000000-0005-0000-0000-000022000000}"/>
    <cellStyle name="External" xfId="25" xr:uid="{00000000-0005-0000-0000-000023000000}"/>
    <cellStyle name="F2" xfId="26" xr:uid="{00000000-0005-0000-0000-000024000000}"/>
    <cellStyle name="F3" xfId="27" xr:uid="{00000000-0005-0000-0000-000025000000}"/>
    <cellStyle name="F4" xfId="28" xr:uid="{00000000-0005-0000-0000-000026000000}"/>
    <cellStyle name="F5" xfId="29" xr:uid="{00000000-0005-0000-0000-000027000000}"/>
    <cellStyle name="F6" xfId="30" xr:uid="{00000000-0005-0000-0000-000028000000}"/>
    <cellStyle name="F7" xfId="31" xr:uid="{00000000-0005-0000-0000-000029000000}"/>
    <cellStyle name="F8" xfId="32" xr:uid="{00000000-0005-0000-0000-00002A000000}"/>
    <cellStyle name="Fixed" xfId="33" xr:uid="{00000000-0005-0000-0000-00002B000000}"/>
    <cellStyle name="Good 2" xfId="34" xr:uid="{00000000-0005-0000-0000-00002D000000}"/>
    <cellStyle name="Header1" xfId="35" xr:uid="{00000000-0005-0000-0000-00002E000000}"/>
    <cellStyle name="Header2" xfId="36" xr:uid="{00000000-0005-0000-0000-00002F000000}"/>
    <cellStyle name="Heading" xfId="37" xr:uid="{00000000-0005-0000-0000-000030000000}"/>
    <cellStyle name="Heading 1 2" xfId="38" xr:uid="{00000000-0005-0000-0000-000031000000}"/>
    <cellStyle name="Heading 1 2 2" xfId="69" xr:uid="{00000000-0005-0000-0000-000032000000}"/>
    <cellStyle name="Heading 2 2" xfId="39" xr:uid="{00000000-0005-0000-0000-000033000000}"/>
    <cellStyle name="Heading 2 2 2" xfId="70" xr:uid="{00000000-0005-0000-0000-000034000000}"/>
    <cellStyle name="Heading 4 2" xfId="40" xr:uid="{00000000-0005-0000-0000-000035000000}"/>
    <cellStyle name="Heading 4 2 2" xfId="71" xr:uid="{00000000-0005-0000-0000-000036000000}"/>
    <cellStyle name="Heading1" xfId="41" xr:uid="{00000000-0005-0000-0000-000037000000}"/>
    <cellStyle name="Hyperlink 2" xfId="42" xr:uid="{00000000-0005-0000-0000-000039000000}"/>
    <cellStyle name="Hyperlink 3" xfId="43" xr:uid="{00000000-0005-0000-0000-00003A000000}"/>
    <cellStyle name="Input" xfId="86" builtinId="20"/>
    <cellStyle name="Input 2" xfId="44" xr:uid="{00000000-0005-0000-0000-00003C000000}"/>
    <cellStyle name="Input 3" xfId="72" xr:uid="{00000000-0005-0000-0000-00003D000000}"/>
    <cellStyle name="Intermediate/scenario user input" xfId="73" xr:uid="{00000000-0005-0000-0000-00003E000000}"/>
    <cellStyle name="L_Green" xfId="45" xr:uid="{00000000-0005-0000-0000-00003F000000}"/>
    <cellStyle name="Linked" xfId="46" xr:uid="{00000000-0005-0000-0000-000040000000}"/>
    <cellStyle name="Neutral 2" xfId="47" xr:uid="{00000000-0005-0000-0000-000042000000}"/>
    <cellStyle name="Normal" xfId="0" builtinId="0"/>
    <cellStyle name="Normal - Style1" xfId="48" xr:uid="{00000000-0005-0000-0000-000044000000}"/>
    <cellStyle name="Normal 12 9" xfId="79" xr:uid="{00000000-0005-0000-0000-000045000000}"/>
    <cellStyle name="Normal 2" xfId="49" xr:uid="{00000000-0005-0000-0000-000046000000}"/>
    <cellStyle name="Normal 2 2" xfId="50" xr:uid="{00000000-0005-0000-0000-000047000000}"/>
    <cellStyle name="Normal 2 2 2" xfId="51" xr:uid="{00000000-0005-0000-0000-000048000000}"/>
    <cellStyle name="Normal 2 3" xfId="74" xr:uid="{00000000-0005-0000-0000-000049000000}"/>
    <cellStyle name="Normal 3" xfId="52" xr:uid="{00000000-0005-0000-0000-00004A000000}"/>
    <cellStyle name="Normal 3 2" xfId="53" xr:uid="{00000000-0005-0000-0000-00004B000000}"/>
    <cellStyle name="Normal 4" xfId="54" xr:uid="{00000000-0005-0000-0000-00004C000000}"/>
    <cellStyle name="Normal 4 2" xfId="75" xr:uid="{00000000-0005-0000-0000-00004D000000}"/>
    <cellStyle name="Normal 4 3" xfId="1" xr:uid="{00000000-0005-0000-0000-00004E000000}"/>
    <cellStyle name="Normal 5" xfId="55" xr:uid="{00000000-0005-0000-0000-00004F000000}"/>
    <cellStyle name="Normal 6" xfId="76" xr:uid="{00000000-0005-0000-0000-000050000000}"/>
    <cellStyle name="Normal 7" xfId="77" xr:uid="{00000000-0005-0000-0000-000051000000}"/>
    <cellStyle name="Percent 2" xfId="56" xr:uid="{00000000-0005-0000-0000-000053000000}"/>
    <cellStyle name="Percent 2 2" xfId="57" xr:uid="{00000000-0005-0000-0000-000054000000}"/>
    <cellStyle name="Percent 3" xfId="58" xr:uid="{00000000-0005-0000-0000-000055000000}"/>
    <cellStyle name="Percent 3 2" xfId="59" xr:uid="{00000000-0005-0000-0000-000056000000}"/>
    <cellStyle name="Percent 4" xfId="78" xr:uid="{00000000-0005-0000-0000-000057000000}"/>
    <cellStyle name="Percent 5" xfId="64" xr:uid="{00000000-0005-0000-0000-000058000000}"/>
    <cellStyle name="Result" xfId="60" xr:uid="{00000000-0005-0000-0000-000059000000}"/>
    <cellStyle name="Result2" xfId="61" xr:uid="{00000000-0005-0000-0000-00005A000000}"/>
    <cellStyle name="Standard_Tables  Draft Report" xfId="62" xr:uid="{00000000-0005-0000-0000-00005B000000}"/>
    <cellStyle name="Update" xfId="63" xr:uid="{00000000-0005-0000-0000-00005C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tyles" Target="styles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pivotCacheDefinition" Target="pivotCache/pivotCacheDefinition2.xml"/><Relationship Id="rId4" Type="http://schemas.openxmlformats.org/officeDocument/2006/relationships/worksheet" Target="worksheets/sheet4.xml"/><Relationship Id="rId9" Type="http://schemas.openxmlformats.org/officeDocument/2006/relationships/pivotCacheDefinition" Target="pivotCache/pivotCacheDefinition1.xml"/><Relationship Id="rId14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1</xdr:row>
          <xdr:rowOff>38100</xdr:rowOff>
        </xdr:from>
        <xdr:to>
          <xdr:col>2</xdr:col>
          <xdr:colOff>3419475</xdr:colOff>
          <xdr:row>2</xdr:row>
          <xdr:rowOff>152400</xdr:rowOff>
        </xdr:to>
        <xdr:sp macro="" textlink="">
          <xdr:nvSpPr>
            <xdr:cNvPr id="87049" name="Button 9" hidden="1">
              <a:extLst>
                <a:ext uri="{63B3BB69-23CF-44E3-9099-C40C66FF867C}">
                  <a14:compatExt spid="_x0000_s87049"/>
                </a:ext>
                <a:ext uri="{FF2B5EF4-FFF2-40B4-BE49-F238E27FC236}">
                  <a16:creationId xmlns:a16="http://schemas.microsoft.com/office/drawing/2014/main" id="{00000000-0008-0000-0200-000009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190500</xdr:colOff>
          <xdr:row>3</xdr:row>
          <xdr:rowOff>38100</xdr:rowOff>
        </xdr:from>
        <xdr:to>
          <xdr:col>3</xdr:col>
          <xdr:colOff>0</xdr:colOff>
          <xdr:row>4</xdr:row>
          <xdr:rowOff>152400</xdr:rowOff>
        </xdr:to>
        <xdr:sp macro="" textlink="">
          <xdr:nvSpPr>
            <xdr:cNvPr id="87058" name="Button 18" hidden="1">
              <a:extLst>
                <a:ext uri="{63B3BB69-23CF-44E3-9099-C40C66FF867C}">
                  <a14:compatExt spid="_x0000_s87058"/>
                </a:ext>
                <a:ext uri="{FF2B5EF4-FFF2-40B4-BE49-F238E27FC236}">
                  <a16:creationId xmlns:a16="http://schemas.microsoft.com/office/drawing/2014/main" id="{00000000-0008-0000-0200-0000125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Z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Merge Results - create CSV</a:t>
              </a:r>
            </a:p>
            <a:p>
              <a:pPr algn="ctr" rtl="0">
                <a:defRPr sz="1000"/>
              </a:pPr>
              <a:endParaRPr lang="en-ZA" sz="14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03/SATM/TCH_SUP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Archive/TCH_TR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ATIMGE_v02/SATM/TCH_PWR_MC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dex"/>
      <sheetName val="ChangeLog"/>
      <sheetName val="NameConv"/>
      <sheetName val="Cleaner Fuels Phase-2"/>
      <sheetName val="REGIONS"/>
      <sheetName val="2006EB"/>
      <sheetName val="2012EB"/>
      <sheetName val="Liq Fuel Prices"/>
      <sheetName val="Coal price"/>
      <sheetName val="Oil price"/>
      <sheetName val="Gas Price"/>
      <sheetName val="Fugitive emissions"/>
      <sheetName val="Distribution"/>
      <sheetName val="SUP"/>
      <sheetName val="ITEMS_STech"/>
      <sheetName val="TS STech"/>
      <sheetName val="TS STechPEX"/>
      <sheetName val="TID STech"/>
      <sheetName val="ITEMS_Comm"/>
      <sheetName val="TS ZTech"/>
      <sheetName val="TID ZTech"/>
      <sheetName val="SasolRES"/>
      <sheetName val="Crude refineries"/>
      <sheetName val="GTL and CTL"/>
      <sheetName val="SummaryRef"/>
      <sheetName val="RefineriesRES"/>
      <sheetName val="RefineriesData"/>
      <sheetName val="Hydrogen"/>
      <sheetName val="UPS"/>
      <sheetName val="ITEMS_UPS"/>
      <sheetName val="ITEMS_GRP"/>
      <sheetName val="TS_TTech"/>
      <sheetName val="TID_TTech"/>
      <sheetName val="ITEMS_XTech"/>
      <sheetName val="ITEMS_CommX"/>
      <sheetName val="TS_XTech"/>
      <sheetName val="TID_XTech"/>
      <sheetName val="ITEMS_XEmiss"/>
      <sheetName val="TS XEmiss"/>
      <sheetName val="TID XEmiss"/>
      <sheetName val="ExchangeRateDetail"/>
      <sheetName val="Deflator"/>
      <sheetName val="SUPRES"/>
      <sheetName val="ITEMS_XFEmiss"/>
      <sheetName val="TS XFEmiss"/>
      <sheetName val="TID XFEmiss"/>
      <sheetName val="Emission Control_Technologies"/>
      <sheetName val="Items_TEmiss"/>
      <sheetName val="TS TEmiss"/>
      <sheetName val="ITEMS UC"/>
      <sheetName val="TS UC"/>
      <sheetName val="TID UC"/>
      <sheetName val="WAT-Items"/>
      <sheetName val="WAT-TSData"/>
      <sheetName val="WAT-TIDData"/>
      <sheetName val="CPI_1960-2013"/>
      <sheetName val="Sheet1"/>
    </sheetNames>
    <sheetDataSet>
      <sheetData sheetId="0">
        <row r="2">
          <cell r="A2">
            <v>1</v>
          </cell>
          <cell r="D2">
            <v>1</v>
          </cell>
          <cell r="E2">
            <v>1</v>
          </cell>
          <cell r="F2">
            <v>1</v>
          </cell>
          <cell r="G2">
            <v>1</v>
          </cell>
          <cell r="H2">
            <v>1</v>
          </cell>
          <cell r="I2">
            <v>1</v>
          </cell>
          <cell r="J2">
            <v>1</v>
          </cell>
        </row>
      </sheetData>
      <sheetData sheetId="1" refreshError="1"/>
      <sheetData sheetId="2">
        <row r="3">
          <cell r="AX3">
            <v>16</v>
          </cell>
        </row>
        <row r="4">
          <cell r="AY4" t="str">
            <v>CO2S</v>
          </cell>
        </row>
        <row r="5">
          <cell r="B5" t="str">
            <v>Biogas</v>
          </cell>
          <cell r="C5" t="str">
            <v>BIG</v>
          </cell>
        </row>
        <row r="6">
          <cell r="B6" t="str">
            <v>Bioethanol</v>
          </cell>
          <cell r="C6" t="str">
            <v>BIE</v>
          </cell>
        </row>
        <row r="7">
          <cell r="B7" t="str">
            <v>Biodiesel</v>
          </cell>
          <cell r="C7" t="str">
            <v>BID</v>
          </cell>
        </row>
        <row r="8">
          <cell r="B8" t="str">
            <v>Biomass bagasse</v>
          </cell>
          <cell r="C8" t="str">
            <v>BIB</v>
          </cell>
        </row>
        <row r="9">
          <cell r="B9" t="str">
            <v>Biomass Other</v>
          </cell>
          <cell r="C9" t="str">
            <v>BIO</v>
          </cell>
        </row>
        <row r="10">
          <cell r="B10" t="str">
            <v>Biomass Wood</v>
          </cell>
          <cell r="C10" t="str">
            <v>BIW</v>
          </cell>
        </row>
        <row r="11">
          <cell r="B11" t="str">
            <v>Coal</v>
          </cell>
          <cell r="C11" t="str">
            <v>COA</v>
          </cell>
        </row>
        <row r="12">
          <cell r="B12" t="str">
            <v>Coal Coking</v>
          </cell>
          <cell r="C12" t="str">
            <v>COK</v>
          </cell>
        </row>
        <row r="13">
          <cell r="B13" t="str">
            <v>Coal Discard</v>
          </cell>
          <cell r="C13" t="str">
            <v>CLD</v>
          </cell>
        </row>
        <row r="14">
          <cell r="B14" t="str">
            <v>Coal low grade</v>
          </cell>
          <cell r="C14" t="str">
            <v>CLE</v>
          </cell>
        </row>
        <row r="15">
          <cell r="B15" t="str">
            <v>Coal for plants in Botswana</v>
          </cell>
          <cell r="C15" t="str">
            <v>CRB</v>
          </cell>
        </row>
        <row r="16">
          <cell r="B16" t="str">
            <v>Electricity</v>
          </cell>
          <cell r="C16" t="str">
            <v>ELC</v>
          </cell>
        </row>
        <row r="17">
          <cell r="B17" t="str">
            <v>Electricity Upstream Transmission</v>
          </cell>
          <cell r="C17" t="str">
            <v>ELCC</v>
          </cell>
        </row>
        <row r="18">
          <cell r="B18" t="str">
            <v>Gas South Africa</v>
          </cell>
          <cell r="C18" t="str">
            <v>GAS</v>
          </cell>
        </row>
        <row r="19">
          <cell r="B19" t="str">
            <v>Gas Southern Mozambique</v>
          </cell>
          <cell r="C19" t="str">
            <v>GRS</v>
          </cell>
        </row>
        <row r="20">
          <cell r="B20" t="str">
            <v>Gas Namibia</v>
          </cell>
          <cell r="C20" t="str">
            <v>GRN</v>
          </cell>
        </row>
        <row r="21">
          <cell r="B21" t="str">
            <v>Gas Regional LNG</v>
          </cell>
          <cell r="C21" t="str">
            <v>GRL</v>
          </cell>
        </row>
        <row r="22">
          <cell r="B22" t="str">
            <v>Gas International LNG</v>
          </cell>
          <cell r="C22" t="str">
            <v>GWL</v>
          </cell>
        </row>
        <row r="23">
          <cell r="B23" t="str">
            <v>Gas Northern Mozambique</v>
          </cell>
          <cell r="C23" t="str">
            <v>GRM</v>
          </cell>
        </row>
        <row r="24">
          <cell r="B24" t="str">
            <v>Gas Indigenous Ibhubezi</v>
          </cell>
          <cell r="C24" t="str">
            <v>GIB</v>
          </cell>
        </row>
        <row r="25">
          <cell r="B25" t="str">
            <v>Gas Indigenous Shale</v>
          </cell>
          <cell r="C25" t="str">
            <v>GIH</v>
          </cell>
        </row>
        <row r="26">
          <cell r="B26" t="str">
            <v>Coastal Gas</v>
          </cell>
          <cell r="C26" t="str">
            <v>GIC</v>
          </cell>
        </row>
        <row r="27">
          <cell r="B27" t="str">
            <v>Gas Methane Rich</v>
          </cell>
          <cell r="C27" t="str">
            <v>GIM</v>
          </cell>
        </row>
        <row r="28">
          <cell r="B28" t="str">
            <v>Heat-Steam</v>
          </cell>
          <cell r="C28" t="str">
            <v>HET</v>
          </cell>
        </row>
        <row r="29">
          <cell r="B29" t="str">
            <v>Heat-Steam Existing</v>
          </cell>
          <cell r="C29" t="str">
            <v>HEE</v>
          </cell>
        </row>
        <row r="30">
          <cell r="B30" t="str">
            <v>Heat-Steam New</v>
          </cell>
          <cell r="C30" t="str">
            <v>HEN</v>
          </cell>
        </row>
        <row r="31">
          <cell r="B31" t="str">
            <v>Hydro</v>
          </cell>
          <cell r="C31" t="str">
            <v>HYD</v>
          </cell>
        </row>
        <row r="32">
          <cell r="B32" t="str">
            <v>Hydrogen</v>
          </cell>
          <cell r="C32" t="str">
            <v>HGN</v>
          </cell>
        </row>
        <row r="33">
          <cell r="B33" t="str">
            <v>Nuclear</v>
          </cell>
          <cell r="C33" t="str">
            <v>NUC</v>
          </cell>
        </row>
        <row r="34">
          <cell r="B34" t="str">
            <v>Oil Av Gasoline</v>
          </cell>
          <cell r="C34" t="str">
            <v>OAG</v>
          </cell>
        </row>
        <row r="35">
          <cell r="B35" t="str">
            <v>Oil Crude</v>
          </cell>
          <cell r="C35" t="str">
            <v>OCR</v>
          </cell>
        </row>
        <row r="36">
          <cell r="B36" t="str">
            <v>Oil Diesel</v>
          </cell>
          <cell r="C36" t="str">
            <v>ODS</v>
          </cell>
        </row>
        <row r="37">
          <cell r="B37" t="str">
            <v>Oil Gasoline</v>
          </cell>
          <cell r="C37" t="str">
            <v>OGS</v>
          </cell>
        </row>
        <row r="38">
          <cell r="B38" t="str">
            <v>Oil HFO</v>
          </cell>
          <cell r="C38" t="str">
            <v>OHF</v>
          </cell>
        </row>
        <row r="39">
          <cell r="B39" t="str">
            <v>Oil Kerosene</v>
          </cell>
          <cell r="C39" t="str">
            <v>OKE</v>
          </cell>
        </row>
        <row r="40">
          <cell r="B40" t="str">
            <v>Oil LPG</v>
          </cell>
          <cell r="C40" t="str">
            <v>OLP</v>
          </cell>
        </row>
        <row r="41">
          <cell r="B41" t="str">
            <v>Oil Other</v>
          </cell>
          <cell r="C41" t="str">
            <v>OTH</v>
          </cell>
        </row>
        <row r="42">
          <cell r="B42" t="str">
            <v>Solar</v>
          </cell>
          <cell r="C42" t="str">
            <v>SOL</v>
          </cell>
        </row>
        <row r="43">
          <cell r="B43" t="str">
            <v>Wind</v>
          </cell>
          <cell r="C43" t="str">
            <v>WND</v>
          </cell>
        </row>
        <row r="44">
          <cell r="B44" t="str">
            <v>Waste</v>
          </cell>
          <cell r="C44" t="str">
            <v>WAS</v>
          </cell>
        </row>
      </sheetData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>
        <row r="17">
          <cell r="A17">
            <v>2.54</v>
          </cell>
        </row>
      </sheetData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>
        <row r="6">
          <cell r="B6" t="str">
            <v>UPS</v>
          </cell>
        </row>
      </sheetData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LTMS_old"/>
      <sheetName val="EB_2006"/>
      <sheetName val="DME_EB_TS"/>
      <sheetName val="SAPIADiesel"/>
      <sheetName val="SAPIAGasoline"/>
      <sheetName val="NAAMSANational"/>
      <sheetName val="NAAMSAProvincial81"/>
      <sheetName val="NAAMSAProvincial95"/>
      <sheetName val="NAAMSAdefs"/>
      <sheetName val="SOL"/>
      <sheetName val="ScrappingModels"/>
      <sheetName val="ENATIS"/>
      <sheetName val="NAAMSA_SAPIA_WG"/>
      <sheetName val="Comp Assumptions"/>
      <sheetName val="Analytica"/>
      <sheetName val="AEA2012 summary"/>
      <sheetName val="EV Charging Capex"/>
      <sheetName val="FuelCell"/>
      <sheetName val="mileagedegrad"/>
      <sheetName val="HistoricalSales"/>
      <sheetName val="Calib_1011"/>
      <sheetName val="REGIONS"/>
      <sheetName val="TRP"/>
      <sheetName val="ITEMS_Tech"/>
      <sheetName val="TS DTech"/>
      <sheetName val="TID DTech"/>
      <sheetName val="TRP_Retrofit"/>
      <sheetName val="ITEMS_DrTech"/>
      <sheetName val="ITEMS_UCrTech"/>
      <sheetName val="TS DrTech"/>
      <sheetName val="TS UCrTech"/>
      <sheetName val="TID DrTech"/>
      <sheetName val="TID UCrTech"/>
      <sheetName val="NT_TRP"/>
      <sheetName val="ITEMS_nTech"/>
      <sheetName val="ITEMS_UCnTech"/>
      <sheetName val="TS DnTech"/>
      <sheetName val="TS UCnTech"/>
      <sheetName val="TID DnTech"/>
      <sheetName val="TID UCnTech"/>
      <sheetName val="TID SHAPE"/>
      <sheetName val="ITEMS_Comm"/>
      <sheetName val="TS BYDem"/>
      <sheetName val="TS COMFR"/>
      <sheetName val="TS FTech"/>
      <sheetName val="TID FTech"/>
      <sheetName val="TS Emiss"/>
      <sheetName val="TID Emiss"/>
      <sheetName val="NameConv"/>
      <sheetName val="AFA"/>
      <sheetName val="Deflator"/>
      <sheetName val="LogofChanges"/>
      <sheetName val="EB_2012"/>
      <sheetName val="Vehicle data"/>
      <sheetName val="TCH_TRA"/>
      <sheetName val="Scenarios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>
        <row r="10">
          <cell r="AO10">
            <v>740.7</v>
          </cell>
        </row>
        <row r="13">
          <cell r="AO13">
            <v>843.9</v>
          </cell>
        </row>
      </sheetData>
      <sheetData sheetId="15" refreshError="1"/>
      <sheetData sheetId="16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>
        <row r="67">
          <cell r="AL67">
            <v>1</v>
          </cell>
        </row>
      </sheetData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>
        <row r="61">
          <cell r="AJ61">
            <v>0</v>
          </cell>
        </row>
      </sheetData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Existing capacity basic data"/>
      <sheetName val="PWR"/>
      <sheetName val="ITEMS_Teche"/>
      <sheetName val="TS ETech"/>
      <sheetName val="TID ETech"/>
      <sheetName val="ITEMS_Comm"/>
      <sheetName val="New Capacity basic data"/>
      <sheetName val="Inga"/>
      <sheetName val="OtherRegionalProjects"/>
      <sheetName val="NT_PWR"/>
      <sheetName val="ITEMS_Techn"/>
      <sheetName val="TS INVFX"/>
      <sheetName val="TS INVFX_5yr"/>
      <sheetName val="TS INVFX_IRP"/>
      <sheetName val="TS NTech"/>
      <sheetName val="TS NTechICost"/>
      <sheetName val="TID NTech"/>
      <sheetName val="ITEMS GRP"/>
      <sheetName val="TS Othere"/>
      <sheetName val="TID Othere"/>
      <sheetName val="ITEMS UC"/>
      <sheetName val="TS UC"/>
      <sheetName val="TID UC"/>
      <sheetName val="ITEMS UC_BLIPPP"/>
      <sheetName val="TS UC_BLIPPP"/>
      <sheetName val="TID UC_BLIPPP"/>
      <sheetName val="REAvail"/>
      <sheetName val="TS REAvail"/>
      <sheetName val="REAvail_10TS"/>
      <sheetName val="TS REAvail_10TS"/>
      <sheetName val="REGIONS"/>
      <sheetName val="NameConv"/>
      <sheetName val="Deflator"/>
      <sheetName val="EskomCoalEff"/>
      <sheetName val="Analytica_Input"/>
      <sheetName val="LogofChanges"/>
    </sheetNames>
    <sheetDataSet>
      <sheetData sheetId="0"/>
      <sheetData sheetId="1">
        <row r="42">
          <cell r="B42">
            <v>0</v>
          </cell>
          <cell r="C42">
            <v>0</v>
          </cell>
          <cell r="D42" t="str">
            <v>Input Commodity</v>
          </cell>
          <cell r="E42">
            <v>0</v>
          </cell>
          <cell r="F42">
            <v>0</v>
          </cell>
          <cell r="G42" t="str">
            <v>Output Commodity</v>
          </cell>
          <cell r="H42">
            <v>0</v>
          </cell>
          <cell r="I42" t="str">
            <v>Efficiency2006</v>
          </cell>
          <cell r="J42">
            <v>0</v>
          </cell>
          <cell r="K42">
            <v>0</v>
          </cell>
          <cell r="L42" t="str">
            <v>Contribution to Peak2006</v>
          </cell>
          <cell r="M42" t="str">
            <v>Availability factor2006</v>
          </cell>
          <cell r="N42" t="str">
            <v>Maximum availability2006</v>
          </cell>
          <cell r="O42" t="str">
            <v>Variable Costs2006</v>
          </cell>
          <cell r="P42" t="str">
            <v>Fixed Costs2006</v>
          </cell>
          <cell r="Q42" t="str">
            <v>Water use2006</v>
          </cell>
          <cell r="R42" t="str">
            <v>Environmental Levy2006</v>
          </cell>
          <cell r="S42">
            <v>0</v>
          </cell>
          <cell r="T42" t="str">
            <v>Residual Capacity2006</v>
          </cell>
          <cell r="U42" t="str">
            <v>Residual Capacity2007</v>
          </cell>
          <cell r="V42" t="str">
            <v>Residual Capacity2008</v>
          </cell>
          <cell r="W42" t="str">
            <v>Residual Capacity2009</v>
          </cell>
          <cell r="X42" t="str">
            <v>Residual Capacity2010</v>
          </cell>
          <cell r="Y42" t="str">
            <v>Residual Capacity2011</v>
          </cell>
          <cell r="Z42" t="str">
            <v>Residual Capacity2012</v>
          </cell>
          <cell r="AA42" t="str">
            <v>Residual Capacity2013</v>
          </cell>
          <cell r="AB42" t="str">
            <v>Residual Capacity2014</v>
          </cell>
          <cell r="AC42" t="str">
            <v>Residual Capacity2015</v>
          </cell>
          <cell r="AD42" t="str">
            <v>Residual Capacity2016</v>
          </cell>
          <cell r="AE42" t="str">
            <v>Residual Capacity2017</v>
          </cell>
          <cell r="AF42" t="str">
            <v>Residual Capacity2018</v>
          </cell>
          <cell r="AG42" t="str">
            <v>Residual Capacity2019</v>
          </cell>
          <cell r="AH42" t="str">
            <v>Residual Capacity2020</v>
          </cell>
          <cell r="AI42" t="str">
            <v>Residual Capacity2021</v>
          </cell>
          <cell r="AJ42" t="str">
            <v>Residual Capacity2022</v>
          </cell>
          <cell r="AK42" t="str">
            <v>Residual Capacity2023</v>
          </cell>
          <cell r="AL42" t="str">
            <v>Residual Capacity2024</v>
          </cell>
          <cell r="AM42" t="str">
            <v>Residual Capacity2025</v>
          </cell>
          <cell r="AN42" t="str">
            <v>Residual Capacity2026</v>
          </cell>
          <cell r="AO42" t="str">
            <v>Residual Capacity2027</v>
          </cell>
          <cell r="AP42" t="str">
            <v>Residual Capacity2028</v>
          </cell>
          <cell r="AQ42" t="str">
            <v>Residual Capacity2029</v>
          </cell>
          <cell r="AR42" t="str">
            <v>Residual Capacity2030</v>
          </cell>
          <cell r="AS42" t="str">
            <v>Residual Capacity2031</v>
          </cell>
          <cell r="AT42" t="str">
            <v>Residual Capacity2032</v>
          </cell>
          <cell r="AU42" t="str">
            <v>Residual Capacity2033</v>
          </cell>
          <cell r="AV42" t="str">
            <v>Residual Capacity2034</v>
          </cell>
          <cell r="AW42" t="str">
            <v>Residual Capacity2035</v>
          </cell>
          <cell r="AX42" t="str">
            <v>Residual Capacity2036</v>
          </cell>
          <cell r="AY42" t="str">
            <v>Residual Capacity2037</v>
          </cell>
          <cell r="AZ42" t="str">
            <v>Residual Capacity2038</v>
          </cell>
          <cell r="BA42" t="str">
            <v>Residual Capacity2039</v>
          </cell>
          <cell r="BB42" t="str">
            <v>Residual Capacity2040</v>
          </cell>
          <cell r="BC42" t="str">
            <v>Residual Capacity2045</v>
          </cell>
          <cell r="BD42" t="str">
            <v>Residual Capacity2050</v>
          </cell>
          <cell r="BE42" t="str">
            <v>Residual Capacity2060</v>
          </cell>
          <cell r="BF42" t="str">
            <v>Residual Capacity2070</v>
          </cell>
          <cell r="BG42">
            <v>0</v>
          </cell>
        </row>
        <row r="45">
          <cell r="B45">
            <v>0</v>
          </cell>
        </row>
        <row r="46">
          <cell r="B46" t="str">
            <v>ETCLEPFW-E</v>
          </cell>
          <cell r="C46" t="str">
            <v>Coal low grade</v>
          </cell>
          <cell r="D46" t="str">
            <v>PWRCLE</v>
          </cell>
          <cell r="E46">
            <v>0</v>
          </cell>
          <cell r="F46">
            <v>0</v>
          </cell>
          <cell r="G46" t="str">
            <v>ELCC</v>
          </cell>
          <cell r="H46">
            <v>0</v>
          </cell>
          <cell r="I46">
            <v>0.34455060357519812</v>
          </cell>
          <cell r="J46">
            <v>0</v>
          </cell>
          <cell r="K46">
            <v>0</v>
          </cell>
          <cell r="L46">
            <v>1</v>
          </cell>
          <cell r="M46">
            <v>0.81000000000000016</v>
          </cell>
          <cell r="N46">
            <v>0.9</v>
          </cell>
          <cell r="O46">
            <v>9.2499999999999982</v>
          </cell>
          <cell r="P46">
            <v>1491.2725450655175</v>
          </cell>
          <cell r="Q46">
            <v>553.22340425531911</v>
          </cell>
          <cell r="R46">
            <v>277.77777777777777</v>
          </cell>
          <cell r="S46">
            <v>0.55456737588652483</v>
          </cell>
          <cell r="T46">
            <v>21.15</v>
          </cell>
          <cell r="U46">
            <v>21.15</v>
          </cell>
          <cell r="V46">
            <v>21.15</v>
          </cell>
          <cell r="W46">
            <v>21.15</v>
          </cell>
          <cell r="X46">
            <v>21.15</v>
          </cell>
          <cell r="Y46">
            <v>21.15</v>
          </cell>
          <cell r="Z46">
            <v>21.15</v>
          </cell>
          <cell r="AA46">
            <v>21.15</v>
          </cell>
          <cell r="AB46">
            <v>21.15</v>
          </cell>
          <cell r="AC46">
            <v>21.15</v>
          </cell>
          <cell r="AD46">
            <v>21.15</v>
          </cell>
          <cell r="AE46">
            <v>21.15</v>
          </cell>
          <cell r="AF46">
            <v>21.15</v>
          </cell>
          <cell r="AG46">
            <v>21.15</v>
          </cell>
          <cell r="AH46">
            <v>21.15</v>
          </cell>
          <cell r="AI46">
            <v>21.15</v>
          </cell>
          <cell r="AJ46">
            <v>21.15</v>
          </cell>
          <cell r="AK46">
            <v>21.15</v>
          </cell>
          <cell r="AL46">
            <v>21.09</v>
          </cell>
          <cell r="AM46">
            <v>20.350000000000001</v>
          </cell>
          <cell r="AN46">
            <v>19.5</v>
          </cell>
          <cell r="AO46">
            <v>18.649999999999999</v>
          </cell>
          <cell r="AP46">
            <v>17.32</v>
          </cell>
          <cell r="AQ46">
            <v>15.41</v>
          </cell>
          <cell r="AR46">
            <v>13.09</v>
          </cell>
          <cell r="AS46">
            <v>11.93</v>
          </cell>
          <cell r="AT46">
            <v>10.77</v>
          </cell>
          <cell r="AU46">
            <v>9.61</v>
          </cell>
          <cell r="AV46">
            <v>9.0299999999999994</v>
          </cell>
          <cell r="AW46">
            <v>7.86</v>
          </cell>
          <cell r="AX46">
            <v>6.11</v>
          </cell>
          <cell r="AY46">
            <v>5.53</v>
          </cell>
          <cell r="AZ46">
            <v>3.77</v>
          </cell>
          <cell r="BA46">
            <v>3.18</v>
          </cell>
          <cell r="BB46">
            <v>2.0099999999999998</v>
          </cell>
          <cell r="BC46">
            <v>2.0099999999999998</v>
          </cell>
          <cell r="BD46">
            <v>0.67</v>
          </cell>
          <cell r="BE46">
            <v>0</v>
          </cell>
          <cell r="BF46">
            <v>0</v>
          </cell>
          <cell r="BG46">
            <v>0</v>
          </cell>
          <cell r="BH46">
            <v>1</v>
          </cell>
        </row>
        <row r="47">
          <cell r="B47" t="str">
            <v>ETCLEPFD-E</v>
          </cell>
          <cell r="C47" t="str">
            <v>Coal low grade</v>
          </cell>
          <cell r="D47" t="str">
            <v>PWRCLE</v>
          </cell>
          <cell r="E47">
            <v>0</v>
          </cell>
          <cell r="F47">
            <v>0</v>
          </cell>
          <cell r="G47" t="str">
            <v>ELCC</v>
          </cell>
          <cell r="H47">
            <v>0</v>
          </cell>
          <cell r="I47">
            <v>0.33904041834964271</v>
          </cell>
          <cell r="J47">
            <v>0</v>
          </cell>
          <cell r="K47">
            <v>0</v>
          </cell>
          <cell r="L47">
            <v>1</v>
          </cell>
          <cell r="M47">
            <v>0.81000000000000016</v>
          </cell>
          <cell r="N47">
            <v>0.9</v>
          </cell>
          <cell r="O47">
            <v>9.2499999999999982</v>
          </cell>
          <cell r="P47">
            <v>2250.8077091503355</v>
          </cell>
          <cell r="Q47">
            <v>38.76053301979227</v>
          </cell>
          <cell r="R47">
            <v>277.77777777777777</v>
          </cell>
          <cell r="S47">
            <v>0.63031746031746039</v>
          </cell>
          <cell r="T47">
            <v>5.67</v>
          </cell>
          <cell r="U47">
            <v>5.67</v>
          </cell>
          <cell r="V47">
            <v>5.67</v>
          </cell>
          <cell r="W47">
            <v>5.67</v>
          </cell>
          <cell r="X47">
            <v>5.67</v>
          </cell>
          <cell r="Y47">
            <v>5.67</v>
          </cell>
          <cell r="Z47">
            <v>5.67</v>
          </cell>
          <cell r="AA47">
            <v>5.67</v>
          </cell>
          <cell r="AB47">
            <v>5.67</v>
          </cell>
          <cell r="AC47">
            <v>5.67</v>
          </cell>
          <cell r="AD47">
            <v>5.67</v>
          </cell>
          <cell r="AE47">
            <v>5.67</v>
          </cell>
          <cell r="AF47">
            <v>5.67</v>
          </cell>
          <cell r="AG47">
            <v>5.67</v>
          </cell>
          <cell r="AH47">
            <v>5.67</v>
          </cell>
          <cell r="AI47">
            <v>5.67</v>
          </cell>
          <cell r="AJ47">
            <v>5.67</v>
          </cell>
          <cell r="AK47">
            <v>5.67</v>
          </cell>
          <cell r="AL47">
            <v>5.67</v>
          </cell>
          <cell r="AM47">
            <v>5.67</v>
          </cell>
          <cell r="AN47">
            <v>5.67</v>
          </cell>
          <cell r="AO47">
            <v>5.61</v>
          </cell>
          <cell r="AP47">
            <v>5.61</v>
          </cell>
          <cell r="AQ47">
            <v>5.61</v>
          </cell>
          <cell r="AR47">
            <v>5.61</v>
          </cell>
          <cell r="AS47">
            <v>5.61</v>
          </cell>
          <cell r="AT47">
            <v>5.61</v>
          </cell>
          <cell r="AU47">
            <v>5.61</v>
          </cell>
          <cell r="AV47">
            <v>5.61</v>
          </cell>
          <cell r="AW47">
            <v>5.61</v>
          </cell>
          <cell r="AX47">
            <v>5.61</v>
          </cell>
          <cell r="AY47">
            <v>5.61</v>
          </cell>
          <cell r="AZ47">
            <v>4.9800000000000004</v>
          </cell>
          <cell r="BA47">
            <v>4.9800000000000004</v>
          </cell>
          <cell r="BB47">
            <v>4.9800000000000004</v>
          </cell>
          <cell r="BC47">
            <v>1.83</v>
          </cell>
          <cell r="BD47">
            <v>0</v>
          </cell>
          <cell r="BE47">
            <v>0</v>
          </cell>
          <cell r="BF47">
            <v>0</v>
          </cell>
          <cell r="BG47">
            <v>0</v>
          </cell>
          <cell r="BH47">
            <v>2</v>
          </cell>
        </row>
        <row r="48">
          <cell r="B48" t="str">
            <v>ETCLEPFS-E</v>
          </cell>
          <cell r="C48" t="str">
            <v>Coal low grade</v>
          </cell>
          <cell r="D48" t="str">
            <v>PWRCLE</v>
          </cell>
          <cell r="E48">
            <v>0</v>
          </cell>
          <cell r="F48">
            <v>0</v>
          </cell>
          <cell r="G48" t="str">
            <v>ELCC</v>
          </cell>
          <cell r="H48">
            <v>0</v>
          </cell>
          <cell r="I48">
            <v>0.2858817926334008</v>
          </cell>
          <cell r="J48">
            <v>0</v>
          </cell>
          <cell r="K48">
            <v>0</v>
          </cell>
          <cell r="L48">
            <v>1</v>
          </cell>
          <cell r="M48">
            <v>0.81</v>
          </cell>
          <cell r="N48">
            <v>0.9</v>
          </cell>
          <cell r="O48">
            <v>9.2499999999999982</v>
          </cell>
          <cell r="P48">
            <v>2250.8077091503355</v>
          </cell>
          <cell r="Q48">
            <v>689.09489577517206</v>
          </cell>
          <cell r="R48">
            <v>277.77777777777777</v>
          </cell>
          <cell r="S48">
            <v>0.18457286432160805</v>
          </cell>
          <cell r="T48">
            <v>4.34</v>
          </cell>
          <cell r="U48">
            <v>4.34</v>
          </cell>
          <cell r="V48">
            <v>4.34</v>
          </cell>
          <cell r="W48">
            <v>4.34</v>
          </cell>
          <cell r="X48">
            <v>4.34</v>
          </cell>
          <cell r="Y48">
            <v>5</v>
          </cell>
          <cell r="Z48">
            <v>5.3</v>
          </cell>
          <cell r="AA48">
            <v>5.4</v>
          </cell>
          <cell r="AB48">
            <v>5.4</v>
          </cell>
          <cell r="AC48">
            <v>5.4</v>
          </cell>
          <cell r="AD48">
            <v>5.4</v>
          </cell>
          <cell r="AE48">
            <v>5.4</v>
          </cell>
          <cell r="AF48">
            <v>5.4</v>
          </cell>
          <cell r="AG48">
            <v>5.4</v>
          </cell>
          <cell r="AH48">
            <v>5.0199999999999996</v>
          </cell>
          <cell r="AI48">
            <v>4.45</v>
          </cell>
          <cell r="AJ48">
            <v>3.5</v>
          </cell>
          <cell r="AK48">
            <v>2.93</v>
          </cell>
          <cell r="AL48">
            <v>2.54</v>
          </cell>
          <cell r="AM48">
            <v>2.0699999999999998</v>
          </cell>
          <cell r="AN48">
            <v>1.42</v>
          </cell>
          <cell r="AO48">
            <v>0.56000000000000005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0</v>
          </cell>
          <cell r="BB48">
            <v>0</v>
          </cell>
          <cell r="BC48">
            <v>0</v>
          </cell>
          <cell r="BD48">
            <v>0</v>
          </cell>
          <cell r="BE48">
            <v>0</v>
          </cell>
          <cell r="BF48">
            <v>0</v>
          </cell>
          <cell r="BG48">
            <v>0</v>
          </cell>
          <cell r="BH48">
            <v>3</v>
          </cell>
        </row>
        <row r="49">
          <cell r="B49" t="str">
            <v>ETCLEPFM-E</v>
          </cell>
          <cell r="C49" t="str">
            <v>Coal low grade</v>
          </cell>
          <cell r="D49" t="str">
            <v>PWRCLE</v>
          </cell>
          <cell r="E49">
            <v>0</v>
          </cell>
          <cell r="F49">
            <v>0</v>
          </cell>
          <cell r="G49" t="str">
            <v>ELC</v>
          </cell>
          <cell r="H49">
            <v>0</v>
          </cell>
          <cell r="I49">
            <v>0.24545403524397683</v>
          </cell>
          <cell r="J49">
            <v>0</v>
          </cell>
          <cell r="K49">
            <v>0</v>
          </cell>
          <cell r="L49">
            <v>1</v>
          </cell>
          <cell r="M49">
            <v>0.81</v>
          </cell>
          <cell r="N49">
            <v>0.9</v>
          </cell>
          <cell r="O49">
            <v>9.2499999999999982</v>
          </cell>
          <cell r="P49">
            <v>2250.8077091503355</v>
          </cell>
          <cell r="Q49">
            <v>712.5925925925925</v>
          </cell>
          <cell r="R49">
            <v>277.77777777777777</v>
          </cell>
          <cell r="S49">
            <v>4.7340425531914893E-2</v>
          </cell>
          <cell r="T49">
            <v>0.47</v>
          </cell>
          <cell r="U49">
            <v>0.47</v>
          </cell>
          <cell r="V49">
            <v>0.47</v>
          </cell>
          <cell r="W49">
            <v>0.47</v>
          </cell>
          <cell r="X49">
            <v>0.47</v>
          </cell>
          <cell r="Y49">
            <v>0.47</v>
          </cell>
          <cell r="Z49">
            <v>0.47</v>
          </cell>
          <cell r="AA49">
            <v>0.47</v>
          </cell>
          <cell r="AB49">
            <v>0.4533335</v>
          </cell>
          <cell r="AC49">
            <v>0.43666674999999999</v>
          </cell>
          <cell r="AD49">
            <v>0.42</v>
          </cell>
          <cell r="AE49">
            <v>0.33</v>
          </cell>
          <cell r="AF49">
            <v>0.33</v>
          </cell>
          <cell r="AG49">
            <v>0.33</v>
          </cell>
          <cell r="AH49">
            <v>0.33</v>
          </cell>
          <cell r="AI49">
            <v>0.33</v>
          </cell>
          <cell r="AJ49">
            <v>0.33</v>
          </cell>
          <cell r="AK49">
            <v>0.33</v>
          </cell>
          <cell r="AL49">
            <v>0.33</v>
          </cell>
          <cell r="AM49">
            <v>0.15</v>
          </cell>
          <cell r="AN49">
            <v>0.15</v>
          </cell>
          <cell r="AO49">
            <v>0.15</v>
          </cell>
          <cell r="AP49">
            <v>0.15</v>
          </cell>
          <cell r="AQ49">
            <v>0.15</v>
          </cell>
          <cell r="AR49">
            <v>0.15</v>
          </cell>
          <cell r="AS49">
            <v>0.10000050000000001</v>
          </cell>
          <cell r="AT49">
            <v>5.0000250000000003E-2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0</v>
          </cell>
          <cell r="BB49">
            <v>0</v>
          </cell>
          <cell r="BC49">
            <v>0</v>
          </cell>
          <cell r="BD49">
            <v>0</v>
          </cell>
          <cell r="BE49">
            <v>0</v>
          </cell>
          <cell r="BF49">
            <v>0</v>
          </cell>
          <cell r="BG49">
            <v>0</v>
          </cell>
          <cell r="BH49">
            <v>4</v>
          </cell>
        </row>
        <row r="50">
          <cell r="B50" t="str">
            <v>ETCLEPFSS-E</v>
          </cell>
          <cell r="C50" t="str">
            <v>Coal low grade</v>
          </cell>
          <cell r="D50" t="str">
            <v>PWRCLE</v>
          </cell>
          <cell r="E50">
            <v>0</v>
          </cell>
          <cell r="F50">
            <v>0</v>
          </cell>
          <cell r="G50" t="str">
            <v>UPSELC</v>
          </cell>
          <cell r="H50">
            <v>0</v>
          </cell>
          <cell r="I50">
            <v>0.25429035508469455</v>
          </cell>
          <cell r="J50">
            <v>0</v>
          </cell>
          <cell r="K50">
            <v>0</v>
          </cell>
          <cell r="L50">
            <v>1</v>
          </cell>
          <cell r="M50">
            <v>0.81</v>
          </cell>
          <cell r="N50">
            <v>0.9</v>
          </cell>
          <cell r="O50">
            <v>9.2499999999999982</v>
          </cell>
          <cell r="P50">
            <v>2250.8077091503355</v>
          </cell>
          <cell r="Q50">
            <v>712.59259259259238</v>
          </cell>
          <cell r="R50">
            <v>277.77777777777777</v>
          </cell>
          <cell r="S50">
            <v>0.05</v>
          </cell>
          <cell r="T50">
            <v>0.5</v>
          </cell>
          <cell r="U50">
            <v>0.5</v>
          </cell>
          <cell r="V50">
            <v>0.5</v>
          </cell>
          <cell r="W50">
            <v>0.5</v>
          </cell>
          <cell r="X50">
            <v>0.5</v>
          </cell>
          <cell r="Y50">
            <v>0.5</v>
          </cell>
          <cell r="Z50">
            <v>0.5</v>
          </cell>
          <cell r="AA50">
            <v>0.5</v>
          </cell>
          <cell r="AB50">
            <v>0.5</v>
          </cell>
          <cell r="AC50">
            <v>0.5</v>
          </cell>
          <cell r="AD50">
            <v>0.5</v>
          </cell>
          <cell r="AE50">
            <v>0.5</v>
          </cell>
          <cell r="AF50">
            <v>0.5</v>
          </cell>
          <cell r="AG50">
            <v>0.5</v>
          </cell>
          <cell r="AH50">
            <v>0.5</v>
          </cell>
          <cell r="AI50">
            <v>0.5</v>
          </cell>
          <cell r="AJ50">
            <v>0.5</v>
          </cell>
          <cell r="AK50">
            <v>0.5</v>
          </cell>
          <cell r="AL50">
            <v>0.5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0</v>
          </cell>
          <cell r="BB50">
            <v>0</v>
          </cell>
          <cell r="BC50">
            <v>0</v>
          </cell>
          <cell r="BD50">
            <v>0</v>
          </cell>
          <cell r="BE50">
            <v>0</v>
          </cell>
          <cell r="BF50">
            <v>0</v>
          </cell>
          <cell r="BG50">
            <v>0</v>
          </cell>
          <cell r="BH50">
            <v>5</v>
          </cell>
        </row>
        <row r="51">
          <cell r="B51" t="str">
            <v>ETCLEPFSI-E</v>
          </cell>
          <cell r="C51" t="str">
            <v>Coal low grade</v>
          </cell>
          <cell r="D51" t="str">
            <v>PWRCLE</v>
          </cell>
          <cell r="E51">
            <v>0</v>
          </cell>
          <cell r="F51">
            <v>0</v>
          </cell>
          <cell r="G51" t="str">
            <v>ICPELC</v>
          </cell>
          <cell r="H51">
            <v>0</v>
          </cell>
          <cell r="I51">
            <v>0.25429035508469455</v>
          </cell>
          <cell r="J51">
            <v>0</v>
          </cell>
          <cell r="K51">
            <v>0</v>
          </cell>
          <cell r="L51">
            <v>1</v>
          </cell>
          <cell r="M51">
            <v>0.81</v>
          </cell>
          <cell r="N51">
            <v>0.9</v>
          </cell>
          <cell r="O51">
            <v>9.2499999999999982</v>
          </cell>
          <cell r="P51">
            <v>2250.8077091503355</v>
          </cell>
          <cell r="Q51">
            <v>712.59259259259238</v>
          </cell>
          <cell r="R51">
            <v>277.77777777777777</v>
          </cell>
          <cell r="S51">
            <v>0.05</v>
          </cell>
          <cell r="T51">
            <v>0.15</v>
          </cell>
          <cell r="U51">
            <v>0.15</v>
          </cell>
          <cell r="V51">
            <v>0.15</v>
          </cell>
          <cell r="W51">
            <v>0.15</v>
          </cell>
          <cell r="X51">
            <v>0.15</v>
          </cell>
          <cell r="Y51">
            <v>0.15</v>
          </cell>
          <cell r="Z51">
            <v>0.15</v>
          </cell>
          <cell r="AA51">
            <v>0.15</v>
          </cell>
          <cell r="AB51">
            <v>0.15</v>
          </cell>
          <cell r="AC51">
            <v>0.15</v>
          </cell>
          <cell r="AD51">
            <v>0.15</v>
          </cell>
          <cell r="AE51">
            <v>0.15</v>
          </cell>
          <cell r="AF51">
            <v>0.15</v>
          </cell>
          <cell r="AG51">
            <v>0.15</v>
          </cell>
          <cell r="AH51">
            <v>0.15</v>
          </cell>
          <cell r="AI51">
            <v>0.15</v>
          </cell>
          <cell r="AJ51">
            <v>0.15</v>
          </cell>
          <cell r="AK51">
            <v>0.15</v>
          </cell>
          <cell r="AL51">
            <v>0.15</v>
          </cell>
          <cell r="AM51">
            <v>0.15</v>
          </cell>
          <cell r="AN51">
            <v>0.15</v>
          </cell>
          <cell r="AO51">
            <v>0.15</v>
          </cell>
          <cell r="AP51">
            <v>0.15</v>
          </cell>
          <cell r="AQ51">
            <v>0.15</v>
          </cell>
          <cell r="AR51">
            <v>0.15</v>
          </cell>
          <cell r="AS51">
            <v>0.15</v>
          </cell>
          <cell r="AT51">
            <v>0.15</v>
          </cell>
          <cell r="AU51">
            <v>0.15</v>
          </cell>
          <cell r="AV51">
            <v>0.15</v>
          </cell>
          <cell r="AW51">
            <v>0.15</v>
          </cell>
          <cell r="AX51">
            <v>0.15</v>
          </cell>
          <cell r="AY51">
            <v>0.15</v>
          </cell>
          <cell r="AZ51">
            <v>0.15</v>
          </cell>
          <cell r="BA51">
            <v>0.15</v>
          </cell>
          <cell r="BB51">
            <v>0.15</v>
          </cell>
          <cell r="BC51">
            <v>0</v>
          </cell>
          <cell r="BD51">
            <v>0</v>
          </cell>
          <cell r="BE51">
            <v>0</v>
          </cell>
          <cell r="BF51">
            <v>0</v>
          </cell>
          <cell r="BG51">
            <v>0</v>
          </cell>
          <cell r="BH51">
            <v>6</v>
          </cell>
        </row>
        <row r="52">
          <cell r="B52" t="str">
            <v>ETODSGT-E</v>
          </cell>
          <cell r="C52" t="str">
            <v>Oil Diesel</v>
          </cell>
          <cell r="D52" t="str">
            <v>PWRODS</v>
          </cell>
          <cell r="E52">
            <v>0</v>
          </cell>
          <cell r="F52">
            <v>0</v>
          </cell>
          <cell r="G52" t="str">
            <v>ELCC</v>
          </cell>
          <cell r="H52">
            <v>0</v>
          </cell>
          <cell r="I52">
            <v>0.32271024591215164</v>
          </cell>
          <cell r="J52">
            <v>0</v>
          </cell>
          <cell r="K52">
            <v>0</v>
          </cell>
          <cell r="L52">
            <v>1</v>
          </cell>
          <cell r="M52">
            <v>0.09</v>
          </cell>
          <cell r="N52">
            <v>0.94867073170731708</v>
          </cell>
          <cell r="O52">
            <v>0</v>
          </cell>
          <cell r="P52">
            <v>66.195121951219505</v>
          </cell>
          <cell r="Q52">
            <v>0</v>
          </cell>
          <cell r="R52">
            <v>277.77777777777777</v>
          </cell>
          <cell r="S52">
            <v>0.13682926829268294</v>
          </cell>
          <cell r="T52">
            <v>2.46</v>
          </cell>
          <cell r="U52">
            <v>2.46</v>
          </cell>
          <cell r="V52">
            <v>2.46</v>
          </cell>
          <cell r="W52">
            <v>2.46</v>
          </cell>
          <cell r="X52">
            <v>2.46</v>
          </cell>
          <cell r="Y52">
            <v>2.46</v>
          </cell>
          <cell r="Z52">
            <v>2.46</v>
          </cell>
          <cell r="AA52">
            <v>2.46</v>
          </cell>
          <cell r="AB52">
            <v>2.46</v>
          </cell>
          <cell r="AC52">
            <v>2.46</v>
          </cell>
          <cell r="AD52">
            <v>2.46</v>
          </cell>
          <cell r="AE52">
            <v>2.46</v>
          </cell>
          <cell r="AF52">
            <v>2.46</v>
          </cell>
          <cell r="AG52">
            <v>2.46</v>
          </cell>
          <cell r="AH52">
            <v>2.46</v>
          </cell>
          <cell r="AI52">
            <v>2.46</v>
          </cell>
          <cell r="AJ52">
            <v>2.46</v>
          </cell>
          <cell r="AK52">
            <v>2.46</v>
          </cell>
          <cell r="AL52">
            <v>2.46</v>
          </cell>
          <cell r="AM52">
            <v>2.4000005999999998</v>
          </cell>
          <cell r="AN52">
            <v>2.1600003000000001</v>
          </cell>
          <cell r="AO52">
            <v>2.1</v>
          </cell>
          <cell r="AP52">
            <v>2.1</v>
          </cell>
          <cell r="AQ52">
            <v>2.1</v>
          </cell>
          <cell r="AR52">
            <v>2.1</v>
          </cell>
          <cell r="AS52">
            <v>2.1</v>
          </cell>
          <cell r="AT52">
            <v>2.1</v>
          </cell>
          <cell r="AU52">
            <v>2.1</v>
          </cell>
          <cell r="AV52">
            <v>2.1</v>
          </cell>
          <cell r="AW52">
            <v>2.1</v>
          </cell>
          <cell r="AX52">
            <v>2.1</v>
          </cell>
          <cell r="AY52">
            <v>0</v>
          </cell>
          <cell r="AZ52">
            <v>0</v>
          </cell>
          <cell r="BA52">
            <v>0</v>
          </cell>
          <cell r="BB52">
            <v>0</v>
          </cell>
          <cell r="BC52">
            <v>0</v>
          </cell>
          <cell r="BD52">
            <v>0</v>
          </cell>
          <cell r="BE52">
            <v>0</v>
          </cell>
          <cell r="BF52">
            <v>0</v>
          </cell>
          <cell r="BG52">
            <v>0</v>
          </cell>
          <cell r="BH52">
            <v>7</v>
          </cell>
        </row>
        <row r="53">
          <cell r="B53" t="str">
            <v>ERHYD-E</v>
          </cell>
          <cell r="C53" t="str">
            <v>Hydro</v>
          </cell>
          <cell r="D53" t="str">
            <v>PWRHYD</v>
          </cell>
          <cell r="E53">
            <v>0</v>
          </cell>
          <cell r="F53">
            <v>0</v>
          </cell>
          <cell r="G53" t="str">
            <v>ELCC</v>
          </cell>
          <cell r="H53">
            <v>0</v>
          </cell>
          <cell r="I53">
            <v>1</v>
          </cell>
          <cell r="J53">
            <v>0</v>
          </cell>
          <cell r="K53">
            <v>0</v>
          </cell>
          <cell r="L53">
            <v>1</v>
          </cell>
          <cell r="M53">
            <v>0.89254707313432835</v>
          </cell>
          <cell r="N53">
            <v>0.93385970149253739</v>
          </cell>
          <cell r="O53">
            <v>0</v>
          </cell>
          <cell r="P53">
            <v>2209.5969280608774</v>
          </cell>
          <cell r="Q53">
            <v>0</v>
          </cell>
          <cell r="R53">
            <v>0</v>
          </cell>
          <cell r="S53">
            <v>9.8656716417910448E-2</v>
          </cell>
          <cell r="T53">
            <v>0.67</v>
          </cell>
          <cell r="U53">
            <v>0.67</v>
          </cell>
          <cell r="V53">
            <v>0.67</v>
          </cell>
          <cell r="W53">
            <v>0.67</v>
          </cell>
          <cell r="X53">
            <v>0.67</v>
          </cell>
          <cell r="Y53">
            <v>0.67</v>
          </cell>
          <cell r="Z53">
            <v>0.67</v>
          </cell>
          <cell r="AA53">
            <v>0.67</v>
          </cell>
          <cell r="AB53">
            <v>0.67</v>
          </cell>
          <cell r="AC53">
            <v>0.67</v>
          </cell>
          <cell r="AD53">
            <v>0.67</v>
          </cell>
          <cell r="AE53">
            <v>0.67</v>
          </cell>
          <cell r="AF53">
            <v>0.67</v>
          </cell>
          <cell r="AG53">
            <v>0.67</v>
          </cell>
          <cell r="AH53">
            <v>0.67</v>
          </cell>
          <cell r="AI53">
            <v>0.67</v>
          </cell>
          <cell r="AJ53">
            <v>0.67</v>
          </cell>
          <cell r="AK53">
            <v>0.67</v>
          </cell>
          <cell r="AL53">
            <v>0.67</v>
          </cell>
          <cell r="AM53">
            <v>0.67</v>
          </cell>
          <cell r="AN53">
            <v>0.67</v>
          </cell>
          <cell r="AO53">
            <v>0.67</v>
          </cell>
          <cell r="AP53">
            <v>0.67</v>
          </cell>
          <cell r="AQ53">
            <v>0.67</v>
          </cell>
          <cell r="AR53">
            <v>0.67</v>
          </cell>
          <cell r="AS53">
            <v>0.67</v>
          </cell>
          <cell r="AT53">
            <v>0.67</v>
          </cell>
          <cell r="AU53">
            <v>0.67</v>
          </cell>
          <cell r="AV53">
            <v>0.67</v>
          </cell>
          <cell r="AW53">
            <v>0.67</v>
          </cell>
          <cell r="AX53">
            <v>0.67</v>
          </cell>
          <cell r="AY53">
            <v>0.67</v>
          </cell>
          <cell r="AZ53">
            <v>0.67</v>
          </cell>
          <cell r="BA53">
            <v>0.67</v>
          </cell>
          <cell r="BB53">
            <v>0.67</v>
          </cell>
          <cell r="BC53">
            <v>0.67</v>
          </cell>
          <cell r="BD53">
            <v>0.67</v>
          </cell>
          <cell r="BE53">
            <v>0</v>
          </cell>
          <cell r="BF53">
            <v>0</v>
          </cell>
          <cell r="BG53">
            <v>0</v>
          </cell>
          <cell r="BH53">
            <v>8</v>
          </cell>
        </row>
        <row r="54">
          <cell r="B54" t="str">
            <v>ERHYD-I</v>
          </cell>
          <cell r="C54" t="str">
            <v>Hydro</v>
          </cell>
          <cell r="D54" t="str">
            <v>PWRHYD</v>
          </cell>
          <cell r="E54">
            <v>0</v>
          </cell>
          <cell r="F54">
            <v>0</v>
          </cell>
          <cell r="G54" t="str">
            <v>ELCC</v>
          </cell>
          <cell r="H54">
            <v>0</v>
          </cell>
          <cell r="I54">
            <v>1</v>
          </cell>
          <cell r="J54">
            <v>0</v>
          </cell>
          <cell r="K54">
            <v>0</v>
          </cell>
          <cell r="L54">
            <v>1</v>
          </cell>
          <cell r="M54">
            <v>0.66600000000000004</v>
          </cell>
          <cell r="N54">
            <v>0.9</v>
          </cell>
          <cell r="O54">
            <v>0</v>
          </cell>
          <cell r="P54">
            <v>2200.7014056728176</v>
          </cell>
          <cell r="Q54">
            <v>0</v>
          </cell>
          <cell r="R54">
            <v>0</v>
          </cell>
          <cell r="S54">
            <v>0.3</v>
          </cell>
          <cell r="T54">
            <v>1.5</v>
          </cell>
          <cell r="U54">
            <v>1.5</v>
          </cell>
          <cell r="V54">
            <v>1.5</v>
          </cell>
          <cell r="W54">
            <v>1.5</v>
          </cell>
          <cell r="X54">
            <v>1.5</v>
          </cell>
          <cell r="Y54">
            <v>1.5</v>
          </cell>
          <cell r="Z54">
            <v>1.5</v>
          </cell>
          <cell r="AA54">
            <v>1.5</v>
          </cell>
          <cell r="AB54">
            <v>1.5</v>
          </cell>
          <cell r="AC54">
            <v>1.5</v>
          </cell>
          <cell r="AD54">
            <v>1.5</v>
          </cell>
          <cell r="AE54">
            <v>1.5</v>
          </cell>
          <cell r="AF54">
            <v>1.5</v>
          </cell>
          <cell r="AG54">
            <v>1.5</v>
          </cell>
          <cell r="AH54">
            <v>1.5</v>
          </cell>
          <cell r="AI54">
            <v>1.5</v>
          </cell>
          <cell r="AJ54">
            <v>1.5</v>
          </cell>
          <cell r="AK54">
            <v>1.5</v>
          </cell>
          <cell r="AL54">
            <v>1.5</v>
          </cell>
          <cell r="AM54">
            <v>1.5</v>
          </cell>
          <cell r="AN54">
            <v>1.5</v>
          </cell>
          <cell r="AO54">
            <v>1.5</v>
          </cell>
          <cell r="AP54">
            <v>1.5</v>
          </cell>
          <cell r="AQ54">
            <v>1.5</v>
          </cell>
          <cell r="AR54">
            <v>1.5</v>
          </cell>
          <cell r="AS54">
            <v>1.5</v>
          </cell>
          <cell r="AT54">
            <v>1.5</v>
          </cell>
          <cell r="AU54">
            <v>1.5</v>
          </cell>
          <cell r="AV54">
            <v>1.5</v>
          </cell>
          <cell r="AW54">
            <v>1.5</v>
          </cell>
          <cell r="AX54">
            <v>1.5</v>
          </cell>
          <cell r="AY54">
            <v>1.5</v>
          </cell>
          <cell r="AZ54">
            <v>1.5</v>
          </cell>
          <cell r="BA54">
            <v>1.5</v>
          </cell>
          <cell r="BB54">
            <v>1.5</v>
          </cell>
          <cell r="BC54">
            <v>1.5</v>
          </cell>
          <cell r="BD54">
            <v>1.5</v>
          </cell>
          <cell r="BE54">
            <v>1.5</v>
          </cell>
          <cell r="BF54">
            <v>1.5</v>
          </cell>
          <cell r="BG54">
            <v>0</v>
          </cell>
          <cell r="BH54">
            <v>9</v>
          </cell>
        </row>
        <row r="55">
          <cell r="B55" t="str">
            <v>ETNUC-E</v>
          </cell>
          <cell r="C55" t="str">
            <v>Nuclear</v>
          </cell>
          <cell r="D55" t="str">
            <v>PWRNUC</v>
          </cell>
          <cell r="E55">
            <v>0</v>
          </cell>
          <cell r="F55">
            <v>0</v>
          </cell>
          <cell r="G55" t="str">
            <v>ELCC</v>
          </cell>
          <cell r="H55">
            <v>0</v>
          </cell>
          <cell r="I55">
            <v>0.32001521850150205</v>
          </cell>
          <cell r="J55">
            <v>0</v>
          </cell>
          <cell r="K55">
            <v>0</v>
          </cell>
          <cell r="L55">
            <v>1</v>
          </cell>
          <cell r="M55">
            <v>0.81038133000000012</v>
          </cell>
          <cell r="N55">
            <v>0.91290000000000004</v>
          </cell>
          <cell r="O55">
            <v>2.7777777777777777</v>
          </cell>
          <cell r="P55">
            <v>4920.6939317282322</v>
          </cell>
          <cell r="Q55">
            <v>0</v>
          </cell>
          <cell r="R55">
            <v>277.77777777777777</v>
          </cell>
          <cell r="S55">
            <v>0.93</v>
          </cell>
          <cell r="T55">
            <v>1.86</v>
          </cell>
          <cell r="U55">
            <v>1.86</v>
          </cell>
          <cell r="V55">
            <v>1.86</v>
          </cell>
          <cell r="W55">
            <v>1.86</v>
          </cell>
          <cell r="X55">
            <v>1.86</v>
          </cell>
          <cell r="Y55">
            <v>1.86</v>
          </cell>
          <cell r="Z55">
            <v>1.86</v>
          </cell>
          <cell r="AA55">
            <v>1.86</v>
          </cell>
          <cell r="AB55">
            <v>1.86</v>
          </cell>
          <cell r="AC55">
            <v>1.86</v>
          </cell>
          <cell r="AD55">
            <v>1.86</v>
          </cell>
          <cell r="AE55">
            <v>1.86</v>
          </cell>
          <cell r="AF55">
            <v>1.86</v>
          </cell>
          <cell r="AG55">
            <v>1.86</v>
          </cell>
          <cell r="AH55">
            <v>1.86</v>
          </cell>
          <cell r="AI55">
            <v>1.86</v>
          </cell>
          <cell r="AJ55">
            <v>1.86</v>
          </cell>
          <cell r="AK55">
            <v>1.86</v>
          </cell>
          <cell r="AL55">
            <v>1.86</v>
          </cell>
          <cell r="AM55">
            <v>1.86</v>
          </cell>
          <cell r="AN55">
            <v>1.86</v>
          </cell>
          <cell r="AO55">
            <v>1.86</v>
          </cell>
          <cell r="AP55">
            <v>1.86</v>
          </cell>
          <cell r="AQ55">
            <v>1.86</v>
          </cell>
          <cell r="AR55">
            <v>1.86</v>
          </cell>
          <cell r="AS55">
            <v>1.86</v>
          </cell>
          <cell r="AT55">
            <v>1.86</v>
          </cell>
          <cell r="AU55">
            <v>1.86</v>
          </cell>
          <cell r="AV55">
            <v>1.86</v>
          </cell>
          <cell r="AW55">
            <v>1.86</v>
          </cell>
          <cell r="AX55">
            <v>1.86</v>
          </cell>
          <cell r="AY55">
            <v>1.86</v>
          </cell>
          <cell r="AZ55">
            <v>1.86</v>
          </cell>
          <cell r="BA55">
            <v>1.86</v>
          </cell>
          <cell r="BB55">
            <v>1.86</v>
          </cell>
          <cell r="BC55">
            <v>0</v>
          </cell>
          <cell r="BD55">
            <v>0</v>
          </cell>
          <cell r="BE55">
            <v>0</v>
          </cell>
          <cell r="BF55">
            <v>0</v>
          </cell>
          <cell r="BG55">
            <v>0</v>
          </cell>
          <cell r="BH55">
            <v>10</v>
          </cell>
        </row>
        <row r="56">
          <cell r="B56">
            <v>0</v>
          </cell>
          <cell r="C56">
            <v>0</v>
          </cell>
          <cell r="E56">
            <v>0</v>
          </cell>
          <cell r="H56">
            <v>0</v>
          </cell>
          <cell r="I56">
            <v>0</v>
          </cell>
          <cell r="J56">
            <v>0</v>
          </cell>
          <cell r="K56">
            <v>0</v>
          </cell>
          <cell r="L56">
            <v>0</v>
          </cell>
          <cell r="M56">
            <v>0</v>
          </cell>
          <cell r="N56">
            <v>0</v>
          </cell>
          <cell r="O56">
            <v>0</v>
          </cell>
          <cell r="P56">
            <v>0</v>
          </cell>
          <cell r="Q56">
            <v>0</v>
          </cell>
          <cell r="R56">
            <v>0</v>
          </cell>
          <cell r="S56">
            <v>0</v>
          </cell>
          <cell r="T56">
            <v>0</v>
          </cell>
          <cell r="U56">
            <v>0</v>
          </cell>
          <cell r="V56">
            <v>0</v>
          </cell>
          <cell r="W56">
            <v>0</v>
          </cell>
          <cell r="X56">
            <v>0</v>
          </cell>
          <cell r="Y56">
            <v>0</v>
          </cell>
          <cell r="Z56">
            <v>0</v>
          </cell>
          <cell r="AA56">
            <v>0</v>
          </cell>
          <cell r="AB56">
            <v>0</v>
          </cell>
          <cell r="AC56">
            <v>0</v>
          </cell>
          <cell r="AD56">
            <v>0</v>
          </cell>
          <cell r="AE56">
            <v>0</v>
          </cell>
          <cell r="AF56">
            <v>0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</v>
          </cell>
          <cell r="AL56">
            <v>0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0</v>
          </cell>
          <cell r="BB56">
            <v>0</v>
          </cell>
          <cell r="BC56">
            <v>0</v>
          </cell>
          <cell r="BD56">
            <v>0</v>
          </cell>
          <cell r="BE56">
            <v>0</v>
          </cell>
          <cell r="BF56">
            <v>0</v>
          </cell>
          <cell r="BG56">
            <v>0</v>
          </cell>
        </row>
        <row r="57">
          <cell r="B57" t="str">
            <v>EPP-E</v>
          </cell>
          <cell r="C57" t="str">
            <v>Electricity</v>
          </cell>
          <cell r="D57" t="str">
            <v>ELCC</v>
          </cell>
          <cell r="E57">
            <v>0</v>
          </cell>
          <cell r="F57">
            <v>0</v>
          </cell>
          <cell r="G57" t="str">
            <v>PWREPE</v>
          </cell>
          <cell r="H57">
            <v>0</v>
          </cell>
          <cell r="I57">
            <v>0.73000000000000009</v>
          </cell>
          <cell r="J57">
            <v>0</v>
          </cell>
          <cell r="K57">
            <v>0</v>
          </cell>
          <cell r="L57">
            <v>0</v>
          </cell>
          <cell r="M57">
            <v>0</v>
          </cell>
          <cell r="N57">
            <v>0</v>
          </cell>
          <cell r="O57">
            <v>0</v>
          </cell>
          <cell r="P57">
            <v>0</v>
          </cell>
          <cell r="Q57">
            <v>0</v>
          </cell>
          <cell r="R57">
            <v>0</v>
          </cell>
          <cell r="S57">
            <v>0</v>
          </cell>
          <cell r="T57">
            <v>0</v>
          </cell>
          <cell r="U57">
            <v>0</v>
          </cell>
          <cell r="V57">
            <v>0</v>
          </cell>
          <cell r="W57">
            <v>0</v>
          </cell>
          <cell r="X57">
            <v>0</v>
          </cell>
          <cell r="Y57">
            <v>0</v>
          </cell>
          <cell r="Z57">
            <v>0</v>
          </cell>
          <cell r="AA57">
            <v>0</v>
          </cell>
          <cell r="AB57">
            <v>0</v>
          </cell>
          <cell r="AC57">
            <v>0</v>
          </cell>
          <cell r="AD57">
            <v>0</v>
          </cell>
          <cell r="AE57">
            <v>0</v>
          </cell>
          <cell r="AF57">
            <v>0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0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0</v>
          </cell>
          <cell r="BB57">
            <v>0</v>
          </cell>
          <cell r="BC57">
            <v>0</v>
          </cell>
          <cell r="BD57">
            <v>0</v>
          </cell>
          <cell r="BE57">
            <v>0</v>
          </cell>
          <cell r="BF57">
            <v>0</v>
          </cell>
          <cell r="BG57">
            <v>0</v>
          </cell>
        </row>
        <row r="58">
          <cell r="B58" t="str">
            <v>EPD-E</v>
          </cell>
          <cell r="C58" t="str">
            <v>Power Sector - PS Dummy Commodity - Existing</v>
          </cell>
          <cell r="D58" t="str">
            <v>PWREPE</v>
          </cell>
          <cell r="E58">
            <v>0</v>
          </cell>
          <cell r="F58">
            <v>0</v>
          </cell>
          <cell r="G58" t="str">
            <v>PWREPE</v>
          </cell>
          <cell r="H58">
            <v>0</v>
          </cell>
          <cell r="I58">
            <v>1</v>
          </cell>
          <cell r="J58">
            <v>0</v>
          </cell>
          <cell r="K58">
            <v>0</v>
          </cell>
          <cell r="L58">
            <v>0</v>
          </cell>
          <cell r="M58">
            <v>0</v>
          </cell>
          <cell r="N58">
            <v>0</v>
          </cell>
          <cell r="O58">
            <v>0</v>
          </cell>
          <cell r="P58">
            <v>0</v>
          </cell>
          <cell r="Q58">
            <v>0</v>
          </cell>
          <cell r="R58">
            <v>0</v>
          </cell>
          <cell r="S58">
            <v>0</v>
          </cell>
          <cell r="T58">
            <v>0</v>
          </cell>
          <cell r="U58">
            <v>0</v>
          </cell>
          <cell r="V58">
            <v>0</v>
          </cell>
          <cell r="W58">
            <v>0</v>
          </cell>
          <cell r="X58">
            <v>0</v>
          </cell>
          <cell r="Y58">
            <v>0</v>
          </cell>
          <cell r="Z58">
            <v>0</v>
          </cell>
          <cell r="AA58">
            <v>0</v>
          </cell>
          <cell r="AB58">
            <v>0</v>
          </cell>
          <cell r="AC58">
            <v>0</v>
          </cell>
          <cell r="AD58">
            <v>0</v>
          </cell>
          <cell r="AE58">
            <v>0</v>
          </cell>
          <cell r="AF58">
            <v>0</v>
          </cell>
          <cell r="AG58">
            <v>0</v>
          </cell>
          <cell r="AH58">
            <v>0</v>
          </cell>
          <cell r="AI58">
            <v>0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0</v>
          </cell>
          <cell r="BB58">
            <v>0</v>
          </cell>
          <cell r="BC58">
            <v>0</v>
          </cell>
          <cell r="BD58">
            <v>0</v>
          </cell>
          <cell r="BE58">
            <v>0</v>
          </cell>
          <cell r="BF58">
            <v>0</v>
          </cell>
          <cell r="BG58">
            <v>0</v>
          </cell>
        </row>
        <row r="59">
          <cell r="B59" t="str">
            <v>EPT-E</v>
          </cell>
          <cell r="C59" t="str">
            <v>Power Sector - PS Dummy Commodity - Existing</v>
          </cell>
          <cell r="D59" t="str">
            <v>PWREPE</v>
          </cell>
          <cell r="E59">
            <v>0</v>
          </cell>
          <cell r="F59">
            <v>0</v>
          </cell>
          <cell r="G59" t="str">
            <v>ELCC</v>
          </cell>
          <cell r="H59">
            <v>0</v>
          </cell>
          <cell r="I59">
            <v>1</v>
          </cell>
          <cell r="J59">
            <v>0</v>
          </cell>
          <cell r="K59">
            <v>0</v>
          </cell>
          <cell r="L59">
            <v>1</v>
          </cell>
          <cell r="M59">
            <v>0.24500000000000002</v>
          </cell>
          <cell r="N59">
            <v>0.93197468354430379</v>
          </cell>
          <cell r="O59">
            <v>3.3670886075949369</v>
          </cell>
          <cell r="P59">
            <v>1815.9706760565057</v>
          </cell>
          <cell r="Q59">
            <v>0</v>
          </cell>
          <cell r="R59">
            <v>0</v>
          </cell>
          <cell r="S59">
            <v>0.21569620253164559</v>
          </cell>
          <cell r="T59">
            <v>1.58</v>
          </cell>
          <cell r="U59">
            <v>1.58</v>
          </cell>
          <cell r="V59">
            <v>1.58</v>
          </cell>
          <cell r="W59">
            <v>1.58</v>
          </cell>
          <cell r="X59">
            <v>1.58</v>
          </cell>
          <cell r="Y59">
            <v>1.58</v>
          </cell>
          <cell r="Z59">
            <v>1.58</v>
          </cell>
          <cell r="AA59">
            <v>1.58</v>
          </cell>
          <cell r="AB59">
            <v>1.58</v>
          </cell>
          <cell r="AC59">
            <v>1.58</v>
          </cell>
          <cell r="AD59">
            <v>1.58</v>
          </cell>
          <cell r="AE59">
            <v>1.58</v>
          </cell>
          <cell r="AF59">
            <v>1.58</v>
          </cell>
          <cell r="AG59">
            <v>1.58</v>
          </cell>
          <cell r="AH59">
            <v>1.58</v>
          </cell>
          <cell r="AI59">
            <v>1.58</v>
          </cell>
          <cell r="AJ59">
            <v>1.58</v>
          </cell>
          <cell r="AK59">
            <v>1.58</v>
          </cell>
          <cell r="AL59">
            <v>1.58</v>
          </cell>
          <cell r="AM59">
            <v>1.58</v>
          </cell>
          <cell r="AN59">
            <v>1.58</v>
          </cell>
          <cell r="AO59">
            <v>1.58</v>
          </cell>
          <cell r="AP59">
            <v>1.58</v>
          </cell>
          <cell r="AQ59">
            <v>1.58</v>
          </cell>
          <cell r="AR59">
            <v>1.58</v>
          </cell>
          <cell r="AS59">
            <v>1.58</v>
          </cell>
          <cell r="AT59">
            <v>1.58</v>
          </cell>
          <cell r="AU59">
            <v>1.58</v>
          </cell>
          <cell r="AV59">
            <v>1.58</v>
          </cell>
          <cell r="AW59">
            <v>1.58</v>
          </cell>
          <cell r="AX59">
            <v>1.58</v>
          </cell>
          <cell r="AY59">
            <v>1.58</v>
          </cell>
          <cell r="AZ59">
            <v>1.58</v>
          </cell>
          <cell r="BA59">
            <v>1.58</v>
          </cell>
          <cell r="BB59">
            <v>1.58</v>
          </cell>
          <cell r="BC59">
            <v>1.58</v>
          </cell>
          <cell r="BD59">
            <v>1.58</v>
          </cell>
          <cell r="BE59">
            <v>1.58</v>
          </cell>
          <cell r="BF59">
            <v>1.58</v>
          </cell>
          <cell r="BG59">
            <v>0</v>
          </cell>
          <cell r="BH59">
            <v>12</v>
          </cell>
        </row>
        <row r="60">
          <cell r="B60">
            <v>0</v>
          </cell>
          <cell r="C60">
            <v>0</v>
          </cell>
          <cell r="E60">
            <v>0</v>
          </cell>
          <cell r="H60">
            <v>0</v>
          </cell>
          <cell r="I60">
            <v>0</v>
          </cell>
          <cell r="J60">
            <v>0</v>
          </cell>
          <cell r="K60">
            <v>0</v>
          </cell>
          <cell r="L60">
            <v>0</v>
          </cell>
          <cell r="M60">
            <v>0</v>
          </cell>
          <cell r="N60">
            <v>0</v>
          </cell>
          <cell r="O60">
            <v>0</v>
          </cell>
          <cell r="P60">
            <v>0</v>
          </cell>
          <cell r="Q60">
            <v>0</v>
          </cell>
          <cell r="R60">
            <v>0</v>
          </cell>
          <cell r="S60">
            <v>0</v>
          </cell>
          <cell r="T60">
            <v>0</v>
          </cell>
          <cell r="U60">
            <v>0</v>
          </cell>
          <cell r="V60">
            <v>0</v>
          </cell>
          <cell r="W60">
            <v>0</v>
          </cell>
          <cell r="X60">
            <v>0</v>
          </cell>
          <cell r="Y60">
            <v>0</v>
          </cell>
          <cell r="Z60">
            <v>0</v>
          </cell>
          <cell r="AA60">
            <v>0</v>
          </cell>
          <cell r="AB60">
            <v>0</v>
          </cell>
          <cell r="AC60">
            <v>0</v>
          </cell>
          <cell r="AD60">
            <v>0</v>
          </cell>
          <cell r="AE60">
            <v>0</v>
          </cell>
          <cell r="AF60">
            <v>0</v>
          </cell>
          <cell r="AG60">
            <v>0</v>
          </cell>
          <cell r="AH60">
            <v>0</v>
          </cell>
          <cell r="AI60">
            <v>0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0</v>
          </cell>
          <cell r="BB60">
            <v>0</v>
          </cell>
          <cell r="BC60">
            <v>0</v>
          </cell>
          <cell r="BD60">
            <v>0</v>
          </cell>
          <cell r="BE60">
            <v>0</v>
          </cell>
          <cell r="BF60">
            <v>0</v>
          </cell>
          <cell r="BG60">
            <v>0</v>
          </cell>
        </row>
        <row r="61">
          <cell r="B61" t="str">
            <v>EHBIW-E</v>
          </cell>
          <cell r="C61" t="str">
            <v>Biomass Wood</v>
          </cell>
          <cell r="D61" t="str">
            <v>PWRBIW</v>
          </cell>
          <cell r="E61" t="str">
            <v>Coal existing</v>
          </cell>
          <cell r="F61" t="str">
            <v>PWRCLE</v>
          </cell>
          <cell r="G61" t="str">
            <v>IPPELC</v>
          </cell>
          <cell r="H61" t="str">
            <v>IPPS</v>
          </cell>
          <cell r="I61">
            <v>0.75</v>
          </cell>
          <cell r="J61">
            <v>0.67</v>
          </cell>
          <cell r="K61">
            <v>2</v>
          </cell>
          <cell r="L61">
            <v>1</v>
          </cell>
          <cell r="M61">
            <v>0.624</v>
          </cell>
          <cell r="N61">
            <v>0.91</v>
          </cell>
          <cell r="O61">
            <v>0</v>
          </cell>
          <cell r="P61">
            <v>6211.2566762217448</v>
          </cell>
          <cell r="Q61">
            <v>0</v>
          </cell>
          <cell r="R61">
            <v>0</v>
          </cell>
          <cell r="S61">
            <v>1.9412280701754388E-2</v>
          </cell>
          <cell r="T61">
            <v>0.22800000000000001</v>
          </cell>
          <cell r="U61">
            <v>0.22800000000000001</v>
          </cell>
          <cell r="V61">
            <v>0.22800000000000001</v>
          </cell>
          <cell r="W61">
            <v>0.22800000000000001</v>
          </cell>
          <cell r="X61">
            <v>0.22800000000000001</v>
          </cell>
          <cell r="Y61">
            <v>0.22800000000000001</v>
          </cell>
          <cell r="Z61">
            <v>0.22800000000000001</v>
          </cell>
          <cell r="AA61">
            <v>0.22800000000000001</v>
          </cell>
          <cell r="AB61">
            <v>0.22800000000000001</v>
          </cell>
          <cell r="AC61">
            <v>0.22800000000000001</v>
          </cell>
          <cell r="AD61">
            <v>0.22800000000000001</v>
          </cell>
          <cell r="AE61">
            <v>0.22800000000000001</v>
          </cell>
          <cell r="AF61">
            <v>0.22800000000000001</v>
          </cell>
          <cell r="AG61">
            <v>0.22800000000000001</v>
          </cell>
          <cell r="AH61">
            <v>0.22800000000000001</v>
          </cell>
          <cell r="AI61">
            <v>0.22800000000000001</v>
          </cell>
          <cell r="AJ61">
            <v>0.22800000000000001</v>
          </cell>
          <cell r="AK61">
            <v>0.22800000000000001</v>
          </cell>
          <cell r="AL61">
            <v>0.22800000000000001</v>
          </cell>
          <cell r="AM61">
            <v>0.22800000000000001</v>
          </cell>
          <cell r="AN61">
            <v>0.22800000000000001</v>
          </cell>
          <cell r="AO61">
            <v>0.22800000000000001</v>
          </cell>
          <cell r="AP61">
            <v>0.22800000000000001</v>
          </cell>
          <cell r="AQ61">
            <v>0.22800000000000001</v>
          </cell>
          <cell r="AR61">
            <v>0.22800000000000001</v>
          </cell>
          <cell r="AS61">
            <v>0.22800000000000001</v>
          </cell>
          <cell r="AT61">
            <v>0.22800000000000001</v>
          </cell>
          <cell r="AU61">
            <v>0.22800000000000001</v>
          </cell>
          <cell r="AV61">
            <v>0.22800000000000001</v>
          </cell>
          <cell r="AW61">
            <v>0.22800000000000001</v>
          </cell>
          <cell r="AX61">
            <v>0.22800000000000001</v>
          </cell>
          <cell r="AY61">
            <v>0.22800000000000001</v>
          </cell>
          <cell r="AZ61">
            <v>0.22800000000000001</v>
          </cell>
          <cell r="BA61">
            <v>0.22800000000000001</v>
          </cell>
          <cell r="BB61">
            <v>0.22800000000000001</v>
          </cell>
          <cell r="BC61">
            <v>0.22800000000000001</v>
          </cell>
          <cell r="BD61">
            <v>0.22800000000000001</v>
          </cell>
          <cell r="BE61">
            <v>0</v>
          </cell>
          <cell r="BF61">
            <v>0</v>
          </cell>
          <cell r="BH61">
            <v>13</v>
          </cell>
        </row>
        <row r="62">
          <cell r="B62" t="str">
            <v>EHBIB-E</v>
          </cell>
          <cell r="C62" t="str">
            <v>Biomass bagasse</v>
          </cell>
          <cell r="D62" t="str">
            <v>PWRBIB</v>
          </cell>
          <cell r="E62">
            <v>0</v>
          </cell>
          <cell r="F62">
            <v>0</v>
          </cell>
          <cell r="G62" t="str">
            <v>IFBELC</v>
          </cell>
          <cell r="H62" t="str">
            <v>IFBS</v>
          </cell>
          <cell r="I62">
            <v>0.75</v>
          </cell>
          <cell r="J62">
            <v>0</v>
          </cell>
          <cell r="K62">
            <v>2</v>
          </cell>
          <cell r="L62">
            <v>1</v>
          </cell>
          <cell r="M62">
            <v>0.624</v>
          </cell>
          <cell r="N62">
            <v>0.91</v>
          </cell>
          <cell r="O62">
            <v>8.6388888888888893</v>
          </cell>
          <cell r="P62">
            <v>7183.2566762217448</v>
          </cell>
          <cell r="Q62">
            <v>58.333333333333329</v>
          </cell>
          <cell r="R62">
            <v>0</v>
          </cell>
          <cell r="S62">
            <v>0.02</v>
          </cell>
          <cell r="T62">
            <v>0.1</v>
          </cell>
          <cell r="U62">
            <v>0.1</v>
          </cell>
          <cell r="V62">
            <v>0.1</v>
          </cell>
          <cell r="W62">
            <v>0.1</v>
          </cell>
          <cell r="X62">
            <v>0.1</v>
          </cell>
          <cell r="Y62">
            <v>0.1</v>
          </cell>
          <cell r="Z62">
            <v>0.1</v>
          </cell>
          <cell r="AA62">
            <v>0.1</v>
          </cell>
          <cell r="AB62">
            <v>0.1</v>
          </cell>
          <cell r="AC62">
            <v>0.1</v>
          </cell>
          <cell r="AD62">
            <v>0.1</v>
          </cell>
          <cell r="AE62">
            <v>0.1</v>
          </cell>
          <cell r="AF62">
            <v>0.1</v>
          </cell>
          <cell r="AG62">
            <v>0.1</v>
          </cell>
          <cell r="AH62">
            <v>0.1</v>
          </cell>
          <cell r="AI62">
            <v>0.1</v>
          </cell>
          <cell r="AJ62">
            <v>0.1</v>
          </cell>
          <cell r="AK62">
            <v>0.1</v>
          </cell>
          <cell r="AL62">
            <v>0.1</v>
          </cell>
          <cell r="AM62">
            <v>0.1</v>
          </cell>
          <cell r="AN62">
            <v>0.1</v>
          </cell>
          <cell r="AO62">
            <v>0.1</v>
          </cell>
          <cell r="AP62">
            <v>0.1</v>
          </cell>
          <cell r="AQ62">
            <v>0.1</v>
          </cell>
          <cell r="AR62">
            <v>0.1</v>
          </cell>
          <cell r="AS62">
            <v>0.1</v>
          </cell>
          <cell r="AT62">
            <v>0.1</v>
          </cell>
          <cell r="AU62">
            <v>0.1</v>
          </cell>
          <cell r="AV62">
            <v>0.1</v>
          </cell>
          <cell r="AW62">
            <v>0.1</v>
          </cell>
          <cell r="AX62">
            <v>0.1</v>
          </cell>
          <cell r="AY62">
            <v>0.1</v>
          </cell>
          <cell r="AZ62">
            <v>0.1</v>
          </cell>
          <cell r="BA62">
            <v>0.1</v>
          </cell>
          <cell r="BB62">
            <v>0.1</v>
          </cell>
          <cell r="BC62">
            <v>0.1</v>
          </cell>
          <cell r="BD62">
            <v>0.1</v>
          </cell>
          <cell r="BE62">
            <v>0</v>
          </cell>
          <cell r="BF62">
            <v>0</v>
          </cell>
          <cell r="BH62">
            <v>14</v>
          </cell>
        </row>
        <row r="63">
          <cell r="B63" t="str">
            <v>EHBIG-E</v>
          </cell>
          <cell r="C63" t="str">
            <v>Biogas</v>
          </cell>
          <cell r="D63" t="str">
            <v>PWRBIG</v>
          </cell>
          <cell r="E63">
            <v>0</v>
          </cell>
          <cell r="F63">
            <v>0</v>
          </cell>
          <cell r="G63" t="str">
            <v>ELC</v>
          </cell>
          <cell r="H63" t="str">
            <v>IPPR</v>
          </cell>
          <cell r="I63">
            <v>0.75</v>
          </cell>
          <cell r="J63">
            <v>0</v>
          </cell>
          <cell r="K63">
            <v>2</v>
          </cell>
          <cell r="L63">
            <v>1</v>
          </cell>
          <cell r="M63">
            <v>0.624</v>
          </cell>
          <cell r="N63">
            <v>0.91</v>
          </cell>
          <cell r="O63">
            <v>0</v>
          </cell>
          <cell r="P63">
            <v>6211.2566762217448</v>
          </cell>
          <cell r="Q63">
            <v>0</v>
          </cell>
          <cell r="R63">
            <v>277.77777777777777</v>
          </cell>
          <cell r="S63">
            <v>9.4999999999999998E-3</v>
          </cell>
          <cell r="T63">
            <v>9.9000000000000005E-2</v>
          </cell>
          <cell r="U63">
            <v>9.9000000000000005E-2</v>
          </cell>
          <cell r="V63">
            <v>9.9000000000000005E-2</v>
          </cell>
          <cell r="W63">
            <v>9.9000000000000005E-2</v>
          </cell>
          <cell r="X63">
            <v>9.9000000000000005E-2</v>
          </cell>
          <cell r="Y63">
            <v>9.9000000000000005E-2</v>
          </cell>
          <cell r="Z63">
            <v>9.9000000000000005E-2</v>
          </cell>
          <cell r="AA63">
            <v>9.9000000000000005E-2</v>
          </cell>
          <cell r="AB63">
            <v>9.9000000000000005E-2</v>
          </cell>
          <cell r="AC63">
            <v>9.9000000000000005E-2</v>
          </cell>
          <cell r="AD63">
            <v>9.9000000000000005E-2</v>
          </cell>
          <cell r="AE63">
            <v>9.9000000000000005E-2</v>
          </cell>
          <cell r="AF63">
            <v>9.9000000000000005E-2</v>
          </cell>
          <cell r="AG63">
            <v>9.9000000000000005E-2</v>
          </cell>
          <cell r="AH63">
            <v>9.9000000000000005E-2</v>
          </cell>
          <cell r="AI63">
            <v>9.9000000000000005E-2</v>
          </cell>
          <cell r="AJ63">
            <v>9.9000000000000005E-2</v>
          </cell>
          <cell r="AK63">
            <v>9.9000000000000005E-2</v>
          </cell>
          <cell r="AL63">
            <v>9.9000000000000005E-2</v>
          </cell>
          <cell r="AM63">
            <v>9.9000000000000005E-2</v>
          </cell>
          <cell r="AN63">
            <v>9.9000000000000005E-2</v>
          </cell>
          <cell r="AO63">
            <v>9.9000000000000005E-2</v>
          </cell>
          <cell r="AP63">
            <v>9.9000000000000005E-2</v>
          </cell>
          <cell r="AQ63">
            <v>9.9000000000000005E-2</v>
          </cell>
          <cell r="AR63">
            <v>9.9000000000000005E-2</v>
          </cell>
          <cell r="AS63">
            <v>9.9000000000000005E-2</v>
          </cell>
          <cell r="AT63">
            <v>9.9000000000000005E-2</v>
          </cell>
          <cell r="AU63">
            <v>9.9000000000000005E-2</v>
          </cell>
          <cell r="AV63">
            <v>9.9000000000000005E-2</v>
          </cell>
          <cell r="AW63">
            <v>9.9000000000000005E-2</v>
          </cell>
          <cell r="AX63">
            <v>9.9000000000000005E-2</v>
          </cell>
          <cell r="AY63">
            <v>9.9000000000000005E-2</v>
          </cell>
          <cell r="AZ63">
            <v>9.9000000000000005E-2</v>
          </cell>
          <cell r="BA63">
            <v>9.9000000000000005E-2</v>
          </cell>
          <cell r="BB63">
            <v>9.9000000000000005E-2</v>
          </cell>
          <cell r="BC63">
            <v>9.9000000000000005E-2</v>
          </cell>
          <cell r="BD63">
            <v>9.9000000000000005E-2</v>
          </cell>
          <cell r="BE63">
            <v>0</v>
          </cell>
          <cell r="BF63">
            <v>0</v>
          </cell>
          <cell r="BH63">
            <v>15</v>
          </cell>
        </row>
        <row r="64">
          <cell r="B64">
            <v>0</v>
          </cell>
          <cell r="C64">
            <v>0</v>
          </cell>
          <cell r="D64">
            <v>0</v>
          </cell>
          <cell r="E64">
            <v>0</v>
          </cell>
          <cell r="F64">
            <v>0</v>
          </cell>
          <cell r="I64">
            <v>0</v>
          </cell>
          <cell r="K64">
            <v>0</v>
          </cell>
          <cell r="M64">
            <v>0</v>
          </cell>
          <cell r="P64">
            <v>0</v>
          </cell>
          <cell r="Q64">
            <v>0</v>
          </cell>
          <cell r="BE64">
            <v>0</v>
          </cell>
        </row>
        <row r="65">
          <cell r="B65">
            <v>0</v>
          </cell>
          <cell r="C65">
            <v>0</v>
          </cell>
          <cell r="D65">
            <v>0</v>
          </cell>
          <cell r="E65">
            <v>0</v>
          </cell>
          <cell r="F65">
            <v>0</v>
          </cell>
          <cell r="I65">
            <v>0</v>
          </cell>
          <cell r="K65">
            <v>0</v>
          </cell>
          <cell r="M65">
            <v>0</v>
          </cell>
          <cell r="P65">
            <v>0</v>
          </cell>
          <cell r="Q65">
            <v>0</v>
          </cell>
          <cell r="BE65">
            <v>0</v>
          </cell>
        </row>
        <row r="66">
          <cell r="B66">
            <v>0</v>
          </cell>
          <cell r="C66">
            <v>0</v>
          </cell>
          <cell r="D66">
            <v>0</v>
          </cell>
          <cell r="E66">
            <v>0</v>
          </cell>
          <cell r="F66">
            <v>0</v>
          </cell>
          <cell r="I66">
            <v>0</v>
          </cell>
          <cell r="K66">
            <v>0</v>
          </cell>
          <cell r="M66">
            <v>0</v>
          </cell>
          <cell r="P66">
            <v>0</v>
          </cell>
          <cell r="Q66">
            <v>0</v>
          </cell>
          <cell r="BE66">
            <v>0</v>
          </cell>
        </row>
        <row r="67">
          <cell r="K67">
            <v>0</v>
          </cell>
          <cell r="M67">
            <v>0</v>
          </cell>
          <cell r="P67">
            <v>0</v>
          </cell>
          <cell r="Q67">
            <v>0</v>
          </cell>
          <cell r="BE67">
            <v>0</v>
          </cell>
        </row>
        <row r="68">
          <cell r="K68">
            <v>0</v>
          </cell>
          <cell r="M68">
            <v>0</v>
          </cell>
          <cell r="P68">
            <v>0</v>
          </cell>
          <cell r="Q68">
            <v>0</v>
          </cell>
          <cell r="BE68">
            <v>0</v>
          </cell>
        </row>
      </sheetData>
      <sheetData sheetId="2"/>
      <sheetData sheetId="3"/>
      <sheetData sheetId="4"/>
      <sheetData sheetId="5"/>
      <sheetData sheetId="6"/>
      <sheetData sheetId="7"/>
      <sheetData sheetId="8"/>
      <sheetData sheetId="9">
        <row r="35">
          <cell r="C35" t="str">
            <v>ETCRBSCMO-I</v>
          </cell>
          <cell r="D35" t="str">
            <v>Coal for plants in Botswana</v>
          </cell>
          <cell r="E35" t="str">
            <v>PWRCRB</v>
          </cell>
          <cell r="F35">
            <v>0</v>
          </cell>
          <cell r="G35" t="str">
            <v>ELCC</v>
          </cell>
          <cell r="I35">
            <v>0.35</v>
          </cell>
          <cell r="J35">
            <v>1</v>
          </cell>
          <cell r="K35">
            <v>0.85</v>
          </cell>
          <cell r="L35">
            <v>0.96299999999999997</v>
          </cell>
          <cell r="M35">
            <v>30</v>
          </cell>
          <cell r="N35">
            <v>4</v>
          </cell>
          <cell r="O35">
            <v>27.777777777777779</v>
          </cell>
          <cell r="P35">
            <v>0</v>
          </cell>
          <cell r="Q35">
            <v>160</v>
          </cell>
          <cell r="R35">
            <v>2.1388888888888888</v>
          </cell>
          <cell r="S35">
            <v>2024</v>
          </cell>
          <cell r="T35">
            <v>0.3</v>
          </cell>
          <cell r="U35">
            <v>0</v>
          </cell>
          <cell r="V35">
            <v>0</v>
          </cell>
          <cell r="W35">
            <v>14400</v>
          </cell>
          <cell r="X35">
            <v>14400</v>
          </cell>
          <cell r="Y35">
            <v>14400</v>
          </cell>
          <cell r="Z35">
            <v>14400</v>
          </cell>
          <cell r="AA35">
            <v>14400</v>
          </cell>
          <cell r="AB35">
            <v>14400</v>
          </cell>
          <cell r="AC35">
            <v>14400</v>
          </cell>
          <cell r="AD35">
            <v>14400</v>
          </cell>
          <cell r="AE35">
            <v>14400</v>
          </cell>
          <cell r="AF35">
            <v>14400</v>
          </cell>
          <cell r="AG35">
            <v>0</v>
          </cell>
          <cell r="AH35">
            <v>0</v>
          </cell>
          <cell r="AI35">
            <v>0</v>
          </cell>
          <cell r="AJ35">
            <v>0</v>
          </cell>
          <cell r="AK35">
            <v>1</v>
          </cell>
          <cell r="AL35">
            <v>0</v>
          </cell>
          <cell r="AM35">
            <v>0</v>
          </cell>
          <cell r="AN35">
            <v>0</v>
          </cell>
          <cell r="AO35">
            <v>0</v>
          </cell>
          <cell r="AP35">
            <v>0</v>
          </cell>
          <cell r="AQ35">
            <v>0</v>
          </cell>
          <cell r="AR35">
            <v>0</v>
          </cell>
          <cell r="AS35">
            <v>0</v>
          </cell>
          <cell r="AT35">
            <v>0</v>
          </cell>
          <cell r="AU35">
            <v>0</v>
          </cell>
          <cell r="AV35">
            <v>0</v>
          </cell>
          <cell r="AW35">
            <v>0</v>
          </cell>
          <cell r="AX35">
            <v>0</v>
          </cell>
          <cell r="AY35">
            <v>0</v>
          </cell>
          <cell r="AZ35">
            <v>0</v>
          </cell>
          <cell r="BA35">
            <v>31</v>
          </cell>
        </row>
        <row r="38">
          <cell r="C38" t="str">
            <v>ETGIHGT-N</v>
          </cell>
        </row>
        <row r="39">
          <cell r="C39" t="str">
            <v>ETGASGT-N</v>
          </cell>
          <cell r="D39" t="str">
            <v>Gas South Africa</v>
          </cell>
          <cell r="E39" t="str">
            <v>PWRGAS</v>
          </cell>
          <cell r="F39">
            <v>0</v>
          </cell>
          <cell r="G39" t="str">
            <v>ELCC</v>
          </cell>
          <cell r="I39">
            <v>0.30186147912124767</v>
          </cell>
          <cell r="J39">
            <v>1</v>
          </cell>
          <cell r="K39">
            <v>0.88800000000000001</v>
          </cell>
          <cell r="L39">
            <v>0.95399999999999996</v>
          </cell>
          <cell r="M39">
            <v>30</v>
          </cell>
          <cell r="N39">
            <v>2</v>
          </cell>
          <cell r="O39">
            <v>5.5</v>
          </cell>
          <cell r="P39">
            <v>277.77777777777777</v>
          </cell>
          <cell r="Q39">
            <v>70</v>
          </cell>
          <cell r="R39">
            <v>0</v>
          </cell>
          <cell r="S39">
            <v>2010</v>
          </cell>
          <cell r="T39">
            <v>0.115</v>
          </cell>
          <cell r="U39">
            <v>0</v>
          </cell>
          <cell r="V39">
            <v>0</v>
          </cell>
          <cell r="W39">
            <v>3932.310469314079</v>
          </cell>
          <cell r="X39">
            <v>3932.310469314079</v>
          </cell>
          <cell r="Y39">
            <v>3932.310469314079</v>
          </cell>
          <cell r="Z39">
            <v>3932.310469314079</v>
          </cell>
          <cell r="AA39">
            <v>3932.310469314079</v>
          </cell>
          <cell r="AB39">
            <v>3932.310469314079</v>
          </cell>
          <cell r="AC39">
            <v>3932.310469314079</v>
          </cell>
          <cell r="AD39">
            <v>3932.310469314079</v>
          </cell>
          <cell r="AE39">
            <v>3932.310469314079</v>
          </cell>
          <cell r="AF39">
            <v>3932.310469314079</v>
          </cell>
          <cell r="AG39">
            <v>0</v>
          </cell>
          <cell r="AH39">
            <v>0</v>
          </cell>
          <cell r="AI39">
            <v>0</v>
          </cell>
          <cell r="AJ39">
            <v>0</v>
          </cell>
          <cell r="AK39">
            <v>0</v>
          </cell>
          <cell r="AL39">
            <v>0</v>
          </cell>
          <cell r="AM39">
            <v>0</v>
          </cell>
          <cell r="AN39">
            <v>0</v>
          </cell>
          <cell r="AO39">
            <v>0</v>
          </cell>
          <cell r="AP39">
            <v>0</v>
          </cell>
          <cell r="AQ39">
            <v>0</v>
          </cell>
          <cell r="AR39">
            <v>0</v>
          </cell>
          <cell r="AS39">
            <v>0</v>
          </cell>
          <cell r="AT39">
            <v>0</v>
          </cell>
          <cell r="AU39">
            <v>0</v>
          </cell>
          <cell r="AV39">
            <v>0</v>
          </cell>
          <cell r="AW39">
            <v>0</v>
          </cell>
          <cell r="AX39">
            <v>0</v>
          </cell>
          <cell r="AY39">
            <v>0</v>
          </cell>
          <cell r="AZ39">
            <v>0</v>
          </cell>
          <cell r="BA39">
            <v>3</v>
          </cell>
        </row>
        <row r="40">
          <cell r="C40" t="str">
            <v>ETGICGT-N</v>
          </cell>
          <cell r="D40" t="str">
            <v>Coastal Gas</v>
          </cell>
          <cell r="E40" t="str">
            <v>PWRGIC</v>
          </cell>
          <cell r="F40">
            <v>0</v>
          </cell>
          <cell r="G40" t="str">
            <v>ELCC</v>
          </cell>
          <cell r="I40">
            <v>0.30186147912124767</v>
          </cell>
          <cell r="J40">
            <v>1</v>
          </cell>
          <cell r="K40">
            <v>0.88800000000000001</v>
          </cell>
          <cell r="L40">
            <v>0.95399999999999996</v>
          </cell>
          <cell r="M40">
            <v>30</v>
          </cell>
          <cell r="N40">
            <v>2</v>
          </cell>
          <cell r="O40">
            <v>5.5</v>
          </cell>
          <cell r="P40">
            <v>277.77777777777777</v>
          </cell>
          <cell r="Q40">
            <v>70</v>
          </cell>
          <cell r="R40">
            <v>0</v>
          </cell>
          <cell r="S40">
            <v>2010</v>
          </cell>
          <cell r="T40">
            <v>0.115</v>
          </cell>
          <cell r="U40">
            <v>0</v>
          </cell>
          <cell r="V40">
            <v>0</v>
          </cell>
          <cell r="W40">
            <v>3932.310469314079</v>
          </cell>
          <cell r="X40">
            <v>3932.310469314079</v>
          </cell>
          <cell r="Y40">
            <v>3932.310469314079</v>
          </cell>
          <cell r="Z40">
            <v>3932.310469314079</v>
          </cell>
          <cell r="AA40">
            <v>3932.310469314079</v>
          </cell>
          <cell r="AB40">
            <v>3932.310469314079</v>
          </cell>
          <cell r="AC40">
            <v>3932.310469314079</v>
          </cell>
          <cell r="AD40">
            <v>3932.310469314079</v>
          </cell>
          <cell r="AE40">
            <v>3932.310469314079</v>
          </cell>
          <cell r="AF40">
            <v>3932.310469314079</v>
          </cell>
          <cell r="AG40">
            <v>0</v>
          </cell>
          <cell r="AH40">
            <v>0</v>
          </cell>
          <cell r="AI40">
            <v>0</v>
          </cell>
          <cell r="AJ40">
            <v>0</v>
          </cell>
          <cell r="AK40">
            <v>0</v>
          </cell>
          <cell r="AL40">
            <v>0</v>
          </cell>
          <cell r="AM40">
            <v>0</v>
          </cell>
          <cell r="AN40">
            <v>0</v>
          </cell>
          <cell r="AO40">
            <v>0</v>
          </cell>
          <cell r="AP40">
            <v>0</v>
          </cell>
          <cell r="AQ40">
            <v>0</v>
          </cell>
          <cell r="AR40">
            <v>0</v>
          </cell>
          <cell r="AS40">
            <v>0</v>
          </cell>
          <cell r="AT40">
            <v>0</v>
          </cell>
          <cell r="AU40">
            <v>0</v>
          </cell>
          <cell r="AV40">
            <v>0</v>
          </cell>
          <cell r="AW40">
            <v>0</v>
          </cell>
          <cell r="AX40">
            <v>0</v>
          </cell>
          <cell r="AY40">
            <v>0</v>
          </cell>
          <cell r="AZ40">
            <v>0</v>
          </cell>
          <cell r="BA40">
            <v>3</v>
          </cell>
        </row>
        <row r="41">
          <cell r="C41" t="str">
            <v>ETGASCCSS-N</v>
          </cell>
          <cell r="D41" t="str">
            <v>Gas South Africa</v>
          </cell>
          <cell r="E41" t="str">
            <v>PWRGAS</v>
          </cell>
          <cell r="F41">
            <v>0</v>
          </cell>
          <cell r="G41" t="str">
            <v>ELCC</v>
          </cell>
          <cell r="I41">
            <v>0.45</v>
          </cell>
          <cell r="J41">
            <v>1</v>
          </cell>
          <cell r="K41">
            <v>0.88800000000000001</v>
          </cell>
          <cell r="L41">
            <v>0.95399999999999996</v>
          </cell>
          <cell r="M41">
            <v>30</v>
          </cell>
          <cell r="N41">
            <v>2</v>
          </cell>
          <cell r="O41">
            <v>3.5555555555555558</v>
          </cell>
          <cell r="P41">
            <v>277.77777777777777</v>
          </cell>
          <cell r="Q41">
            <v>148</v>
          </cell>
          <cell r="R41">
            <v>0</v>
          </cell>
          <cell r="S41">
            <v>2010</v>
          </cell>
          <cell r="T41">
            <v>2.5000000000000001E-2</v>
          </cell>
          <cell r="U41">
            <v>0</v>
          </cell>
          <cell r="V41">
            <v>0</v>
          </cell>
          <cell r="W41">
            <v>5781.5884476534293</v>
          </cell>
          <cell r="X41">
            <v>5781.5884476534293</v>
          </cell>
          <cell r="Y41">
            <v>5781.5884476534293</v>
          </cell>
          <cell r="Z41">
            <v>5781.5884476534293</v>
          </cell>
          <cell r="AA41">
            <v>5781.5884476534293</v>
          </cell>
          <cell r="AB41">
            <v>5781.5884476534293</v>
          </cell>
          <cell r="AC41">
            <v>5781.5884476534293</v>
          </cell>
          <cell r="AD41">
            <v>5781.5884476534293</v>
          </cell>
          <cell r="AE41">
            <v>5781.5884476534293</v>
          </cell>
          <cell r="AF41">
            <v>5781.5884476534293</v>
          </cell>
          <cell r="AG41">
            <v>0</v>
          </cell>
          <cell r="AH41">
            <v>0</v>
          </cell>
          <cell r="AI41">
            <v>0</v>
          </cell>
          <cell r="AJ41">
            <v>0</v>
          </cell>
          <cell r="AK41">
            <v>0.39</v>
          </cell>
          <cell r="AL41">
            <v>0</v>
          </cell>
          <cell r="AM41">
            <v>0</v>
          </cell>
          <cell r="AN41">
            <v>0</v>
          </cell>
          <cell r="AO41">
            <v>0.26</v>
          </cell>
          <cell r="AP41">
            <v>0.13</v>
          </cell>
          <cell r="AQ41">
            <v>0</v>
          </cell>
          <cell r="AR41">
            <v>0</v>
          </cell>
          <cell r="AS41">
            <v>0</v>
          </cell>
          <cell r="AT41">
            <v>0</v>
          </cell>
          <cell r="AU41">
            <v>0</v>
          </cell>
          <cell r="AV41">
            <v>0</v>
          </cell>
          <cell r="AW41">
            <v>0</v>
          </cell>
          <cell r="AX41">
            <v>0</v>
          </cell>
          <cell r="AY41">
            <v>0</v>
          </cell>
          <cell r="AZ41">
            <v>0</v>
          </cell>
          <cell r="BA41">
            <v>1</v>
          </cell>
        </row>
        <row r="42">
          <cell r="C42" t="str">
            <v>ETGICCC-N</v>
          </cell>
          <cell r="D42" t="str">
            <v>Coastal Gas</v>
          </cell>
          <cell r="E42" t="str">
            <v>PWRGIC</v>
          </cell>
          <cell r="F42">
            <v>0</v>
          </cell>
          <cell r="G42" t="str">
            <v>ELCC</v>
          </cell>
          <cell r="I42">
            <v>0.48089767566123431</v>
          </cell>
          <cell r="J42">
            <v>1</v>
          </cell>
          <cell r="K42">
            <v>0.88800000000000001</v>
          </cell>
          <cell r="L42">
            <v>0.95399999999999996</v>
          </cell>
          <cell r="M42">
            <v>30</v>
          </cell>
          <cell r="N42">
            <v>3</v>
          </cell>
          <cell r="O42">
            <v>3.5555555555555558</v>
          </cell>
          <cell r="P42">
            <v>277.77777777777777</v>
          </cell>
          <cell r="Q42">
            <v>148</v>
          </cell>
          <cell r="R42">
            <v>0</v>
          </cell>
          <cell r="S42">
            <v>2010</v>
          </cell>
          <cell r="T42">
            <v>2.5000000000000001E-2</v>
          </cell>
          <cell r="U42">
            <v>0</v>
          </cell>
          <cell r="V42">
            <v>0</v>
          </cell>
          <cell r="W42">
            <v>5781.5884476534293</v>
          </cell>
          <cell r="X42">
            <v>5781.5884476534293</v>
          </cell>
          <cell r="Y42">
            <v>5781.5884476534293</v>
          </cell>
          <cell r="Z42">
            <v>5781.5884476534293</v>
          </cell>
          <cell r="AA42">
            <v>5781.5884476534293</v>
          </cell>
          <cell r="AB42">
            <v>5781.5884476534293</v>
          </cell>
          <cell r="AC42">
            <v>5781.5884476534293</v>
          </cell>
          <cell r="AD42">
            <v>5781.5884476534293</v>
          </cell>
          <cell r="AE42">
            <v>5781.5884476534293</v>
          </cell>
          <cell r="AF42">
            <v>5781.5884476534293</v>
          </cell>
          <cell r="AG42">
            <v>0</v>
          </cell>
          <cell r="AH42">
            <v>0</v>
          </cell>
          <cell r="AI42">
            <v>0</v>
          </cell>
          <cell r="AJ42">
            <v>0</v>
          </cell>
          <cell r="AK42">
            <v>0.4</v>
          </cell>
          <cell r="AL42">
            <v>5</v>
          </cell>
          <cell r="AM42">
            <v>50</v>
          </cell>
          <cell r="AN42">
            <v>0</v>
          </cell>
          <cell r="AO42">
            <v>0</v>
          </cell>
          <cell r="AP42">
            <v>0</v>
          </cell>
          <cell r="AQ42">
            <v>0</v>
          </cell>
          <cell r="AR42">
            <v>0</v>
          </cell>
          <cell r="AS42">
            <v>0</v>
          </cell>
          <cell r="AT42">
            <v>0</v>
          </cell>
          <cell r="AU42">
            <v>0</v>
          </cell>
          <cell r="AV42">
            <v>0</v>
          </cell>
          <cell r="AW42">
            <v>0</v>
          </cell>
          <cell r="AX42">
            <v>0</v>
          </cell>
          <cell r="AY42">
            <v>0</v>
          </cell>
          <cell r="AZ42">
            <v>0</v>
          </cell>
          <cell r="BA42">
            <v>1</v>
          </cell>
        </row>
        <row r="43">
          <cell r="C43" t="str">
            <v>ETGIHCC-N</v>
          </cell>
          <cell r="D43" t="str">
            <v>Gas Indigenous Shale</v>
          </cell>
          <cell r="E43" t="str">
            <v>PWRGIH</v>
          </cell>
          <cell r="F43">
            <v>0</v>
          </cell>
          <cell r="G43" t="str">
            <v>ELCC</v>
          </cell>
          <cell r="I43">
            <v>0.48089767566123431</v>
          </cell>
          <cell r="J43">
            <v>1</v>
          </cell>
          <cell r="K43">
            <v>0.88800000000000001</v>
          </cell>
          <cell r="L43">
            <v>0.95399999999999996</v>
          </cell>
          <cell r="M43">
            <v>30</v>
          </cell>
          <cell r="N43">
            <v>3</v>
          </cell>
          <cell r="O43">
            <v>3.5555555555555558</v>
          </cell>
          <cell r="P43">
            <v>277.77777777777777</v>
          </cell>
          <cell r="Q43">
            <v>148</v>
          </cell>
          <cell r="R43">
            <v>0</v>
          </cell>
          <cell r="S43">
            <v>2010</v>
          </cell>
          <cell r="T43">
            <v>2.5000000000000001E-2</v>
          </cell>
          <cell r="U43">
            <v>0</v>
          </cell>
          <cell r="V43">
            <v>0</v>
          </cell>
          <cell r="W43">
            <v>5781.5884476534293</v>
          </cell>
          <cell r="X43">
            <v>5781.5884476534293</v>
          </cell>
          <cell r="Y43">
            <v>5781.5884476534293</v>
          </cell>
          <cell r="Z43">
            <v>5781.5884476534293</v>
          </cell>
          <cell r="AA43">
            <v>5781.5884476534293</v>
          </cell>
          <cell r="AB43">
            <v>5781.5884476534293</v>
          </cell>
          <cell r="AC43">
            <v>5781.5884476534293</v>
          </cell>
          <cell r="AD43">
            <v>5781.5884476534293</v>
          </cell>
          <cell r="AE43">
            <v>5781.5884476534293</v>
          </cell>
          <cell r="AF43">
            <v>5781.5884476534293</v>
          </cell>
          <cell r="AG43">
            <v>0</v>
          </cell>
          <cell r="AH43">
            <v>0</v>
          </cell>
          <cell r="AI43">
            <v>0</v>
          </cell>
          <cell r="AJ43">
            <v>0</v>
          </cell>
          <cell r="AK43">
            <v>0</v>
          </cell>
          <cell r="AL43">
            <v>0</v>
          </cell>
          <cell r="AM43">
            <v>0</v>
          </cell>
          <cell r="AN43">
            <v>0</v>
          </cell>
          <cell r="AO43">
            <v>0</v>
          </cell>
          <cell r="AP43">
            <v>0</v>
          </cell>
          <cell r="AQ43">
            <v>0</v>
          </cell>
          <cell r="AR43">
            <v>0</v>
          </cell>
          <cell r="AS43">
            <v>0</v>
          </cell>
          <cell r="AT43">
            <v>0</v>
          </cell>
          <cell r="AU43">
            <v>0</v>
          </cell>
          <cell r="AV43">
            <v>0</v>
          </cell>
          <cell r="AW43">
            <v>0</v>
          </cell>
          <cell r="AX43">
            <v>0</v>
          </cell>
          <cell r="AY43">
            <v>0</v>
          </cell>
          <cell r="AZ43">
            <v>0</v>
          </cell>
          <cell r="BA43">
            <v>1</v>
          </cell>
        </row>
        <row r="44">
          <cell r="C44" t="str">
            <v>ETGASCC-N</v>
          </cell>
          <cell r="D44" t="str">
            <v>Gas South Africa</v>
          </cell>
          <cell r="E44" t="str">
            <v>PWRGAS</v>
          </cell>
          <cell r="F44">
            <v>0</v>
          </cell>
          <cell r="G44" t="str">
            <v>ELCC</v>
          </cell>
          <cell r="I44">
            <v>0.48089767566123431</v>
          </cell>
          <cell r="J44">
            <v>1</v>
          </cell>
          <cell r="K44">
            <v>0.88800000000000001</v>
          </cell>
          <cell r="L44">
            <v>0.95399999999999996</v>
          </cell>
          <cell r="M44">
            <v>30</v>
          </cell>
          <cell r="N44">
            <v>3</v>
          </cell>
          <cell r="O44">
            <v>3.5555555555555558</v>
          </cell>
          <cell r="P44">
            <v>277.77777777777777</v>
          </cell>
          <cell r="Q44">
            <v>148</v>
          </cell>
          <cell r="R44">
            <v>0</v>
          </cell>
          <cell r="S44">
            <v>2010</v>
          </cell>
          <cell r="T44">
            <v>2.5000000000000001E-2</v>
          </cell>
          <cell r="U44">
            <v>0</v>
          </cell>
          <cell r="V44">
            <v>0</v>
          </cell>
          <cell r="W44">
            <v>5781.5884476534293</v>
          </cell>
          <cell r="X44">
            <v>5781.5884476534293</v>
          </cell>
          <cell r="Y44">
            <v>5781.5884476534293</v>
          </cell>
          <cell r="Z44">
            <v>5781.5884476534293</v>
          </cell>
          <cell r="AA44">
            <v>5781.5884476534293</v>
          </cell>
          <cell r="AB44">
            <v>5781.5884476534293</v>
          </cell>
          <cell r="AC44">
            <v>5781.5884476534293</v>
          </cell>
          <cell r="AD44">
            <v>5781.5884476534293</v>
          </cell>
          <cell r="AE44">
            <v>5781.5884476534293</v>
          </cell>
          <cell r="AF44">
            <v>5781.5884476534293</v>
          </cell>
          <cell r="AG44">
            <v>0</v>
          </cell>
          <cell r="AH44">
            <v>0</v>
          </cell>
          <cell r="AI44">
            <v>0</v>
          </cell>
          <cell r="AJ44">
            <v>0</v>
          </cell>
          <cell r="AK44">
            <v>0</v>
          </cell>
          <cell r="AL44">
            <v>0</v>
          </cell>
          <cell r="AM44">
            <v>0</v>
          </cell>
          <cell r="AN44">
            <v>0</v>
          </cell>
          <cell r="AO44">
            <v>0</v>
          </cell>
          <cell r="AP44">
            <v>0</v>
          </cell>
          <cell r="AQ44">
            <v>0</v>
          </cell>
          <cell r="AR44">
            <v>0</v>
          </cell>
          <cell r="AS44">
            <v>0</v>
          </cell>
          <cell r="AT44">
            <v>0</v>
          </cell>
          <cell r="AU44">
            <v>0</v>
          </cell>
          <cell r="AV44">
            <v>0</v>
          </cell>
          <cell r="AW44">
            <v>0</v>
          </cell>
          <cell r="AX44">
            <v>0</v>
          </cell>
          <cell r="AY44">
            <v>0</v>
          </cell>
          <cell r="AZ44">
            <v>0</v>
          </cell>
          <cell r="BA44">
            <v>1</v>
          </cell>
        </row>
        <row r="45">
          <cell r="C45" t="str">
            <v>ETGRMCC-N</v>
          </cell>
          <cell r="D45" t="str">
            <v>Gas Northern Mozambique</v>
          </cell>
          <cell r="E45" t="str">
            <v>PWRGRM</v>
          </cell>
          <cell r="F45">
            <v>0</v>
          </cell>
          <cell r="G45" t="str">
            <v>ELCC</v>
          </cell>
          <cell r="I45">
            <v>0.42411196137552004</v>
          </cell>
          <cell r="J45">
            <v>1</v>
          </cell>
          <cell r="K45">
            <v>0.88800000000000001</v>
          </cell>
          <cell r="L45">
            <v>0.95399999999999996</v>
          </cell>
          <cell r="M45">
            <v>30</v>
          </cell>
          <cell r="N45">
            <v>3</v>
          </cell>
          <cell r="O45">
            <v>3.5555555555555558</v>
          </cell>
          <cell r="P45">
            <v>0</v>
          </cell>
          <cell r="Q45">
            <v>483.85375862584891</v>
          </cell>
          <cell r="R45">
            <v>0</v>
          </cell>
          <cell r="S45">
            <v>2020</v>
          </cell>
          <cell r="T45">
            <v>2.5000000000000001E-2</v>
          </cell>
          <cell r="U45">
            <v>0</v>
          </cell>
          <cell r="V45">
            <v>0</v>
          </cell>
          <cell r="W45">
            <v>16976.713735181725</v>
          </cell>
          <cell r="X45">
            <v>16976.713735181725</v>
          </cell>
          <cell r="Y45">
            <v>16976.713735181725</v>
          </cell>
          <cell r="Z45">
            <v>16976.713735181725</v>
          </cell>
          <cell r="AA45">
            <v>16976.713735181725</v>
          </cell>
          <cell r="AB45">
            <v>16976.713735181725</v>
          </cell>
          <cell r="AC45">
            <v>16976.713735181725</v>
          </cell>
          <cell r="AD45">
            <v>16976.713735181725</v>
          </cell>
          <cell r="AE45">
            <v>16976.713735181725</v>
          </cell>
          <cell r="AF45">
            <v>16976.713735181725</v>
          </cell>
          <cell r="AG45">
            <v>0</v>
          </cell>
          <cell r="AH45">
            <v>0</v>
          </cell>
          <cell r="AI45">
            <v>0</v>
          </cell>
          <cell r="AJ45">
            <v>0</v>
          </cell>
          <cell r="AK45">
            <v>0</v>
          </cell>
          <cell r="AL45">
            <v>0</v>
          </cell>
          <cell r="AM45">
            <v>0</v>
          </cell>
          <cell r="AN45">
            <v>0</v>
          </cell>
          <cell r="AO45">
            <v>0</v>
          </cell>
          <cell r="AP45">
            <v>0</v>
          </cell>
          <cell r="AQ45">
            <v>0</v>
          </cell>
          <cell r="AR45">
            <v>0</v>
          </cell>
          <cell r="AS45">
            <v>0</v>
          </cell>
          <cell r="AT45">
            <v>0</v>
          </cell>
          <cell r="AU45">
            <v>0</v>
          </cell>
          <cell r="AV45">
            <v>0</v>
          </cell>
          <cell r="AW45">
            <v>0</v>
          </cell>
          <cell r="AX45">
            <v>0</v>
          </cell>
          <cell r="AY45">
            <v>0</v>
          </cell>
          <cell r="AZ45">
            <v>0</v>
          </cell>
          <cell r="BA45">
            <v>1</v>
          </cell>
        </row>
        <row r="46">
          <cell r="C46" t="str">
            <v>ETGICCC-N</v>
          </cell>
          <cell r="D46" t="str">
            <v>Coastal Gas</v>
          </cell>
          <cell r="E46" t="str">
            <v>PWRGIC</v>
          </cell>
          <cell r="F46">
            <v>0</v>
          </cell>
          <cell r="G46" t="str">
            <v>ELCC</v>
          </cell>
          <cell r="I46">
            <v>0.48089767566123431</v>
          </cell>
          <cell r="J46">
            <v>1</v>
          </cell>
          <cell r="K46">
            <v>0.88800000000000001</v>
          </cell>
          <cell r="L46">
            <v>0.95399999999999996</v>
          </cell>
          <cell r="M46">
            <v>30</v>
          </cell>
          <cell r="N46">
            <v>3</v>
          </cell>
          <cell r="O46">
            <v>3.5555555555555558</v>
          </cell>
          <cell r="P46">
            <v>277.77777777777777</v>
          </cell>
          <cell r="Q46">
            <v>148</v>
          </cell>
          <cell r="R46">
            <v>0</v>
          </cell>
          <cell r="S46">
            <v>2010</v>
          </cell>
          <cell r="T46">
            <v>2.5000000000000001E-2</v>
          </cell>
          <cell r="U46">
            <v>0</v>
          </cell>
          <cell r="V46">
            <v>0</v>
          </cell>
          <cell r="W46">
            <v>5781.5884476534293</v>
          </cell>
          <cell r="X46">
            <v>5781.5884476534293</v>
          </cell>
          <cell r="Y46">
            <v>5781.5884476534293</v>
          </cell>
          <cell r="Z46">
            <v>5781.5884476534293</v>
          </cell>
          <cell r="AA46">
            <v>5781.5884476534293</v>
          </cell>
          <cell r="AB46">
            <v>5781.5884476534293</v>
          </cell>
          <cell r="AC46">
            <v>5781.5884476534293</v>
          </cell>
          <cell r="AD46">
            <v>5781.5884476534293</v>
          </cell>
          <cell r="AE46">
            <v>5781.5884476534293</v>
          </cell>
          <cell r="AF46">
            <v>5781.5884476534293</v>
          </cell>
          <cell r="AG46">
            <v>0</v>
          </cell>
          <cell r="AH46">
            <v>0</v>
          </cell>
          <cell r="AI46">
            <v>0</v>
          </cell>
          <cell r="AJ46">
            <v>0</v>
          </cell>
          <cell r="AK46">
            <v>0</v>
          </cell>
          <cell r="AL46">
            <v>0</v>
          </cell>
          <cell r="AM46">
            <v>0</v>
          </cell>
          <cell r="AN46">
            <v>0</v>
          </cell>
          <cell r="AO46">
            <v>0</v>
          </cell>
          <cell r="AP46">
            <v>0</v>
          </cell>
          <cell r="AQ46">
            <v>0</v>
          </cell>
          <cell r="AR46">
            <v>0</v>
          </cell>
          <cell r="AS46">
            <v>0</v>
          </cell>
          <cell r="AT46">
            <v>0</v>
          </cell>
          <cell r="AU46">
            <v>0</v>
          </cell>
          <cell r="AV46">
            <v>0</v>
          </cell>
          <cell r="AW46">
            <v>0</v>
          </cell>
          <cell r="AX46">
            <v>0</v>
          </cell>
          <cell r="AY46">
            <v>0</v>
          </cell>
          <cell r="AZ46">
            <v>0</v>
          </cell>
          <cell r="BA46">
            <v>1</v>
          </cell>
        </row>
        <row r="47">
          <cell r="C47" t="str">
            <v>ETGRNCC-I</v>
          </cell>
          <cell r="D47" t="str">
            <v>Gas Namibia</v>
          </cell>
          <cell r="E47" t="str">
            <v>PWRGRN</v>
          </cell>
          <cell r="F47">
            <v>0</v>
          </cell>
          <cell r="G47" t="str">
            <v>ELCC</v>
          </cell>
          <cell r="I47">
            <v>0.4572857142857143</v>
          </cell>
          <cell r="J47">
            <v>1</v>
          </cell>
          <cell r="K47">
            <v>0.88800000000000001</v>
          </cell>
          <cell r="L47">
            <v>0.95399999999999996</v>
          </cell>
          <cell r="M47">
            <v>30</v>
          </cell>
          <cell r="N47">
            <v>3</v>
          </cell>
          <cell r="O47">
            <v>3.5555555555555558</v>
          </cell>
          <cell r="P47">
            <v>0</v>
          </cell>
          <cell r="Q47">
            <v>302.34150345033959</v>
          </cell>
          <cell r="R47">
            <v>0</v>
          </cell>
          <cell r="S47">
            <v>2019</v>
          </cell>
          <cell r="T47">
            <v>0.23699999999999999</v>
          </cell>
          <cell r="U47">
            <v>0</v>
          </cell>
          <cell r="V47">
            <v>0</v>
          </cell>
          <cell r="W47">
            <v>5780</v>
          </cell>
          <cell r="X47">
            <v>5780</v>
          </cell>
          <cell r="Y47">
            <v>5780</v>
          </cell>
          <cell r="Z47">
            <v>5780</v>
          </cell>
          <cell r="AA47">
            <v>5780</v>
          </cell>
          <cell r="AB47">
            <v>5780</v>
          </cell>
          <cell r="AC47">
            <v>5780</v>
          </cell>
          <cell r="AD47">
            <v>5780</v>
          </cell>
          <cell r="AE47">
            <v>5780</v>
          </cell>
          <cell r="AF47">
            <v>5780</v>
          </cell>
          <cell r="AG47">
            <v>0</v>
          </cell>
          <cell r="AH47">
            <v>0</v>
          </cell>
          <cell r="AI47">
            <v>0</v>
          </cell>
          <cell r="AJ47">
            <v>0</v>
          </cell>
          <cell r="AK47">
            <v>0.71099999999999997</v>
          </cell>
          <cell r="AL47">
            <v>0</v>
          </cell>
          <cell r="AM47">
            <v>0</v>
          </cell>
          <cell r="AN47">
            <v>0</v>
          </cell>
          <cell r="AO47">
            <v>0</v>
          </cell>
          <cell r="AP47">
            <v>0</v>
          </cell>
          <cell r="AQ47">
            <v>0</v>
          </cell>
          <cell r="AR47">
            <v>0</v>
          </cell>
          <cell r="AS47">
            <v>0</v>
          </cell>
          <cell r="AT47">
            <v>0</v>
          </cell>
          <cell r="AU47">
            <v>0</v>
          </cell>
          <cell r="AV47">
            <v>0</v>
          </cell>
          <cell r="AW47">
            <v>0</v>
          </cell>
          <cell r="AX47">
            <v>0</v>
          </cell>
          <cell r="AY47">
            <v>0</v>
          </cell>
          <cell r="AZ47">
            <v>0</v>
          </cell>
          <cell r="BA47">
            <v>35</v>
          </cell>
        </row>
        <row r="48">
          <cell r="C48" t="str">
            <v>ETNUC-N</v>
          </cell>
          <cell r="D48" t="str">
            <v>Nuclear</v>
          </cell>
          <cell r="E48" t="str">
            <v>PWRNUC</v>
          </cell>
          <cell r="F48">
            <v>0</v>
          </cell>
          <cell r="G48" t="str">
            <v>ELCC</v>
          </cell>
          <cell r="I48">
            <v>0.33457249070631973</v>
          </cell>
          <cell r="J48">
            <v>1</v>
          </cell>
          <cell r="K48">
            <v>0.9</v>
          </cell>
          <cell r="L48">
            <v>0.98</v>
          </cell>
          <cell r="M48">
            <v>60</v>
          </cell>
          <cell r="N48">
            <v>7</v>
          </cell>
          <cell r="O48">
            <v>0</v>
          </cell>
          <cell r="P48">
            <v>277.77777777777777</v>
          </cell>
          <cell r="Q48">
            <v>480.14440433212991</v>
          </cell>
          <cell r="R48">
            <v>7.3957079823505811</v>
          </cell>
          <cell r="S48">
            <v>2025</v>
          </cell>
          <cell r="T48">
            <v>1.6</v>
          </cell>
          <cell r="U48">
            <v>0</v>
          </cell>
          <cell r="V48">
            <v>0</v>
          </cell>
          <cell r="W48">
            <v>39784.590544161372</v>
          </cell>
          <cell r="X48">
            <v>39720.216606498194</v>
          </cell>
          <cell r="Y48">
            <v>39662.946857281713</v>
          </cell>
          <cell r="Z48">
            <v>39596.66046069203</v>
          </cell>
          <cell r="AA48">
            <v>39501.103899325768</v>
          </cell>
          <cell r="AB48">
            <v>39442.603183837287</v>
          </cell>
          <cell r="AC48">
            <v>39185.781477960634</v>
          </cell>
          <cell r="AD48">
            <v>38896.757621388402</v>
          </cell>
          <cell r="AE48">
            <v>38609.971329200402</v>
          </cell>
          <cell r="AF48">
            <v>38467.398423075203</v>
          </cell>
          <cell r="AG48">
            <v>1.6</v>
          </cell>
          <cell r="AH48">
            <v>0</v>
          </cell>
          <cell r="AI48">
            <v>3.2</v>
          </cell>
          <cell r="AJ48">
            <v>0</v>
          </cell>
          <cell r="AK48">
            <v>0</v>
          </cell>
          <cell r="AL48">
            <v>0</v>
          </cell>
          <cell r="AM48">
            <v>9.6000000000000014</v>
          </cell>
          <cell r="AN48">
            <v>50</v>
          </cell>
          <cell r="AO48">
            <v>0</v>
          </cell>
          <cell r="AP48">
            <v>0</v>
          </cell>
          <cell r="AQ48">
            <v>0</v>
          </cell>
          <cell r="AR48">
            <v>0</v>
          </cell>
          <cell r="AS48">
            <v>0</v>
          </cell>
          <cell r="AT48">
            <v>0</v>
          </cell>
          <cell r="AU48">
            <v>0</v>
          </cell>
          <cell r="AV48">
            <v>0</v>
          </cell>
          <cell r="AW48">
            <v>0</v>
          </cell>
          <cell r="AX48">
            <v>0</v>
          </cell>
          <cell r="AY48">
            <v>0</v>
          </cell>
          <cell r="AZ48">
            <v>0</v>
          </cell>
          <cell r="BA48">
            <v>7</v>
          </cell>
        </row>
        <row r="49">
          <cell r="C49" t="str">
            <v>ERHYDH-I</v>
          </cell>
          <cell r="D49" t="str">
            <v>Hydro</v>
          </cell>
          <cell r="E49" t="str">
            <v>PWRHYD</v>
          </cell>
          <cell r="F49">
            <v>0</v>
          </cell>
          <cell r="G49" t="str">
            <v>ELCC</v>
          </cell>
          <cell r="I49">
            <v>1</v>
          </cell>
          <cell r="J49">
            <v>1</v>
          </cell>
          <cell r="K49">
            <v>0.38</v>
          </cell>
          <cell r="L49">
            <v>0.95</v>
          </cell>
          <cell r="M49">
            <v>60</v>
          </cell>
          <cell r="N49">
            <v>7</v>
          </cell>
          <cell r="O49">
            <v>0</v>
          </cell>
          <cell r="P49">
            <v>0</v>
          </cell>
          <cell r="Q49">
            <v>69.8</v>
          </cell>
          <cell r="R49">
            <v>3.3611111111111107</v>
          </cell>
          <cell r="S49">
            <v>2023</v>
          </cell>
          <cell r="T49">
            <v>0.3</v>
          </cell>
          <cell r="U49">
            <v>0</v>
          </cell>
          <cell r="V49">
            <v>0</v>
          </cell>
          <cell r="W49">
            <v>7526.2635379061367</v>
          </cell>
          <cell r="X49">
            <v>7526.2635379061367</v>
          </cell>
          <cell r="Y49">
            <v>7526.2635379061367</v>
          </cell>
          <cell r="Z49">
            <v>7526.2635379061367</v>
          </cell>
          <cell r="AA49">
            <v>7526.2635379061367</v>
          </cell>
          <cell r="AB49">
            <v>7526.2635379061367</v>
          </cell>
          <cell r="AC49">
            <v>7526.2635379061367</v>
          </cell>
          <cell r="AD49">
            <v>7526.2635379061367</v>
          </cell>
          <cell r="AE49">
            <v>7526.2635379061367</v>
          </cell>
          <cell r="AF49">
            <v>7526.2635379061367</v>
          </cell>
          <cell r="AG49">
            <v>0</v>
          </cell>
          <cell r="AH49">
            <v>0</v>
          </cell>
          <cell r="AI49">
            <v>0</v>
          </cell>
          <cell r="AJ49">
            <v>0</v>
          </cell>
          <cell r="AK49">
            <v>0.85</v>
          </cell>
          <cell r="AL49">
            <v>0</v>
          </cell>
          <cell r="AM49">
            <v>0</v>
          </cell>
          <cell r="AN49">
            <v>0</v>
          </cell>
          <cell r="AO49">
            <v>0</v>
          </cell>
          <cell r="AP49">
            <v>0</v>
          </cell>
          <cell r="AQ49">
            <v>0</v>
          </cell>
          <cell r="AR49">
            <v>0</v>
          </cell>
          <cell r="AS49">
            <v>0</v>
          </cell>
          <cell r="AT49">
            <v>0</v>
          </cell>
          <cell r="AU49">
            <v>0</v>
          </cell>
          <cell r="AV49">
            <v>0</v>
          </cell>
          <cell r="AW49">
            <v>0</v>
          </cell>
          <cell r="AX49">
            <v>0</v>
          </cell>
          <cell r="AY49">
            <v>0</v>
          </cell>
          <cell r="AZ49">
            <v>0</v>
          </cell>
          <cell r="BA49">
            <v>28</v>
          </cell>
        </row>
        <row r="50">
          <cell r="C50" t="str">
            <v>ERHYDI-I</v>
          </cell>
          <cell r="D50" t="str">
            <v>Hydro</v>
          </cell>
          <cell r="E50" t="str">
            <v>PWRHYD</v>
          </cell>
          <cell r="F50">
            <v>0</v>
          </cell>
          <cell r="G50" t="str">
            <v>ELCC</v>
          </cell>
          <cell r="I50">
            <v>1</v>
          </cell>
          <cell r="J50">
            <v>1</v>
          </cell>
          <cell r="K50">
            <v>0.46</v>
          </cell>
          <cell r="L50">
            <v>0.95</v>
          </cell>
          <cell r="M50">
            <v>60</v>
          </cell>
          <cell r="N50">
            <v>6</v>
          </cell>
          <cell r="O50">
            <v>0</v>
          </cell>
          <cell r="P50">
            <v>0</v>
          </cell>
          <cell r="Q50">
            <v>69.8</v>
          </cell>
          <cell r="R50">
            <v>3.3611111111111107</v>
          </cell>
          <cell r="S50">
            <v>2022</v>
          </cell>
          <cell r="T50">
            <v>0.3</v>
          </cell>
          <cell r="U50">
            <v>0</v>
          </cell>
          <cell r="V50">
            <v>0</v>
          </cell>
          <cell r="W50">
            <v>5558.6642599277975</v>
          </cell>
          <cell r="X50">
            <v>5558.6642599277975</v>
          </cell>
          <cell r="Y50">
            <v>5558.6642599277975</v>
          </cell>
          <cell r="Z50">
            <v>5558.6642599277975</v>
          </cell>
          <cell r="AA50">
            <v>5558.6642599277975</v>
          </cell>
          <cell r="AB50">
            <v>5558.6642599277975</v>
          </cell>
          <cell r="AC50">
            <v>5558.6642599277975</v>
          </cell>
          <cell r="AD50">
            <v>5558.6642599277975</v>
          </cell>
          <cell r="AE50">
            <v>5558.6642599277975</v>
          </cell>
          <cell r="AF50">
            <v>5558.6642599277975</v>
          </cell>
          <cell r="AG50">
            <v>0</v>
          </cell>
          <cell r="AH50">
            <v>0</v>
          </cell>
          <cell r="AI50">
            <v>0</v>
          </cell>
          <cell r="AJ50">
            <v>0</v>
          </cell>
          <cell r="AK50">
            <v>0.12</v>
          </cell>
          <cell r="AL50">
            <v>0</v>
          </cell>
          <cell r="AM50">
            <v>0</v>
          </cell>
          <cell r="AN50">
            <v>0</v>
          </cell>
          <cell r="AO50">
            <v>0</v>
          </cell>
          <cell r="AP50">
            <v>0</v>
          </cell>
          <cell r="AQ50">
            <v>0</v>
          </cell>
          <cell r="AR50">
            <v>0</v>
          </cell>
          <cell r="AS50">
            <v>0</v>
          </cell>
          <cell r="AT50">
            <v>0</v>
          </cell>
          <cell r="AU50">
            <v>0</v>
          </cell>
          <cell r="AV50">
            <v>0</v>
          </cell>
          <cell r="AW50">
            <v>0</v>
          </cell>
          <cell r="AX50">
            <v>0</v>
          </cell>
          <cell r="AY50">
            <v>0</v>
          </cell>
          <cell r="AZ50">
            <v>0</v>
          </cell>
          <cell r="BA50">
            <v>33</v>
          </cell>
        </row>
        <row r="51">
          <cell r="C51" t="str">
            <v>ERHYDF-I</v>
          </cell>
          <cell r="D51" t="str">
            <v>Hydro</v>
          </cell>
          <cell r="E51" t="str">
            <v>PWRHYD</v>
          </cell>
          <cell r="F51">
            <v>0</v>
          </cell>
          <cell r="G51" t="str">
            <v>ELCC</v>
          </cell>
          <cell r="I51">
            <v>1</v>
          </cell>
          <cell r="J51">
            <v>1</v>
          </cell>
          <cell r="K51">
            <v>0.64</v>
          </cell>
          <cell r="L51">
            <v>0.95</v>
          </cell>
          <cell r="M51">
            <v>60</v>
          </cell>
          <cell r="N51">
            <v>3</v>
          </cell>
          <cell r="O51">
            <v>0</v>
          </cell>
          <cell r="P51">
            <v>0</v>
          </cell>
          <cell r="Q51">
            <v>69.8</v>
          </cell>
          <cell r="R51">
            <v>3.3611111111111107</v>
          </cell>
          <cell r="S51">
            <v>2020</v>
          </cell>
          <cell r="T51">
            <v>0.3</v>
          </cell>
          <cell r="U51">
            <v>0</v>
          </cell>
          <cell r="V51">
            <v>0</v>
          </cell>
          <cell r="W51">
            <v>9182.3104693140795</v>
          </cell>
          <cell r="X51">
            <v>9182.3104693140795</v>
          </cell>
          <cell r="Y51">
            <v>9182.3104693140795</v>
          </cell>
          <cell r="Z51">
            <v>9182.3104693140795</v>
          </cell>
          <cell r="AA51">
            <v>9182.3104693140795</v>
          </cell>
          <cell r="AB51">
            <v>9182.3104693140795</v>
          </cell>
          <cell r="AC51">
            <v>9182.3104693140795</v>
          </cell>
          <cell r="AD51">
            <v>9182.3104693140795</v>
          </cell>
          <cell r="AE51">
            <v>9182.3104693140795</v>
          </cell>
          <cell r="AF51">
            <v>9182.3104693140795</v>
          </cell>
          <cell r="AG51">
            <v>0</v>
          </cell>
          <cell r="AH51">
            <v>0</v>
          </cell>
          <cell r="AI51">
            <v>0</v>
          </cell>
          <cell r="AJ51">
            <v>0</v>
          </cell>
          <cell r="AK51">
            <v>0.75</v>
          </cell>
          <cell r="AL51">
            <v>0</v>
          </cell>
          <cell r="AM51">
            <v>0</v>
          </cell>
          <cell r="AN51">
            <v>0</v>
          </cell>
          <cell r="AO51">
            <v>0</v>
          </cell>
          <cell r="AP51">
            <v>0</v>
          </cell>
          <cell r="AQ51">
            <v>0</v>
          </cell>
          <cell r="AR51">
            <v>0</v>
          </cell>
          <cell r="AS51">
            <v>0</v>
          </cell>
          <cell r="AT51">
            <v>0</v>
          </cell>
          <cell r="AU51">
            <v>0</v>
          </cell>
          <cell r="AV51">
            <v>0</v>
          </cell>
          <cell r="AW51">
            <v>0</v>
          </cell>
          <cell r="AX51">
            <v>0</v>
          </cell>
          <cell r="AY51">
            <v>0</v>
          </cell>
          <cell r="AZ51">
            <v>0</v>
          </cell>
          <cell r="BA51">
            <v>32</v>
          </cell>
        </row>
        <row r="52">
          <cell r="C52" t="str">
            <v>ERHYDK-I</v>
          </cell>
          <cell r="D52" t="str">
            <v>Hydro</v>
          </cell>
          <cell r="E52" t="str">
            <v>PWRHYD</v>
          </cell>
          <cell r="F52">
            <v>0</v>
          </cell>
          <cell r="G52" t="str">
            <v>ELCC</v>
          </cell>
          <cell r="I52">
            <v>1</v>
          </cell>
          <cell r="J52">
            <v>1</v>
          </cell>
          <cell r="K52">
            <v>0.38</v>
          </cell>
          <cell r="L52">
            <v>0.95</v>
          </cell>
          <cell r="M52">
            <v>60</v>
          </cell>
          <cell r="N52">
            <v>3</v>
          </cell>
          <cell r="O52">
            <v>0</v>
          </cell>
          <cell r="P52">
            <v>0</v>
          </cell>
          <cell r="Q52">
            <v>69.8</v>
          </cell>
          <cell r="R52">
            <v>3.3611111111111107</v>
          </cell>
          <cell r="S52">
            <v>2023</v>
          </cell>
          <cell r="T52">
            <v>0.3</v>
          </cell>
          <cell r="U52">
            <v>0</v>
          </cell>
          <cell r="V52">
            <v>0</v>
          </cell>
          <cell r="W52">
            <v>4007.2202166064981</v>
          </cell>
          <cell r="X52">
            <v>4007.2202166064981</v>
          </cell>
          <cell r="Y52">
            <v>4007.2202166064981</v>
          </cell>
          <cell r="Z52">
            <v>4007.2202166064981</v>
          </cell>
          <cell r="AA52">
            <v>4007.2202166064981</v>
          </cell>
          <cell r="AB52">
            <v>4007.2202166064981</v>
          </cell>
          <cell r="AC52">
            <v>4007.2202166064981</v>
          </cell>
          <cell r="AD52">
            <v>4007.2202166064981</v>
          </cell>
          <cell r="AE52">
            <v>4007.2202166064981</v>
          </cell>
          <cell r="AF52">
            <v>4007.2202166064981</v>
          </cell>
          <cell r="AG52">
            <v>0</v>
          </cell>
          <cell r="AH52">
            <v>0</v>
          </cell>
          <cell r="AI52">
            <v>0</v>
          </cell>
          <cell r="AJ52">
            <v>0</v>
          </cell>
          <cell r="AK52">
            <v>0.36</v>
          </cell>
          <cell r="AL52">
            <v>0</v>
          </cell>
          <cell r="AM52">
            <v>0</v>
          </cell>
          <cell r="AN52">
            <v>0</v>
          </cell>
          <cell r="AO52">
            <v>0</v>
          </cell>
          <cell r="AP52">
            <v>0</v>
          </cell>
          <cell r="AQ52">
            <v>0</v>
          </cell>
          <cell r="AR52">
            <v>0</v>
          </cell>
          <cell r="AS52">
            <v>0</v>
          </cell>
          <cell r="AT52">
            <v>0</v>
          </cell>
          <cell r="AU52">
            <v>0</v>
          </cell>
          <cell r="AV52">
            <v>0</v>
          </cell>
          <cell r="AW52">
            <v>0</v>
          </cell>
          <cell r="AX52">
            <v>0</v>
          </cell>
          <cell r="AY52">
            <v>0</v>
          </cell>
          <cell r="AZ52">
            <v>0</v>
          </cell>
          <cell r="BA52">
            <v>34</v>
          </cell>
        </row>
        <row r="53">
          <cell r="C53" t="str">
            <v>ERHYDM-I</v>
          </cell>
          <cell r="D53" t="str">
            <v>Hydro</v>
          </cell>
          <cell r="E53" t="str">
            <v>PWRHYD</v>
          </cell>
          <cell r="F53">
            <v>0</v>
          </cell>
          <cell r="G53" t="str">
            <v>ELCC</v>
          </cell>
          <cell r="I53">
            <v>1</v>
          </cell>
          <cell r="J53">
            <v>1</v>
          </cell>
          <cell r="K53">
            <v>0.66700000000000004</v>
          </cell>
          <cell r="L53">
            <v>0.96</v>
          </cell>
          <cell r="M53">
            <v>60</v>
          </cell>
          <cell r="N53">
            <v>7</v>
          </cell>
          <cell r="O53">
            <v>0</v>
          </cell>
          <cell r="P53">
            <v>0</v>
          </cell>
          <cell r="Q53">
            <v>344</v>
          </cell>
          <cell r="R53">
            <v>0</v>
          </cell>
          <cell r="S53">
            <v>2023</v>
          </cell>
          <cell r="T53">
            <v>0.3</v>
          </cell>
          <cell r="U53">
            <v>0</v>
          </cell>
          <cell r="V53">
            <v>0</v>
          </cell>
          <cell r="W53">
            <v>16096.001805054149</v>
          </cell>
          <cell r="X53">
            <v>16096.001805054149</v>
          </cell>
          <cell r="Y53">
            <v>16096.001805054149</v>
          </cell>
          <cell r="Z53">
            <v>16096.001805054149</v>
          </cell>
          <cell r="AA53">
            <v>16096.001805054149</v>
          </cell>
          <cell r="AB53">
            <v>16096.001805054149</v>
          </cell>
          <cell r="AC53">
            <v>16096.001805054149</v>
          </cell>
          <cell r="AD53">
            <v>16096.001805054149</v>
          </cell>
          <cell r="AE53">
            <v>16096.001805054149</v>
          </cell>
          <cell r="AF53">
            <v>16096.001805054149</v>
          </cell>
          <cell r="AG53">
            <v>0</v>
          </cell>
          <cell r="AH53">
            <v>0</v>
          </cell>
          <cell r="AI53">
            <v>0</v>
          </cell>
          <cell r="AJ53">
            <v>0</v>
          </cell>
          <cell r="AK53">
            <v>1.125</v>
          </cell>
          <cell r="AL53">
            <v>0</v>
          </cell>
          <cell r="AM53">
            <v>0</v>
          </cell>
          <cell r="AN53">
            <v>0</v>
          </cell>
          <cell r="AO53">
            <v>0</v>
          </cell>
          <cell r="AP53">
            <v>0</v>
          </cell>
          <cell r="AQ53">
            <v>0</v>
          </cell>
          <cell r="AR53">
            <v>0</v>
          </cell>
          <cell r="AS53">
            <v>0</v>
          </cell>
          <cell r="AT53">
            <v>0</v>
          </cell>
          <cell r="AU53">
            <v>0</v>
          </cell>
          <cell r="AV53">
            <v>0</v>
          </cell>
          <cell r="AW53">
            <v>0</v>
          </cell>
          <cell r="AX53">
            <v>0</v>
          </cell>
          <cell r="AY53">
            <v>0</v>
          </cell>
          <cell r="AZ53">
            <v>0</v>
          </cell>
          <cell r="BA53">
            <v>27</v>
          </cell>
        </row>
        <row r="54">
          <cell r="C54" t="str">
            <v>ERHYDB-I</v>
          </cell>
          <cell r="D54" t="str">
            <v>Hydro</v>
          </cell>
          <cell r="E54" t="str">
            <v>PWRHYD</v>
          </cell>
          <cell r="F54">
            <v>0</v>
          </cell>
          <cell r="G54" t="str">
            <v>ELCC</v>
          </cell>
          <cell r="I54">
            <v>1</v>
          </cell>
          <cell r="J54">
            <v>1</v>
          </cell>
          <cell r="K54">
            <v>0.42</v>
          </cell>
          <cell r="L54">
            <v>0.95</v>
          </cell>
          <cell r="M54">
            <v>60</v>
          </cell>
          <cell r="N54">
            <v>3</v>
          </cell>
          <cell r="O54">
            <v>0</v>
          </cell>
          <cell r="P54">
            <v>0</v>
          </cell>
          <cell r="Q54">
            <v>69.8</v>
          </cell>
          <cell r="R54">
            <v>3.3611111111111107</v>
          </cell>
          <cell r="S54">
            <v>2018</v>
          </cell>
          <cell r="T54">
            <v>0.3</v>
          </cell>
          <cell r="U54">
            <v>0</v>
          </cell>
          <cell r="V54">
            <v>0</v>
          </cell>
          <cell r="W54">
            <v>13079.422382671479</v>
          </cell>
          <cell r="X54">
            <v>13079.422382671479</v>
          </cell>
          <cell r="Y54">
            <v>13079.422382671479</v>
          </cell>
          <cell r="Z54">
            <v>13079.422382671479</v>
          </cell>
          <cell r="AA54">
            <v>13079.422382671479</v>
          </cell>
          <cell r="AB54">
            <v>13079.422382671479</v>
          </cell>
          <cell r="AC54">
            <v>13079.422382671479</v>
          </cell>
          <cell r="AD54">
            <v>13079.422382671479</v>
          </cell>
          <cell r="AE54">
            <v>13079.422382671479</v>
          </cell>
          <cell r="AF54">
            <v>13079.422382671479</v>
          </cell>
          <cell r="AG54">
            <v>0</v>
          </cell>
          <cell r="AH54">
            <v>0</v>
          </cell>
          <cell r="AI54">
            <v>0</v>
          </cell>
          <cell r="AJ54">
            <v>0</v>
          </cell>
          <cell r="AK54">
            <v>0.16</v>
          </cell>
          <cell r="AL54">
            <v>0</v>
          </cell>
          <cell r="AM54">
            <v>0</v>
          </cell>
          <cell r="AN54">
            <v>0</v>
          </cell>
          <cell r="AO54">
            <v>0</v>
          </cell>
          <cell r="AP54">
            <v>0</v>
          </cell>
          <cell r="AQ54">
            <v>0</v>
          </cell>
          <cell r="AR54">
            <v>0</v>
          </cell>
          <cell r="AS54">
            <v>0</v>
          </cell>
          <cell r="AT54">
            <v>0</v>
          </cell>
          <cell r="AU54">
            <v>0</v>
          </cell>
          <cell r="AV54">
            <v>0</v>
          </cell>
          <cell r="AW54">
            <v>0</v>
          </cell>
          <cell r="AX54">
            <v>0</v>
          </cell>
          <cell r="AY54">
            <v>0</v>
          </cell>
          <cell r="AZ54">
            <v>0</v>
          </cell>
          <cell r="BA54">
            <v>30</v>
          </cell>
        </row>
        <row r="55">
          <cell r="C55" t="str">
            <v>ERHYD-N</v>
          </cell>
          <cell r="D55" t="str">
            <v>Hydro</v>
          </cell>
          <cell r="E55" t="str">
            <v>PWRHYD</v>
          </cell>
          <cell r="F55">
            <v>0</v>
          </cell>
          <cell r="G55" t="str">
            <v>ELCC</v>
          </cell>
          <cell r="I55">
            <v>1</v>
          </cell>
          <cell r="J55">
            <v>1</v>
          </cell>
          <cell r="K55">
            <v>0.5</v>
          </cell>
          <cell r="L55">
            <v>0.93399999999999994</v>
          </cell>
          <cell r="M55">
            <v>50</v>
          </cell>
          <cell r="N55">
            <v>3</v>
          </cell>
          <cell r="O55">
            <v>0</v>
          </cell>
          <cell r="P55">
            <v>0</v>
          </cell>
          <cell r="Q55">
            <v>130.27000000000001</v>
          </cell>
          <cell r="R55">
            <v>0</v>
          </cell>
          <cell r="S55">
            <v>2012</v>
          </cell>
          <cell r="T55">
            <v>5.0000000000000001E-3</v>
          </cell>
          <cell r="U55">
            <v>0</v>
          </cell>
          <cell r="V55">
            <v>0</v>
          </cell>
          <cell r="W55">
            <v>20000</v>
          </cell>
          <cell r="X55">
            <v>20000</v>
          </cell>
          <cell r="Y55">
            <v>20000</v>
          </cell>
          <cell r="Z55">
            <v>20000</v>
          </cell>
          <cell r="AA55">
            <v>20000</v>
          </cell>
          <cell r="AB55">
            <v>20000</v>
          </cell>
          <cell r="AC55">
            <v>20000</v>
          </cell>
          <cell r="AD55">
            <v>20000</v>
          </cell>
          <cell r="AE55">
            <v>20000</v>
          </cell>
          <cell r="AF55">
            <v>20000</v>
          </cell>
          <cell r="AG55">
            <v>0</v>
          </cell>
          <cell r="AH55">
            <v>0</v>
          </cell>
          <cell r="AI55">
            <v>0</v>
          </cell>
          <cell r="AJ55">
            <v>0</v>
          </cell>
          <cell r="AK55">
            <v>0.5</v>
          </cell>
          <cell r="AL55">
            <v>0</v>
          </cell>
          <cell r="AM55">
            <v>0</v>
          </cell>
          <cell r="AN55">
            <v>0</v>
          </cell>
          <cell r="AO55">
            <v>0</v>
          </cell>
          <cell r="AP55">
            <v>0</v>
          </cell>
          <cell r="AQ55">
            <v>0</v>
          </cell>
          <cell r="AR55">
            <v>0</v>
          </cell>
          <cell r="AS55">
            <v>1.43E-2</v>
          </cell>
          <cell r="AT55">
            <v>6.0699999999999997E-2</v>
          </cell>
          <cell r="AU55">
            <v>0</v>
          </cell>
          <cell r="AV55">
            <v>0</v>
          </cell>
          <cell r="AW55">
            <v>0</v>
          </cell>
          <cell r="AX55">
            <v>0</v>
          </cell>
          <cell r="AY55">
            <v>0</v>
          </cell>
          <cell r="AZ55">
            <v>0</v>
          </cell>
          <cell r="BA55">
            <v>26</v>
          </cell>
        </row>
        <row r="56">
          <cell r="C56" t="str">
            <v>ERBIO-N</v>
          </cell>
          <cell r="D56" t="str">
            <v>Biomass Other</v>
          </cell>
          <cell r="E56" t="str">
            <v>PWRBIO</v>
          </cell>
          <cell r="F56">
            <v>0</v>
          </cell>
          <cell r="G56" t="str">
            <v>COMELC</v>
          </cell>
          <cell r="I56">
            <v>0.19400000000000001</v>
          </cell>
          <cell r="J56">
            <v>1</v>
          </cell>
          <cell r="K56">
            <v>0.85</v>
          </cell>
          <cell r="L56">
            <v>0.94</v>
          </cell>
          <cell r="M56">
            <v>30</v>
          </cell>
          <cell r="N56">
            <v>2</v>
          </cell>
          <cell r="O56">
            <v>55.555555555555557</v>
          </cell>
          <cell r="P56">
            <v>0</v>
          </cell>
          <cell r="Q56">
            <v>2579</v>
          </cell>
          <cell r="R56">
            <v>10.611111111111112</v>
          </cell>
          <cell r="S56">
            <v>2013</v>
          </cell>
          <cell r="T56">
            <v>0.01</v>
          </cell>
          <cell r="U56">
            <v>0</v>
          </cell>
          <cell r="V56">
            <v>0</v>
          </cell>
          <cell r="W56">
            <v>67235.559566786993</v>
          </cell>
          <cell r="X56">
            <v>65640.599431772163</v>
          </cell>
          <cell r="Y56">
            <v>64139.982613189379</v>
          </cell>
          <cell r="Z56">
            <v>63063.573328652412</v>
          </cell>
          <cell r="AA56">
            <v>62050.720427858374</v>
          </cell>
          <cell r="AB56">
            <v>61424.173364880808</v>
          </cell>
          <cell r="AC56">
            <v>60846.941071885667</v>
          </cell>
          <cell r="AD56">
            <v>60421.303195674351</v>
          </cell>
          <cell r="AE56">
            <v>59998.790580756686</v>
          </cell>
          <cell r="AF56">
            <v>59788.680321140208</v>
          </cell>
          <cell r="AG56">
            <v>0</v>
          </cell>
          <cell r="AH56">
            <v>0</v>
          </cell>
          <cell r="AI56">
            <v>0</v>
          </cell>
          <cell r="AJ56">
            <v>0</v>
          </cell>
          <cell r="AK56">
            <v>0.1</v>
          </cell>
          <cell r="AL56">
            <v>0.5</v>
          </cell>
          <cell r="AM56">
            <v>0</v>
          </cell>
          <cell r="AN56">
            <v>0</v>
          </cell>
          <cell r="AO56">
            <v>0</v>
          </cell>
          <cell r="AP56">
            <v>0</v>
          </cell>
          <cell r="AQ56">
            <v>0</v>
          </cell>
          <cell r="AR56">
            <v>0</v>
          </cell>
          <cell r="AS56">
            <v>0</v>
          </cell>
          <cell r="AT56">
            <v>0</v>
          </cell>
          <cell r="AU56">
            <v>0</v>
          </cell>
          <cell r="AV56">
            <v>0</v>
          </cell>
          <cell r="AW56">
            <v>0</v>
          </cell>
          <cell r="AX56">
            <v>0</v>
          </cell>
          <cell r="AY56">
            <v>0</v>
          </cell>
          <cell r="AZ56">
            <v>0</v>
          </cell>
          <cell r="BA56">
            <v>36</v>
          </cell>
        </row>
        <row r="57">
          <cell r="C57" t="str">
            <v>ERBIG-N</v>
          </cell>
          <cell r="D57" t="str">
            <v>Biogas</v>
          </cell>
          <cell r="E57" t="str">
            <v>PWRBIG</v>
          </cell>
          <cell r="F57">
            <v>0</v>
          </cell>
          <cell r="G57" t="str">
            <v>ELCC</v>
          </cell>
          <cell r="I57">
            <v>1</v>
          </cell>
          <cell r="J57">
            <v>1</v>
          </cell>
          <cell r="K57">
            <v>0.5</v>
          </cell>
          <cell r="L57">
            <v>0.96</v>
          </cell>
          <cell r="M57">
            <v>30</v>
          </cell>
          <cell r="N57">
            <v>1</v>
          </cell>
          <cell r="O57">
            <v>0</v>
          </cell>
          <cell r="P57">
            <v>0</v>
          </cell>
          <cell r="Q57">
            <v>953</v>
          </cell>
          <cell r="R57">
            <v>0</v>
          </cell>
          <cell r="S57">
            <v>2012</v>
          </cell>
          <cell r="T57">
            <v>0.01</v>
          </cell>
          <cell r="U57">
            <v>0</v>
          </cell>
          <cell r="V57">
            <v>0</v>
          </cell>
          <cell r="W57">
            <v>21076</v>
          </cell>
          <cell r="X57">
            <v>21076</v>
          </cell>
          <cell r="Y57">
            <v>21076</v>
          </cell>
          <cell r="Z57">
            <v>21076</v>
          </cell>
          <cell r="AA57">
            <v>21076</v>
          </cell>
          <cell r="AB57">
            <v>21076</v>
          </cell>
          <cell r="AC57">
            <v>21076</v>
          </cell>
          <cell r="AD57">
            <v>21076</v>
          </cell>
          <cell r="AE57">
            <v>21076</v>
          </cell>
          <cell r="AF57">
            <v>21076</v>
          </cell>
          <cell r="AG57">
            <v>0</v>
          </cell>
          <cell r="AH57">
            <v>0</v>
          </cell>
          <cell r="AI57">
            <v>0</v>
          </cell>
          <cell r="AJ57">
            <v>0</v>
          </cell>
          <cell r="AK57">
            <v>0.5</v>
          </cell>
          <cell r="AL57">
            <v>0</v>
          </cell>
          <cell r="AM57">
            <v>0</v>
          </cell>
          <cell r="AN57">
            <v>0</v>
          </cell>
          <cell r="AO57">
            <v>0</v>
          </cell>
          <cell r="AP57">
            <v>0</v>
          </cell>
          <cell r="AQ57">
            <v>7.4999999999999997E-3</v>
          </cell>
          <cell r="AR57">
            <v>0</v>
          </cell>
          <cell r="AS57">
            <v>0</v>
          </cell>
          <cell r="AT57">
            <v>0</v>
          </cell>
          <cell r="AU57">
            <v>0</v>
          </cell>
          <cell r="AV57">
            <v>0</v>
          </cell>
          <cell r="AW57">
            <v>0</v>
          </cell>
          <cell r="AX57">
            <v>0</v>
          </cell>
          <cell r="AY57">
            <v>0</v>
          </cell>
          <cell r="AZ57">
            <v>0</v>
          </cell>
          <cell r="BA57">
            <v>25</v>
          </cell>
        </row>
        <row r="58">
          <cell r="C58" t="str">
            <v>ERSOLTC03-N</v>
          </cell>
          <cell r="D58" t="str">
            <v>Solar</v>
          </cell>
          <cell r="E58" t="str">
            <v>PWRSOL</v>
          </cell>
          <cell r="F58">
            <v>0</v>
          </cell>
          <cell r="G58" t="str">
            <v>ELCC</v>
          </cell>
          <cell r="I58">
            <v>1</v>
          </cell>
          <cell r="J58">
            <v>1</v>
          </cell>
          <cell r="K58">
            <v>0.318</v>
          </cell>
          <cell r="L58">
            <v>0.96</v>
          </cell>
          <cell r="M58">
            <v>30</v>
          </cell>
          <cell r="N58">
            <v>3</v>
          </cell>
          <cell r="O58">
            <v>68.055555555555557</v>
          </cell>
          <cell r="P58">
            <v>0</v>
          </cell>
          <cell r="Q58">
            <v>489</v>
          </cell>
          <cell r="R58">
            <v>0</v>
          </cell>
          <cell r="S58">
            <v>2014</v>
          </cell>
          <cell r="T58">
            <v>0.05</v>
          </cell>
          <cell r="U58">
            <v>0</v>
          </cell>
          <cell r="V58">
            <v>0</v>
          </cell>
          <cell r="W58">
            <v>41028.930586956827</v>
          </cell>
          <cell r="X58">
            <v>33914.25992779783</v>
          </cell>
          <cell r="Y58">
            <v>29519.544323948336</v>
          </cell>
          <cell r="Z58">
            <v>25377.15596388622</v>
          </cell>
          <cell r="AA58">
            <v>23461.213200502891</v>
          </cell>
          <cell r="AB58">
            <v>22229.509101726144</v>
          </cell>
          <cell r="AC58">
            <v>20989.463976067302</v>
          </cell>
          <cell r="AD58">
            <v>20242.110222219708</v>
          </cell>
          <cell r="AE58">
            <v>18826.2863646228</v>
          </cell>
          <cell r="AF58">
            <v>17509.491569398062</v>
          </cell>
          <cell r="AG58">
            <v>0.5</v>
          </cell>
          <cell r="AH58">
            <v>1</v>
          </cell>
          <cell r="AI58">
            <v>3</v>
          </cell>
          <cell r="AJ58">
            <v>0</v>
          </cell>
          <cell r="AK58">
            <v>0</v>
          </cell>
          <cell r="AL58">
            <v>0</v>
          </cell>
          <cell r="AM58">
            <v>0</v>
          </cell>
          <cell r="AN58">
            <v>0</v>
          </cell>
          <cell r="AO58">
            <v>0</v>
          </cell>
          <cell r="AP58">
            <v>0</v>
          </cell>
          <cell r="AQ58">
            <v>0</v>
          </cell>
          <cell r="AR58">
            <v>0</v>
          </cell>
          <cell r="AS58">
            <v>0</v>
          </cell>
          <cell r="AT58">
            <v>0</v>
          </cell>
          <cell r="AU58">
            <v>0</v>
          </cell>
          <cell r="AV58">
            <v>0</v>
          </cell>
          <cell r="AW58">
            <v>0</v>
          </cell>
          <cell r="AX58">
            <v>0</v>
          </cell>
          <cell r="AY58">
            <v>0</v>
          </cell>
          <cell r="AZ58">
            <v>0</v>
          </cell>
          <cell r="BA58">
            <v>20</v>
          </cell>
        </row>
        <row r="59">
          <cell r="C59" t="str">
            <v>ERSOLTC06-N</v>
          </cell>
          <cell r="D59" t="str">
            <v>Solar</v>
          </cell>
          <cell r="E59" t="str">
            <v>PWRSOL</v>
          </cell>
          <cell r="F59">
            <v>0</v>
          </cell>
          <cell r="G59" t="str">
            <v>ELCC</v>
          </cell>
          <cell r="I59">
            <v>1</v>
          </cell>
          <cell r="J59">
            <v>1</v>
          </cell>
          <cell r="K59">
            <v>0.4</v>
          </cell>
          <cell r="L59">
            <v>0.96</v>
          </cell>
          <cell r="M59">
            <v>30</v>
          </cell>
          <cell r="N59">
            <v>3</v>
          </cell>
          <cell r="O59">
            <v>68.055555555555557</v>
          </cell>
          <cell r="P59">
            <v>0</v>
          </cell>
          <cell r="Q59">
            <v>546</v>
          </cell>
          <cell r="R59">
            <v>0</v>
          </cell>
          <cell r="S59">
            <v>2014</v>
          </cell>
          <cell r="T59">
            <v>0.05</v>
          </cell>
          <cell r="U59">
            <v>0</v>
          </cell>
          <cell r="V59">
            <v>0</v>
          </cell>
          <cell r="W59">
            <v>48987.518953466344</v>
          </cell>
          <cell r="X59">
            <v>40492.779783393496</v>
          </cell>
          <cell r="Y59">
            <v>35245.5990536303</v>
          </cell>
          <cell r="Z59">
            <v>30299.690754336934</v>
          </cell>
          <cell r="AA59">
            <v>28012.102920769688</v>
          </cell>
          <cell r="AB59">
            <v>26541.478972723875</v>
          </cell>
          <cell r="AC59">
            <v>25060.896046790203</v>
          </cell>
          <cell r="AD59">
            <v>24168.574320198772</v>
          </cell>
          <cell r="AE59">
            <v>22478.115976133442</v>
          </cell>
          <cell r="AF59">
            <v>20905.895860569322</v>
          </cell>
          <cell r="AG59">
            <v>0.5</v>
          </cell>
          <cell r="AH59">
            <v>1</v>
          </cell>
          <cell r="AI59">
            <v>3</v>
          </cell>
          <cell r="AJ59">
            <v>0</v>
          </cell>
          <cell r="AK59">
            <v>0</v>
          </cell>
          <cell r="AL59">
            <v>0</v>
          </cell>
          <cell r="AM59">
            <v>0</v>
          </cell>
          <cell r="AN59">
            <v>0</v>
          </cell>
          <cell r="AO59">
            <v>0</v>
          </cell>
          <cell r="AP59">
            <v>0</v>
          </cell>
          <cell r="AQ59">
            <v>0</v>
          </cell>
          <cell r="AR59">
            <v>0</v>
          </cell>
          <cell r="AS59">
            <v>0</v>
          </cell>
          <cell r="AT59">
            <v>0.05</v>
          </cell>
          <cell r="AU59">
            <v>0</v>
          </cell>
          <cell r="AV59">
            <v>0</v>
          </cell>
          <cell r="AW59">
            <v>0</v>
          </cell>
          <cell r="AX59">
            <v>0</v>
          </cell>
          <cell r="AY59">
            <v>0</v>
          </cell>
          <cell r="AZ59">
            <v>0</v>
          </cell>
          <cell r="BA59">
            <v>21</v>
          </cell>
        </row>
        <row r="60">
          <cell r="C60" t="str">
            <v>ERSOLTC09-N</v>
          </cell>
          <cell r="D60" t="str">
            <v>Solar</v>
          </cell>
          <cell r="E60" t="str">
            <v>PWRSOL</v>
          </cell>
          <cell r="F60">
            <v>0</v>
          </cell>
          <cell r="G60" t="str">
            <v>ELCC</v>
          </cell>
          <cell r="I60">
            <v>1</v>
          </cell>
          <cell r="J60">
            <v>1</v>
          </cell>
          <cell r="K60">
            <v>0.46799999999999997</v>
          </cell>
          <cell r="L60">
            <v>0.96</v>
          </cell>
          <cell r="M60">
            <v>30</v>
          </cell>
          <cell r="N60">
            <v>3</v>
          </cell>
          <cell r="O60">
            <v>68.055555555555557</v>
          </cell>
          <cell r="P60">
            <v>0</v>
          </cell>
          <cell r="Q60">
            <v>603</v>
          </cell>
          <cell r="R60">
            <v>0</v>
          </cell>
          <cell r="S60">
            <v>2014</v>
          </cell>
          <cell r="T60">
            <v>0.05</v>
          </cell>
          <cell r="U60">
            <v>0</v>
          </cell>
          <cell r="V60">
            <v>0</v>
          </cell>
          <cell r="W60">
            <v>56344.490885630046</v>
          </cell>
          <cell r="X60">
            <v>46574.007220216605</v>
          </cell>
          <cell r="Y60">
            <v>40538.802067568729</v>
          </cell>
          <cell r="Z60">
            <v>34850.114600962945</v>
          </cell>
          <cell r="AA60">
            <v>32218.975596741391</v>
          </cell>
          <cell r="AB60">
            <v>30527.492553569362</v>
          </cell>
          <cell r="AC60">
            <v>28824.554887856324</v>
          </cell>
          <cell r="AD60">
            <v>27798.223804652469</v>
          </cell>
          <cell r="AE60">
            <v>25853.891517683554</v>
          </cell>
          <cell r="AF60">
            <v>24045.554539937137</v>
          </cell>
          <cell r="AG60">
            <v>0.5</v>
          </cell>
          <cell r="AH60">
            <v>1</v>
          </cell>
          <cell r="AI60">
            <v>3</v>
          </cell>
          <cell r="AJ60">
            <v>0</v>
          </cell>
          <cell r="AK60">
            <v>0</v>
          </cell>
          <cell r="AL60">
            <v>0</v>
          </cell>
          <cell r="AM60">
            <v>0</v>
          </cell>
          <cell r="AN60">
            <v>0</v>
          </cell>
          <cell r="AO60">
            <v>0</v>
          </cell>
          <cell r="AP60">
            <v>0</v>
          </cell>
          <cell r="AQ60">
            <v>0</v>
          </cell>
          <cell r="AR60">
            <v>0</v>
          </cell>
          <cell r="AS60">
            <v>0</v>
          </cell>
          <cell r="AT60">
            <v>0</v>
          </cell>
          <cell r="AU60">
            <v>0</v>
          </cell>
          <cell r="AV60">
            <v>0</v>
          </cell>
          <cell r="AW60">
            <v>0</v>
          </cell>
          <cell r="AX60">
            <v>0</v>
          </cell>
          <cell r="AY60">
            <v>0</v>
          </cell>
          <cell r="AZ60">
            <v>0</v>
          </cell>
          <cell r="BA60">
            <v>22</v>
          </cell>
        </row>
        <row r="61">
          <cell r="C61" t="str">
            <v>ERSOLTC12-N</v>
          </cell>
          <cell r="D61" t="str">
            <v>Solar</v>
          </cell>
          <cell r="E61" t="str">
            <v>PWRSOL</v>
          </cell>
          <cell r="F61">
            <v>0</v>
          </cell>
          <cell r="G61" t="str">
            <v>ELCC</v>
          </cell>
          <cell r="I61">
            <v>1</v>
          </cell>
          <cell r="J61">
            <v>1</v>
          </cell>
          <cell r="K61">
            <v>0.6</v>
          </cell>
          <cell r="L61">
            <v>0.96</v>
          </cell>
          <cell r="M61">
            <v>30</v>
          </cell>
          <cell r="N61">
            <v>3</v>
          </cell>
          <cell r="O61">
            <v>68.055555555555557</v>
          </cell>
          <cell r="P61">
            <v>0</v>
          </cell>
          <cell r="Q61">
            <v>603</v>
          </cell>
          <cell r="R61">
            <v>0</v>
          </cell>
          <cell r="S61">
            <v>2014</v>
          </cell>
          <cell r="T61">
            <v>0.05</v>
          </cell>
          <cell r="U61">
            <v>0</v>
          </cell>
          <cell r="V61">
            <v>0</v>
          </cell>
          <cell r="W61">
            <v>60699.620615920277</v>
          </cell>
          <cell r="X61">
            <v>50173.930483614982</v>
          </cell>
          <cell r="Y61">
            <v>43672.236043805911</v>
          </cell>
          <cell r="Z61">
            <v>37543.843265771669</v>
          </cell>
          <cell r="AA61">
            <v>34709.331198421874</v>
          </cell>
          <cell r="AB61">
            <v>32887.105504569889</v>
          </cell>
          <cell r="AC61">
            <v>31052.539806724439</v>
          </cell>
          <cell r="AD61">
            <v>29946.878784722216</v>
          </cell>
          <cell r="AE61">
            <v>27852.259944171168</v>
          </cell>
          <cell r="AF61">
            <v>25904.14812756512</v>
          </cell>
          <cell r="AG61">
            <v>0.5</v>
          </cell>
          <cell r="AH61">
            <v>1</v>
          </cell>
          <cell r="AI61">
            <v>3</v>
          </cell>
          <cell r="AJ61">
            <v>0</v>
          </cell>
          <cell r="AK61">
            <v>0</v>
          </cell>
          <cell r="AL61">
            <v>0</v>
          </cell>
          <cell r="AM61">
            <v>0</v>
          </cell>
          <cell r="AN61">
            <v>0</v>
          </cell>
          <cell r="AO61">
            <v>0</v>
          </cell>
          <cell r="AP61">
            <v>0</v>
          </cell>
          <cell r="AQ61">
            <v>0</v>
          </cell>
          <cell r="AR61">
            <v>0</v>
          </cell>
          <cell r="AS61">
            <v>0</v>
          </cell>
          <cell r="AT61">
            <v>0</v>
          </cell>
          <cell r="AU61">
            <v>0</v>
          </cell>
          <cell r="AV61">
            <v>0</v>
          </cell>
          <cell r="AW61">
            <v>0</v>
          </cell>
          <cell r="AX61">
            <v>0</v>
          </cell>
          <cell r="AY61">
            <v>0</v>
          </cell>
          <cell r="AZ61">
            <v>0</v>
          </cell>
          <cell r="BA61">
            <v>23</v>
          </cell>
        </row>
        <row r="62">
          <cell r="C62" t="str">
            <v>ERSOLTC14-N</v>
          </cell>
          <cell r="D62" t="str">
            <v>Solar</v>
          </cell>
          <cell r="E62" t="str">
            <v>PWRSOL</v>
          </cell>
          <cell r="F62">
            <v>0</v>
          </cell>
          <cell r="G62" t="str">
            <v>ELCC</v>
          </cell>
          <cell r="I62">
            <v>1</v>
          </cell>
          <cell r="J62">
            <v>1</v>
          </cell>
          <cell r="K62">
            <v>0.70000000000000007</v>
          </cell>
          <cell r="L62">
            <v>0.96</v>
          </cell>
          <cell r="M62">
            <v>30</v>
          </cell>
          <cell r="N62">
            <v>3</v>
          </cell>
          <cell r="O62">
            <v>68.055555555555557</v>
          </cell>
          <cell r="P62">
            <v>0</v>
          </cell>
          <cell r="Q62">
            <v>603</v>
          </cell>
          <cell r="R62">
            <v>0</v>
          </cell>
          <cell r="S62">
            <v>2014</v>
          </cell>
          <cell r="T62">
            <v>0.05</v>
          </cell>
          <cell r="U62">
            <v>0</v>
          </cell>
          <cell r="V62">
            <v>0</v>
          </cell>
          <cell r="W62">
            <v>62527.219699167072</v>
          </cell>
          <cell r="X62">
            <v>51684.612567362514</v>
          </cell>
          <cell r="Y62">
            <v>44987.159230262587</v>
          </cell>
          <cell r="Z62">
            <v>38674.247259039614</v>
          </cell>
          <cell r="AA62">
            <v>35754.391138412793</v>
          </cell>
          <cell r="AB62">
            <v>33877.300225079038</v>
          </cell>
          <cell r="AC62">
            <v>31987.497763749452</v>
          </cell>
          <cell r="AD62">
            <v>30848.546499572916</v>
          </cell>
          <cell r="AE62">
            <v>28690.860980286503</v>
          </cell>
          <cell r="AF62">
            <v>26684.093650944724</v>
          </cell>
          <cell r="AG62">
            <v>0.5</v>
          </cell>
          <cell r="AH62">
            <v>1</v>
          </cell>
          <cell r="AI62">
            <v>3</v>
          </cell>
          <cell r="AJ62">
            <v>0</v>
          </cell>
          <cell r="AK62">
            <v>0</v>
          </cell>
          <cell r="AL62">
            <v>0</v>
          </cell>
          <cell r="AM62">
            <v>0</v>
          </cell>
          <cell r="AN62">
            <v>0</v>
          </cell>
          <cell r="AO62">
            <v>0</v>
          </cell>
          <cell r="AP62">
            <v>0</v>
          </cell>
          <cell r="AQ62">
            <v>0</v>
          </cell>
          <cell r="AR62">
            <v>0</v>
          </cell>
          <cell r="AS62">
            <v>0</v>
          </cell>
          <cell r="AT62">
            <v>0</v>
          </cell>
          <cell r="AU62">
            <v>0</v>
          </cell>
          <cell r="AV62">
            <v>0</v>
          </cell>
          <cell r="AW62">
            <v>0</v>
          </cell>
          <cell r="AX62">
            <v>0</v>
          </cell>
          <cell r="AY62">
            <v>0</v>
          </cell>
          <cell r="AZ62">
            <v>0</v>
          </cell>
          <cell r="BA62">
            <v>24</v>
          </cell>
        </row>
        <row r="63">
          <cell r="C63" t="str">
            <v>ERSOLTT00-N</v>
          </cell>
          <cell r="D63" t="str">
            <v>Solar</v>
          </cell>
          <cell r="E63" t="str">
            <v>PWRSOL</v>
          </cell>
          <cell r="F63">
            <v>0</v>
          </cell>
          <cell r="G63" t="str">
            <v>ELCC</v>
          </cell>
          <cell r="I63">
            <v>1</v>
          </cell>
          <cell r="J63">
            <v>0</v>
          </cell>
          <cell r="K63">
            <v>0.25</v>
          </cell>
          <cell r="L63">
            <v>0.96</v>
          </cell>
          <cell r="M63">
            <v>30</v>
          </cell>
          <cell r="N63">
            <v>3</v>
          </cell>
          <cell r="O63">
            <v>68.055555555555557</v>
          </cell>
          <cell r="P63">
            <v>0</v>
          </cell>
          <cell r="Q63">
            <v>424</v>
          </cell>
          <cell r="R63">
            <v>0</v>
          </cell>
          <cell r="S63">
            <v>2014</v>
          </cell>
          <cell r="T63">
            <v>0.05</v>
          </cell>
          <cell r="U63">
            <v>0</v>
          </cell>
          <cell r="V63">
            <v>0</v>
          </cell>
          <cell r="W63">
            <v>32384.582326831682</v>
          </cell>
          <cell r="X63">
            <v>26768.895191104224</v>
          </cell>
          <cell r="Y63">
            <v>23300.098241248554</v>
          </cell>
          <cell r="Z63">
            <v>20030.465936506316</v>
          </cell>
          <cell r="AA63">
            <v>18518.19142028947</v>
          </cell>
          <cell r="AB63">
            <v>17545.993943570149</v>
          </cell>
          <cell r="AC63">
            <v>16567.2128033751</v>
          </cell>
          <cell r="AD63">
            <v>15977.31833567873</v>
          </cell>
          <cell r="AE63">
            <v>14859.793125523351</v>
          </cell>
          <cell r="AF63">
            <v>13820.432634195909</v>
          </cell>
          <cell r="AG63">
            <v>0.5</v>
          </cell>
          <cell r="AH63">
            <v>1</v>
          </cell>
          <cell r="AI63">
            <v>3</v>
          </cell>
          <cell r="AJ63">
            <v>0</v>
          </cell>
          <cell r="AK63">
            <v>0</v>
          </cell>
          <cell r="AL63">
            <v>0</v>
          </cell>
          <cell r="AM63">
            <v>0</v>
          </cell>
          <cell r="AN63">
            <v>0</v>
          </cell>
          <cell r="AO63">
            <v>0</v>
          </cell>
          <cell r="AP63">
            <v>0</v>
          </cell>
          <cell r="AQ63">
            <v>0</v>
          </cell>
          <cell r="AR63">
            <v>0</v>
          </cell>
          <cell r="AS63">
            <v>0</v>
          </cell>
          <cell r="AT63">
            <v>0</v>
          </cell>
          <cell r="AU63">
            <v>0</v>
          </cell>
          <cell r="AV63">
            <v>0</v>
          </cell>
          <cell r="AW63">
            <v>0</v>
          </cell>
          <cell r="AX63">
            <v>0</v>
          </cell>
          <cell r="AY63">
            <v>0</v>
          </cell>
          <cell r="AZ63">
            <v>0</v>
          </cell>
          <cell r="BA63">
            <v>16</v>
          </cell>
        </row>
        <row r="64">
          <cell r="C64" t="str">
            <v>ERSOLTT03-N</v>
          </cell>
          <cell r="D64" t="str">
            <v>Solar</v>
          </cell>
          <cell r="E64" t="str">
            <v>PWRSOL</v>
          </cell>
          <cell r="F64">
            <v>0</v>
          </cell>
          <cell r="G64" t="str">
            <v>ELCC</v>
          </cell>
          <cell r="I64">
            <v>1</v>
          </cell>
          <cell r="J64">
            <v>0</v>
          </cell>
          <cell r="K64">
            <v>0.309</v>
          </cell>
          <cell r="L64">
            <v>0.96</v>
          </cell>
          <cell r="M64">
            <v>30</v>
          </cell>
          <cell r="N64">
            <v>3</v>
          </cell>
          <cell r="O64">
            <v>68.055555555555557</v>
          </cell>
          <cell r="P64">
            <v>0</v>
          </cell>
          <cell r="Q64">
            <v>513</v>
          </cell>
          <cell r="R64">
            <v>0</v>
          </cell>
          <cell r="S64">
            <v>2014</v>
          </cell>
          <cell r="T64">
            <v>0.05</v>
          </cell>
          <cell r="U64">
            <v>0</v>
          </cell>
          <cell r="V64">
            <v>0</v>
          </cell>
          <cell r="W64">
            <v>44152.750221554677</v>
          </cell>
          <cell r="X64">
            <v>36496.389891696745</v>
          </cell>
          <cell r="Y64">
            <v>31767.073831647624</v>
          </cell>
          <cell r="Z64">
            <v>27309.29645441709</v>
          </cell>
          <cell r="AA64">
            <v>25247.479559356412</v>
          </cell>
          <cell r="AB64">
            <v>23921.997207217228</v>
          </cell>
          <cell r="AC64">
            <v>22587.538767443104</v>
          </cell>
          <cell r="AD64">
            <v>21783.283741813357</v>
          </cell>
          <cell r="AE64">
            <v>20259.663305016813</v>
          </cell>
          <cell r="AF64">
            <v>18842.611706185136</v>
          </cell>
          <cell r="AG64">
            <v>0.5</v>
          </cell>
          <cell r="AH64">
            <v>1</v>
          </cell>
          <cell r="AI64">
            <v>3</v>
          </cell>
          <cell r="AJ64">
            <v>0</v>
          </cell>
          <cell r="AK64">
            <v>0</v>
          </cell>
          <cell r="AL64">
            <v>0</v>
          </cell>
          <cell r="AM64">
            <v>0</v>
          </cell>
          <cell r="AN64">
            <v>0</v>
          </cell>
          <cell r="AO64">
            <v>0</v>
          </cell>
          <cell r="AP64">
            <v>0</v>
          </cell>
          <cell r="AQ64">
            <v>0</v>
          </cell>
          <cell r="AR64">
            <v>0</v>
          </cell>
          <cell r="AS64">
            <v>0</v>
          </cell>
          <cell r="AT64">
            <v>0</v>
          </cell>
          <cell r="AU64">
            <v>0</v>
          </cell>
          <cell r="AV64">
            <v>0</v>
          </cell>
          <cell r="AW64">
            <v>0</v>
          </cell>
          <cell r="AX64">
            <v>0</v>
          </cell>
          <cell r="AY64">
            <v>0</v>
          </cell>
          <cell r="AZ64">
            <v>0</v>
          </cell>
          <cell r="BA64">
            <v>17</v>
          </cell>
        </row>
        <row r="65">
          <cell r="C65" t="str">
            <v>ERSOLTT06-N</v>
          </cell>
          <cell r="D65" t="str">
            <v>Solar</v>
          </cell>
          <cell r="E65" t="str">
            <v>PWRSOL</v>
          </cell>
          <cell r="F65">
            <v>0</v>
          </cell>
          <cell r="G65" t="str">
            <v>ELCC</v>
          </cell>
          <cell r="I65">
            <v>1</v>
          </cell>
          <cell r="J65">
            <v>1</v>
          </cell>
          <cell r="K65">
            <v>0.36899999999999999</v>
          </cell>
          <cell r="L65">
            <v>0.96</v>
          </cell>
          <cell r="M65">
            <v>30</v>
          </cell>
          <cell r="N65">
            <v>3</v>
          </cell>
          <cell r="O65">
            <v>68.055555555555557</v>
          </cell>
          <cell r="P65">
            <v>0</v>
          </cell>
          <cell r="Q65">
            <v>562</v>
          </cell>
          <cell r="R65">
            <v>0</v>
          </cell>
          <cell r="S65">
            <v>2014</v>
          </cell>
          <cell r="T65">
            <v>0.05</v>
          </cell>
          <cell r="U65">
            <v>0</v>
          </cell>
          <cell r="V65">
            <v>0</v>
          </cell>
          <cell r="W65">
            <v>55783.273377002537</v>
          </cell>
          <cell r="X65">
            <v>46110.108303249093</v>
          </cell>
          <cell r="Y65">
            <v>40135.016619488531</v>
          </cell>
          <cell r="Z65">
            <v>34502.99114338417</v>
          </cell>
          <cell r="AA65">
            <v>31898.059515493325</v>
          </cell>
          <cell r="AB65">
            <v>30223.424435351109</v>
          </cell>
          <cell r="AC65">
            <v>28537.448826071224</v>
          </cell>
          <cell r="AD65">
            <v>27521.340480964547</v>
          </cell>
          <cell r="AE65">
            <v>25596.374653872816</v>
          </cell>
          <cell r="AF65">
            <v>23806.049559053332</v>
          </cell>
          <cell r="AG65">
            <v>0.5</v>
          </cell>
          <cell r="AH65">
            <v>1</v>
          </cell>
          <cell r="AI65">
            <v>3</v>
          </cell>
          <cell r="AJ65">
            <v>0</v>
          </cell>
          <cell r="AK65">
            <v>0</v>
          </cell>
          <cell r="AL65">
            <v>0</v>
          </cell>
          <cell r="AM65">
            <v>0</v>
          </cell>
          <cell r="AN65">
            <v>0</v>
          </cell>
          <cell r="AO65">
            <v>0</v>
          </cell>
          <cell r="AP65">
            <v>0</v>
          </cell>
          <cell r="AQ65">
            <v>0</v>
          </cell>
          <cell r="AR65">
            <v>0</v>
          </cell>
          <cell r="AS65">
            <v>0</v>
          </cell>
          <cell r="AT65">
            <v>0</v>
          </cell>
          <cell r="AU65">
            <v>0.1</v>
          </cell>
          <cell r="AV65">
            <v>0</v>
          </cell>
          <cell r="AW65">
            <v>0</v>
          </cell>
          <cell r="AX65">
            <v>0</v>
          </cell>
          <cell r="AY65">
            <v>0</v>
          </cell>
          <cell r="AZ65">
            <v>0</v>
          </cell>
          <cell r="BA65">
            <v>18</v>
          </cell>
        </row>
        <row r="66">
          <cell r="C66" t="str">
            <v>ERSOLTT09-N</v>
          </cell>
          <cell r="D66" t="str">
            <v>Solar</v>
          </cell>
          <cell r="E66" t="str">
            <v>PWRSOL</v>
          </cell>
          <cell r="F66">
            <v>0</v>
          </cell>
          <cell r="G66" t="str">
            <v>ELCC</v>
          </cell>
          <cell r="I66">
            <v>1</v>
          </cell>
          <cell r="J66">
            <v>1</v>
          </cell>
          <cell r="K66">
            <v>0.42799999999999999</v>
          </cell>
          <cell r="L66">
            <v>0.96</v>
          </cell>
          <cell r="M66">
            <v>30</v>
          </cell>
          <cell r="N66">
            <v>3</v>
          </cell>
          <cell r="O66">
            <v>68.055555555555557</v>
          </cell>
          <cell r="P66">
            <v>0</v>
          </cell>
          <cell r="Q66">
            <v>635</v>
          </cell>
          <cell r="R66">
            <v>0</v>
          </cell>
          <cell r="S66">
            <v>2014</v>
          </cell>
          <cell r="T66">
            <v>0.05</v>
          </cell>
          <cell r="U66">
            <v>0</v>
          </cell>
          <cell r="V66">
            <v>0</v>
          </cell>
          <cell r="W66">
            <v>66795.802155245779</v>
          </cell>
          <cell r="X66">
            <v>55212.99638989169</v>
          </cell>
          <cell r="Y66">
            <v>48058.324069560193</v>
          </cell>
          <cell r="Z66">
            <v>41314.444826534935</v>
          </cell>
          <cell r="AA66">
            <v>38195.257172045793</v>
          </cell>
          <cell r="AB66">
            <v>36190.021790116254</v>
          </cell>
          <cell r="AC66">
            <v>34171.20707347295</v>
          </cell>
          <cell r="AD66">
            <v>32954.502353953554</v>
          </cell>
          <cell r="AE66">
            <v>30649.516849194035</v>
          </cell>
          <cell r="AF66">
            <v>28505.752355150646</v>
          </cell>
          <cell r="AG66">
            <v>0.5</v>
          </cell>
          <cell r="AH66">
            <v>1</v>
          </cell>
          <cell r="AI66">
            <v>3</v>
          </cell>
          <cell r="AJ66">
            <v>0</v>
          </cell>
          <cell r="AK66">
            <v>0</v>
          </cell>
          <cell r="AL66">
            <v>0</v>
          </cell>
          <cell r="AM66">
            <v>0</v>
          </cell>
          <cell r="AN66">
            <v>0</v>
          </cell>
          <cell r="AO66">
            <v>0</v>
          </cell>
          <cell r="AP66">
            <v>0</v>
          </cell>
          <cell r="AQ66">
            <v>0</v>
          </cell>
          <cell r="AR66">
            <v>0</v>
          </cell>
          <cell r="AS66">
            <v>0</v>
          </cell>
          <cell r="AT66">
            <v>0</v>
          </cell>
          <cell r="AU66">
            <v>0</v>
          </cell>
          <cell r="AV66">
            <v>0.05</v>
          </cell>
          <cell r="AW66">
            <v>0</v>
          </cell>
          <cell r="AX66">
            <v>0</v>
          </cell>
          <cell r="AY66">
            <v>0</v>
          </cell>
          <cell r="AZ66">
            <v>0</v>
          </cell>
          <cell r="BA66">
            <v>19</v>
          </cell>
        </row>
        <row r="67">
          <cell r="C67" t="str">
            <v>ERSOLPCF-N</v>
          </cell>
          <cell r="D67" t="str">
            <v>Solar</v>
          </cell>
          <cell r="E67" t="str">
            <v>PWRSOL</v>
          </cell>
          <cell r="F67">
            <v>0</v>
          </cell>
          <cell r="G67" t="str">
            <v>ELCC</v>
          </cell>
          <cell r="I67">
            <v>1</v>
          </cell>
          <cell r="J67">
            <v>0</v>
          </cell>
          <cell r="K67">
            <v>0.19399999999999998</v>
          </cell>
          <cell r="L67">
            <v>0.96</v>
          </cell>
          <cell r="M67">
            <v>25</v>
          </cell>
          <cell r="N67">
            <v>1</v>
          </cell>
          <cell r="O67">
            <v>0</v>
          </cell>
          <cell r="P67">
            <v>0</v>
          </cell>
          <cell r="Q67">
            <v>208</v>
          </cell>
          <cell r="R67">
            <v>0</v>
          </cell>
          <cell r="S67">
            <v>2012</v>
          </cell>
          <cell r="T67">
            <v>0.01</v>
          </cell>
          <cell r="U67">
            <v>0</v>
          </cell>
          <cell r="V67">
            <v>0</v>
          </cell>
          <cell r="W67">
            <v>20922.617168240831</v>
          </cell>
          <cell r="X67">
            <v>17373.646209386279</v>
          </cell>
          <cell r="Y67">
            <v>15474.520395538284</v>
          </cell>
          <cell r="Z67">
            <v>13853.720335580088</v>
          </cell>
          <cell r="AA67">
            <v>12457.076223485108</v>
          </cell>
          <cell r="AB67">
            <v>11244.186812110003</v>
          </cell>
          <cell r="AC67">
            <v>9977.0813264140015</v>
          </cell>
          <cell r="AD67">
            <v>8887.1640822097288</v>
          </cell>
          <cell r="AE67">
            <v>7921.6103206471598</v>
          </cell>
          <cell r="AF67">
            <v>7480.1520117258478</v>
          </cell>
          <cell r="AG67">
            <v>1</v>
          </cell>
          <cell r="AH67">
            <v>0</v>
          </cell>
          <cell r="AI67">
            <v>3</v>
          </cell>
          <cell r="AJ67">
            <v>0</v>
          </cell>
          <cell r="AK67">
            <v>0</v>
          </cell>
          <cell r="AL67">
            <v>0</v>
          </cell>
          <cell r="AM67">
            <v>0</v>
          </cell>
          <cell r="AN67">
            <v>0</v>
          </cell>
          <cell r="AO67">
            <v>0</v>
          </cell>
          <cell r="AP67">
            <v>0</v>
          </cell>
          <cell r="AQ67">
            <v>0</v>
          </cell>
          <cell r="AR67">
            <v>0</v>
          </cell>
          <cell r="AS67">
            <v>0</v>
          </cell>
          <cell r="AT67">
            <v>0</v>
          </cell>
          <cell r="AU67">
            <v>0</v>
          </cell>
          <cell r="AV67">
            <v>0</v>
          </cell>
          <cell r="AW67">
            <v>0</v>
          </cell>
          <cell r="AX67">
            <v>0</v>
          </cell>
          <cell r="AY67">
            <v>0</v>
          </cell>
          <cell r="AZ67">
            <v>0</v>
          </cell>
          <cell r="BA67">
            <v>12</v>
          </cell>
        </row>
        <row r="68">
          <cell r="C68" t="str">
            <v>ERSOLPCT-N</v>
          </cell>
          <cell r="D68" t="str">
            <v>Solar</v>
          </cell>
          <cell r="E68" t="str">
            <v>PWRSOL</v>
          </cell>
          <cell r="F68">
            <v>0</v>
          </cell>
          <cell r="G68" t="str">
            <v>ELCC</v>
          </cell>
          <cell r="I68">
            <v>1</v>
          </cell>
          <cell r="J68">
            <v>0</v>
          </cell>
          <cell r="K68">
            <v>0.26800000000000002</v>
          </cell>
          <cell r="L68">
            <v>0.96</v>
          </cell>
          <cell r="M68">
            <v>25</v>
          </cell>
          <cell r="N68">
            <v>1</v>
          </cell>
          <cell r="O68">
            <v>0</v>
          </cell>
          <cell r="P68">
            <v>0</v>
          </cell>
          <cell r="Q68">
            <v>228.8</v>
          </cell>
          <cell r="R68">
            <v>0</v>
          </cell>
          <cell r="S68">
            <v>2012</v>
          </cell>
          <cell r="T68">
            <v>0.01</v>
          </cell>
          <cell r="U68">
            <v>0</v>
          </cell>
          <cell r="V68">
            <v>0</v>
          </cell>
          <cell r="W68">
            <v>23014.878885064914</v>
          </cell>
          <cell r="X68">
            <v>19111.010830324907</v>
          </cell>
          <cell r="Y68">
            <v>17021.972435092113</v>
          </cell>
          <cell r="Z68">
            <v>15239.092369138096</v>
          </cell>
          <cell r="AA68">
            <v>13702.783845833619</v>
          </cell>
          <cell r="AB68">
            <v>12368.605493321003</v>
          </cell>
          <cell r="AC68">
            <v>10974.789459055401</v>
          </cell>
          <cell r="AD68">
            <v>9775.8804904307017</v>
          </cell>
          <cell r="AE68">
            <v>8713.7713527118758</v>
          </cell>
          <cell r="AF68">
            <v>8228.1672128984319</v>
          </cell>
          <cell r="AG68">
            <v>1</v>
          </cell>
          <cell r="AH68">
            <v>0</v>
          </cell>
          <cell r="AI68">
            <v>3</v>
          </cell>
          <cell r="AJ68">
            <v>0</v>
          </cell>
          <cell r="AK68">
            <v>0</v>
          </cell>
          <cell r="AL68">
            <v>0</v>
          </cell>
          <cell r="AM68">
            <v>0</v>
          </cell>
          <cell r="AN68">
            <v>0</v>
          </cell>
          <cell r="AO68">
            <v>0</v>
          </cell>
          <cell r="AP68">
            <v>0</v>
          </cell>
          <cell r="AQ68">
            <v>0</v>
          </cell>
          <cell r="AR68">
            <v>0.36569999999999997</v>
          </cell>
          <cell r="AS68">
            <v>0.68230000000000013</v>
          </cell>
          <cell r="AT68">
            <v>0.40100000000000002</v>
          </cell>
          <cell r="AU68">
            <v>0</v>
          </cell>
          <cell r="AV68">
            <v>0</v>
          </cell>
          <cell r="AW68">
            <v>0</v>
          </cell>
          <cell r="AX68">
            <v>0</v>
          </cell>
          <cell r="AY68">
            <v>0</v>
          </cell>
          <cell r="AZ68">
            <v>0</v>
          </cell>
          <cell r="BA68">
            <v>13</v>
          </cell>
        </row>
        <row r="69">
          <cell r="C69" t="str">
            <v>ERSOLPRC-N</v>
          </cell>
          <cell r="D69" t="str">
            <v>Solar</v>
          </cell>
          <cell r="E69" t="str">
            <v>PWRSOL</v>
          </cell>
          <cell r="F69">
            <v>0</v>
          </cell>
          <cell r="G69" t="str">
            <v>COMELC</v>
          </cell>
          <cell r="I69">
            <v>1</v>
          </cell>
          <cell r="J69">
            <v>0</v>
          </cell>
          <cell r="K69">
            <v>0.17599999999999999</v>
          </cell>
          <cell r="L69">
            <v>0.96</v>
          </cell>
          <cell r="M69">
            <v>25</v>
          </cell>
          <cell r="N69">
            <v>1</v>
          </cell>
          <cell r="O69">
            <v>0</v>
          </cell>
          <cell r="P69">
            <v>0</v>
          </cell>
          <cell r="Q69">
            <v>208</v>
          </cell>
          <cell r="R69">
            <v>0</v>
          </cell>
          <cell r="S69">
            <v>2012</v>
          </cell>
          <cell r="T69">
            <v>1E-4</v>
          </cell>
          <cell r="U69">
            <v>0</v>
          </cell>
          <cell r="V69">
            <v>0</v>
          </cell>
          <cell r="W69">
            <v>27199.402318713081</v>
          </cell>
          <cell r="X69">
            <v>22585.740072202163</v>
          </cell>
          <cell r="Y69">
            <v>20116.876514199768</v>
          </cell>
          <cell r="Z69">
            <v>18009.836436254114</v>
          </cell>
          <cell r="AA69">
            <v>16194.199090530641</v>
          </cell>
          <cell r="AB69">
            <v>14617.442855743004</v>
          </cell>
          <cell r="AC69">
            <v>12970.205724338202</v>
          </cell>
          <cell r="AD69">
            <v>11553.313306872647</v>
          </cell>
          <cell r="AE69">
            <v>10298.093416841308</v>
          </cell>
          <cell r="AF69">
            <v>9724.1976152436018</v>
          </cell>
          <cell r="AG69">
            <v>1</v>
          </cell>
          <cell r="AH69">
            <v>0</v>
          </cell>
          <cell r="AI69">
            <v>3</v>
          </cell>
          <cell r="AJ69">
            <v>0</v>
          </cell>
          <cell r="AK69">
            <v>0</v>
          </cell>
          <cell r="AL69">
            <v>0</v>
          </cell>
          <cell r="AM69">
            <v>0</v>
          </cell>
          <cell r="AN69">
            <v>0</v>
          </cell>
          <cell r="AO69">
            <v>0</v>
          </cell>
          <cell r="AP69">
            <v>0</v>
          </cell>
          <cell r="AQ69">
            <v>0</v>
          </cell>
          <cell r="AR69">
            <v>0</v>
          </cell>
          <cell r="AS69">
            <v>0</v>
          </cell>
          <cell r="AT69">
            <v>0</v>
          </cell>
          <cell r="AU69">
            <v>0</v>
          </cell>
          <cell r="AV69">
            <v>0</v>
          </cell>
          <cell r="AW69">
            <v>0</v>
          </cell>
          <cell r="AX69">
            <v>0</v>
          </cell>
          <cell r="AY69">
            <v>0</v>
          </cell>
          <cell r="AZ69">
            <v>0</v>
          </cell>
          <cell r="BA69">
            <v>14</v>
          </cell>
        </row>
        <row r="70">
          <cell r="C70" t="str">
            <v>ERSOLPRR-N</v>
          </cell>
          <cell r="D70" t="str">
            <v>Solar</v>
          </cell>
          <cell r="E70" t="str">
            <v>PWRSOL</v>
          </cell>
          <cell r="F70">
            <v>0</v>
          </cell>
          <cell r="G70" t="str">
            <v>RESELC</v>
          </cell>
          <cell r="I70">
            <v>1</v>
          </cell>
          <cell r="J70">
            <v>0</v>
          </cell>
          <cell r="K70">
            <v>0.17599999999999999</v>
          </cell>
          <cell r="L70">
            <v>0.96</v>
          </cell>
          <cell r="M70">
            <v>25</v>
          </cell>
          <cell r="N70">
            <v>1</v>
          </cell>
          <cell r="O70">
            <v>0</v>
          </cell>
          <cell r="P70">
            <v>0</v>
          </cell>
          <cell r="Q70">
            <v>208</v>
          </cell>
          <cell r="R70">
            <v>0</v>
          </cell>
          <cell r="S70">
            <v>2012</v>
          </cell>
          <cell r="T70">
            <v>1E-4</v>
          </cell>
          <cell r="U70">
            <v>0</v>
          </cell>
          <cell r="V70">
            <v>0</v>
          </cell>
          <cell r="W70">
            <v>32953.122039979302</v>
          </cell>
          <cell r="X70">
            <v>27363.492779783384</v>
          </cell>
          <cell r="Y70">
            <v>24372.369622972794</v>
          </cell>
          <cell r="Z70">
            <v>21819.609528538633</v>
          </cell>
          <cell r="AA70">
            <v>19619.895051989042</v>
          </cell>
          <cell r="AB70">
            <v>17709.594229073249</v>
          </cell>
          <cell r="AC70">
            <v>15713.903089102048</v>
          </cell>
          <cell r="AD70">
            <v>13997.28342948032</v>
          </cell>
          <cell r="AE70">
            <v>12476.536255019273</v>
          </cell>
          <cell r="AF70">
            <v>11781.239418468207</v>
          </cell>
          <cell r="AG70">
            <v>1</v>
          </cell>
          <cell r="AH70">
            <v>0</v>
          </cell>
          <cell r="AI70">
            <v>3</v>
          </cell>
          <cell r="AJ70">
            <v>0</v>
          </cell>
          <cell r="AK70">
            <v>0</v>
          </cell>
          <cell r="AL70">
            <v>0</v>
          </cell>
          <cell r="AM70">
            <v>0</v>
          </cell>
          <cell r="AN70">
            <v>0</v>
          </cell>
          <cell r="AO70">
            <v>0</v>
          </cell>
          <cell r="AP70">
            <v>0</v>
          </cell>
          <cell r="AQ70">
            <v>0</v>
          </cell>
          <cell r="AR70">
            <v>0</v>
          </cell>
          <cell r="AS70">
            <v>0</v>
          </cell>
          <cell r="AT70">
            <v>0</v>
          </cell>
          <cell r="AU70">
            <v>0</v>
          </cell>
          <cell r="AV70">
            <v>0</v>
          </cell>
          <cell r="AW70">
            <v>0</v>
          </cell>
          <cell r="AX70">
            <v>0</v>
          </cell>
          <cell r="AY70">
            <v>0</v>
          </cell>
          <cell r="AZ70">
            <v>0</v>
          </cell>
          <cell r="BA70">
            <v>15</v>
          </cell>
        </row>
        <row r="71">
          <cell r="C71" t="str">
            <v>ERWNDH-N</v>
          </cell>
          <cell r="D71" t="str">
            <v>Wind</v>
          </cell>
          <cell r="E71" t="str">
            <v>PWRWND</v>
          </cell>
          <cell r="F71">
            <v>0</v>
          </cell>
          <cell r="G71" t="str">
            <v>ELCC</v>
          </cell>
          <cell r="I71">
            <v>1</v>
          </cell>
          <cell r="J71">
            <v>0.15</v>
          </cell>
          <cell r="K71">
            <v>0.3</v>
          </cell>
          <cell r="L71">
            <v>0.31914893617021278</v>
          </cell>
          <cell r="M71">
            <v>20</v>
          </cell>
          <cell r="N71">
            <v>2</v>
          </cell>
          <cell r="O71">
            <v>0</v>
          </cell>
          <cell r="P71">
            <v>0</v>
          </cell>
          <cell r="Q71">
            <v>266</v>
          </cell>
          <cell r="R71">
            <v>0</v>
          </cell>
          <cell r="S71">
            <v>2012</v>
          </cell>
          <cell r="T71">
            <v>2E-3</v>
          </cell>
          <cell r="U71">
            <v>0</v>
          </cell>
          <cell r="V71">
            <v>0</v>
          </cell>
          <cell r="W71">
            <v>14852.844403049674</v>
          </cell>
          <cell r="X71">
            <v>13893.501805054151</v>
          </cell>
          <cell r="Y71">
            <v>13674.647414454164</v>
          </cell>
          <cell r="Z71">
            <v>13487.501735279824</v>
          </cell>
          <cell r="AA71">
            <v>13330.246210163632</v>
          </cell>
          <cell r="AB71">
            <v>13251.875113778782</v>
          </cell>
          <cell r="AC71">
            <v>13087.688987334595</v>
          </cell>
          <cell r="AD71">
            <v>12984.175046211076</v>
          </cell>
          <cell r="AE71">
            <v>12881.520435819442</v>
          </cell>
          <cell r="AF71">
            <v>12830.507987998632</v>
          </cell>
          <cell r="AG71">
            <v>1.6</v>
          </cell>
          <cell r="AH71">
            <v>0</v>
          </cell>
          <cell r="AI71">
            <v>3.2</v>
          </cell>
          <cell r="AJ71">
            <v>0</v>
          </cell>
          <cell r="AK71">
            <v>26</v>
          </cell>
          <cell r="AL71">
            <v>0</v>
          </cell>
          <cell r="AM71">
            <v>0</v>
          </cell>
          <cell r="AN71">
            <v>0</v>
          </cell>
          <cell r="AO71">
            <v>0</v>
          </cell>
          <cell r="AP71">
            <v>0</v>
          </cell>
          <cell r="AQ71">
            <v>0</v>
          </cell>
          <cell r="AR71">
            <v>0.3639</v>
          </cell>
          <cell r="AS71">
            <v>0.83210000000000017</v>
          </cell>
          <cell r="AT71">
            <v>0.753</v>
          </cell>
          <cell r="AU71">
            <v>0</v>
          </cell>
          <cell r="AV71">
            <v>0</v>
          </cell>
          <cell r="AW71">
            <v>0</v>
          </cell>
          <cell r="AX71">
            <v>0</v>
          </cell>
          <cell r="AY71">
            <v>0</v>
          </cell>
          <cell r="AZ71">
            <v>0</v>
          </cell>
          <cell r="BA71">
            <v>10</v>
          </cell>
        </row>
        <row r="72">
          <cell r="C72" t="str">
            <v>ERWNDM-N</v>
          </cell>
          <cell r="D72" t="str">
            <v>Wind</v>
          </cell>
          <cell r="E72" t="str">
            <v>PWRWND</v>
          </cell>
          <cell r="F72">
            <v>0</v>
          </cell>
          <cell r="G72" t="str">
            <v>ELCC</v>
          </cell>
          <cell r="I72">
            <v>1</v>
          </cell>
          <cell r="J72">
            <v>0.125</v>
          </cell>
          <cell r="K72">
            <v>0.25</v>
          </cell>
          <cell r="L72">
            <v>0.26595744680851063</v>
          </cell>
          <cell r="M72">
            <v>20</v>
          </cell>
          <cell r="N72">
            <v>2</v>
          </cell>
          <cell r="O72">
            <v>0</v>
          </cell>
          <cell r="P72">
            <v>0</v>
          </cell>
          <cell r="Q72">
            <v>266</v>
          </cell>
          <cell r="R72">
            <v>0</v>
          </cell>
          <cell r="S72">
            <v>2015</v>
          </cell>
          <cell r="T72">
            <v>2E-3</v>
          </cell>
          <cell r="U72">
            <v>0</v>
          </cell>
          <cell r="V72">
            <v>0</v>
          </cell>
          <cell r="W72">
            <v>14852.844403049674</v>
          </cell>
          <cell r="X72">
            <v>13893.501805054151</v>
          </cell>
          <cell r="Y72">
            <v>13674.647414454164</v>
          </cell>
          <cell r="Z72">
            <v>13487.501735279824</v>
          </cell>
          <cell r="AA72">
            <v>13330.246210163632</v>
          </cell>
          <cell r="AB72">
            <v>13251.875113778782</v>
          </cell>
          <cell r="AC72">
            <v>13087.688987334595</v>
          </cell>
          <cell r="AD72">
            <v>12984.175046211076</v>
          </cell>
          <cell r="AE72">
            <v>12881.520435819442</v>
          </cell>
          <cell r="AF72">
            <v>12830.507987998632</v>
          </cell>
          <cell r="AG72">
            <v>1.6</v>
          </cell>
          <cell r="AH72">
            <v>0</v>
          </cell>
          <cell r="AI72">
            <v>3.2</v>
          </cell>
          <cell r="AJ72">
            <v>0</v>
          </cell>
          <cell r="AK72">
            <v>30</v>
          </cell>
          <cell r="AL72">
            <v>0</v>
          </cell>
          <cell r="AM72">
            <v>0</v>
          </cell>
          <cell r="AN72">
            <v>0</v>
          </cell>
          <cell r="AO72">
            <v>0</v>
          </cell>
          <cell r="AP72">
            <v>0</v>
          </cell>
          <cell r="AQ72">
            <v>0</v>
          </cell>
          <cell r="AR72">
            <v>0</v>
          </cell>
          <cell r="AS72">
            <v>0</v>
          </cell>
          <cell r="AT72">
            <v>0</v>
          </cell>
          <cell r="AU72">
            <v>0</v>
          </cell>
          <cell r="AV72">
            <v>0</v>
          </cell>
          <cell r="AW72">
            <v>0</v>
          </cell>
          <cell r="AX72">
            <v>0</v>
          </cell>
          <cell r="AY72">
            <v>0</v>
          </cell>
          <cell r="AZ72">
            <v>0</v>
          </cell>
          <cell r="BA72">
            <v>11</v>
          </cell>
        </row>
        <row r="73">
          <cell r="C73" t="str">
            <v>ERHYDGIW-I</v>
          </cell>
          <cell r="D73" t="str">
            <v>Hydro</v>
          </cell>
          <cell r="E73" t="str">
            <v>PWRHYD</v>
          </cell>
          <cell r="F73">
            <v>0</v>
          </cell>
          <cell r="G73" t="str">
            <v>ELCC</v>
          </cell>
          <cell r="I73">
            <v>1</v>
          </cell>
          <cell r="J73">
            <v>1</v>
          </cell>
          <cell r="K73">
            <v>0.8</v>
          </cell>
          <cell r="L73">
            <v>0.8</v>
          </cell>
          <cell r="M73">
            <v>50</v>
          </cell>
          <cell r="N73">
            <v>0</v>
          </cell>
          <cell r="O73">
            <v>0</v>
          </cell>
          <cell r="P73">
            <v>0</v>
          </cell>
          <cell r="Q73">
            <v>0</v>
          </cell>
          <cell r="R73">
            <v>133.0400773605468</v>
          </cell>
          <cell r="S73">
            <v>2022</v>
          </cell>
          <cell r="T73">
            <v>2.4500000000000002</v>
          </cell>
          <cell r="U73">
            <v>0</v>
          </cell>
          <cell r="V73">
            <v>0</v>
          </cell>
          <cell r="W73">
            <v>0</v>
          </cell>
          <cell r="X73">
            <v>0</v>
          </cell>
          <cell r="Y73">
            <v>0</v>
          </cell>
          <cell r="Z73">
            <v>0</v>
          </cell>
          <cell r="AA73">
            <v>0</v>
          </cell>
          <cell r="AB73">
            <v>0</v>
          </cell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2.6</v>
          </cell>
          <cell r="AH73">
            <v>0</v>
          </cell>
          <cell r="AI73">
            <v>0</v>
          </cell>
          <cell r="AJ73">
            <v>0</v>
          </cell>
          <cell r="AK73">
            <v>2.6</v>
          </cell>
          <cell r="AL73">
            <v>0</v>
          </cell>
          <cell r="AM73">
            <v>0</v>
          </cell>
          <cell r="AN73">
            <v>0</v>
          </cell>
          <cell r="AO73">
            <v>0</v>
          </cell>
          <cell r="AP73">
            <v>0</v>
          </cell>
          <cell r="AQ73">
            <v>0</v>
          </cell>
          <cell r="AR73">
            <v>0</v>
          </cell>
          <cell r="AS73">
            <v>0</v>
          </cell>
          <cell r="AT73">
            <v>0</v>
          </cell>
          <cell r="AU73">
            <v>0</v>
          </cell>
          <cell r="AV73">
            <v>0</v>
          </cell>
          <cell r="AW73">
            <v>0</v>
          </cell>
          <cell r="AX73">
            <v>0</v>
          </cell>
          <cell r="AY73">
            <v>0</v>
          </cell>
          <cell r="AZ73">
            <v>0</v>
          </cell>
          <cell r="BA73">
            <v>39</v>
          </cell>
        </row>
        <row r="74">
          <cell r="C74" t="str">
            <v>ERHYDGIE-I</v>
          </cell>
          <cell r="D74" t="str">
            <v>Hydro</v>
          </cell>
          <cell r="E74" t="str">
            <v>PWRHYD</v>
          </cell>
          <cell r="F74">
            <v>0</v>
          </cell>
          <cell r="G74" t="str">
            <v>ELCC</v>
          </cell>
          <cell r="I74">
            <v>1</v>
          </cell>
          <cell r="J74">
            <v>1</v>
          </cell>
          <cell r="K74">
            <v>0.8</v>
          </cell>
          <cell r="L74">
            <v>0.8</v>
          </cell>
          <cell r="M74">
            <v>50</v>
          </cell>
          <cell r="N74">
            <v>0</v>
          </cell>
          <cell r="O74">
            <v>0</v>
          </cell>
          <cell r="P74">
            <v>0</v>
          </cell>
          <cell r="Q74">
            <v>0</v>
          </cell>
          <cell r="R74">
            <v>149.70073655046846</v>
          </cell>
          <cell r="S74">
            <v>2027</v>
          </cell>
          <cell r="T74">
            <v>3.75</v>
          </cell>
          <cell r="U74">
            <v>0</v>
          </cell>
          <cell r="V74">
            <v>0</v>
          </cell>
          <cell r="W74">
            <v>0</v>
          </cell>
          <cell r="X74">
            <v>0</v>
          </cell>
          <cell r="Y74">
            <v>0</v>
          </cell>
          <cell r="Z74">
            <v>0</v>
          </cell>
          <cell r="AA74">
            <v>0</v>
          </cell>
          <cell r="AB74">
            <v>0</v>
          </cell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3.6</v>
          </cell>
          <cell r="AH74">
            <v>0</v>
          </cell>
          <cell r="AI74">
            <v>0</v>
          </cell>
          <cell r="AJ74">
            <v>0</v>
          </cell>
          <cell r="AK74">
            <v>3.6</v>
          </cell>
          <cell r="AL74">
            <v>0</v>
          </cell>
          <cell r="AM74">
            <v>0</v>
          </cell>
          <cell r="AN74">
            <v>0</v>
          </cell>
          <cell r="AO74">
            <v>0</v>
          </cell>
          <cell r="AP74">
            <v>0</v>
          </cell>
          <cell r="AQ74">
            <v>0</v>
          </cell>
          <cell r="AR74">
            <v>0</v>
          </cell>
          <cell r="AS74">
            <v>0</v>
          </cell>
          <cell r="AT74">
            <v>0</v>
          </cell>
          <cell r="AU74">
            <v>0</v>
          </cell>
          <cell r="AV74">
            <v>0</v>
          </cell>
          <cell r="AW74">
            <v>0</v>
          </cell>
          <cell r="AX74">
            <v>0</v>
          </cell>
          <cell r="AY74">
            <v>0</v>
          </cell>
          <cell r="AZ74">
            <v>0</v>
          </cell>
          <cell r="BA74">
            <v>40</v>
          </cell>
        </row>
        <row r="75">
          <cell r="C75">
            <v>0</v>
          </cell>
          <cell r="D75">
            <v>0</v>
          </cell>
          <cell r="E75">
            <v>0</v>
          </cell>
          <cell r="F75">
            <v>0</v>
          </cell>
          <cell r="G75">
            <v>0</v>
          </cell>
          <cell r="I75">
            <v>0</v>
          </cell>
          <cell r="J75">
            <v>0</v>
          </cell>
          <cell r="K75">
            <v>0</v>
          </cell>
          <cell r="L75">
            <v>0</v>
          </cell>
          <cell r="M75">
            <v>0</v>
          </cell>
          <cell r="N75">
            <v>0</v>
          </cell>
          <cell r="O75">
            <v>0</v>
          </cell>
          <cell r="P75">
            <v>0</v>
          </cell>
          <cell r="Q75">
            <v>0</v>
          </cell>
          <cell r="R75">
            <v>0</v>
          </cell>
          <cell r="S75">
            <v>0</v>
          </cell>
          <cell r="T75">
            <v>0</v>
          </cell>
          <cell r="U75">
            <v>0</v>
          </cell>
          <cell r="V75">
            <v>0</v>
          </cell>
          <cell r="W75">
            <v>0</v>
          </cell>
          <cell r="X75">
            <v>0</v>
          </cell>
          <cell r="Y75">
            <v>0</v>
          </cell>
          <cell r="Z75">
            <v>0</v>
          </cell>
          <cell r="AA75">
            <v>0</v>
          </cell>
          <cell r="AB75">
            <v>0</v>
          </cell>
          <cell r="AC75">
            <v>0</v>
          </cell>
          <cell r="AD75">
            <v>0</v>
          </cell>
          <cell r="AE75">
            <v>0</v>
          </cell>
          <cell r="AF75">
            <v>0</v>
          </cell>
          <cell r="AG75">
            <v>0</v>
          </cell>
          <cell r="AH75">
            <v>0</v>
          </cell>
          <cell r="AI75">
            <v>0</v>
          </cell>
          <cell r="AJ75">
            <v>0</v>
          </cell>
          <cell r="AK75">
            <v>0</v>
          </cell>
          <cell r="AL75">
            <v>0</v>
          </cell>
          <cell r="AM75">
            <v>0</v>
          </cell>
          <cell r="AN75">
            <v>0</v>
          </cell>
          <cell r="AO75">
            <v>0</v>
          </cell>
          <cell r="AP75">
            <v>0</v>
          </cell>
          <cell r="AQ75">
            <v>0</v>
          </cell>
          <cell r="AR75">
            <v>0</v>
          </cell>
          <cell r="AS75">
            <v>0</v>
          </cell>
          <cell r="AT75">
            <v>0</v>
          </cell>
          <cell r="AU75">
            <v>0</v>
          </cell>
          <cell r="AV75">
            <v>0</v>
          </cell>
          <cell r="AW75">
            <v>0</v>
          </cell>
          <cell r="AX75">
            <v>0</v>
          </cell>
          <cell r="AY75">
            <v>0</v>
          </cell>
          <cell r="AZ75">
            <v>0</v>
          </cell>
          <cell r="BA75" t="e">
            <v>#N/A</v>
          </cell>
        </row>
        <row r="76">
          <cell r="C76">
            <v>0</v>
          </cell>
          <cell r="D76">
            <v>0</v>
          </cell>
          <cell r="E76">
            <v>0</v>
          </cell>
          <cell r="F76">
            <v>0</v>
          </cell>
          <cell r="G76">
            <v>0</v>
          </cell>
          <cell r="I76">
            <v>0</v>
          </cell>
          <cell r="J76">
            <v>0</v>
          </cell>
          <cell r="K76">
            <v>0</v>
          </cell>
          <cell r="L76">
            <v>0</v>
          </cell>
          <cell r="M76">
            <v>0</v>
          </cell>
          <cell r="N76">
            <v>0</v>
          </cell>
          <cell r="O76">
            <v>0</v>
          </cell>
          <cell r="P76">
            <v>0</v>
          </cell>
          <cell r="Q76">
            <v>0</v>
          </cell>
          <cell r="R76">
            <v>0</v>
          </cell>
          <cell r="S76">
            <v>0</v>
          </cell>
          <cell r="T76">
            <v>0</v>
          </cell>
          <cell r="U76">
            <v>0</v>
          </cell>
          <cell r="AF76">
            <v>0</v>
          </cell>
          <cell r="AG76">
            <v>0</v>
          </cell>
          <cell r="AH76">
            <v>0</v>
          </cell>
          <cell r="AI76">
            <v>0</v>
          </cell>
          <cell r="AJ76">
            <v>0</v>
          </cell>
          <cell r="AK76">
            <v>0</v>
          </cell>
          <cell r="AL76">
            <v>0</v>
          </cell>
          <cell r="AM76">
            <v>0</v>
          </cell>
          <cell r="AN76">
            <v>0</v>
          </cell>
          <cell r="AO76">
            <v>0</v>
          </cell>
          <cell r="AP76">
            <v>0</v>
          </cell>
          <cell r="AQ76">
            <v>0</v>
          </cell>
          <cell r="AR76">
            <v>0</v>
          </cell>
          <cell r="AS76">
            <v>0</v>
          </cell>
          <cell r="AT76">
            <v>0</v>
          </cell>
          <cell r="AU76">
            <v>0</v>
          </cell>
          <cell r="AV76">
            <v>0</v>
          </cell>
          <cell r="AW76">
            <v>0</v>
          </cell>
          <cell r="AX76">
            <v>0</v>
          </cell>
          <cell r="AY76">
            <v>0</v>
          </cell>
          <cell r="AZ76">
            <v>0</v>
          </cell>
          <cell r="BA76" t="e">
            <v>#N/A</v>
          </cell>
        </row>
        <row r="77">
          <cell r="C77">
            <v>0</v>
          </cell>
          <cell r="D77">
            <v>0</v>
          </cell>
          <cell r="E77">
            <v>0</v>
          </cell>
          <cell r="F77">
            <v>0</v>
          </cell>
          <cell r="G77">
            <v>0</v>
          </cell>
          <cell r="I77">
            <v>0</v>
          </cell>
          <cell r="J77">
            <v>0</v>
          </cell>
          <cell r="K77">
            <v>0</v>
          </cell>
          <cell r="L77">
            <v>0</v>
          </cell>
          <cell r="M77">
            <v>0</v>
          </cell>
          <cell r="N77">
            <v>0</v>
          </cell>
          <cell r="O77">
            <v>0</v>
          </cell>
          <cell r="P77">
            <v>0</v>
          </cell>
          <cell r="Q77">
            <v>0</v>
          </cell>
          <cell r="R77">
            <v>0</v>
          </cell>
          <cell r="S77">
            <v>0</v>
          </cell>
          <cell r="T77">
            <v>0</v>
          </cell>
          <cell r="U77">
            <v>0</v>
          </cell>
          <cell r="AF77">
            <v>0</v>
          </cell>
          <cell r="AG77">
            <v>0</v>
          </cell>
          <cell r="AH77">
            <v>0</v>
          </cell>
          <cell r="AI77">
            <v>0</v>
          </cell>
          <cell r="AJ77">
            <v>0</v>
          </cell>
          <cell r="AK77">
            <v>0</v>
          </cell>
          <cell r="AL77">
            <v>0</v>
          </cell>
          <cell r="AM77">
            <v>0</v>
          </cell>
          <cell r="AN77">
            <v>0</v>
          </cell>
          <cell r="AO77">
            <v>0</v>
          </cell>
          <cell r="AP77">
            <v>0</v>
          </cell>
          <cell r="AQ77">
            <v>0</v>
          </cell>
          <cell r="AR77">
            <v>0</v>
          </cell>
          <cell r="AS77">
            <v>0</v>
          </cell>
          <cell r="AT77">
            <v>0</v>
          </cell>
          <cell r="AU77">
            <v>0</v>
          </cell>
          <cell r="AV77">
            <v>0</v>
          </cell>
          <cell r="AW77">
            <v>0</v>
          </cell>
          <cell r="AX77">
            <v>0</v>
          </cell>
          <cell r="AY77">
            <v>0</v>
          </cell>
          <cell r="AZ77">
            <v>0</v>
          </cell>
          <cell r="BA77" t="e">
            <v>#N/A</v>
          </cell>
        </row>
        <row r="78">
          <cell r="C78">
            <v>0</v>
          </cell>
          <cell r="D78">
            <v>0</v>
          </cell>
          <cell r="E78">
            <v>0</v>
          </cell>
          <cell r="F78">
            <v>0</v>
          </cell>
          <cell r="G78">
            <v>0</v>
          </cell>
          <cell r="I78">
            <v>0</v>
          </cell>
          <cell r="J78">
            <v>0</v>
          </cell>
          <cell r="K78">
            <v>0</v>
          </cell>
          <cell r="L78">
            <v>0</v>
          </cell>
          <cell r="M78">
            <v>0</v>
          </cell>
          <cell r="N78">
            <v>0</v>
          </cell>
          <cell r="O78">
            <v>0</v>
          </cell>
          <cell r="P78">
            <v>0</v>
          </cell>
          <cell r="Q78">
            <v>0</v>
          </cell>
          <cell r="R78">
            <v>0</v>
          </cell>
          <cell r="S78">
            <v>0</v>
          </cell>
          <cell r="T78">
            <v>0</v>
          </cell>
          <cell r="U78">
            <v>0</v>
          </cell>
          <cell r="AF78">
            <v>0</v>
          </cell>
          <cell r="AG78">
            <v>0</v>
          </cell>
          <cell r="AH78">
            <v>0</v>
          </cell>
          <cell r="AI78">
            <v>0</v>
          </cell>
          <cell r="AJ78">
            <v>0</v>
          </cell>
          <cell r="AK78">
            <v>0</v>
          </cell>
          <cell r="AL78">
            <v>0</v>
          </cell>
          <cell r="AM78">
            <v>0</v>
          </cell>
          <cell r="AN78">
            <v>0</v>
          </cell>
          <cell r="AO78">
            <v>0</v>
          </cell>
          <cell r="AP78">
            <v>0</v>
          </cell>
          <cell r="AQ78">
            <v>0</v>
          </cell>
          <cell r="AR78">
            <v>0</v>
          </cell>
          <cell r="AS78">
            <v>0</v>
          </cell>
          <cell r="AT78">
            <v>0</v>
          </cell>
          <cell r="AU78">
            <v>0</v>
          </cell>
          <cell r="AV78">
            <v>0</v>
          </cell>
          <cell r="AW78">
            <v>0</v>
          </cell>
          <cell r="AX78">
            <v>0</v>
          </cell>
          <cell r="AY78">
            <v>0</v>
          </cell>
          <cell r="AZ78">
            <v>0</v>
          </cell>
          <cell r="BA78" t="e">
            <v>#N/A</v>
          </cell>
        </row>
        <row r="79">
          <cell r="C79">
            <v>0</v>
          </cell>
          <cell r="D79">
            <v>0</v>
          </cell>
          <cell r="E79">
            <v>0</v>
          </cell>
          <cell r="F79">
            <v>0</v>
          </cell>
          <cell r="G79">
            <v>0</v>
          </cell>
          <cell r="I79">
            <v>0</v>
          </cell>
          <cell r="J79">
            <v>0</v>
          </cell>
          <cell r="K79">
            <v>0</v>
          </cell>
          <cell r="L79">
            <v>0</v>
          </cell>
          <cell r="M79">
            <v>0</v>
          </cell>
          <cell r="N79">
            <v>0</v>
          </cell>
          <cell r="O79">
            <v>0</v>
          </cell>
          <cell r="P79">
            <v>0</v>
          </cell>
          <cell r="Q79">
            <v>0</v>
          </cell>
          <cell r="R79">
            <v>0</v>
          </cell>
          <cell r="S79">
            <v>0</v>
          </cell>
          <cell r="T79">
            <v>0</v>
          </cell>
          <cell r="U79">
            <v>0</v>
          </cell>
          <cell r="V79">
            <v>0</v>
          </cell>
          <cell r="W79">
            <v>0</v>
          </cell>
          <cell r="X79">
            <v>0</v>
          </cell>
          <cell r="Y79">
            <v>0</v>
          </cell>
          <cell r="Z79">
            <v>0</v>
          </cell>
          <cell r="AA79">
            <v>0</v>
          </cell>
          <cell r="AB79">
            <v>0</v>
          </cell>
          <cell r="AC79">
            <v>0</v>
          </cell>
          <cell r="AD79">
            <v>0</v>
          </cell>
          <cell r="AE79">
            <v>0</v>
          </cell>
          <cell r="AF79">
            <v>0</v>
          </cell>
          <cell r="AG79">
            <v>0</v>
          </cell>
          <cell r="AH79">
            <v>0</v>
          </cell>
          <cell r="AI79">
            <v>0</v>
          </cell>
          <cell r="AJ79">
            <v>0</v>
          </cell>
          <cell r="AK79">
            <v>0</v>
          </cell>
          <cell r="AL79">
            <v>0</v>
          </cell>
          <cell r="AM79">
            <v>0</v>
          </cell>
          <cell r="AN79">
            <v>0</v>
          </cell>
          <cell r="AO79">
            <v>0</v>
          </cell>
          <cell r="AP79">
            <v>0</v>
          </cell>
          <cell r="AQ79">
            <v>0</v>
          </cell>
          <cell r="AR79">
            <v>0</v>
          </cell>
          <cell r="AS79">
            <v>0</v>
          </cell>
          <cell r="AT79">
            <v>0</v>
          </cell>
          <cell r="AU79">
            <v>0</v>
          </cell>
          <cell r="AV79">
            <v>0</v>
          </cell>
          <cell r="AW79">
            <v>0</v>
          </cell>
          <cell r="AX79">
            <v>0</v>
          </cell>
          <cell r="AY79">
            <v>0</v>
          </cell>
          <cell r="AZ79">
            <v>0</v>
          </cell>
          <cell r="BA79" t="e">
            <v>#N/A</v>
          </cell>
        </row>
        <row r="80">
          <cell r="C80">
            <v>0</v>
          </cell>
          <cell r="D80">
            <v>0</v>
          </cell>
          <cell r="E80">
            <v>0</v>
          </cell>
          <cell r="F80">
            <v>0</v>
          </cell>
          <cell r="G80">
            <v>0</v>
          </cell>
          <cell r="I80">
            <v>0</v>
          </cell>
          <cell r="J80">
            <v>0</v>
          </cell>
          <cell r="K80">
            <v>0</v>
          </cell>
          <cell r="L80">
            <v>0</v>
          </cell>
          <cell r="M80">
            <v>0</v>
          </cell>
          <cell r="N80">
            <v>0</v>
          </cell>
          <cell r="O80">
            <v>0</v>
          </cell>
          <cell r="P80">
            <v>0</v>
          </cell>
          <cell r="Q80">
            <v>0</v>
          </cell>
          <cell r="R80">
            <v>0</v>
          </cell>
          <cell r="S80">
            <v>0</v>
          </cell>
          <cell r="T80">
            <v>0</v>
          </cell>
          <cell r="U80">
            <v>0</v>
          </cell>
          <cell r="V80">
            <v>0</v>
          </cell>
          <cell r="W80">
            <v>0</v>
          </cell>
          <cell r="X80">
            <v>0</v>
          </cell>
          <cell r="Y80">
            <v>0</v>
          </cell>
          <cell r="Z80">
            <v>0</v>
          </cell>
          <cell r="AA80">
            <v>0</v>
          </cell>
          <cell r="AB80">
            <v>0</v>
          </cell>
          <cell r="AC80">
            <v>0</v>
          </cell>
          <cell r="AD80">
            <v>0</v>
          </cell>
          <cell r="AE80">
            <v>0</v>
          </cell>
          <cell r="AF80">
            <v>0</v>
          </cell>
          <cell r="AG80">
            <v>0</v>
          </cell>
          <cell r="AH80">
            <v>0</v>
          </cell>
          <cell r="AI80">
            <v>0</v>
          </cell>
          <cell r="AJ80">
            <v>0</v>
          </cell>
          <cell r="AK80">
            <v>0</v>
          </cell>
          <cell r="AL80">
            <v>0</v>
          </cell>
          <cell r="AM80">
            <v>0</v>
          </cell>
          <cell r="AN80">
            <v>0</v>
          </cell>
          <cell r="AO80">
            <v>0</v>
          </cell>
          <cell r="AP80">
            <v>0</v>
          </cell>
          <cell r="AQ80">
            <v>0</v>
          </cell>
          <cell r="AR80">
            <v>0</v>
          </cell>
          <cell r="AS80">
            <v>0</v>
          </cell>
          <cell r="AT80">
            <v>0</v>
          </cell>
          <cell r="AU80">
            <v>0</v>
          </cell>
          <cell r="AV80">
            <v>0</v>
          </cell>
          <cell r="AW80">
            <v>0</v>
          </cell>
          <cell r="AX80">
            <v>0</v>
          </cell>
          <cell r="AY80">
            <v>0</v>
          </cell>
          <cell r="AZ80">
            <v>0</v>
          </cell>
          <cell r="BA80" t="e">
            <v>#N/A</v>
          </cell>
        </row>
        <row r="81">
          <cell r="C81">
            <v>0</v>
          </cell>
          <cell r="D81">
            <v>0</v>
          </cell>
          <cell r="E81">
            <v>0</v>
          </cell>
          <cell r="F81">
            <v>0</v>
          </cell>
          <cell r="G81">
            <v>0</v>
          </cell>
          <cell r="I81">
            <v>0</v>
          </cell>
          <cell r="J81">
            <v>0</v>
          </cell>
          <cell r="K81">
            <v>0</v>
          </cell>
          <cell r="L81">
            <v>0</v>
          </cell>
          <cell r="M81">
            <v>0</v>
          </cell>
          <cell r="N81">
            <v>0</v>
          </cell>
          <cell r="O81">
            <v>0</v>
          </cell>
          <cell r="P81">
            <v>0</v>
          </cell>
          <cell r="Q81">
            <v>0</v>
          </cell>
          <cell r="R81">
            <v>0</v>
          </cell>
          <cell r="S81">
            <v>0</v>
          </cell>
          <cell r="T81">
            <v>0</v>
          </cell>
          <cell r="U81">
            <v>0</v>
          </cell>
          <cell r="V81">
            <v>0</v>
          </cell>
          <cell r="W81">
            <v>0</v>
          </cell>
          <cell r="X81">
            <v>0</v>
          </cell>
          <cell r="Y81">
            <v>0</v>
          </cell>
          <cell r="Z81">
            <v>0</v>
          </cell>
          <cell r="AA81">
            <v>0</v>
          </cell>
          <cell r="AB81">
            <v>0</v>
          </cell>
          <cell r="AC81">
            <v>0</v>
          </cell>
          <cell r="AD81">
            <v>0</v>
          </cell>
          <cell r="AE81">
            <v>0</v>
          </cell>
          <cell r="AF81">
            <v>0</v>
          </cell>
          <cell r="AG81">
            <v>0</v>
          </cell>
          <cell r="AH81">
            <v>0</v>
          </cell>
          <cell r="AI81">
            <v>0</v>
          </cell>
          <cell r="AJ81">
            <v>0</v>
          </cell>
          <cell r="AK81">
            <v>0</v>
          </cell>
          <cell r="AL81">
            <v>0</v>
          </cell>
          <cell r="AM81">
            <v>0</v>
          </cell>
          <cell r="AN81">
            <v>0</v>
          </cell>
          <cell r="AO81">
            <v>0</v>
          </cell>
          <cell r="AP81">
            <v>0</v>
          </cell>
          <cell r="AQ81">
            <v>0</v>
          </cell>
          <cell r="AR81">
            <v>0</v>
          </cell>
          <cell r="AS81">
            <v>0</v>
          </cell>
          <cell r="AT81">
            <v>0</v>
          </cell>
          <cell r="AU81">
            <v>0</v>
          </cell>
          <cell r="AV81">
            <v>0</v>
          </cell>
          <cell r="AW81">
            <v>0</v>
          </cell>
          <cell r="AX81">
            <v>0</v>
          </cell>
          <cell r="AY81">
            <v>0</v>
          </cell>
          <cell r="AZ81">
            <v>0</v>
          </cell>
          <cell r="BA81" t="e">
            <v>#N/A</v>
          </cell>
        </row>
        <row r="82">
          <cell r="C82">
            <v>0</v>
          </cell>
          <cell r="D82">
            <v>0</v>
          </cell>
          <cell r="E82">
            <v>0</v>
          </cell>
          <cell r="F82">
            <v>0</v>
          </cell>
          <cell r="G82">
            <v>0</v>
          </cell>
          <cell r="I82">
            <v>0</v>
          </cell>
          <cell r="J82">
            <v>0</v>
          </cell>
          <cell r="K82">
            <v>0</v>
          </cell>
          <cell r="L82">
            <v>0</v>
          </cell>
          <cell r="M82">
            <v>0</v>
          </cell>
          <cell r="N82">
            <v>0</v>
          </cell>
          <cell r="O82">
            <v>0</v>
          </cell>
          <cell r="P82">
            <v>0</v>
          </cell>
          <cell r="Q82">
            <v>0</v>
          </cell>
          <cell r="R82">
            <v>0</v>
          </cell>
          <cell r="S82">
            <v>0</v>
          </cell>
          <cell r="T82">
            <v>0</v>
          </cell>
          <cell r="U82">
            <v>0</v>
          </cell>
          <cell r="V82">
            <v>0</v>
          </cell>
          <cell r="W82">
            <v>0</v>
          </cell>
          <cell r="X82">
            <v>0</v>
          </cell>
          <cell r="Y82">
            <v>0</v>
          </cell>
          <cell r="Z82">
            <v>0</v>
          </cell>
          <cell r="AA82">
            <v>0</v>
          </cell>
          <cell r="AB82">
            <v>0</v>
          </cell>
          <cell r="AC82">
            <v>0</v>
          </cell>
          <cell r="AD82">
            <v>0</v>
          </cell>
          <cell r="AE82">
            <v>0</v>
          </cell>
          <cell r="AF82">
            <v>0</v>
          </cell>
          <cell r="AG82">
            <v>0</v>
          </cell>
          <cell r="AH82">
            <v>0</v>
          </cell>
          <cell r="AI82">
            <v>0</v>
          </cell>
          <cell r="AJ82">
            <v>0</v>
          </cell>
          <cell r="AK82">
            <v>0</v>
          </cell>
          <cell r="AL82">
            <v>0</v>
          </cell>
          <cell r="AM82">
            <v>0</v>
          </cell>
          <cell r="AN82">
            <v>0</v>
          </cell>
          <cell r="AO82">
            <v>0</v>
          </cell>
          <cell r="AP82">
            <v>0</v>
          </cell>
          <cell r="AQ82">
            <v>0</v>
          </cell>
          <cell r="AR82">
            <v>0</v>
          </cell>
          <cell r="AS82">
            <v>0</v>
          </cell>
          <cell r="AT82">
            <v>0</v>
          </cell>
          <cell r="AU82">
            <v>0</v>
          </cell>
          <cell r="AV82">
            <v>0</v>
          </cell>
          <cell r="AW82">
            <v>0</v>
          </cell>
          <cell r="AX82">
            <v>0</v>
          </cell>
          <cell r="AY82">
            <v>0</v>
          </cell>
          <cell r="AZ82">
            <v>0</v>
          </cell>
          <cell r="BA82" t="e">
            <v>#N/A</v>
          </cell>
        </row>
        <row r="83">
          <cell r="C83">
            <v>0</v>
          </cell>
          <cell r="D83">
            <v>0</v>
          </cell>
          <cell r="E83">
            <v>0</v>
          </cell>
          <cell r="F83">
            <v>0</v>
          </cell>
          <cell r="G83">
            <v>0</v>
          </cell>
          <cell r="I83">
            <v>0</v>
          </cell>
          <cell r="J83">
            <v>0</v>
          </cell>
          <cell r="K83">
            <v>0</v>
          </cell>
          <cell r="L83">
            <v>0</v>
          </cell>
          <cell r="M83">
            <v>0</v>
          </cell>
          <cell r="N83">
            <v>0</v>
          </cell>
          <cell r="O83">
            <v>0</v>
          </cell>
          <cell r="P83">
            <v>0</v>
          </cell>
          <cell r="Q83">
            <v>0</v>
          </cell>
          <cell r="R83">
            <v>0</v>
          </cell>
          <cell r="S83">
            <v>0</v>
          </cell>
          <cell r="T83">
            <v>0</v>
          </cell>
          <cell r="U83">
            <v>0</v>
          </cell>
          <cell r="V83">
            <v>0</v>
          </cell>
          <cell r="W83">
            <v>0</v>
          </cell>
          <cell r="X83">
            <v>0</v>
          </cell>
          <cell r="Y83">
            <v>0</v>
          </cell>
          <cell r="Z83">
            <v>0</v>
          </cell>
          <cell r="AA83">
            <v>0</v>
          </cell>
          <cell r="AB83">
            <v>0</v>
          </cell>
          <cell r="AC83">
            <v>0</v>
          </cell>
          <cell r="AD83">
            <v>0</v>
          </cell>
          <cell r="AE83">
            <v>0</v>
          </cell>
          <cell r="AF83">
            <v>0</v>
          </cell>
          <cell r="AG83">
            <v>0</v>
          </cell>
          <cell r="AH83">
            <v>0</v>
          </cell>
          <cell r="AI83">
            <v>0</v>
          </cell>
          <cell r="AJ83">
            <v>0</v>
          </cell>
          <cell r="AK83">
            <v>0</v>
          </cell>
          <cell r="AL83">
            <v>0</v>
          </cell>
          <cell r="AM83">
            <v>0</v>
          </cell>
          <cell r="AN83">
            <v>0</v>
          </cell>
          <cell r="AO83">
            <v>0</v>
          </cell>
          <cell r="AP83">
            <v>0</v>
          </cell>
          <cell r="AQ83">
            <v>0</v>
          </cell>
          <cell r="AR83">
            <v>0</v>
          </cell>
          <cell r="AS83">
            <v>0</v>
          </cell>
          <cell r="AT83">
            <v>0</v>
          </cell>
          <cell r="AU83">
            <v>0</v>
          </cell>
          <cell r="AV83">
            <v>0</v>
          </cell>
          <cell r="AW83">
            <v>0</v>
          </cell>
          <cell r="AX83">
            <v>0</v>
          </cell>
          <cell r="AY83">
            <v>0</v>
          </cell>
          <cell r="AZ83">
            <v>0</v>
          </cell>
          <cell r="BA83" t="e">
            <v>#N/A</v>
          </cell>
        </row>
        <row r="84">
          <cell r="C84">
            <v>0</v>
          </cell>
          <cell r="D84">
            <v>0</v>
          </cell>
          <cell r="E84">
            <v>0</v>
          </cell>
          <cell r="F84">
            <v>0</v>
          </cell>
          <cell r="G84">
            <v>0</v>
          </cell>
          <cell r="I84">
            <v>0</v>
          </cell>
          <cell r="J84">
            <v>0</v>
          </cell>
          <cell r="K84">
            <v>0</v>
          </cell>
          <cell r="L84">
            <v>0</v>
          </cell>
          <cell r="M84">
            <v>0</v>
          </cell>
          <cell r="N84">
            <v>0</v>
          </cell>
          <cell r="O84">
            <v>0</v>
          </cell>
          <cell r="P84">
            <v>0</v>
          </cell>
          <cell r="Q84">
            <v>0</v>
          </cell>
          <cell r="R84">
            <v>0</v>
          </cell>
          <cell r="S84">
            <v>0</v>
          </cell>
          <cell r="T84">
            <v>0</v>
          </cell>
          <cell r="U84">
            <v>0</v>
          </cell>
          <cell r="V84">
            <v>0</v>
          </cell>
          <cell r="W84">
            <v>0</v>
          </cell>
          <cell r="X84">
            <v>0</v>
          </cell>
          <cell r="Y84">
            <v>0</v>
          </cell>
          <cell r="Z84">
            <v>0</v>
          </cell>
          <cell r="AA84">
            <v>0</v>
          </cell>
          <cell r="AB84">
            <v>0</v>
          </cell>
          <cell r="AC84">
            <v>0</v>
          </cell>
          <cell r="AD84">
            <v>0</v>
          </cell>
          <cell r="AE84">
            <v>0</v>
          </cell>
          <cell r="AF84">
            <v>0</v>
          </cell>
          <cell r="AG84">
            <v>0</v>
          </cell>
          <cell r="AH84">
            <v>0</v>
          </cell>
          <cell r="AI84">
            <v>0</v>
          </cell>
          <cell r="AJ84">
            <v>0</v>
          </cell>
          <cell r="AK84">
            <v>0</v>
          </cell>
          <cell r="AL84">
            <v>0</v>
          </cell>
          <cell r="AM84">
            <v>0</v>
          </cell>
          <cell r="AN84">
            <v>0</v>
          </cell>
          <cell r="AO84">
            <v>0</v>
          </cell>
          <cell r="AP84">
            <v>0</v>
          </cell>
          <cell r="AQ84">
            <v>0</v>
          </cell>
          <cell r="AR84">
            <v>0</v>
          </cell>
          <cell r="AS84">
            <v>0</v>
          </cell>
          <cell r="AT84">
            <v>0</v>
          </cell>
          <cell r="AU84">
            <v>0</v>
          </cell>
          <cell r="AV84">
            <v>0</v>
          </cell>
          <cell r="AW84">
            <v>0</v>
          </cell>
          <cell r="AX84">
            <v>0</v>
          </cell>
          <cell r="AY84">
            <v>0</v>
          </cell>
          <cell r="AZ84">
            <v>0</v>
          </cell>
          <cell r="BA84" t="e">
            <v>#N/A</v>
          </cell>
        </row>
        <row r="85">
          <cell r="C85">
            <v>0</v>
          </cell>
          <cell r="D85">
            <v>0</v>
          </cell>
          <cell r="E85">
            <v>0</v>
          </cell>
          <cell r="F85">
            <v>0</v>
          </cell>
          <cell r="G85">
            <v>0</v>
          </cell>
          <cell r="I85">
            <v>0</v>
          </cell>
          <cell r="J85">
            <v>0</v>
          </cell>
          <cell r="K85">
            <v>0</v>
          </cell>
          <cell r="L85">
            <v>0</v>
          </cell>
          <cell r="M85">
            <v>0</v>
          </cell>
          <cell r="N85">
            <v>0</v>
          </cell>
          <cell r="O85">
            <v>0</v>
          </cell>
          <cell r="P85">
            <v>0</v>
          </cell>
          <cell r="Q85">
            <v>0</v>
          </cell>
          <cell r="R85">
            <v>0</v>
          </cell>
          <cell r="S85">
            <v>0</v>
          </cell>
          <cell r="T85">
            <v>0</v>
          </cell>
          <cell r="U85">
            <v>0</v>
          </cell>
          <cell r="V85">
            <v>0</v>
          </cell>
          <cell r="W85">
            <v>0</v>
          </cell>
          <cell r="X85">
            <v>0</v>
          </cell>
          <cell r="Y85">
            <v>0</v>
          </cell>
          <cell r="Z85">
            <v>0</v>
          </cell>
          <cell r="AA85">
            <v>0</v>
          </cell>
          <cell r="AB85">
            <v>0</v>
          </cell>
          <cell r="AC85">
            <v>0</v>
          </cell>
          <cell r="AD85">
            <v>0</v>
          </cell>
          <cell r="AE85">
            <v>0</v>
          </cell>
          <cell r="AF85">
            <v>0</v>
          </cell>
          <cell r="AG85">
            <v>0</v>
          </cell>
          <cell r="AH85">
            <v>0</v>
          </cell>
          <cell r="AI85">
            <v>0</v>
          </cell>
          <cell r="AJ85">
            <v>0</v>
          </cell>
          <cell r="AK85">
            <v>0</v>
          </cell>
          <cell r="AL85">
            <v>0</v>
          </cell>
          <cell r="AM85">
            <v>0</v>
          </cell>
          <cell r="AN85">
            <v>0</v>
          </cell>
          <cell r="AO85">
            <v>0</v>
          </cell>
          <cell r="AP85">
            <v>0</v>
          </cell>
          <cell r="AQ85">
            <v>0</v>
          </cell>
          <cell r="AR85">
            <v>0</v>
          </cell>
          <cell r="AS85">
            <v>0</v>
          </cell>
          <cell r="AT85">
            <v>0</v>
          </cell>
          <cell r="AU85">
            <v>0</v>
          </cell>
          <cell r="AV85">
            <v>0</v>
          </cell>
          <cell r="AW85">
            <v>0</v>
          </cell>
          <cell r="AX85">
            <v>0</v>
          </cell>
          <cell r="AY85">
            <v>0</v>
          </cell>
          <cell r="AZ85">
            <v>0</v>
          </cell>
          <cell r="BA85" t="e">
            <v>#N/A</v>
          </cell>
        </row>
        <row r="86">
          <cell r="C86">
            <v>0</v>
          </cell>
          <cell r="D86">
            <v>0</v>
          </cell>
          <cell r="E86">
            <v>0</v>
          </cell>
          <cell r="F86">
            <v>0</v>
          </cell>
          <cell r="G86">
            <v>0</v>
          </cell>
          <cell r="I86">
            <v>0</v>
          </cell>
          <cell r="J86">
            <v>0</v>
          </cell>
          <cell r="K86">
            <v>0</v>
          </cell>
          <cell r="L86">
            <v>0</v>
          </cell>
          <cell r="M86">
            <v>0</v>
          </cell>
          <cell r="N86">
            <v>0</v>
          </cell>
          <cell r="O86">
            <v>0</v>
          </cell>
          <cell r="P86">
            <v>0</v>
          </cell>
          <cell r="Q86">
            <v>0</v>
          </cell>
          <cell r="R86">
            <v>0</v>
          </cell>
          <cell r="S86">
            <v>0</v>
          </cell>
          <cell r="T86">
            <v>0</v>
          </cell>
          <cell r="U86">
            <v>0</v>
          </cell>
          <cell r="V86">
            <v>0</v>
          </cell>
          <cell r="W86">
            <v>0</v>
          </cell>
          <cell r="X86">
            <v>0</v>
          </cell>
          <cell r="Y86">
            <v>0</v>
          </cell>
          <cell r="Z86">
            <v>0</v>
          </cell>
          <cell r="AA86">
            <v>0</v>
          </cell>
          <cell r="AB86">
            <v>0</v>
          </cell>
          <cell r="AC86">
            <v>0</v>
          </cell>
          <cell r="AD86">
            <v>0</v>
          </cell>
          <cell r="AE86">
            <v>0</v>
          </cell>
          <cell r="AF86">
            <v>0</v>
          </cell>
          <cell r="AG86">
            <v>0</v>
          </cell>
          <cell r="AH86">
            <v>0</v>
          </cell>
          <cell r="AI86">
            <v>0</v>
          </cell>
          <cell r="AJ86">
            <v>0</v>
          </cell>
          <cell r="AK86">
            <v>0</v>
          </cell>
          <cell r="AL86">
            <v>0</v>
          </cell>
          <cell r="AM86">
            <v>0</v>
          </cell>
          <cell r="AN86">
            <v>0</v>
          </cell>
          <cell r="AO86">
            <v>0</v>
          </cell>
          <cell r="AP86">
            <v>0</v>
          </cell>
          <cell r="AQ86">
            <v>0</v>
          </cell>
          <cell r="AR86">
            <v>0</v>
          </cell>
          <cell r="AS86">
            <v>0</v>
          </cell>
          <cell r="AT86">
            <v>0</v>
          </cell>
          <cell r="AU86">
            <v>0</v>
          </cell>
          <cell r="AV86">
            <v>0</v>
          </cell>
          <cell r="AW86">
            <v>0</v>
          </cell>
          <cell r="AX86">
            <v>0</v>
          </cell>
          <cell r="AY86">
            <v>0</v>
          </cell>
          <cell r="AZ86">
            <v>0</v>
          </cell>
          <cell r="BA86" t="e">
            <v>#N/A</v>
          </cell>
        </row>
        <row r="87">
          <cell r="C87">
            <v>0</v>
          </cell>
          <cell r="D87">
            <v>0</v>
          </cell>
          <cell r="E87">
            <v>0</v>
          </cell>
          <cell r="F87">
            <v>0</v>
          </cell>
          <cell r="G87">
            <v>0</v>
          </cell>
          <cell r="I87">
            <v>0</v>
          </cell>
          <cell r="J87">
            <v>0</v>
          </cell>
          <cell r="K87">
            <v>0</v>
          </cell>
          <cell r="L87">
            <v>0</v>
          </cell>
          <cell r="M87">
            <v>0</v>
          </cell>
          <cell r="N87">
            <v>0</v>
          </cell>
          <cell r="O87">
            <v>0</v>
          </cell>
          <cell r="P87">
            <v>0</v>
          </cell>
          <cell r="Q87">
            <v>0</v>
          </cell>
          <cell r="R87">
            <v>0</v>
          </cell>
          <cell r="S87">
            <v>0</v>
          </cell>
          <cell r="T87">
            <v>0</v>
          </cell>
          <cell r="U87">
            <v>0</v>
          </cell>
          <cell r="V87">
            <v>0</v>
          </cell>
          <cell r="W87">
            <v>0</v>
          </cell>
          <cell r="X87">
            <v>0</v>
          </cell>
          <cell r="Y87">
            <v>0</v>
          </cell>
          <cell r="Z87">
            <v>0</v>
          </cell>
          <cell r="AA87">
            <v>0</v>
          </cell>
          <cell r="AB87">
            <v>0</v>
          </cell>
          <cell r="AC87">
            <v>0</v>
          </cell>
          <cell r="AD87">
            <v>0</v>
          </cell>
          <cell r="AE87">
            <v>0</v>
          </cell>
          <cell r="AF87">
            <v>0</v>
          </cell>
          <cell r="AG87">
            <v>0</v>
          </cell>
          <cell r="AH87">
            <v>0</v>
          </cell>
          <cell r="AI87">
            <v>0</v>
          </cell>
          <cell r="AJ87">
            <v>0</v>
          </cell>
          <cell r="AK87">
            <v>0</v>
          </cell>
          <cell r="AL87">
            <v>0</v>
          </cell>
          <cell r="AM87">
            <v>0</v>
          </cell>
          <cell r="AN87">
            <v>0</v>
          </cell>
          <cell r="AO87">
            <v>0</v>
          </cell>
          <cell r="AP87">
            <v>0</v>
          </cell>
          <cell r="AQ87">
            <v>0</v>
          </cell>
          <cell r="AR87">
            <v>0</v>
          </cell>
          <cell r="AS87">
            <v>0</v>
          </cell>
          <cell r="AT87">
            <v>0</v>
          </cell>
          <cell r="AU87">
            <v>0</v>
          </cell>
          <cell r="AV87">
            <v>0</v>
          </cell>
          <cell r="AW87">
            <v>0</v>
          </cell>
          <cell r="AX87">
            <v>0</v>
          </cell>
          <cell r="AY87">
            <v>0</v>
          </cell>
          <cell r="AZ87">
            <v>0</v>
          </cell>
          <cell r="BA87" t="e">
            <v>#N/A</v>
          </cell>
        </row>
        <row r="88">
          <cell r="C88">
            <v>0</v>
          </cell>
          <cell r="D88">
            <v>0</v>
          </cell>
          <cell r="E88">
            <v>0</v>
          </cell>
          <cell r="F88">
            <v>0</v>
          </cell>
          <cell r="G88">
            <v>0</v>
          </cell>
          <cell r="I88">
            <v>0</v>
          </cell>
          <cell r="J88">
            <v>0</v>
          </cell>
          <cell r="K88">
            <v>0</v>
          </cell>
          <cell r="L88">
            <v>0</v>
          </cell>
          <cell r="M88">
            <v>0</v>
          </cell>
          <cell r="N88">
            <v>0</v>
          </cell>
          <cell r="O88">
            <v>0</v>
          </cell>
          <cell r="P88">
            <v>0</v>
          </cell>
          <cell r="Q88">
            <v>0</v>
          </cell>
          <cell r="R88">
            <v>0</v>
          </cell>
          <cell r="S88">
            <v>0</v>
          </cell>
          <cell r="T88">
            <v>0</v>
          </cell>
          <cell r="U88">
            <v>0</v>
          </cell>
          <cell r="V88">
            <v>0</v>
          </cell>
          <cell r="W88">
            <v>0</v>
          </cell>
          <cell r="X88">
            <v>0</v>
          </cell>
          <cell r="Y88">
            <v>0</v>
          </cell>
          <cell r="Z88">
            <v>0</v>
          </cell>
          <cell r="AA88">
            <v>0</v>
          </cell>
          <cell r="AB88">
            <v>0</v>
          </cell>
          <cell r="AC88">
            <v>0</v>
          </cell>
          <cell r="AD88">
            <v>0</v>
          </cell>
          <cell r="AE88">
            <v>0</v>
          </cell>
          <cell r="AF88">
            <v>0</v>
          </cell>
          <cell r="AG88">
            <v>0</v>
          </cell>
          <cell r="AH88">
            <v>0</v>
          </cell>
          <cell r="AI88">
            <v>0</v>
          </cell>
          <cell r="AJ88">
            <v>0</v>
          </cell>
          <cell r="AK88">
            <v>0</v>
          </cell>
          <cell r="AL88">
            <v>0</v>
          </cell>
          <cell r="AM88">
            <v>0</v>
          </cell>
          <cell r="AN88">
            <v>0</v>
          </cell>
          <cell r="AO88">
            <v>0</v>
          </cell>
          <cell r="AP88">
            <v>0</v>
          </cell>
          <cell r="AQ88">
            <v>0</v>
          </cell>
          <cell r="AR88">
            <v>0</v>
          </cell>
          <cell r="AS88">
            <v>0</v>
          </cell>
          <cell r="AT88">
            <v>0</v>
          </cell>
          <cell r="AU88">
            <v>0</v>
          </cell>
          <cell r="AV88">
            <v>0</v>
          </cell>
          <cell r="AW88">
            <v>0</v>
          </cell>
          <cell r="AX88">
            <v>0</v>
          </cell>
          <cell r="AY88">
            <v>0</v>
          </cell>
          <cell r="AZ88">
            <v>0</v>
          </cell>
          <cell r="BA88" t="e">
            <v>#N/A</v>
          </cell>
        </row>
        <row r="89">
          <cell r="C89">
            <v>0</v>
          </cell>
          <cell r="D89">
            <v>0</v>
          </cell>
          <cell r="E89">
            <v>0</v>
          </cell>
          <cell r="F89">
            <v>0</v>
          </cell>
          <cell r="G89">
            <v>0</v>
          </cell>
          <cell r="I89">
            <v>0</v>
          </cell>
          <cell r="J89">
            <v>0</v>
          </cell>
          <cell r="K89">
            <v>0</v>
          </cell>
          <cell r="L89">
            <v>0</v>
          </cell>
          <cell r="M89">
            <v>0</v>
          </cell>
          <cell r="N89">
            <v>0</v>
          </cell>
          <cell r="O89">
            <v>0</v>
          </cell>
          <cell r="P89">
            <v>0</v>
          </cell>
          <cell r="Q89">
            <v>0</v>
          </cell>
          <cell r="R89">
            <v>0</v>
          </cell>
          <cell r="S89">
            <v>0</v>
          </cell>
          <cell r="T89">
            <v>0</v>
          </cell>
          <cell r="U89">
            <v>0</v>
          </cell>
          <cell r="V89">
            <v>0</v>
          </cell>
          <cell r="W89">
            <v>0</v>
          </cell>
          <cell r="X89">
            <v>0</v>
          </cell>
          <cell r="Y89">
            <v>0</v>
          </cell>
          <cell r="Z89">
            <v>0</v>
          </cell>
          <cell r="AA89">
            <v>0</v>
          </cell>
          <cell r="AB89">
            <v>0</v>
          </cell>
          <cell r="AC89">
            <v>0</v>
          </cell>
          <cell r="AD89">
            <v>0</v>
          </cell>
          <cell r="AE89">
            <v>0</v>
          </cell>
          <cell r="AF89">
            <v>0</v>
          </cell>
          <cell r="AG89">
            <v>0</v>
          </cell>
          <cell r="AH89">
            <v>0</v>
          </cell>
          <cell r="AI89">
            <v>0</v>
          </cell>
          <cell r="AJ89">
            <v>0</v>
          </cell>
          <cell r="AK89">
            <v>0</v>
          </cell>
          <cell r="AL89">
            <v>0</v>
          </cell>
          <cell r="AM89">
            <v>0</v>
          </cell>
          <cell r="AN89">
            <v>0</v>
          </cell>
          <cell r="AO89">
            <v>0</v>
          </cell>
          <cell r="AP89">
            <v>0</v>
          </cell>
          <cell r="AQ89">
            <v>0</v>
          </cell>
          <cell r="AR89">
            <v>0</v>
          </cell>
          <cell r="AS89">
            <v>0</v>
          </cell>
          <cell r="AT89">
            <v>0</v>
          </cell>
          <cell r="AU89">
            <v>0</v>
          </cell>
          <cell r="AV89">
            <v>0</v>
          </cell>
          <cell r="AW89">
            <v>0</v>
          </cell>
          <cell r="AX89">
            <v>0</v>
          </cell>
          <cell r="AY89">
            <v>0</v>
          </cell>
          <cell r="AZ89">
            <v>0</v>
          </cell>
          <cell r="BA89" t="e">
            <v>#N/A</v>
          </cell>
        </row>
        <row r="90">
          <cell r="C90">
            <v>0</v>
          </cell>
          <cell r="D90">
            <v>0</v>
          </cell>
          <cell r="E90">
            <v>0</v>
          </cell>
          <cell r="F90">
            <v>0</v>
          </cell>
          <cell r="G90">
            <v>0</v>
          </cell>
          <cell r="I90">
            <v>0</v>
          </cell>
          <cell r="J90">
            <v>0</v>
          </cell>
          <cell r="K90">
            <v>0</v>
          </cell>
          <cell r="L90">
            <v>0</v>
          </cell>
          <cell r="M90">
            <v>0</v>
          </cell>
          <cell r="N90">
            <v>0</v>
          </cell>
          <cell r="O90">
            <v>0</v>
          </cell>
          <cell r="P90">
            <v>0</v>
          </cell>
          <cell r="Q90">
            <v>0</v>
          </cell>
          <cell r="R90">
            <v>0</v>
          </cell>
          <cell r="S90">
            <v>0</v>
          </cell>
          <cell r="T90">
            <v>0</v>
          </cell>
          <cell r="U90">
            <v>0</v>
          </cell>
          <cell r="V90">
            <v>0</v>
          </cell>
          <cell r="W90">
            <v>0</v>
          </cell>
          <cell r="X90">
            <v>0</v>
          </cell>
          <cell r="Y90">
            <v>0</v>
          </cell>
          <cell r="Z90">
            <v>0</v>
          </cell>
          <cell r="AA90">
            <v>0</v>
          </cell>
          <cell r="AB90">
            <v>0</v>
          </cell>
          <cell r="AC90">
            <v>0</v>
          </cell>
          <cell r="AD90">
            <v>0</v>
          </cell>
          <cell r="AE90">
            <v>0</v>
          </cell>
          <cell r="AF90">
            <v>0</v>
          </cell>
          <cell r="AG90">
            <v>0</v>
          </cell>
          <cell r="AH90">
            <v>0</v>
          </cell>
          <cell r="AI90">
            <v>0</v>
          </cell>
          <cell r="AJ90">
            <v>0</v>
          </cell>
          <cell r="AK90">
            <v>0</v>
          </cell>
          <cell r="AL90">
            <v>0</v>
          </cell>
          <cell r="AM90">
            <v>0</v>
          </cell>
          <cell r="AN90">
            <v>0</v>
          </cell>
          <cell r="AO90">
            <v>0</v>
          </cell>
          <cell r="AP90">
            <v>0</v>
          </cell>
          <cell r="AQ90">
            <v>0</v>
          </cell>
          <cell r="AR90">
            <v>0</v>
          </cell>
          <cell r="AS90">
            <v>0</v>
          </cell>
          <cell r="AT90">
            <v>0</v>
          </cell>
          <cell r="AU90">
            <v>0</v>
          </cell>
          <cell r="AV90">
            <v>0</v>
          </cell>
          <cell r="AW90">
            <v>0</v>
          </cell>
          <cell r="AX90">
            <v>0</v>
          </cell>
          <cell r="AY90">
            <v>0</v>
          </cell>
          <cell r="AZ90">
            <v>0</v>
          </cell>
          <cell r="BA90" t="e">
            <v>#N/A</v>
          </cell>
        </row>
        <row r="91">
          <cell r="C91">
            <v>0</v>
          </cell>
          <cell r="D91">
            <v>0</v>
          </cell>
          <cell r="E91">
            <v>0</v>
          </cell>
          <cell r="F91">
            <v>0</v>
          </cell>
          <cell r="G91">
            <v>0</v>
          </cell>
          <cell r="I91">
            <v>0</v>
          </cell>
          <cell r="J91">
            <v>0</v>
          </cell>
          <cell r="K91">
            <v>0</v>
          </cell>
          <cell r="L91">
            <v>0</v>
          </cell>
          <cell r="M91">
            <v>0</v>
          </cell>
          <cell r="N91">
            <v>0</v>
          </cell>
          <cell r="O91">
            <v>0</v>
          </cell>
          <cell r="P91">
            <v>0</v>
          </cell>
          <cell r="Q91">
            <v>0</v>
          </cell>
          <cell r="R91">
            <v>0</v>
          </cell>
          <cell r="S91">
            <v>0</v>
          </cell>
          <cell r="T91">
            <v>0</v>
          </cell>
          <cell r="U91">
            <v>0</v>
          </cell>
          <cell r="V91">
            <v>0</v>
          </cell>
          <cell r="W91">
            <v>0</v>
          </cell>
          <cell r="X91">
            <v>0</v>
          </cell>
          <cell r="Y91">
            <v>0</v>
          </cell>
          <cell r="Z91">
            <v>0</v>
          </cell>
          <cell r="AA91">
            <v>0</v>
          </cell>
          <cell r="AB91">
            <v>0</v>
          </cell>
          <cell r="AC91">
            <v>0</v>
          </cell>
          <cell r="AD91">
            <v>0</v>
          </cell>
          <cell r="AE91">
            <v>0</v>
          </cell>
          <cell r="AF91">
            <v>0</v>
          </cell>
          <cell r="AG91">
            <v>0</v>
          </cell>
          <cell r="AH91">
            <v>0</v>
          </cell>
          <cell r="AI91">
            <v>0</v>
          </cell>
          <cell r="AJ91">
            <v>0</v>
          </cell>
          <cell r="AK91">
            <v>0</v>
          </cell>
          <cell r="AL91">
            <v>0</v>
          </cell>
          <cell r="AM91">
            <v>0</v>
          </cell>
          <cell r="AN91">
            <v>0</v>
          </cell>
          <cell r="AO91">
            <v>0</v>
          </cell>
          <cell r="AP91">
            <v>0</v>
          </cell>
          <cell r="AQ91">
            <v>0</v>
          </cell>
          <cell r="AR91">
            <v>0</v>
          </cell>
          <cell r="AS91">
            <v>0</v>
          </cell>
          <cell r="AT91">
            <v>0</v>
          </cell>
          <cell r="AU91">
            <v>0</v>
          </cell>
          <cell r="AV91">
            <v>0</v>
          </cell>
          <cell r="AW91">
            <v>0</v>
          </cell>
          <cell r="AX91">
            <v>0</v>
          </cell>
          <cell r="AY91">
            <v>0</v>
          </cell>
          <cell r="AZ91">
            <v>0</v>
          </cell>
          <cell r="BA91" t="e">
            <v>#N/A</v>
          </cell>
        </row>
        <row r="92">
          <cell r="C92">
            <v>0</v>
          </cell>
          <cell r="D92">
            <v>0</v>
          </cell>
          <cell r="E92">
            <v>0</v>
          </cell>
          <cell r="F92">
            <v>0</v>
          </cell>
          <cell r="G92">
            <v>0</v>
          </cell>
          <cell r="I92">
            <v>0</v>
          </cell>
          <cell r="J92">
            <v>0</v>
          </cell>
          <cell r="K92">
            <v>0</v>
          </cell>
          <cell r="L92">
            <v>0</v>
          </cell>
          <cell r="M92">
            <v>0</v>
          </cell>
          <cell r="N92">
            <v>0</v>
          </cell>
          <cell r="O92">
            <v>0</v>
          </cell>
          <cell r="P92">
            <v>0</v>
          </cell>
          <cell r="Q92">
            <v>0</v>
          </cell>
          <cell r="R92">
            <v>0</v>
          </cell>
          <cell r="S92">
            <v>0</v>
          </cell>
          <cell r="T92">
            <v>0</v>
          </cell>
          <cell r="U92">
            <v>0</v>
          </cell>
          <cell r="V92">
            <v>0</v>
          </cell>
          <cell r="W92">
            <v>0</v>
          </cell>
          <cell r="X92">
            <v>0</v>
          </cell>
          <cell r="Y92">
            <v>0</v>
          </cell>
          <cell r="Z92">
            <v>0</v>
          </cell>
          <cell r="AA92">
            <v>0</v>
          </cell>
          <cell r="AB92">
            <v>0</v>
          </cell>
          <cell r="AC92">
            <v>0</v>
          </cell>
          <cell r="AD92">
            <v>0</v>
          </cell>
          <cell r="AE92">
            <v>0</v>
          </cell>
          <cell r="AF92">
            <v>0</v>
          </cell>
          <cell r="AG92">
            <v>0</v>
          </cell>
          <cell r="AH92">
            <v>0</v>
          </cell>
          <cell r="AI92">
            <v>0</v>
          </cell>
          <cell r="AJ92">
            <v>0</v>
          </cell>
          <cell r="AK92">
            <v>0</v>
          </cell>
          <cell r="AL92">
            <v>0</v>
          </cell>
          <cell r="AM92">
            <v>0</v>
          </cell>
          <cell r="AN92">
            <v>0</v>
          </cell>
          <cell r="AO92">
            <v>0</v>
          </cell>
          <cell r="AP92">
            <v>0</v>
          </cell>
          <cell r="AQ92">
            <v>0</v>
          </cell>
          <cell r="AR92">
            <v>0</v>
          </cell>
          <cell r="AS92">
            <v>0</v>
          </cell>
          <cell r="AT92">
            <v>0</v>
          </cell>
          <cell r="AU92">
            <v>0</v>
          </cell>
          <cell r="AV92">
            <v>0</v>
          </cell>
          <cell r="AW92">
            <v>0</v>
          </cell>
          <cell r="AX92">
            <v>0</v>
          </cell>
          <cell r="AY92">
            <v>0</v>
          </cell>
          <cell r="AZ92">
            <v>0</v>
          </cell>
          <cell r="BA92" t="e">
            <v>#N/A</v>
          </cell>
        </row>
        <row r="93">
          <cell r="C93">
            <v>44</v>
          </cell>
          <cell r="D93">
            <v>0</v>
          </cell>
          <cell r="I93">
            <v>0</v>
          </cell>
          <cell r="J93">
            <v>0</v>
          </cell>
          <cell r="K93">
            <v>0</v>
          </cell>
          <cell r="L93">
            <v>0</v>
          </cell>
          <cell r="M93">
            <v>0</v>
          </cell>
          <cell r="N93">
            <v>0</v>
          </cell>
          <cell r="O93">
            <v>0</v>
          </cell>
          <cell r="P93">
            <v>0</v>
          </cell>
          <cell r="Q93">
            <v>0</v>
          </cell>
          <cell r="R93">
            <v>0</v>
          </cell>
          <cell r="S93">
            <v>0</v>
          </cell>
          <cell r="T93">
            <v>0</v>
          </cell>
          <cell r="U93">
            <v>0</v>
          </cell>
          <cell r="V93">
            <v>0</v>
          </cell>
          <cell r="W93">
            <v>0</v>
          </cell>
          <cell r="X93">
            <v>0</v>
          </cell>
          <cell r="Y93">
            <v>0</v>
          </cell>
          <cell r="Z93">
            <v>0</v>
          </cell>
          <cell r="AA93">
            <v>0</v>
          </cell>
          <cell r="AB93">
            <v>0</v>
          </cell>
          <cell r="AC93">
            <v>0</v>
          </cell>
          <cell r="AD93">
            <v>0</v>
          </cell>
          <cell r="AE93">
            <v>0</v>
          </cell>
          <cell r="AF93">
            <v>0</v>
          </cell>
          <cell r="AG93">
            <v>0</v>
          </cell>
          <cell r="AH93">
            <v>0</v>
          </cell>
          <cell r="AI93">
            <v>0</v>
          </cell>
          <cell r="AJ93">
            <v>0</v>
          </cell>
          <cell r="AK93">
            <v>0</v>
          </cell>
          <cell r="AL93">
            <v>0</v>
          </cell>
          <cell r="AM93">
            <v>0</v>
          </cell>
          <cell r="AN93">
            <v>0</v>
          </cell>
          <cell r="AO93">
            <v>0</v>
          </cell>
          <cell r="AP93">
            <v>0</v>
          </cell>
          <cell r="AQ93">
            <v>0</v>
          </cell>
          <cell r="AR93">
            <v>0</v>
          </cell>
          <cell r="AS93">
            <v>0</v>
          </cell>
          <cell r="AT93">
            <v>0</v>
          </cell>
          <cell r="AU93">
            <v>0</v>
          </cell>
          <cell r="AV93">
            <v>0</v>
          </cell>
          <cell r="AW93">
            <v>0</v>
          </cell>
          <cell r="AX93">
            <v>0</v>
          </cell>
          <cell r="AY93">
            <v>0</v>
          </cell>
          <cell r="AZ93">
            <v>0</v>
          </cell>
          <cell r="BA93">
            <v>0</v>
          </cell>
          <cell r="BB93">
            <v>0</v>
          </cell>
          <cell r="BC93">
            <v>0</v>
          </cell>
          <cell r="BD93">
            <v>0</v>
          </cell>
        </row>
        <row r="94">
          <cell r="C94">
            <v>0</v>
          </cell>
          <cell r="D94">
            <v>0</v>
          </cell>
          <cell r="E94">
            <v>0</v>
          </cell>
          <cell r="F94">
            <v>0</v>
          </cell>
          <cell r="G94" t="str">
            <v>ELCC</v>
          </cell>
          <cell r="I94">
            <v>0</v>
          </cell>
          <cell r="J94">
            <v>0</v>
          </cell>
          <cell r="K94">
            <v>0</v>
          </cell>
          <cell r="L94">
            <v>0</v>
          </cell>
          <cell r="M94">
            <v>0</v>
          </cell>
          <cell r="N94">
            <v>0</v>
          </cell>
          <cell r="O94">
            <v>0</v>
          </cell>
          <cell r="P94">
            <v>0</v>
          </cell>
          <cell r="Q94">
            <v>0</v>
          </cell>
          <cell r="R94">
            <v>0</v>
          </cell>
          <cell r="S94">
            <v>0</v>
          </cell>
          <cell r="T94">
            <v>0</v>
          </cell>
          <cell r="U94">
            <v>0</v>
          </cell>
          <cell r="V94">
            <v>0</v>
          </cell>
          <cell r="W94">
            <v>0</v>
          </cell>
          <cell r="X94">
            <v>0</v>
          </cell>
          <cell r="Y94">
            <v>0</v>
          </cell>
          <cell r="Z94">
            <v>0</v>
          </cell>
          <cell r="AA94">
            <v>0</v>
          </cell>
          <cell r="AB94">
            <v>0</v>
          </cell>
          <cell r="AC94">
            <v>0</v>
          </cell>
          <cell r="AD94">
            <v>0</v>
          </cell>
          <cell r="AE94">
            <v>0</v>
          </cell>
          <cell r="AF94">
            <v>0</v>
          </cell>
          <cell r="AG94">
            <v>0</v>
          </cell>
          <cell r="AH94">
            <v>0</v>
          </cell>
          <cell r="AI94">
            <v>0</v>
          </cell>
          <cell r="AJ94">
            <v>0</v>
          </cell>
          <cell r="AK94">
            <v>0</v>
          </cell>
          <cell r="AL94">
            <v>0</v>
          </cell>
          <cell r="AM94">
            <v>0</v>
          </cell>
          <cell r="AN94">
            <v>0</v>
          </cell>
          <cell r="AO94">
            <v>0</v>
          </cell>
          <cell r="AP94">
            <v>0</v>
          </cell>
          <cell r="AQ94">
            <v>0</v>
          </cell>
          <cell r="AR94">
            <v>0</v>
          </cell>
          <cell r="AS94">
            <v>0</v>
          </cell>
          <cell r="AT94">
            <v>0</v>
          </cell>
          <cell r="AU94">
            <v>0</v>
          </cell>
          <cell r="AV94">
            <v>0</v>
          </cell>
          <cell r="AW94">
            <v>0</v>
          </cell>
          <cell r="AX94">
            <v>0</v>
          </cell>
          <cell r="AY94">
            <v>0</v>
          </cell>
          <cell r="AZ94">
            <v>0</v>
          </cell>
        </row>
        <row r="95">
          <cell r="C95" t="str">
            <v>EPP-N</v>
          </cell>
          <cell r="D95" t="str">
            <v>Electricity</v>
          </cell>
          <cell r="E95" t="str">
            <v>ELCC</v>
          </cell>
          <cell r="F95">
            <v>0</v>
          </cell>
          <cell r="G95" t="str">
            <v>PWREPN</v>
          </cell>
          <cell r="I95">
            <v>0.73000000000000009</v>
          </cell>
          <cell r="K95">
            <v>0</v>
          </cell>
          <cell r="L95">
            <v>0</v>
          </cell>
          <cell r="M95">
            <v>0</v>
          </cell>
          <cell r="N95">
            <v>0</v>
          </cell>
          <cell r="O95">
            <v>0</v>
          </cell>
          <cell r="P95">
            <v>0</v>
          </cell>
          <cell r="Q95">
            <v>0</v>
          </cell>
          <cell r="R95">
            <v>0</v>
          </cell>
          <cell r="S95">
            <v>0</v>
          </cell>
          <cell r="T95">
            <v>0</v>
          </cell>
          <cell r="U95">
            <v>0</v>
          </cell>
          <cell r="V95">
            <v>0</v>
          </cell>
          <cell r="W95">
            <v>0</v>
          </cell>
          <cell r="X95">
            <v>0</v>
          </cell>
          <cell r="Y95">
            <v>0</v>
          </cell>
          <cell r="Z95">
            <v>0</v>
          </cell>
          <cell r="AA95">
            <v>0</v>
          </cell>
          <cell r="AB95">
            <v>0</v>
          </cell>
          <cell r="AC95">
            <v>0</v>
          </cell>
          <cell r="AD95">
            <v>0</v>
          </cell>
          <cell r="AE95">
            <v>0</v>
          </cell>
          <cell r="AF95">
            <v>0</v>
          </cell>
          <cell r="AG95">
            <v>0</v>
          </cell>
          <cell r="AH95">
            <v>0</v>
          </cell>
          <cell r="AI95">
            <v>0</v>
          </cell>
          <cell r="AJ95">
            <v>0</v>
          </cell>
          <cell r="AK95">
            <v>0</v>
          </cell>
          <cell r="AL95">
            <v>0</v>
          </cell>
          <cell r="AM95">
            <v>0</v>
          </cell>
          <cell r="AN95">
            <v>0</v>
          </cell>
          <cell r="AO95">
            <v>0</v>
          </cell>
          <cell r="AP95">
            <v>0</v>
          </cell>
          <cell r="AQ95">
            <v>0</v>
          </cell>
          <cell r="AR95">
            <v>0</v>
          </cell>
          <cell r="AS95">
            <v>0</v>
          </cell>
          <cell r="AT95">
            <v>0</v>
          </cell>
          <cell r="AU95">
            <v>0</v>
          </cell>
          <cell r="AV95">
            <v>0</v>
          </cell>
          <cell r="AW95">
            <v>0</v>
          </cell>
          <cell r="AX95">
            <v>0</v>
          </cell>
          <cell r="AY95">
            <v>0</v>
          </cell>
          <cell r="AZ95">
            <v>0</v>
          </cell>
        </row>
        <row r="96">
          <cell r="C96" t="str">
            <v>EPD-N</v>
          </cell>
          <cell r="D96" t="str">
            <v>Power Sector - PS Dummy Commodity - New</v>
          </cell>
          <cell r="E96" t="str">
            <v>PWREPN</v>
          </cell>
          <cell r="F96">
            <v>0</v>
          </cell>
          <cell r="G96" t="str">
            <v>PWREPN</v>
          </cell>
          <cell r="I96">
            <v>0</v>
          </cell>
          <cell r="J96">
            <v>0</v>
          </cell>
          <cell r="K96">
            <v>0</v>
          </cell>
          <cell r="L96">
            <v>0</v>
          </cell>
          <cell r="M96">
            <v>0</v>
          </cell>
          <cell r="N96">
            <v>0</v>
          </cell>
          <cell r="O96">
            <v>0</v>
          </cell>
          <cell r="P96">
            <v>0</v>
          </cell>
          <cell r="Q96">
            <v>0</v>
          </cell>
          <cell r="R96">
            <v>0</v>
          </cell>
          <cell r="S96">
            <v>0</v>
          </cell>
          <cell r="T96">
            <v>0</v>
          </cell>
          <cell r="U96">
            <v>0</v>
          </cell>
          <cell r="V96">
            <v>0</v>
          </cell>
          <cell r="W96">
            <v>0</v>
          </cell>
          <cell r="X96">
            <v>0</v>
          </cell>
          <cell r="Y96">
            <v>0</v>
          </cell>
          <cell r="Z96">
            <v>0</v>
          </cell>
          <cell r="AA96">
            <v>0</v>
          </cell>
          <cell r="AB96">
            <v>0</v>
          </cell>
          <cell r="AC96">
            <v>0</v>
          </cell>
          <cell r="AD96">
            <v>0</v>
          </cell>
          <cell r="AE96">
            <v>0</v>
          </cell>
          <cell r="AF96">
            <v>0</v>
          </cell>
          <cell r="AG96">
            <v>0</v>
          </cell>
          <cell r="AH96">
            <v>0</v>
          </cell>
          <cell r="AI96">
            <v>0</v>
          </cell>
          <cell r="AJ96">
            <v>0</v>
          </cell>
          <cell r="AK96">
            <v>0</v>
          </cell>
          <cell r="AL96">
            <v>0</v>
          </cell>
          <cell r="AM96">
            <v>0</v>
          </cell>
          <cell r="AN96">
            <v>0</v>
          </cell>
          <cell r="AO96">
            <v>0</v>
          </cell>
          <cell r="AP96">
            <v>0</v>
          </cell>
          <cell r="AQ96">
            <v>0</v>
          </cell>
          <cell r="AR96">
            <v>0</v>
          </cell>
          <cell r="AS96">
            <v>0</v>
          </cell>
          <cell r="AT96">
            <v>0</v>
          </cell>
          <cell r="AU96">
            <v>0</v>
          </cell>
          <cell r="AV96">
            <v>0</v>
          </cell>
          <cell r="AW96">
            <v>0</v>
          </cell>
          <cell r="AX96">
            <v>0</v>
          </cell>
          <cell r="AY96">
            <v>0</v>
          </cell>
          <cell r="AZ96">
            <v>0</v>
          </cell>
        </row>
        <row r="97">
          <cell r="C97" t="str">
            <v>EPT-N</v>
          </cell>
          <cell r="D97" t="str">
            <v>Power Sector - PS Dummy Commodity - New</v>
          </cell>
          <cell r="E97" t="str">
            <v>PWREPN</v>
          </cell>
          <cell r="F97">
            <v>0</v>
          </cell>
          <cell r="G97" t="str">
            <v>ELCC</v>
          </cell>
          <cell r="I97">
            <v>0</v>
          </cell>
          <cell r="J97">
            <v>1</v>
          </cell>
          <cell r="K97">
            <v>0.94</v>
          </cell>
          <cell r="L97">
            <v>0.24500000000000002</v>
          </cell>
          <cell r="M97">
            <v>50</v>
          </cell>
          <cell r="N97">
            <v>7</v>
          </cell>
          <cell r="O97">
            <v>0</v>
          </cell>
          <cell r="P97">
            <v>0</v>
          </cell>
          <cell r="Q97">
            <v>134.47653429602886</v>
          </cell>
          <cell r="R97">
            <v>4.4223826714801442</v>
          </cell>
          <cell r="S97">
            <v>2010</v>
          </cell>
          <cell r="T97">
            <v>0.33300000000000002</v>
          </cell>
          <cell r="U97">
            <v>0</v>
          </cell>
          <cell r="V97">
            <v>0</v>
          </cell>
          <cell r="W97">
            <v>15513.537906137182</v>
          </cell>
          <cell r="X97">
            <v>15513.537906137182</v>
          </cell>
          <cell r="Y97">
            <v>15513.537906137182</v>
          </cell>
          <cell r="Z97">
            <v>15513.537906137182</v>
          </cell>
          <cell r="AA97">
            <v>15513.537906137182</v>
          </cell>
          <cell r="AB97">
            <v>15513.537906137182</v>
          </cell>
          <cell r="AC97">
            <v>15513.537906137182</v>
          </cell>
          <cell r="AD97">
            <v>15513.537906137182</v>
          </cell>
          <cell r="AE97">
            <v>15513.537906137182</v>
          </cell>
          <cell r="AF97">
            <v>15513.537906137182</v>
          </cell>
          <cell r="AG97">
            <v>0</v>
          </cell>
          <cell r="AH97">
            <v>0</v>
          </cell>
          <cell r="AI97">
            <v>0</v>
          </cell>
          <cell r="AJ97">
            <v>0</v>
          </cell>
          <cell r="AK97">
            <v>4.3319999999999999</v>
          </cell>
          <cell r="AL97">
            <v>0</v>
          </cell>
          <cell r="AM97">
            <v>0</v>
          </cell>
          <cell r="AN97">
            <v>0</v>
          </cell>
          <cell r="AO97">
            <v>0</v>
          </cell>
          <cell r="AP97">
            <v>0</v>
          </cell>
          <cell r="AQ97">
            <v>0</v>
          </cell>
          <cell r="AR97">
            <v>0</v>
          </cell>
          <cell r="AS97">
            <v>0</v>
          </cell>
          <cell r="AT97">
            <v>1.3320000000000001</v>
          </cell>
          <cell r="AU97">
            <v>0</v>
          </cell>
          <cell r="AV97">
            <v>0</v>
          </cell>
          <cell r="AW97">
            <v>0</v>
          </cell>
          <cell r="AX97">
            <v>0</v>
          </cell>
          <cell r="AY97">
            <v>0</v>
          </cell>
          <cell r="AZ97">
            <v>0</v>
          </cell>
          <cell r="BA97">
            <v>47</v>
          </cell>
        </row>
        <row r="98">
          <cell r="C98">
            <v>0</v>
          </cell>
          <cell r="D98">
            <v>0</v>
          </cell>
          <cell r="I98">
            <v>0</v>
          </cell>
          <cell r="J98">
            <v>0</v>
          </cell>
          <cell r="K98">
            <v>0</v>
          </cell>
          <cell r="L98">
            <v>0</v>
          </cell>
          <cell r="M98">
            <v>0</v>
          </cell>
          <cell r="N98">
            <v>0</v>
          </cell>
          <cell r="O98">
            <v>0</v>
          </cell>
          <cell r="P98">
            <v>0</v>
          </cell>
          <cell r="Q98">
            <v>0</v>
          </cell>
          <cell r="R98">
            <v>0</v>
          </cell>
          <cell r="S98">
            <v>0</v>
          </cell>
          <cell r="T98">
            <v>0</v>
          </cell>
          <cell r="U98">
            <v>0</v>
          </cell>
          <cell r="V98">
            <v>0</v>
          </cell>
          <cell r="W98">
            <v>0</v>
          </cell>
          <cell r="X98">
            <v>0</v>
          </cell>
          <cell r="Y98">
            <v>0</v>
          </cell>
          <cell r="Z98">
            <v>0</v>
          </cell>
          <cell r="AA98">
            <v>0</v>
          </cell>
          <cell r="AB98">
            <v>0</v>
          </cell>
          <cell r="AC98">
            <v>0</v>
          </cell>
          <cell r="AD98">
            <v>0</v>
          </cell>
          <cell r="AE98">
            <v>0</v>
          </cell>
          <cell r="AF98">
            <v>0</v>
          </cell>
          <cell r="AG98">
            <v>0</v>
          </cell>
          <cell r="AH98">
            <v>0</v>
          </cell>
          <cell r="AI98">
            <v>0</v>
          </cell>
          <cell r="AJ98">
            <v>0</v>
          </cell>
          <cell r="AK98">
            <v>0</v>
          </cell>
          <cell r="AL98">
            <v>0</v>
          </cell>
          <cell r="AM98">
            <v>0</v>
          </cell>
          <cell r="AN98">
            <v>0</v>
          </cell>
          <cell r="AO98">
            <v>0</v>
          </cell>
          <cell r="AP98">
            <v>0</v>
          </cell>
          <cell r="AQ98">
            <v>0</v>
          </cell>
          <cell r="AR98">
            <v>0</v>
          </cell>
          <cell r="AS98">
            <v>0</v>
          </cell>
          <cell r="AT98">
            <v>0</v>
          </cell>
          <cell r="AU98">
            <v>0</v>
          </cell>
          <cell r="AV98">
            <v>0</v>
          </cell>
          <cell r="AW98">
            <v>0</v>
          </cell>
          <cell r="AX98">
            <v>0</v>
          </cell>
          <cell r="AY98">
            <v>0</v>
          </cell>
          <cell r="AZ98">
            <v>0</v>
          </cell>
          <cell r="BA98">
            <v>0</v>
          </cell>
          <cell r="BB98">
            <v>0</v>
          </cell>
          <cell r="BC98">
            <v>0</v>
          </cell>
          <cell r="BD98">
            <v>0</v>
          </cell>
        </row>
        <row r="99">
          <cell r="C99" t="str">
            <v>EHBIW-N</v>
          </cell>
          <cell r="D99" t="str">
            <v>Biomass Wood</v>
          </cell>
          <cell r="E99" t="str">
            <v>PWRBIW</v>
          </cell>
          <cell r="F99">
            <v>0</v>
          </cell>
          <cell r="G99" t="str">
            <v>INDELC</v>
          </cell>
          <cell r="H99">
            <v>0</v>
          </cell>
          <cell r="I99">
            <v>0.75</v>
          </cell>
          <cell r="J99">
            <v>0.1</v>
          </cell>
          <cell r="K99">
            <v>0.9</v>
          </cell>
          <cell r="L99">
            <v>0.94</v>
          </cell>
          <cell r="M99">
            <v>30</v>
          </cell>
          <cell r="N99">
            <v>3</v>
          </cell>
          <cell r="O99">
            <v>58.333333333333329</v>
          </cell>
          <cell r="P99">
            <v>0</v>
          </cell>
          <cell r="Q99">
            <v>972</v>
          </cell>
          <cell r="R99">
            <v>0</v>
          </cell>
          <cell r="S99">
            <v>2010</v>
          </cell>
          <cell r="T99">
            <v>0.01</v>
          </cell>
          <cell r="U99">
            <v>0</v>
          </cell>
          <cell r="V99">
            <v>0</v>
          </cell>
          <cell r="W99">
            <v>32400.722021660647</v>
          </cell>
          <cell r="X99">
            <v>31632.112965631113</v>
          </cell>
          <cell r="Y99">
            <v>30908.967821704216</v>
          </cell>
          <cell r="Z99">
            <v>30390.247694519534</v>
          </cell>
          <cell r="AA99">
            <v>29902.155299678052</v>
          </cell>
          <cell r="AB99">
            <v>29600.223147230376</v>
          </cell>
          <cell r="AC99">
            <v>29322.055713393769</v>
          </cell>
          <cell r="AD99">
            <v>29116.941416764559</v>
          </cell>
          <cell r="AE99">
            <v>28913.333179177218</v>
          </cell>
          <cell r="AF99">
            <v>28812.081339234246</v>
          </cell>
          <cell r="AG99">
            <v>0</v>
          </cell>
          <cell r="AH99">
            <v>0</v>
          </cell>
          <cell r="AI99">
            <v>0</v>
          </cell>
          <cell r="AJ99">
            <v>0</v>
          </cell>
          <cell r="AK99">
            <v>1</v>
          </cell>
          <cell r="AL99">
            <v>0</v>
          </cell>
          <cell r="AM99">
            <v>0</v>
          </cell>
          <cell r="AN99">
            <v>0</v>
          </cell>
          <cell r="AO99">
            <v>0</v>
          </cell>
          <cell r="AP99">
            <v>0</v>
          </cell>
          <cell r="AQ99">
            <v>0</v>
          </cell>
          <cell r="AR99">
            <v>0</v>
          </cell>
          <cell r="AS99">
            <v>0</v>
          </cell>
          <cell r="AT99">
            <v>0</v>
          </cell>
          <cell r="AU99">
            <v>0</v>
          </cell>
          <cell r="AV99">
            <v>0</v>
          </cell>
          <cell r="AW99">
            <v>0</v>
          </cell>
          <cell r="AX99">
            <v>0</v>
          </cell>
          <cell r="AY99">
            <v>0</v>
          </cell>
          <cell r="AZ99">
            <v>0</v>
          </cell>
          <cell r="BA99">
            <v>44</v>
          </cell>
        </row>
        <row r="100">
          <cell r="C100" t="str">
            <v>EHBIB-N</v>
          </cell>
          <cell r="D100" t="str">
            <v>Biomass bagasse</v>
          </cell>
          <cell r="E100" t="str">
            <v>PWRBIB</v>
          </cell>
          <cell r="F100">
            <v>0</v>
          </cell>
          <cell r="G100" t="str">
            <v>INDELC</v>
          </cell>
          <cell r="H100">
            <v>0</v>
          </cell>
          <cell r="I100">
            <v>0.75</v>
          </cell>
          <cell r="K100">
            <v>0</v>
          </cell>
          <cell r="L100">
            <v>0</v>
          </cell>
          <cell r="M100">
            <v>0</v>
          </cell>
          <cell r="N100">
            <v>3</v>
          </cell>
          <cell r="O100">
            <v>55.555555555555557</v>
          </cell>
          <cell r="P100">
            <v>0</v>
          </cell>
          <cell r="Q100">
            <v>310</v>
          </cell>
          <cell r="R100">
            <v>0</v>
          </cell>
          <cell r="S100">
            <v>2010</v>
          </cell>
          <cell r="T100">
            <v>2.5000000000000001E-2</v>
          </cell>
          <cell r="U100">
            <v>0</v>
          </cell>
          <cell r="V100">
            <v>0</v>
          </cell>
          <cell r="W100">
            <v>20021.660649819492</v>
          </cell>
          <cell r="X100">
            <v>19546.707354583861</v>
          </cell>
          <cell r="Y100">
            <v>19099.847970938335</v>
          </cell>
          <cell r="Z100">
            <v>18779.310720201152</v>
          </cell>
          <cell r="AA100">
            <v>18477.699531143673</v>
          </cell>
          <cell r="AB100">
            <v>18291.123963737009</v>
          </cell>
          <cell r="AC100">
            <v>18119.233536098254</v>
          </cell>
          <cell r="AD100">
            <v>17992.485470459749</v>
          </cell>
          <cell r="AE100">
            <v>17866.668057015806</v>
          </cell>
          <cell r="AF100">
            <v>17804.100624779177</v>
          </cell>
          <cell r="AG100">
            <v>0</v>
          </cell>
          <cell r="AH100">
            <v>0</v>
          </cell>
          <cell r="AI100">
            <v>0</v>
          </cell>
          <cell r="AJ100">
            <v>0</v>
          </cell>
          <cell r="AK100">
            <v>0</v>
          </cell>
          <cell r="AL100">
            <v>0</v>
          </cell>
          <cell r="AM100">
            <v>0</v>
          </cell>
          <cell r="AN100">
            <v>0</v>
          </cell>
          <cell r="AO100">
            <v>0</v>
          </cell>
          <cell r="AP100">
            <v>0</v>
          </cell>
          <cell r="AQ100">
            <v>0</v>
          </cell>
          <cell r="AR100">
            <v>0</v>
          </cell>
          <cell r="AS100">
            <v>0</v>
          </cell>
          <cell r="AT100">
            <v>0</v>
          </cell>
          <cell r="AU100">
            <v>0</v>
          </cell>
          <cell r="AV100">
            <v>0</v>
          </cell>
          <cell r="AW100">
            <v>0</v>
          </cell>
          <cell r="AX100">
            <v>0</v>
          </cell>
          <cell r="AY100">
            <v>0</v>
          </cell>
          <cell r="AZ100">
            <v>0</v>
          </cell>
          <cell r="BA100">
            <v>45</v>
          </cell>
        </row>
        <row r="101">
          <cell r="C101" t="str">
            <v>EHCLE-N</v>
          </cell>
          <cell r="D101" t="str">
            <v>Coal low grade</v>
          </cell>
          <cell r="E101" t="str">
            <v>PWRCLE</v>
          </cell>
          <cell r="F101">
            <v>0</v>
          </cell>
          <cell r="G101" t="str">
            <v>INDELC</v>
          </cell>
          <cell r="H101">
            <v>0</v>
          </cell>
          <cell r="I101">
            <v>0.75</v>
          </cell>
          <cell r="K101">
            <v>0</v>
          </cell>
          <cell r="L101">
            <v>0</v>
          </cell>
          <cell r="M101">
            <v>0</v>
          </cell>
          <cell r="N101">
            <v>1</v>
          </cell>
          <cell r="O101">
            <v>63.638888888888886</v>
          </cell>
          <cell r="P101">
            <v>277.77777777777777</v>
          </cell>
          <cell r="Q101">
            <v>274.85142535997028</v>
          </cell>
          <cell r="R101">
            <v>0</v>
          </cell>
          <cell r="S101">
            <v>2010</v>
          </cell>
          <cell r="T101">
            <v>2.5000000000000001E-2</v>
          </cell>
          <cell r="U101">
            <v>0</v>
          </cell>
          <cell r="V101">
            <v>0</v>
          </cell>
          <cell r="W101">
            <v>7064.8251352966272</v>
          </cell>
          <cell r="X101">
            <v>7064.8251352966272</v>
          </cell>
          <cell r="Y101">
            <v>7064.8251352966272</v>
          </cell>
          <cell r="Z101">
            <v>7064.8251352966272</v>
          </cell>
          <cell r="AA101">
            <v>7064.8251352966272</v>
          </cell>
          <cell r="AB101">
            <v>7064.8251352966272</v>
          </cell>
          <cell r="AC101">
            <v>7064.8251352966272</v>
          </cell>
          <cell r="AD101">
            <v>7064.8251352966272</v>
          </cell>
          <cell r="AE101">
            <v>7064.8251352966272</v>
          </cell>
          <cell r="AF101">
            <v>7064.8251352966272</v>
          </cell>
          <cell r="AG101">
            <v>0</v>
          </cell>
          <cell r="AH101">
            <v>0</v>
          </cell>
          <cell r="AI101">
            <v>0</v>
          </cell>
          <cell r="AJ101">
            <v>0</v>
          </cell>
          <cell r="AK101">
            <v>0</v>
          </cell>
          <cell r="AL101">
            <v>0</v>
          </cell>
          <cell r="AM101">
            <v>0</v>
          </cell>
          <cell r="AN101">
            <v>0</v>
          </cell>
          <cell r="AO101">
            <v>0</v>
          </cell>
          <cell r="AP101">
            <v>0</v>
          </cell>
          <cell r="AQ101">
            <v>0</v>
          </cell>
          <cell r="AR101">
            <v>0</v>
          </cell>
          <cell r="AS101">
            <v>0</v>
          </cell>
          <cell r="AT101">
            <v>0</v>
          </cell>
          <cell r="AU101">
            <v>0</v>
          </cell>
          <cell r="AV101">
            <v>0</v>
          </cell>
          <cell r="AW101">
            <v>0</v>
          </cell>
          <cell r="AX101">
            <v>0</v>
          </cell>
          <cell r="AY101">
            <v>0</v>
          </cell>
          <cell r="AZ101">
            <v>0</v>
          </cell>
          <cell r="BA101">
            <v>46</v>
          </cell>
        </row>
        <row r="102">
          <cell r="D102">
            <v>0</v>
          </cell>
          <cell r="I102">
            <v>0</v>
          </cell>
          <cell r="J102">
            <v>0</v>
          </cell>
          <cell r="K102">
            <v>0</v>
          </cell>
          <cell r="L102">
            <v>0</v>
          </cell>
          <cell r="M102">
            <v>0</v>
          </cell>
          <cell r="N102">
            <v>0</v>
          </cell>
          <cell r="O102">
            <v>0</v>
          </cell>
          <cell r="P102">
            <v>0</v>
          </cell>
          <cell r="Q102">
            <v>0</v>
          </cell>
          <cell r="R102">
            <v>0</v>
          </cell>
          <cell r="S102">
            <v>0</v>
          </cell>
          <cell r="T102">
            <v>0</v>
          </cell>
          <cell r="U102">
            <v>0</v>
          </cell>
          <cell r="V102">
            <v>0</v>
          </cell>
          <cell r="W102">
            <v>0</v>
          </cell>
          <cell r="X102">
            <v>0</v>
          </cell>
          <cell r="Y102">
            <v>0</v>
          </cell>
          <cell r="Z102">
            <v>0</v>
          </cell>
          <cell r="AA102">
            <v>0</v>
          </cell>
          <cell r="AB102">
            <v>0</v>
          </cell>
          <cell r="AC102">
            <v>0</v>
          </cell>
          <cell r="AD102">
            <v>0</v>
          </cell>
          <cell r="AE102">
            <v>0</v>
          </cell>
          <cell r="AF102">
            <v>0</v>
          </cell>
          <cell r="AG102">
            <v>0</v>
          </cell>
          <cell r="AH102">
            <v>0</v>
          </cell>
          <cell r="AI102">
            <v>0</v>
          </cell>
          <cell r="AJ102">
            <v>0</v>
          </cell>
          <cell r="AK102">
            <v>0</v>
          </cell>
          <cell r="AL102">
            <v>0</v>
          </cell>
          <cell r="AM102">
            <v>0</v>
          </cell>
          <cell r="AN102">
            <v>0</v>
          </cell>
          <cell r="AO102">
            <v>0</v>
          </cell>
          <cell r="AP102">
            <v>0</v>
          </cell>
          <cell r="AQ102">
            <v>0</v>
          </cell>
          <cell r="AR102">
            <v>0</v>
          </cell>
          <cell r="AS102">
            <v>0</v>
          </cell>
          <cell r="AT102">
            <v>0</v>
          </cell>
          <cell r="AU102">
            <v>0</v>
          </cell>
          <cell r="AV102">
            <v>0</v>
          </cell>
          <cell r="AW102">
            <v>0</v>
          </cell>
          <cell r="AX102">
            <v>0</v>
          </cell>
          <cell r="AY102">
            <v>0</v>
          </cell>
          <cell r="AZ102">
            <v>0</v>
          </cell>
        </row>
        <row r="103">
          <cell r="D103">
            <v>0</v>
          </cell>
          <cell r="I103">
            <v>0</v>
          </cell>
          <cell r="J103">
            <v>0</v>
          </cell>
          <cell r="K103">
            <v>0</v>
          </cell>
          <cell r="L103">
            <v>0</v>
          </cell>
          <cell r="M103">
            <v>0</v>
          </cell>
          <cell r="N103">
            <v>0</v>
          </cell>
          <cell r="O103">
            <v>0</v>
          </cell>
          <cell r="P103">
            <v>0</v>
          </cell>
          <cell r="Q103">
            <v>0</v>
          </cell>
          <cell r="R103">
            <v>0</v>
          </cell>
          <cell r="S103">
            <v>0</v>
          </cell>
          <cell r="T103">
            <v>0</v>
          </cell>
          <cell r="U103">
            <v>0</v>
          </cell>
          <cell r="V103">
            <v>0</v>
          </cell>
          <cell r="W103">
            <v>0</v>
          </cell>
          <cell r="X103">
            <v>0</v>
          </cell>
          <cell r="Y103">
            <v>0</v>
          </cell>
          <cell r="Z103">
            <v>0</v>
          </cell>
          <cell r="AA103">
            <v>0</v>
          </cell>
          <cell r="AB103">
            <v>0</v>
          </cell>
          <cell r="AC103">
            <v>0</v>
          </cell>
          <cell r="AD103">
            <v>0</v>
          </cell>
          <cell r="AE103">
            <v>0</v>
          </cell>
          <cell r="AF103">
            <v>0</v>
          </cell>
          <cell r="AG103">
            <v>0</v>
          </cell>
          <cell r="AH103">
            <v>0</v>
          </cell>
          <cell r="AI103">
            <v>0</v>
          </cell>
          <cell r="AJ103">
            <v>0</v>
          </cell>
          <cell r="AK103">
            <v>0</v>
          </cell>
          <cell r="AL103">
            <v>0</v>
          </cell>
          <cell r="AM103">
            <v>0</v>
          </cell>
          <cell r="AN103">
            <v>0</v>
          </cell>
          <cell r="AO103">
            <v>0</v>
          </cell>
          <cell r="AP103">
            <v>0</v>
          </cell>
          <cell r="AQ103">
            <v>0</v>
          </cell>
          <cell r="AR103">
            <v>0</v>
          </cell>
          <cell r="AS103">
            <v>0</v>
          </cell>
          <cell r="AT103">
            <v>0</v>
          </cell>
          <cell r="AU103">
            <v>0</v>
          </cell>
          <cell r="AV103">
            <v>0</v>
          </cell>
          <cell r="AW103">
            <v>0</v>
          </cell>
          <cell r="AX103">
            <v>0</v>
          </cell>
          <cell r="AY103">
            <v>0</v>
          </cell>
          <cell r="AZ103">
            <v>0</v>
          </cell>
        </row>
        <row r="104">
          <cell r="D104">
            <v>0</v>
          </cell>
          <cell r="I104">
            <v>0</v>
          </cell>
          <cell r="J104">
            <v>0</v>
          </cell>
          <cell r="K104">
            <v>0</v>
          </cell>
          <cell r="L104">
            <v>0</v>
          </cell>
          <cell r="M104">
            <v>0</v>
          </cell>
          <cell r="N104">
            <v>0</v>
          </cell>
          <cell r="O104">
            <v>0</v>
          </cell>
          <cell r="P104">
            <v>0</v>
          </cell>
          <cell r="Q104">
            <v>0</v>
          </cell>
          <cell r="R104">
            <v>0</v>
          </cell>
          <cell r="S104">
            <v>0</v>
          </cell>
          <cell r="T104">
            <v>0</v>
          </cell>
          <cell r="U104">
            <v>0</v>
          </cell>
          <cell r="V104">
            <v>0</v>
          </cell>
          <cell r="W104">
            <v>0</v>
          </cell>
          <cell r="X104">
            <v>0</v>
          </cell>
          <cell r="Y104">
            <v>0</v>
          </cell>
          <cell r="Z104">
            <v>0</v>
          </cell>
          <cell r="AA104">
            <v>0</v>
          </cell>
          <cell r="AB104">
            <v>0</v>
          </cell>
          <cell r="AC104">
            <v>0</v>
          </cell>
          <cell r="AD104">
            <v>0</v>
          </cell>
          <cell r="AE104">
            <v>0</v>
          </cell>
          <cell r="AF104">
            <v>0</v>
          </cell>
          <cell r="AG104">
            <v>0</v>
          </cell>
          <cell r="AH104">
            <v>0</v>
          </cell>
          <cell r="AI104">
            <v>0</v>
          </cell>
          <cell r="AJ104">
            <v>0</v>
          </cell>
          <cell r="AK104">
            <v>0</v>
          </cell>
          <cell r="AL104">
            <v>0</v>
          </cell>
          <cell r="AM104">
            <v>0</v>
          </cell>
          <cell r="AN104">
            <v>0</v>
          </cell>
          <cell r="AO104">
            <v>0</v>
          </cell>
          <cell r="AP104">
            <v>0</v>
          </cell>
          <cell r="AQ104">
            <v>0</v>
          </cell>
          <cell r="AR104">
            <v>0</v>
          </cell>
          <cell r="AS104">
            <v>0</v>
          </cell>
          <cell r="AT104">
            <v>0</v>
          </cell>
          <cell r="AU104">
            <v>0</v>
          </cell>
          <cell r="AV104">
            <v>0</v>
          </cell>
          <cell r="AW104">
            <v>0</v>
          </cell>
          <cell r="AX104">
            <v>0</v>
          </cell>
          <cell r="AY104">
            <v>0</v>
          </cell>
          <cell r="AZ104">
            <v>0</v>
          </cell>
        </row>
        <row r="105">
          <cell r="D105">
            <v>0</v>
          </cell>
          <cell r="I105">
            <v>0</v>
          </cell>
          <cell r="J105">
            <v>0</v>
          </cell>
          <cell r="K105">
            <v>0</v>
          </cell>
          <cell r="L105">
            <v>0</v>
          </cell>
          <cell r="M105">
            <v>0</v>
          </cell>
          <cell r="N105">
            <v>0</v>
          </cell>
          <cell r="O105">
            <v>0</v>
          </cell>
          <cell r="P105">
            <v>0</v>
          </cell>
          <cell r="Q105">
            <v>0</v>
          </cell>
          <cell r="R105">
            <v>0</v>
          </cell>
          <cell r="S105">
            <v>0</v>
          </cell>
          <cell r="T105">
            <v>0</v>
          </cell>
          <cell r="U105">
            <v>0</v>
          </cell>
          <cell r="V105">
            <v>0</v>
          </cell>
          <cell r="W105">
            <v>0</v>
          </cell>
          <cell r="X105">
            <v>0</v>
          </cell>
          <cell r="Y105">
            <v>0</v>
          </cell>
          <cell r="Z105">
            <v>0</v>
          </cell>
          <cell r="AA105">
            <v>0</v>
          </cell>
          <cell r="AB105">
            <v>0</v>
          </cell>
          <cell r="AC105">
            <v>0</v>
          </cell>
          <cell r="AD105">
            <v>0</v>
          </cell>
          <cell r="AE105">
            <v>0</v>
          </cell>
          <cell r="AF105">
            <v>0</v>
          </cell>
          <cell r="AG105">
            <v>0</v>
          </cell>
          <cell r="AH105">
            <v>0</v>
          </cell>
          <cell r="AI105">
            <v>0</v>
          </cell>
          <cell r="AJ105">
            <v>0</v>
          </cell>
          <cell r="AK105">
            <v>0</v>
          </cell>
          <cell r="AL105">
            <v>0</v>
          </cell>
          <cell r="AM105">
            <v>0</v>
          </cell>
          <cell r="AN105">
            <v>0</v>
          </cell>
          <cell r="AO105">
            <v>0</v>
          </cell>
          <cell r="AP105">
            <v>0</v>
          </cell>
          <cell r="AQ105">
            <v>0</v>
          </cell>
          <cell r="AR105">
            <v>0</v>
          </cell>
          <cell r="AS105">
            <v>0</v>
          </cell>
          <cell r="AT105">
            <v>0</v>
          </cell>
          <cell r="AU105">
            <v>0</v>
          </cell>
          <cell r="AV105">
            <v>0</v>
          </cell>
          <cell r="AW105">
            <v>0</v>
          </cell>
          <cell r="AX105">
            <v>0</v>
          </cell>
          <cell r="AY105">
            <v>0</v>
          </cell>
          <cell r="AZ105">
            <v>0</v>
          </cell>
        </row>
        <row r="106">
          <cell r="D106">
            <v>0</v>
          </cell>
          <cell r="I106">
            <v>0</v>
          </cell>
          <cell r="J106">
            <v>0</v>
          </cell>
          <cell r="K106">
            <v>0</v>
          </cell>
          <cell r="L106">
            <v>0</v>
          </cell>
          <cell r="M106">
            <v>0</v>
          </cell>
          <cell r="N106">
            <v>0</v>
          </cell>
          <cell r="O106">
            <v>0</v>
          </cell>
          <cell r="P106">
            <v>0</v>
          </cell>
          <cell r="Q106">
            <v>0</v>
          </cell>
          <cell r="R106">
            <v>0</v>
          </cell>
          <cell r="S106">
            <v>0</v>
          </cell>
          <cell r="T106">
            <v>0</v>
          </cell>
          <cell r="U106">
            <v>0</v>
          </cell>
          <cell r="V106">
            <v>0</v>
          </cell>
          <cell r="W106">
            <v>0</v>
          </cell>
          <cell r="X106">
            <v>0</v>
          </cell>
          <cell r="Y106">
            <v>0</v>
          </cell>
          <cell r="Z106">
            <v>0</v>
          </cell>
          <cell r="AA106">
            <v>0</v>
          </cell>
          <cell r="AB106">
            <v>0</v>
          </cell>
          <cell r="AC106">
            <v>0</v>
          </cell>
          <cell r="AD106">
            <v>0</v>
          </cell>
          <cell r="AE106">
            <v>0</v>
          </cell>
          <cell r="AF106">
            <v>0</v>
          </cell>
          <cell r="AG106">
            <v>0</v>
          </cell>
          <cell r="AH106">
            <v>0</v>
          </cell>
          <cell r="AI106">
            <v>0</v>
          </cell>
          <cell r="AJ106">
            <v>0</v>
          </cell>
          <cell r="AK106">
            <v>0</v>
          </cell>
          <cell r="AL106">
            <v>0</v>
          </cell>
          <cell r="AM106">
            <v>0</v>
          </cell>
          <cell r="AN106">
            <v>0</v>
          </cell>
          <cell r="AO106">
            <v>0</v>
          </cell>
          <cell r="AP106">
            <v>0</v>
          </cell>
          <cell r="AQ106">
            <v>0</v>
          </cell>
          <cell r="AR106">
            <v>0</v>
          </cell>
          <cell r="AS106">
            <v>0</v>
          </cell>
          <cell r="AT106">
            <v>0</v>
          </cell>
          <cell r="AU106">
            <v>0</v>
          </cell>
          <cell r="AV106">
            <v>0</v>
          </cell>
          <cell r="AW106">
            <v>0</v>
          </cell>
          <cell r="AX106">
            <v>0</v>
          </cell>
          <cell r="AY106">
            <v>0</v>
          </cell>
          <cell r="AZ106">
            <v>0</v>
          </cell>
        </row>
        <row r="107">
          <cell r="D107">
            <v>0</v>
          </cell>
          <cell r="I107">
            <v>0</v>
          </cell>
          <cell r="J107">
            <v>0</v>
          </cell>
          <cell r="K107">
            <v>0</v>
          </cell>
          <cell r="L107">
            <v>0</v>
          </cell>
          <cell r="M107">
            <v>0</v>
          </cell>
          <cell r="N107">
            <v>0</v>
          </cell>
          <cell r="O107">
            <v>0</v>
          </cell>
          <cell r="P107">
            <v>0</v>
          </cell>
          <cell r="Q107">
            <v>0</v>
          </cell>
          <cell r="R107">
            <v>0</v>
          </cell>
          <cell r="S107">
            <v>0</v>
          </cell>
          <cell r="T107">
            <v>0</v>
          </cell>
          <cell r="U107">
            <v>0</v>
          </cell>
          <cell r="V107">
            <v>0</v>
          </cell>
          <cell r="W107">
            <v>0</v>
          </cell>
          <cell r="X107">
            <v>0</v>
          </cell>
          <cell r="Y107">
            <v>0</v>
          </cell>
          <cell r="Z107">
            <v>0</v>
          </cell>
          <cell r="AA107">
            <v>0</v>
          </cell>
          <cell r="AB107">
            <v>0</v>
          </cell>
          <cell r="AC107">
            <v>0</v>
          </cell>
          <cell r="AD107">
            <v>0</v>
          </cell>
          <cell r="AE107">
            <v>0</v>
          </cell>
          <cell r="AF107">
            <v>0</v>
          </cell>
          <cell r="AG107">
            <v>0</v>
          </cell>
          <cell r="AH107">
            <v>0</v>
          </cell>
          <cell r="AI107">
            <v>0</v>
          </cell>
          <cell r="AJ107">
            <v>0</v>
          </cell>
          <cell r="AK107">
            <v>0</v>
          </cell>
          <cell r="AL107">
            <v>0</v>
          </cell>
          <cell r="AM107">
            <v>0</v>
          </cell>
          <cell r="AN107">
            <v>0</v>
          </cell>
          <cell r="AO107">
            <v>0</v>
          </cell>
          <cell r="AP107">
            <v>0</v>
          </cell>
          <cell r="AQ107">
            <v>0</v>
          </cell>
          <cell r="AR107">
            <v>0</v>
          </cell>
          <cell r="AS107">
            <v>0</v>
          </cell>
          <cell r="AT107">
            <v>0</v>
          </cell>
          <cell r="AU107">
            <v>0</v>
          </cell>
          <cell r="AV107">
            <v>0</v>
          </cell>
          <cell r="AW107">
            <v>0</v>
          </cell>
          <cell r="AX107">
            <v>0</v>
          </cell>
          <cell r="AY107">
            <v>0</v>
          </cell>
          <cell r="AZ107">
            <v>0</v>
          </cell>
        </row>
        <row r="108">
          <cell r="D108">
            <v>0</v>
          </cell>
          <cell r="I108">
            <v>0</v>
          </cell>
          <cell r="J108">
            <v>0</v>
          </cell>
          <cell r="K108">
            <v>0</v>
          </cell>
          <cell r="L108">
            <v>0</v>
          </cell>
          <cell r="M108">
            <v>0</v>
          </cell>
          <cell r="N108">
            <v>0</v>
          </cell>
          <cell r="O108">
            <v>0</v>
          </cell>
          <cell r="P108">
            <v>0</v>
          </cell>
          <cell r="Q108">
            <v>0</v>
          </cell>
          <cell r="R108">
            <v>0</v>
          </cell>
          <cell r="S108">
            <v>0</v>
          </cell>
          <cell r="T108">
            <v>0</v>
          </cell>
          <cell r="U108">
            <v>0</v>
          </cell>
          <cell r="V108">
            <v>0</v>
          </cell>
          <cell r="W108">
            <v>0</v>
          </cell>
          <cell r="X108">
            <v>0</v>
          </cell>
          <cell r="Y108">
            <v>0</v>
          </cell>
          <cell r="Z108">
            <v>0</v>
          </cell>
          <cell r="AA108">
            <v>0</v>
          </cell>
          <cell r="AB108">
            <v>0</v>
          </cell>
          <cell r="AC108">
            <v>0</v>
          </cell>
          <cell r="AD108">
            <v>0</v>
          </cell>
          <cell r="AE108">
            <v>0</v>
          </cell>
          <cell r="AF108">
            <v>0</v>
          </cell>
          <cell r="AG108">
            <v>0</v>
          </cell>
          <cell r="AH108">
            <v>0</v>
          </cell>
          <cell r="AI108">
            <v>0</v>
          </cell>
          <cell r="AJ108">
            <v>0</v>
          </cell>
          <cell r="AK108">
            <v>0</v>
          </cell>
          <cell r="AL108">
            <v>0</v>
          </cell>
          <cell r="AM108">
            <v>0</v>
          </cell>
          <cell r="AN108">
            <v>0</v>
          </cell>
          <cell r="AO108">
            <v>0</v>
          </cell>
          <cell r="AP108">
            <v>0</v>
          </cell>
          <cell r="AQ108">
            <v>0</v>
          </cell>
          <cell r="AR108">
            <v>0</v>
          </cell>
          <cell r="AS108">
            <v>0</v>
          </cell>
          <cell r="AT108">
            <v>0</v>
          </cell>
          <cell r="AU108">
            <v>0</v>
          </cell>
          <cell r="AV108">
            <v>0</v>
          </cell>
          <cell r="AW108">
            <v>0</v>
          </cell>
          <cell r="AX108">
            <v>0</v>
          </cell>
          <cell r="AY108">
            <v>0</v>
          </cell>
          <cell r="AZ108">
            <v>0</v>
          </cell>
        </row>
        <row r="109">
          <cell r="D109">
            <v>0</v>
          </cell>
          <cell r="I109">
            <v>0</v>
          </cell>
          <cell r="J109">
            <v>0</v>
          </cell>
          <cell r="K109">
            <v>0</v>
          </cell>
          <cell r="L109">
            <v>0</v>
          </cell>
          <cell r="M109">
            <v>0</v>
          </cell>
          <cell r="N109">
            <v>0</v>
          </cell>
          <cell r="O109">
            <v>0</v>
          </cell>
          <cell r="P109">
            <v>0</v>
          </cell>
          <cell r="Q109">
            <v>0</v>
          </cell>
          <cell r="R109">
            <v>0</v>
          </cell>
          <cell r="S109">
            <v>0</v>
          </cell>
          <cell r="T109">
            <v>0</v>
          </cell>
          <cell r="U109">
            <v>0</v>
          </cell>
          <cell r="V109">
            <v>0</v>
          </cell>
          <cell r="W109">
            <v>0</v>
          </cell>
          <cell r="X109">
            <v>0</v>
          </cell>
          <cell r="Y109">
            <v>0</v>
          </cell>
          <cell r="Z109">
            <v>0</v>
          </cell>
          <cell r="AA109">
            <v>0</v>
          </cell>
          <cell r="AB109">
            <v>0</v>
          </cell>
          <cell r="AC109">
            <v>0</v>
          </cell>
          <cell r="AD109">
            <v>0</v>
          </cell>
          <cell r="AE109">
            <v>0</v>
          </cell>
          <cell r="AF109">
            <v>0</v>
          </cell>
          <cell r="AG109">
            <v>0</v>
          </cell>
          <cell r="AH109">
            <v>0</v>
          </cell>
          <cell r="AI109">
            <v>0</v>
          </cell>
          <cell r="AJ109">
            <v>0</v>
          </cell>
          <cell r="AK109">
            <v>0</v>
          </cell>
          <cell r="AL109">
            <v>0</v>
          </cell>
          <cell r="AM109">
            <v>0</v>
          </cell>
          <cell r="AN109">
            <v>0</v>
          </cell>
          <cell r="AO109">
            <v>0</v>
          </cell>
          <cell r="AP109">
            <v>0</v>
          </cell>
          <cell r="AQ109">
            <v>0</v>
          </cell>
          <cell r="AR109">
            <v>0</v>
          </cell>
          <cell r="AS109">
            <v>0</v>
          </cell>
          <cell r="AT109">
            <v>0</v>
          </cell>
          <cell r="AU109">
            <v>0</v>
          </cell>
          <cell r="AV109">
            <v>0</v>
          </cell>
          <cell r="AW109">
            <v>0</v>
          </cell>
          <cell r="AX109">
            <v>0</v>
          </cell>
          <cell r="AY109">
            <v>0</v>
          </cell>
          <cell r="AZ109">
            <v>0</v>
          </cell>
        </row>
        <row r="110">
          <cell r="D110">
            <v>0</v>
          </cell>
          <cell r="I110">
            <v>0</v>
          </cell>
          <cell r="J110">
            <v>0</v>
          </cell>
          <cell r="K110">
            <v>0</v>
          </cell>
          <cell r="L110">
            <v>0</v>
          </cell>
          <cell r="M110">
            <v>0</v>
          </cell>
          <cell r="N110">
            <v>0</v>
          </cell>
          <cell r="O110">
            <v>0</v>
          </cell>
          <cell r="P110">
            <v>0</v>
          </cell>
          <cell r="Q110">
            <v>0</v>
          </cell>
          <cell r="R110">
            <v>0</v>
          </cell>
          <cell r="S110">
            <v>0</v>
          </cell>
          <cell r="T110">
            <v>0</v>
          </cell>
          <cell r="U110">
            <v>0</v>
          </cell>
          <cell r="V110">
            <v>0</v>
          </cell>
          <cell r="W110">
            <v>0</v>
          </cell>
          <cell r="X110">
            <v>0</v>
          </cell>
          <cell r="Y110">
            <v>0</v>
          </cell>
          <cell r="Z110">
            <v>0</v>
          </cell>
          <cell r="AA110">
            <v>0</v>
          </cell>
          <cell r="AB110">
            <v>0</v>
          </cell>
          <cell r="AC110">
            <v>0</v>
          </cell>
          <cell r="AD110">
            <v>0</v>
          </cell>
          <cell r="AE110">
            <v>0</v>
          </cell>
          <cell r="AF110">
            <v>0</v>
          </cell>
          <cell r="AG110">
            <v>0</v>
          </cell>
          <cell r="AH110">
            <v>0</v>
          </cell>
          <cell r="AI110">
            <v>0</v>
          </cell>
          <cell r="AJ110">
            <v>0</v>
          </cell>
          <cell r="AK110">
            <v>0</v>
          </cell>
          <cell r="AL110">
            <v>0</v>
          </cell>
          <cell r="AM110">
            <v>0</v>
          </cell>
          <cell r="AN110">
            <v>0</v>
          </cell>
          <cell r="AO110">
            <v>0</v>
          </cell>
          <cell r="AP110">
            <v>0</v>
          </cell>
          <cell r="AQ110">
            <v>0</v>
          </cell>
          <cell r="AR110">
            <v>0</v>
          </cell>
          <cell r="AS110">
            <v>0</v>
          </cell>
          <cell r="AT110">
            <v>0</v>
          </cell>
          <cell r="AU110">
            <v>0</v>
          </cell>
          <cell r="AV110">
            <v>0</v>
          </cell>
          <cell r="AW110">
            <v>0</v>
          </cell>
          <cell r="AX110">
            <v>0</v>
          </cell>
          <cell r="AY110">
            <v>0</v>
          </cell>
          <cell r="AZ110">
            <v>0</v>
          </cell>
        </row>
        <row r="111">
          <cell r="C111">
            <v>0</v>
          </cell>
          <cell r="D111">
            <v>0</v>
          </cell>
          <cell r="I111">
            <v>0</v>
          </cell>
          <cell r="J111">
            <v>0</v>
          </cell>
          <cell r="K111">
            <v>0</v>
          </cell>
          <cell r="L111">
            <v>0</v>
          </cell>
          <cell r="M111">
            <v>0</v>
          </cell>
          <cell r="N111">
            <v>0</v>
          </cell>
          <cell r="O111">
            <v>0</v>
          </cell>
          <cell r="P111">
            <v>0</v>
          </cell>
          <cell r="Q111">
            <v>0</v>
          </cell>
          <cell r="R111">
            <v>0</v>
          </cell>
          <cell r="S111">
            <v>0</v>
          </cell>
          <cell r="T111">
            <v>0</v>
          </cell>
          <cell r="U111">
            <v>0</v>
          </cell>
          <cell r="V111">
            <v>0</v>
          </cell>
          <cell r="W111">
            <v>0</v>
          </cell>
          <cell r="X111">
            <v>0</v>
          </cell>
          <cell r="Y111">
            <v>0</v>
          </cell>
          <cell r="Z111">
            <v>0</v>
          </cell>
          <cell r="AA111">
            <v>0</v>
          </cell>
          <cell r="AB111">
            <v>0</v>
          </cell>
          <cell r="AC111">
            <v>0</v>
          </cell>
          <cell r="AD111">
            <v>0</v>
          </cell>
          <cell r="AE111">
            <v>0</v>
          </cell>
          <cell r="AF111">
            <v>0</v>
          </cell>
          <cell r="AG111">
            <v>0</v>
          </cell>
          <cell r="AH111">
            <v>0</v>
          </cell>
          <cell r="AI111">
            <v>0</v>
          </cell>
          <cell r="AJ111">
            <v>0</v>
          </cell>
          <cell r="AK111">
            <v>0</v>
          </cell>
          <cell r="AL111">
            <v>0</v>
          </cell>
          <cell r="AM111">
            <v>0</v>
          </cell>
          <cell r="AN111">
            <v>0</v>
          </cell>
          <cell r="AO111">
            <v>0</v>
          </cell>
          <cell r="AP111">
            <v>0</v>
          </cell>
          <cell r="AQ111">
            <v>0</v>
          </cell>
          <cell r="AR111">
            <v>0</v>
          </cell>
          <cell r="AS111">
            <v>0</v>
          </cell>
          <cell r="AT111">
            <v>0</v>
          </cell>
          <cell r="AU111">
            <v>0</v>
          </cell>
          <cell r="AV111">
            <v>0</v>
          </cell>
          <cell r="AW111">
            <v>0</v>
          </cell>
          <cell r="AX111">
            <v>0</v>
          </cell>
          <cell r="AY111">
            <v>0</v>
          </cell>
          <cell r="AZ111">
            <v>0</v>
          </cell>
          <cell r="BA111">
            <v>0</v>
          </cell>
          <cell r="BB111">
            <v>0</v>
          </cell>
          <cell r="BC111">
            <v>0</v>
          </cell>
          <cell r="BD111">
            <v>0</v>
          </cell>
        </row>
        <row r="112">
          <cell r="D112">
            <v>0</v>
          </cell>
          <cell r="S112">
            <v>0</v>
          </cell>
          <cell r="AF112">
            <v>0</v>
          </cell>
          <cell r="AQ112">
            <v>0</v>
          </cell>
          <cell r="AR112">
            <v>0</v>
          </cell>
          <cell r="AU112">
            <v>0</v>
          </cell>
          <cell r="AY112">
            <v>0</v>
          </cell>
        </row>
        <row r="113">
          <cell r="D113">
            <v>0</v>
          </cell>
          <cell r="S113">
            <v>0</v>
          </cell>
          <cell r="AF113">
            <v>0</v>
          </cell>
          <cell r="AQ113">
            <v>0</v>
          </cell>
          <cell r="AR113">
            <v>0</v>
          </cell>
          <cell r="AU113">
            <v>0</v>
          </cell>
          <cell r="AY113">
            <v>0</v>
          </cell>
        </row>
        <row r="114">
          <cell r="D114">
            <v>0</v>
          </cell>
          <cell r="S114">
            <v>0</v>
          </cell>
          <cell r="AF114">
            <v>0</v>
          </cell>
          <cell r="AQ114">
            <v>0</v>
          </cell>
          <cell r="AR114">
            <v>0</v>
          </cell>
          <cell r="AU114">
            <v>0</v>
          </cell>
          <cell r="AY114">
            <v>0</v>
          </cell>
        </row>
        <row r="115">
          <cell r="D115">
            <v>0</v>
          </cell>
          <cell r="S115">
            <v>0</v>
          </cell>
          <cell r="AF115">
            <v>0</v>
          </cell>
          <cell r="AQ115">
            <v>0</v>
          </cell>
          <cell r="AR115">
            <v>0</v>
          </cell>
          <cell r="AU115">
            <v>0</v>
          </cell>
          <cell r="AY115">
            <v>0</v>
          </cell>
        </row>
        <row r="116">
          <cell r="D116">
            <v>0</v>
          </cell>
          <cell r="S116">
            <v>0</v>
          </cell>
          <cell r="AF116">
            <v>0</v>
          </cell>
          <cell r="AQ116">
            <v>0</v>
          </cell>
          <cell r="AR116">
            <v>0</v>
          </cell>
          <cell r="AU116">
            <v>0</v>
          </cell>
          <cell r="AY116">
            <v>0</v>
          </cell>
        </row>
        <row r="117">
          <cell r="D117">
            <v>0</v>
          </cell>
          <cell r="S117">
            <v>0</v>
          </cell>
          <cell r="AF117">
            <v>0</v>
          </cell>
          <cell r="AQ117">
            <v>0</v>
          </cell>
          <cell r="AR117">
            <v>0</v>
          </cell>
          <cell r="AU117">
            <v>0</v>
          </cell>
          <cell r="AY117">
            <v>0</v>
          </cell>
        </row>
        <row r="118">
          <cell r="D118">
            <v>0</v>
          </cell>
          <cell r="S118">
            <v>0</v>
          </cell>
          <cell r="AF118">
            <v>0</v>
          </cell>
          <cell r="AQ118">
            <v>0</v>
          </cell>
          <cell r="AR118">
            <v>0</v>
          </cell>
          <cell r="AU118">
            <v>0</v>
          </cell>
          <cell r="AY118">
            <v>0</v>
          </cell>
        </row>
        <row r="119">
          <cell r="D119">
            <v>0</v>
          </cell>
          <cell r="S119">
            <v>0</v>
          </cell>
          <cell r="AF119">
            <v>0</v>
          </cell>
          <cell r="AQ119">
            <v>0</v>
          </cell>
          <cell r="AR119">
            <v>0</v>
          </cell>
          <cell r="AU119">
            <v>0</v>
          </cell>
          <cell r="AY119">
            <v>0</v>
          </cell>
        </row>
        <row r="120">
          <cell r="D120">
            <v>0</v>
          </cell>
          <cell r="S120">
            <v>0</v>
          </cell>
          <cell r="AF120">
            <v>0</v>
          </cell>
          <cell r="AQ120">
            <v>0</v>
          </cell>
          <cell r="AR120">
            <v>0</v>
          </cell>
          <cell r="AU120">
            <v>0</v>
          </cell>
          <cell r="AY120">
            <v>0</v>
          </cell>
        </row>
        <row r="121">
          <cell r="D121">
            <v>0</v>
          </cell>
          <cell r="S121">
            <v>0</v>
          </cell>
          <cell r="AF121">
            <v>0</v>
          </cell>
          <cell r="AQ121">
            <v>0</v>
          </cell>
          <cell r="AR121">
            <v>0</v>
          </cell>
          <cell r="AU121">
            <v>0</v>
          </cell>
          <cell r="AY121">
            <v>0</v>
          </cell>
        </row>
      </sheetData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>
        <row r="8">
          <cell r="B8" t="str">
            <v>Biomass Other</v>
          </cell>
        </row>
      </sheetData>
      <sheetData sheetId="32"/>
      <sheetData sheetId="33"/>
      <sheetData sheetId="34"/>
      <sheetData sheetId="35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8A307EF1-062C-4DD1-801F-D45833AE4B68}" userId="144eb91ed0ec6402" providerId="Windows Live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042.428751967593" createdVersion="6" refreshedVersion="8" minRefreshableVersion="3" recordCount="97" xr:uid="{C0EB43E8-6CC6-4DE4-B7F1-02B09F7BA69A}">
  <cacheSource type="worksheet">
    <worksheetSource ref="A9:P119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4">
        <s v="Historical"/>
        <s v="HiRes1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 count="4">
        <s v="base"/>
        <m/>
        <s v="sim2" u="1"/>
        <s v="sim1" u="1"/>
      </sharedItems>
    </cacheField>
    <cacheField name="SATIM (TIMES) Case" numFmtId="0">
      <sharedItems containsBlank="1" count="197">
        <s v="Run00"/>
        <m/>
        <s v="NOPAMSREF" u="1"/>
        <s v="9GC" u="1"/>
        <s v="NZE2T1" u="1"/>
        <s v="LPAMSFC" u="1"/>
        <s v="NZ-20NELD" u="1"/>
        <s v="CPAMSREPROGHG" u="1"/>
        <s v="NZE1" u="1"/>
        <s v="NZE2G1" u="1"/>
        <s v="NZ-20NE" u="1"/>
        <s v="NZE2S1P1" u="1"/>
        <s v="NZ-10IPWE" u="1"/>
        <s v="NZ-CO2S_20" u="1"/>
        <s v="NZT5" u="1"/>
        <s v="NZE2T2" u="1"/>
        <s v="NOPAMSFGDA" u="1"/>
        <s v="NZPTIR" u="1"/>
        <s v="NZ-45NE" u="1"/>
        <s v="CO2ACAP350" u="1"/>
        <s v="NZ-20NE-08" u="1"/>
        <s v="NOPAMS_LEAF" u="1"/>
        <s v="NOPAMSCAPCR2" u="1"/>
        <s v="NZG1" u="1"/>
        <s v="NZIP" u="1"/>
        <s v="CPM20NE" u="1"/>
        <s v="NZ-10NE_8" u="1"/>
        <s v="NOPAMSCAP2" u="1"/>
        <s v="NZE2T3" u="1"/>
        <s v="NZ-REF-01P" u="1"/>
        <s v="NOPAMSCAPOC" u="1"/>
        <s v="NZ-20WE-TMP" u="1"/>
        <s v="NOPAMSFCHG" u="1"/>
        <s v="NZ35IRGIIP" u="1"/>
        <s v="NZ35" u="1"/>
        <s v="IRPRE" u="1"/>
        <s v="NZE1G1" u="1"/>
        <s v="NZ-10NE" u="1"/>
        <s v="NZT4" u="1"/>
        <s v="NOPAMSREFWE" u="1"/>
        <s v="REFP1" u="1"/>
        <s v="NZE2S1" u="1"/>
        <s v="CPAMSRE_LEAF" u="1"/>
        <s v="NZ-20_IP_NE" u="1"/>
        <s v="NOPAMSCAPFCO" u="1"/>
        <s v="NZ-CO2S_45DR" u="1"/>
        <s v="NZPTS3" u="1"/>
        <s v="CPAMSCAP" u="1"/>
        <s v="CPAMSCAPFC" u="1"/>
        <s v="NZ-REF-10P" u="1"/>
        <s v="NZS3" u="1"/>
        <s v="CPAMSNOIRP" u="1"/>
        <s v="NZ-45_IP_NE" u="1"/>
        <s v="NZT3" u="1"/>
        <s v="LPAMS" u="1"/>
        <s v="NZPT35" u="1"/>
        <s v="EECAP" u="1"/>
        <s v="NZ-10NE-T" u="1"/>
        <s v="NZ-CO2S_20_NE" u="1"/>
        <s v="NOPAMCAPIRPL" u="1"/>
        <s v="CPAMSREPROGTG" u="1"/>
        <s v="CPAMSRETG" u="1"/>
        <s v="NOPAMSREF1HG" u="1"/>
        <s v="NZS2" u="1"/>
        <s v="CP20NEWH" u="1"/>
        <s v="NZ35S3IRGIIP" u="1"/>
        <e v="#REF!" u="1"/>
        <s v="NZP1" u="1"/>
        <s v="NZE2P1T3" u="1"/>
        <s v="IRPRE-01P" u="1"/>
        <s v="CO2ACAP280" u="1"/>
        <s v="NOPAMSCAPFC" u="1"/>
        <s v="NOPAMSFGDAIL" u="1"/>
        <s v="NZT2" u="1"/>
        <s v="NOPAMS_NDP" u="1"/>
        <s v="NZ-10NE_9GC" u="1"/>
        <s v="NZIRGIIP" u="1"/>
        <s v="NZ-CO2S2050B" u="1"/>
        <s v="NZ-20NENH" u="1"/>
        <s v="CPAMSREPROG" u="1"/>
        <s v="NZ-CO2S2050" u="1"/>
        <s v="NZ-REF" u="1"/>
        <s v="NOPAMSFC" u="1"/>
        <s v="NOPAMSFCTG" u="1"/>
        <s v="NZ-CO2S_20DR" u="1"/>
        <s v="NZ-REF-FC" u="1"/>
        <s v="NZS1" u="1"/>
        <s v="NZ-20WE" u="1"/>
        <s v="RUNCOAL" u="1"/>
        <s v="CPAMSIRP" u="1"/>
        <s v="CPAMSIRPTG" u="1"/>
        <s v="NZ-REF-50P" u="1"/>
        <s v="NZPT35IRGI" u="1"/>
        <s v="NOPAMSCAP10" u="1"/>
        <s v="NZT1" u="1"/>
        <s v="Run_00" u="1"/>
        <s v="NZ-45WE" u="1"/>
        <s v="NOPAMS_T" u="1"/>
        <s v="NZ-20WE-08" u="1"/>
        <s v="REFT3" u="1"/>
        <s v="NZ-REF-25P" u="1"/>
        <s v="NOPAMSRE_LE" u="1"/>
        <s v="NZ-DG" u="1"/>
        <s v="IRP-25P" u="1"/>
        <s v="HPAMSREPROG" u="1"/>
        <s v="NOPAMCAPIRPN" u="1"/>
        <s v="NZ-10WE" u="1"/>
        <s v="NZE3P1" u="1"/>
        <s v="HPAMSIRP" u="1"/>
        <s v="NZE2P1T2" u="1"/>
        <s v="NZ-CO2S_TEST" u="1"/>
        <s v="NZ-10IP" u="1"/>
        <s v="IRPRE-05P" u="1"/>
        <s v="NZ-20WE-T" u="1"/>
        <s v="NZ-20NENH-08" u="1"/>
        <s v="LPAMSMRE" u="1"/>
        <s v="LPAMSMRETG" u="1"/>
        <s v="CPAMSCAPIRP" u="1"/>
        <s v="NOPAMS_EXP2" u="1"/>
        <s v="NOPAMSCAPCRE" u="1"/>
        <s v="CPAMSMRE_LEAF" u="1"/>
        <s v="8GC" u="1"/>
        <s v="RUNZERO" u="1"/>
        <s v="IRPRE-10P" u="1"/>
        <s v="NOPAMSLOP" u="1"/>
        <s v="NZ-10NE_8-DG" u="1"/>
        <s v="CPAMSNOIRPLE" u="1"/>
        <s v="REF" u="1"/>
        <s v="REFT2" u="1"/>
        <s v="CPAMSCAPIRPL" u="1"/>
        <s v="NOPAMS" u="1"/>
        <s v="NZE2P1" u="1"/>
        <s v="NZ-REF-OC" u="1"/>
        <s v="CPM20NEWH" u="1"/>
        <s v="NOPAMCAPIRPF" u="1"/>
        <s v="NZ-10NE_9GC2" u="1"/>
        <s v="NZ-20WE-TEST" u="1"/>
        <s v="NZ-CO2S_20NE" u="1"/>
        <s v="NZ-CO2S_20_T" u="1"/>
        <s v="IRPRE-25P" u="1"/>
        <s v="NZ-10NE_8GC" u="1"/>
        <s v="NZ-REF-FCOC" u="1"/>
        <s v="NZ35IRIP" u="1"/>
        <s v="NOPAMSFGDB1" u="1"/>
        <s v="NOPAMS_EXP3" u="1"/>
        <s v="NZS3D" u="1"/>
        <s v="PA20NENCP" u="1"/>
        <s v="NZ-20NENCP" u="1"/>
        <s v="CPAMS_NDP" u="1"/>
        <s v="NZE1P1" u="1"/>
        <s v="NZE2P1T1" u="1"/>
        <s v="NOPAMSCAPHE" u="1"/>
        <s v="NOPAMSCAPIRP" u="1"/>
        <s v="CPAMSMRE" u="1"/>
        <s v="NZ-20WENH" u="1"/>
        <s v="CPAMSMRETG" u="1"/>
        <s v="NOPAMSFGDC1" u="1"/>
        <s v="NZ-10NE_9" u="1"/>
        <s v="NZ-20HE" u="1"/>
        <s v="LPAMSMREP" u="1"/>
        <s v="NOPAMSFGDB2" u="1"/>
        <s v="NOPAMS_EXP4" u="1"/>
        <s v="CPAMSCP" u="1"/>
        <s v="IRPRE-50P" u="1"/>
        <s v="CPAMSMRELEAF" u="1"/>
        <s v="NZE3" u="1"/>
        <s v="CPAMSRE" u="1"/>
        <s v="NOPAMSIRP" u="1"/>
        <s v="CPAMSCAPIRPN" u="1"/>
        <s v="NOPAMSCAP" u="1"/>
        <s v="NZ-CO2S_45" u="1"/>
        <s v="NZ-REF-05P" u="1"/>
        <s v="CPAMSREPROTG" u="1"/>
        <s v="NOPAMSREF0TX" u="1"/>
        <s v="NOPAMSFGDC2" u="1"/>
        <s v="NZ-CO2S_20_5" u="1"/>
        <s v="NZ" u="1"/>
        <s v="NZIR" u="1"/>
        <s v="NZPT" u="1"/>
        <s v="Run01" u="1"/>
        <s v="NOPAMSMRE_LE" u="1"/>
        <s v="NOPAMSFGDB3" u="1"/>
        <s v="PAMSREF" u="1"/>
        <s v="NZE2" u="1"/>
        <s v="NZE3G1" u="1"/>
        <s v="NOPAMS_EXP" u="1"/>
        <s v="NZ-20WENH-08" u="1"/>
        <s v="NZ35IRGI" u="1"/>
        <s v="NOPAMSWE" u="1"/>
        <s v="NOPAMS_NF" u="1"/>
        <s v="NZ-20_IP_WE" u="1"/>
        <s v="NOPAMSCAPFCH" u="1"/>
        <s v="NZIRIP" u="1"/>
        <s v="CPAMS_LEAF" u="1"/>
        <s v="NOPAMSFGDC3" u="1"/>
        <s v="NZ-45_IP_WE" u="1"/>
        <s v="NOPAMS_NF_LF" u="1"/>
      </sharedItems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0" maxValue="0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Bruno" refreshedDate="45042.42875486111" createdVersion="6" refreshedVersion="8" minRefreshableVersion="3" recordCount="97" xr:uid="{D229C3DF-142A-4D15-BB2C-2EA205AB0203}">
  <cacheSource type="worksheet">
    <worksheetSource ref="A9:P120" sheet="Scenarios"/>
  </cacheSource>
  <cacheFields count="16">
    <cacheField name="Include in Batch?" numFmtId="0">
      <sharedItems containsString="0" containsBlank="1" containsNumber="1" containsInteger="1" minValue="0" maxValue="1"/>
    </cacheField>
    <cacheField name="Scenario (RUN)" numFmtId="0">
      <sharedItems containsBlank="1" containsMixedTypes="1" containsNumber="1" containsInteger="1" minValue="0" maxValue="0" count="4">
        <s v="Historical"/>
        <s v="HiRes1"/>
        <m/>
        <n v="0" u="1"/>
      </sharedItems>
    </cacheField>
    <cacheField name="Configured in SATIM?" numFmtId="0">
      <sharedItems containsBlank="1"/>
    </cacheField>
    <cacheField name="eSAGE (CGE) sim" numFmtId="0">
      <sharedItems containsBlank="1"/>
    </cacheField>
    <cacheField name="SATIM (TIMES) Case" numFmtId="0">
      <sharedItems containsBlank="1"/>
    </cacheField>
    <cacheField name="Rerun TIMES?" numFmtId="0">
      <sharedItems containsString="0" containsBlank="1" containsNumber="1" containsInteger="1" minValue="0" maxValue="0"/>
    </cacheField>
    <cacheField name="Link to CGE?" numFmtId="0">
      <sharedItems containsString="0" containsBlank="1" containsNumber="1" containsInteger="1" minValue="0" maxValue="0"/>
    </cacheField>
    <cacheField name="Pams level" numFmtId="0">
      <sharedItems containsBlank="1"/>
    </cacheField>
    <cacheField name="Link to Waste?" numFmtId="0">
      <sharedItems containsString="0" containsBlank="1" containsNumber="1" containsInteger="1" minValue="0" maxValue="0"/>
    </cacheField>
    <cacheField name="Link to AFOLU?" numFmtId="0">
      <sharedItems containsString="0" containsBlank="1" containsNumber="1" containsInteger="1" minValue="0" maxValue="0"/>
    </cacheField>
    <cacheField name="PAMS_RES" numFmtId="0">
      <sharedItems containsString="0" containsBlank="1" containsNumber="1" containsInteger="1" minValue="-1" maxValue="-1"/>
    </cacheField>
    <cacheField name="PAMS_COM" numFmtId="0">
      <sharedItems containsString="0" containsBlank="1" containsNumber="1" containsInteger="1" minValue="-1" maxValue="-1"/>
    </cacheField>
    <cacheField name="PAMS_TRA" numFmtId="0">
      <sharedItems containsString="0" containsBlank="1" containsNumber="1" containsInteger="1" minValue="-1" maxValue="-1"/>
    </cacheField>
    <cacheField name="PAMS_WASTE" numFmtId="0">
      <sharedItems containsString="0" containsBlank="1" containsNumber="1" containsInteger="1" minValue="1" maxValue="1"/>
    </cacheField>
    <cacheField name="PAMS_AFOLU" numFmtId="0">
      <sharedItems containsString="0" containsBlank="1" containsNumber="1" containsInteger="1" minValue="-1" maxValue="-1"/>
    </cacheField>
    <cacheField name="CO2 CumCap" numFmtId="0">
      <sharedItems containsString="0" containsBlank="1" containsNumber="1" containsInteger="1" minValue="100" maxValue="1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7">
  <r>
    <n v="0"/>
    <x v="0"/>
    <s v="yes tested"/>
    <x v="0"/>
    <x v="0"/>
    <n v="0"/>
    <n v="0"/>
    <s v="No Pams"/>
    <n v="0"/>
    <n v="0"/>
    <n v="-1"/>
    <n v="-1"/>
    <n v="-1"/>
    <n v="1"/>
    <n v="-1"/>
    <n v="100"/>
  </r>
  <r>
    <n v="1"/>
    <x v="1"/>
    <s v="yes tested"/>
    <x v="0"/>
    <x v="0"/>
    <n v="0"/>
    <n v="0"/>
    <s v="No Pams"/>
    <n v="0"/>
    <n v="0"/>
    <n v="-1"/>
    <n v="-1"/>
    <n v="-1"/>
    <n v="1"/>
    <n v="-1"/>
    <n v="100"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  <r>
    <m/>
    <x v="2"/>
    <m/>
    <x v="1"/>
    <x v="1"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7">
  <r>
    <n v="0"/>
    <x v="0"/>
    <s v="yes tested"/>
    <s v="base"/>
    <s v="Run00"/>
    <n v="0"/>
    <n v="0"/>
    <s v="No Pams"/>
    <n v="0"/>
    <n v="0"/>
    <n v="-1"/>
    <n v="-1"/>
    <n v="-1"/>
    <n v="1"/>
    <n v="-1"/>
    <n v="100"/>
  </r>
  <r>
    <n v="1"/>
    <x v="1"/>
    <s v="yes tested"/>
    <s v="base"/>
    <s v="Run00"/>
    <n v="0"/>
    <n v="0"/>
    <s v="No Pams"/>
    <n v="0"/>
    <n v="0"/>
    <n v="-1"/>
    <n v="-1"/>
    <n v="-1"/>
    <n v="1"/>
    <n v="-1"/>
    <n v="100"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  <r>
    <m/>
    <x v="2"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0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1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BCEC554-3861-4B1E-9991-8965B6EEB57A}" name="PivotTable7" cacheId="5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I6:J9" firstHeaderRow="1" firstDataRow="1" firstDataCol="1"/>
  <pivotFields count="16">
    <pivotField showAll="0"/>
    <pivotField axis="axisRow" showAll="0">
      <items count="5">
        <item x="2"/>
        <item m="1" x="3"/>
        <item x="1"/>
        <item x="0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/>
    </i>
    <i>
      <x v="2"/>
    </i>
    <i>
      <x v="3"/>
    </i>
  </rowItems>
  <colItems count="1">
    <i/>
  </colItems>
  <dataFields count="1">
    <dataField name="Sum of Link to CGE?" fld="6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31D7653-E9E5-42FA-B2CC-2CD9DDF5A351}" name="PivotTable4" cacheId="54" applyNumberFormats="0" applyBorderFormats="0" applyFontFormats="0" applyPatternFormats="0" applyAlignmentFormats="0" applyWidthHeightFormats="1" dataCaption="Values" showMissing="0" updatedVersion="8" minRefreshableVersion="3" useAutoFormatting="1" rowGrandTotals="0" colGrandTotals="0" itemPrintTitles="1" createdVersion="6" indent="0" outline="1" outlineData="1" multipleFieldFilters="0">
  <location ref="E6:F9" firstHeaderRow="1" firstDataRow="1" firstDataCol="1"/>
  <pivotFields count="16">
    <pivotField dataField="1" showAll="0"/>
    <pivotField axis="axisRow" showAll="0">
      <items count="5">
        <item x="2"/>
        <item m="1"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/>
    </i>
    <i>
      <x v="2"/>
    </i>
    <i>
      <x v="3"/>
    </i>
  </rowItems>
  <colItems count="1">
    <i/>
  </colItems>
  <dataFields count="1">
    <dataField name="Sum of Include in Batch?" fld="0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83FB7DB-9408-462A-B64A-FAE6021FDCA1}" name="PivotTable1" cacheId="57" applyNumberFormats="0" applyBorderFormats="0" applyFontFormats="0" applyPatternFormats="0" applyAlignmentFormats="0" applyWidthHeightFormats="1" dataCaption="Values" missingCaption="&quot;&quot;" updatedVersion="8" minRefreshableVersion="3" useAutoFormatting="1" rowGrandTotals="0" colGrandTotals="0" itemPrintTitles="1" createdVersion="6" indent="0" outline="1" outlineData="1" multipleFieldFilters="0">
  <location ref="A6:A9" firstHeaderRow="1" firstDataRow="1" firstDataCol="1"/>
  <pivotFields count="16">
    <pivotField showAll="0"/>
    <pivotField axis="axisRow" showAll="0">
      <items count="5">
        <item m="1"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 v="1"/>
    </i>
    <i>
      <x v="2"/>
    </i>
    <i>
      <x v="3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B29BBF8-21D5-4656-9315-E3635D23FF8D}" name="PivotTable8" cacheId="5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G6:H9" firstHeaderRow="1" firstDataRow="1" firstDataCol="1"/>
  <pivotFields count="16">
    <pivotField showAll="0"/>
    <pivotField axis="axisRow" showAll="0">
      <items count="5">
        <item x="2"/>
        <item m="1" x="3"/>
        <item x="1"/>
        <item x="0"/>
        <item t="default"/>
      </items>
    </pivotField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/>
    </i>
    <i>
      <x v="2"/>
    </i>
    <i>
      <x v="3"/>
    </i>
  </rowItems>
  <colItems count="1">
    <i/>
  </colItems>
  <dataFields count="1">
    <dataField name="Sum of Rerun TIMES?" fld="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ED77A79-4FE2-4A09-8816-B27BC2E8B919}" name="PivotTable10" cacheId="5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AA6:AB9" firstHeaderRow="1" firstDataRow="1" firstDataCol="1"/>
  <pivotFields count="16">
    <pivotField showAll="0"/>
    <pivotField axis="axisRow" showAll="0">
      <items count="5">
        <item x="2"/>
        <item m="1"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3">
    <i>
      <x/>
    </i>
    <i>
      <x v="2"/>
    </i>
    <i>
      <x v="3"/>
    </i>
  </rowItems>
  <colItems count="1">
    <i/>
  </colItems>
  <dataFields count="1">
    <dataField name="Sum of CO2 CumCap" fld="15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5F82983-C32A-4CE6-8237-AB914EFF6615}" name="PivotTable5" cacheId="5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O6:P9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">
        <item x="2"/>
        <item m="1" x="3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7">
        <item m="1" x="122"/>
        <item m="1" x="89"/>
        <item m="1" x="79"/>
        <item x="1"/>
        <item m="1" x="88"/>
        <item m="1" x="32"/>
        <item m="1" x="108"/>
        <item m="1" x="130"/>
        <item m="1" x="82"/>
        <item m="1" x="90"/>
        <item m="1" x="83"/>
        <item m="1" x="60"/>
        <item m="1" x="7"/>
        <item m="1" x="104"/>
        <item m="1" x="5"/>
        <item m="1" x="172"/>
        <item m="1" x="51"/>
        <item m="1" x="153"/>
        <item m="1" x="166"/>
        <item m="1" x="61"/>
        <item m="1" x="54"/>
        <item m="1" x="159"/>
        <item m="1" x="115"/>
        <item m="1" x="116"/>
        <item m="1" x="155"/>
        <item m="1" x="74"/>
        <item m="1" x="148"/>
        <item m="1" x="21"/>
        <item m="1" x="42"/>
        <item m="1" x="193"/>
        <item m="1" x="124"/>
        <item m="1" x="167"/>
        <item m="1" x="93"/>
        <item m="1" x="169"/>
        <item m="1" x="180"/>
        <item m="1" x="101"/>
        <item m="1" x="126"/>
        <item m="1" x="120"/>
        <item m="1" x="164"/>
        <item m="1" x="162"/>
        <item m="1" x="47"/>
        <item m="1" x="185"/>
        <item m="1" x="118"/>
        <item m="1" x="144"/>
        <item m="1" x="161"/>
        <item m="1" x="189"/>
        <item m="1" x="196"/>
        <item m="1" x="97"/>
        <item m="1" x="81"/>
        <item m="1" x="80"/>
        <item m="1" x="132"/>
        <item m="1" x="85"/>
        <item m="1" x="141"/>
        <item m="1" x="35"/>
        <item m="1" x="103"/>
        <item m="1" x="139"/>
        <item m="1" x="163"/>
        <item m="1" x="100"/>
        <item m="1" x="91"/>
        <item m="1" x="29"/>
        <item m="1" x="171"/>
        <item m="1" x="49"/>
        <item m="1" x="69"/>
        <item m="1" x="112"/>
        <item m="1" x="123"/>
        <item m="1" x="70"/>
        <item m="1" x="19"/>
        <item m="1" x="117"/>
        <item m="1" x="129"/>
        <item m="1" x="56"/>
        <item m="1" x="152"/>
        <item m="1" x="168"/>
        <item m="1" x="105"/>
        <item m="1" x="59"/>
        <item m="1" x="71"/>
        <item m="1" x="48"/>
        <item m="1" x="134"/>
        <item m="1" x="16"/>
        <item m="1" x="143"/>
        <item m="1" x="160"/>
        <item m="1" x="181"/>
        <item m="1" x="156"/>
        <item m="1" x="174"/>
        <item m="1" x="194"/>
        <item m="1" x="72"/>
        <item m="1" x="151"/>
        <item m="1" x="191"/>
        <item m="1" x="30"/>
        <item m="1" x="44"/>
        <item m="1" x="77"/>
        <item m="1" x="119"/>
        <item m="1" x="22"/>
        <item m="1" x="27"/>
        <item m="1" x="2"/>
        <item m="1" x="13"/>
        <item m="1" x="173"/>
        <item m="1" x="84"/>
        <item m="1" x="170"/>
        <item m="1" x="45"/>
        <item m="1" x="175"/>
        <item m="1" x="138"/>
        <item m="1" x="110"/>
        <item m="1" x="58"/>
        <item m="1" x="137"/>
        <item m="1" x="6"/>
        <item m="1" x="158"/>
        <item m="1" x="87"/>
        <item m="1" x="10"/>
        <item m="1" x="136"/>
        <item m="1" x="18"/>
        <item m="1" x="39"/>
        <item m="1" x="96"/>
        <item m="1" x="62"/>
        <item m="1" x="52"/>
        <item m="1" x="43"/>
        <item m="1" x="190"/>
        <item m="1" x="195"/>
        <item m="1" x="182"/>
        <item m="1" x="188"/>
        <item m="1" x="98"/>
        <item m="1" x="31"/>
        <item m="1" x="20"/>
        <item m="1" x="114"/>
        <item m="1" x="186"/>
        <item m="1" x="78"/>
        <item m="1" x="154"/>
        <item m="1" x="147"/>
        <item m="1" x="146"/>
        <item m="1" x="25"/>
        <item m="1" x="133"/>
        <item m="1" x="64"/>
        <item m="1" x="113"/>
        <item m="1" x="37"/>
        <item m="1" x="12"/>
        <item m="1" x="176"/>
        <item m="1" x="178"/>
        <item m="1" x="76"/>
        <item m="1" x="34"/>
        <item m="1" x="55"/>
        <item m="1" x="50"/>
        <item m="1" x="46"/>
        <item m="1" x="177"/>
        <item m="1" x="17"/>
        <item m="1" x="187"/>
        <item m="1" x="92"/>
        <item m="1" x="142"/>
        <item m="1" x="65"/>
        <item m="1" x="57"/>
        <item m="1" x="66"/>
        <item m="1" x="33"/>
        <item m="1" x="192"/>
        <item m="1" x="111"/>
        <item m="1" x="106"/>
        <item m="1" x="24"/>
        <item m="1" x="157"/>
        <item m="1" x="26"/>
        <item m="1" x="125"/>
        <item m="1" x="102"/>
        <item m="1" x="94"/>
        <item m="1" x="73"/>
        <item m="1" x="53"/>
        <item m="1" x="38"/>
        <item m="1" x="14"/>
        <item m="1" x="8"/>
        <item m="1" x="183"/>
        <item m="1" x="165"/>
        <item m="1" x="23"/>
        <item m="1" x="67"/>
        <item m="1" x="36"/>
        <item m="1" x="9"/>
        <item m="1" x="184"/>
        <item m="1" x="149"/>
        <item m="1" x="131"/>
        <item m="1" x="107"/>
        <item m="1" x="41"/>
        <item m="1" x="11"/>
        <item m="1" x="4"/>
        <item m="1" x="15"/>
        <item m="1" x="28"/>
        <item m="1" x="150"/>
        <item m="1" x="109"/>
        <item m="1" x="68"/>
        <item m="1" x="127"/>
        <item m="1" x="86"/>
        <item m="1" x="63"/>
        <item m="1" x="145"/>
        <item m="1" x="40"/>
        <item m="1" x="99"/>
        <item m="1" x="128"/>
        <item m="1" x="75"/>
        <item m="1" x="140"/>
        <item m="1" x="135"/>
        <item m="1" x="3"/>
        <item m="1" x="121"/>
        <item m="1" x="95"/>
        <item x="0"/>
        <item m="1" x="179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4"/>
  </rowFields>
  <rowItems count="3">
    <i>
      <x/>
      <x v="3"/>
    </i>
    <i>
      <x v="2"/>
      <x v="195"/>
    </i>
    <i>
      <x v="3"/>
      <x v="195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23C2C53-0F21-4408-8AA0-91A2FE5A7BEA}" name="PivotTable2" cacheId="5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D6:D8" firstHeaderRow="1" firstDataRow="1" firstDataCol="1"/>
  <pivotFields count="16">
    <pivotField showAll="0"/>
    <pivotField showAll="0"/>
    <pivotField showAll="0"/>
    <pivotField axis="axisRow" showAll="0">
      <items count="5">
        <item x="0"/>
        <item m="1" x="2"/>
        <item x="1"/>
        <item m="1" x="3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3"/>
  </rowFields>
  <rowItems count="2">
    <i>
      <x/>
    </i>
    <i>
      <x v="2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0FB1131-9026-46AB-BFAC-4485AB454435}" name="PivotTable9" cacheId="5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S6:X9" firstHeaderRow="0" firstDataRow="1" firstDataCol="1"/>
  <pivotFields count="16">
    <pivotField showAll="0"/>
    <pivotField axis="axisRow" showAll="0">
      <items count="5">
        <item x="2"/>
        <item m="1"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</pivotFields>
  <rowFields count="1">
    <field x="1"/>
  </rowFields>
  <rowItems count="3">
    <i>
      <x/>
    </i>
    <i>
      <x v="2"/>
    </i>
    <i>
      <x v="3"/>
    </i>
  </rowItems>
  <colFields count="1">
    <field x="-2"/>
  </colFields>
  <colItems count="5">
    <i>
      <x/>
    </i>
    <i i="1">
      <x v="1"/>
    </i>
    <i i="2">
      <x v="2"/>
    </i>
    <i i="3">
      <x v="3"/>
    </i>
    <i i="4">
      <x v="4"/>
    </i>
  </colItems>
  <dataFields count="5">
    <dataField name="RES" fld="10" baseField="0" baseItem="0"/>
    <dataField name="COM" fld="11" baseField="0" baseItem="0"/>
    <dataField name="TRA" fld="12" baseField="0" baseItem="0"/>
    <dataField name="WASTE" fld="13" baseField="0" baseItem="0"/>
    <dataField name="AFOLU" fld="14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97C1AEED-D773-439C-81B4-32BBEE6D906B}" name="PivotTable6" cacheId="5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Q6:R9" firstHeaderRow="1" firstDataRow="1" firstDataCol="2"/>
  <pivotFields count="16"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ubtotalTop="0" showAll="0" defaultSubtotal="0">
      <items count="4">
        <item x="2"/>
        <item m="1" x="3"/>
        <item x="1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x="0"/>
        <item m="1" x="2"/>
        <item x="1"/>
        <item m="1" x="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ubtotalTop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1"/>
    <field x="3"/>
  </rowFields>
  <rowItems count="3">
    <i>
      <x/>
      <x v="2"/>
    </i>
    <i>
      <x v="2"/>
      <x/>
    </i>
    <i>
      <x v="3"/>
      <x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10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949312E-6CFC-4D40-B0FD-B062158299EA}" name="PivotTable12" cacheId="5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M6:N9" firstHeaderRow="1" firstDataRow="1" firstDataCol="1"/>
  <pivotFields count="16">
    <pivotField showAll="0"/>
    <pivotField axis="axisRow" showAll="0">
      <items count="5">
        <item x="2"/>
        <item m="1"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/>
    </i>
    <i>
      <x v="2"/>
    </i>
    <i>
      <x v="3"/>
    </i>
  </rowItems>
  <colItems count="1">
    <i/>
  </colItems>
  <dataFields count="1">
    <dataField name="Sum of Link to AFOLU?" fld="9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2B6FA9F-F3F1-4D02-A3A0-57CC7C2DF474}" name="PivotTable3" cacheId="5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B6:B8" firstHeaderRow="1" firstDataRow="1" firstDataCol="1"/>
  <pivotFields count="16">
    <pivotField showAll="0"/>
    <pivotField showAll="0"/>
    <pivotField showAll="0"/>
    <pivotField showAll="0"/>
    <pivotField axis="axisRow" showAll="0">
      <items count="198">
        <item m="1" x="122"/>
        <item m="1" x="89"/>
        <item m="1" x="79"/>
        <item x="1"/>
        <item m="1" x="88"/>
        <item m="1" x="32"/>
        <item m="1" x="108"/>
        <item m="1" x="130"/>
        <item m="1" x="82"/>
        <item m="1" x="90"/>
        <item m="1" x="83"/>
        <item m="1" x="60"/>
        <item m="1" x="7"/>
        <item m="1" x="104"/>
        <item m="1" x="5"/>
        <item m="1" x="172"/>
        <item m="1" x="51"/>
        <item m="1" x="153"/>
        <item m="1" x="166"/>
        <item m="1" x="61"/>
        <item m="1" x="54"/>
        <item m="1" x="159"/>
        <item m="1" x="115"/>
        <item m="1" x="116"/>
        <item m="1" x="155"/>
        <item m="1" x="74"/>
        <item m="1" x="148"/>
        <item m="1" x="21"/>
        <item m="1" x="42"/>
        <item m="1" x="193"/>
        <item m="1" x="124"/>
        <item m="1" x="167"/>
        <item m="1" x="93"/>
        <item m="1" x="169"/>
        <item m="1" x="180"/>
        <item m="1" x="101"/>
        <item m="1" x="126"/>
        <item m="1" x="120"/>
        <item m="1" x="164"/>
        <item m="1" x="162"/>
        <item m="1" x="47"/>
        <item m="1" x="185"/>
        <item m="1" x="118"/>
        <item m="1" x="144"/>
        <item m="1" x="161"/>
        <item m="1" x="189"/>
        <item m="1" x="196"/>
        <item m="1" x="97"/>
        <item m="1" x="81"/>
        <item m="1" x="80"/>
        <item m="1" x="132"/>
        <item m="1" x="85"/>
        <item m="1" x="141"/>
        <item m="1" x="35"/>
        <item m="1" x="103"/>
        <item m="1" x="139"/>
        <item m="1" x="163"/>
        <item m="1" x="100"/>
        <item m="1" x="91"/>
        <item m="1" x="29"/>
        <item m="1" x="171"/>
        <item m="1" x="49"/>
        <item m="1" x="69"/>
        <item m="1" x="112"/>
        <item m="1" x="123"/>
        <item m="1" x="70"/>
        <item m="1" x="19"/>
        <item m="1" x="117"/>
        <item m="1" x="129"/>
        <item m="1" x="56"/>
        <item m="1" x="152"/>
        <item m="1" x="168"/>
        <item m="1" x="105"/>
        <item m="1" x="59"/>
        <item m="1" x="71"/>
        <item m="1" x="48"/>
        <item m="1" x="134"/>
        <item m="1" x="16"/>
        <item m="1" x="143"/>
        <item m="1" x="160"/>
        <item m="1" x="181"/>
        <item m="1" x="156"/>
        <item m="1" x="174"/>
        <item m="1" x="194"/>
        <item m="1" x="72"/>
        <item m="1" x="151"/>
        <item m="1" x="191"/>
        <item m="1" x="30"/>
        <item m="1" x="44"/>
        <item m="1" x="77"/>
        <item m="1" x="119"/>
        <item m="1" x="22"/>
        <item m="1" x="27"/>
        <item m="1" x="2"/>
        <item m="1" x="13"/>
        <item m="1" x="173"/>
        <item m="1" x="84"/>
        <item m="1" x="170"/>
        <item m="1" x="45"/>
        <item m="1" x="175"/>
        <item m="1" x="138"/>
        <item m="1" x="110"/>
        <item m="1" x="58"/>
        <item m="1" x="137"/>
        <item m="1" x="6"/>
        <item m="1" x="158"/>
        <item m="1" x="87"/>
        <item m="1" x="10"/>
        <item m="1" x="136"/>
        <item m="1" x="18"/>
        <item m="1" x="39"/>
        <item m="1" x="96"/>
        <item m="1" x="62"/>
        <item m="1" x="52"/>
        <item m="1" x="43"/>
        <item m="1" x="190"/>
        <item m="1" x="195"/>
        <item m="1" x="182"/>
        <item m="1" x="188"/>
        <item m="1" x="98"/>
        <item m="1" x="31"/>
        <item m="1" x="20"/>
        <item m="1" x="114"/>
        <item m="1" x="186"/>
        <item m="1" x="78"/>
        <item m="1" x="154"/>
        <item m="1" x="147"/>
        <item m="1" x="146"/>
        <item m="1" x="25"/>
        <item m="1" x="133"/>
        <item m="1" x="64"/>
        <item m="1" x="113"/>
        <item m="1" x="37"/>
        <item m="1" x="12"/>
        <item m="1" x="176"/>
        <item m="1" x="178"/>
        <item m="1" x="76"/>
        <item m="1" x="34"/>
        <item m="1" x="55"/>
        <item m="1" x="50"/>
        <item m="1" x="46"/>
        <item m="1" x="177"/>
        <item m="1" x="17"/>
        <item m="1" x="187"/>
        <item m="1" x="92"/>
        <item m="1" x="142"/>
        <item m="1" x="65"/>
        <item m="1" x="57"/>
        <item m="1" x="66"/>
        <item m="1" x="33"/>
        <item m="1" x="192"/>
        <item m="1" x="111"/>
        <item m="1" x="106"/>
        <item m="1" x="24"/>
        <item m="1" x="157"/>
        <item m="1" x="26"/>
        <item m="1" x="125"/>
        <item m="1" x="102"/>
        <item m="1" x="94"/>
        <item m="1" x="73"/>
        <item m="1" x="53"/>
        <item m="1" x="38"/>
        <item m="1" x="14"/>
        <item m="1" x="8"/>
        <item m="1" x="183"/>
        <item m="1" x="165"/>
        <item m="1" x="23"/>
        <item m="1" x="67"/>
        <item m="1" x="36"/>
        <item m="1" x="9"/>
        <item m="1" x="184"/>
        <item m="1" x="149"/>
        <item m="1" x="131"/>
        <item m="1" x="107"/>
        <item m="1" x="41"/>
        <item m="1" x="11"/>
        <item m="1" x="4"/>
        <item m="1" x="15"/>
        <item m="1" x="28"/>
        <item m="1" x="150"/>
        <item m="1" x="109"/>
        <item m="1" x="68"/>
        <item m="1" x="127"/>
        <item m="1" x="86"/>
        <item m="1" x="63"/>
        <item m="1" x="145"/>
        <item m="1" x="40"/>
        <item m="1" x="99"/>
        <item m="1" x="128"/>
        <item m="1" x="75"/>
        <item m="1" x="140"/>
        <item m="1" x="135"/>
        <item m="1" x="3"/>
        <item m="1" x="121"/>
        <item m="1" x="95"/>
        <item x="0"/>
        <item m="1" x="179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4"/>
  </rowFields>
  <rowItems count="2">
    <i>
      <x v="3"/>
    </i>
    <i>
      <x v="195"/>
    </i>
  </rowItems>
  <colItems count="1">
    <i/>
  </colItem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1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7FBB84E-A081-443D-A550-551C31CEA46F}" name="PivotTable11" cacheId="54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outline="1" outlineData="1" multipleFieldFilters="0">
  <location ref="K6:L9" firstHeaderRow="1" firstDataRow="1" firstDataCol="1"/>
  <pivotFields count="16">
    <pivotField showAll="0"/>
    <pivotField axis="axisRow" showAll="0">
      <items count="5">
        <item x="2"/>
        <item m="1" x="3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  <pivotField showAll="0"/>
    <pivotField showAll="0"/>
    <pivotField showAll="0"/>
    <pivotField showAll="0"/>
    <pivotField showAll="0"/>
  </pivotFields>
  <rowFields count="1">
    <field x="1"/>
  </rowFields>
  <rowItems count="3">
    <i>
      <x/>
    </i>
    <i>
      <x v="2"/>
    </i>
    <i>
      <x v="3"/>
    </i>
  </rowItems>
  <colItems count="1">
    <i/>
  </colItems>
  <dataFields count="1">
    <dataField name="Sum of Link to Waste?" fld="8" baseField="0" baseItem="0"/>
  </dataFields>
  <pivotTableStyleInfo name="PivotStyleLight16" showRowHeaders="0" showColHeaders="0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10" dT="2020-08-07T12:32:29.60" personId="{8A307EF1-062C-4DD1-801F-D45833AE4B68}" id="{83CA511A-FBD5-43F7-B8F0-E5362C3DCE52}">
    <text>Note that there is still a problem running with other cases here - still looking into it.</text>
  </threadedComment>
  <threadedComment ref="D11" dT="2020-08-07T12:32:29.60" personId="{8A307EF1-062C-4DD1-801F-D45833AE4B68}" id="{CE11BB4C-0C18-4D35-BF73-34D81721FC90}">
    <text>Note that there is still a problem running with other cases here - still looking into it.</text>
  </threadedComment>
  <threadedComment ref="D12" dT="2020-08-07T12:32:29.60" personId="{8A307EF1-062C-4DD1-801F-D45833AE4B68}" id="{EC077787-168E-40F9-8185-2D94EE6C07E4}">
    <text>Note that there is still a problem running with other cases here - still looking into it.</text>
  </threadedComment>
  <threadedComment ref="D13" dT="2020-08-07T12:32:29.60" personId="{8A307EF1-062C-4DD1-801F-D45833AE4B68}" id="{17FBD226-AEBE-4EC7-A6D6-D1E6F0B044C5}">
    <text>Note that there is still a problem running with other cases here - still looking into it.</text>
  </threadedComment>
  <threadedComment ref="D14" dT="2020-08-07T12:32:29.60" personId="{8A307EF1-062C-4DD1-801F-D45833AE4B68}" id="{37DC2375-4C43-4283-944C-7AF220DF9E63}">
    <text>Note that there is still a problem running with other cases here - still looking into it.</text>
  </threadedComment>
  <threadedComment ref="D15" dT="2020-08-07T12:32:29.60" personId="{8A307EF1-062C-4DD1-801F-D45833AE4B68}" id="{96C64C8E-8DBE-43D2-9EEE-9EDCF222C45D}">
    <text>Note that there is still a problem running with other cases here - still looking into it.</text>
  </threadedComment>
  <threadedComment ref="D16" dT="2020-08-07T12:32:29.60" personId="{8A307EF1-062C-4DD1-801F-D45833AE4B68}" id="{2E84C638-A7D0-4725-AAF5-9E9F72760766}">
    <text>Note that there is still a problem running with other cases here - still looking into it.</text>
  </threadedComment>
  <threadedComment ref="D17" dT="2020-08-07T12:32:29.60" personId="{8A307EF1-062C-4DD1-801F-D45833AE4B68}" id="{561DFB92-4BB0-4BCE-B206-9F4519A27285}">
    <text>Note that there is still a problem running with other cases here - still looking into it.</text>
  </threadedComment>
  <threadedComment ref="D18" dT="2020-08-07T12:32:29.60" personId="{8A307EF1-062C-4DD1-801F-D45833AE4B68}" id="{AC5BA943-4423-40A4-AA9B-8D35175CED98}">
    <text>Note that there is still a problem running with other cases here - still looking into it.</text>
  </threadedComment>
  <threadedComment ref="D19" dT="2020-08-07T12:32:29.60" personId="{8A307EF1-062C-4DD1-801F-D45833AE4B68}" id="{230F7878-D483-4C16-85B5-F653F61B75CE}">
    <text>Note that there is still a problem running with other cases here - still looking into it.</text>
  </threadedComment>
  <threadedComment ref="D20" dT="2020-08-07T12:32:29.60" personId="{8A307EF1-062C-4DD1-801F-D45833AE4B68}" id="{CA059FA7-08E5-486C-AB3A-7B25C83F46A7}">
    <text>Note that there is still a problem running with other cases here - still looking into it.</text>
  </threadedComment>
  <threadedComment ref="D21" dT="2020-08-07T12:32:29.60" personId="{8A307EF1-062C-4DD1-801F-D45833AE4B68}" id="{89A69CC2-61DB-4968-9058-E96CBEDE74A3}">
    <text>Note that there is still a problem running with other cases here - still looking into it.</text>
  </threadedComment>
  <threadedComment ref="D22" dT="2020-08-07T12:32:29.60" personId="{8A307EF1-062C-4DD1-801F-D45833AE4B68}" id="{1B64D05D-4765-442D-B929-37345BFEADDA}">
    <text>Note that there is still a problem running with other cases here - still looking into it.</text>
  </threadedComment>
  <threadedComment ref="D23" dT="2020-08-07T12:32:29.60" personId="{8A307EF1-062C-4DD1-801F-D45833AE4B68}" id="{6F091816-6B7C-4E14-A996-86F6F766500B}">
    <text>Note that there is still a problem running with other cases here - still looking into it.</text>
  </threadedComment>
  <threadedComment ref="D24" dT="2020-08-07T12:32:29.60" personId="{8A307EF1-062C-4DD1-801F-D45833AE4B68}" id="{80B76C32-5065-445C-B4CA-949AF3C466AE}">
    <text>Note that there is still a problem running with other cases here - still looking into it.</text>
  </threadedComment>
  <threadedComment ref="D25" dT="2020-08-07T12:32:29.60" personId="{8A307EF1-062C-4DD1-801F-D45833AE4B68}" id="{98C7D9E0-C6BE-4384-B3AA-9CA99F4E582B}">
    <text>Note that there is still a problem running with other cases here - still looking into it.</text>
  </threadedComment>
  <threadedComment ref="D26" dT="2020-08-07T12:32:29.60" personId="{8A307EF1-062C-4DD1-801F-D45833AE4B68}" id="{09AECD53-5E0F-4AAD-86D9-0A176D1BEB4C}">
    <text>Note that there is still a problem running with other cases here - still looking into it.</text>
  </threadedComment>
  <threadedComment ref="D34" dT="2020-08-07T12:32:29.60" personId="{8A307EF1-062C-4DD1-801F-D45833AE4B68}" id="{42BE1C3A-86F6-4EE3-967C-17E110984347}">
    <text>Note that there is still a problem running with other cases here - still looking into it.</text>
  </threadedComment>
  <threadedComment ref="D35" dT="2020-08-07T12:32:29.60" personId="{8A307EF1-062C-4DD1-801F-D45833AE4B68}" id="{2E057A1D-61F2-468B-8278-F722F83FC647}">
    <text>Note that there is still a problem running with other cases here - still looking into it.</text>
  </threadedComment>
  <threadedComment ref="D66" dT="2020-08-07T12:32:29.60" personId="{8A307EF1-062C-4DD1-801F-D45833AE4B68}" id="{6DC6F051-76B1-486C-98FF-EFB7541365C7}">
    <text>Note that there is still a problem running with other cases here - still looking into it.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ivotTable" Target="../pivotTables/pivotTable8.xml"/><Relationship Id="rId13" Type="http://schemas.openxmlformats.org/officeDocument/2006/relationships/printerSettings" Target="../printerSettings/printerSettings2.bin"/><Relationship Id="rId3" Type="http://schemas.openxmlformats.org/officeDocument/2006/relationships/pivotTable" Target="../pivotTables/pivotTable3.xml"/><Relationship Id="rId7" Type="http://schemas.openxmlformats.org/officeDocument/2006/relationships/pivotTable" Target="../pivotTables/pivotTable7.xml"/><Relationship Id="rId12" Type="http://schemas.openxmlformats.org/officeDocument/2006/relationships/pivotTable" Target="../pivotTables/pivotTable12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pivotTable" Target="../pivotTables/pivotTable6.xml"/><Relationship Id="rId11" Type="http://schemas.openxmlformats.org/officeDocument/2006/relationships/pivotTable" Target="../pivotTables/pivotTable11.xml"/><Relationship Id="rId5" Type="http://schemas.openxmlformats.org/officeDocument/2006/relationships/pivotTable" Target="../pivotTables/pivotTable5.xml"/><Relationship Id="rId10" Type="http://schemas.openxmlformats.org/officeDocument/2006/relationships/pivotTable" Target="../pivotTables/pivotTable10.xml"/><Relationship Id="rId4" Type="http://schemas.openxmlformats.org/officeDocument/2006/relationships/pivotTable" Target="../pivotTables/pivotTable4.xml"/><Relationship Id="rId9" Type="http://schemas.openxmlformats.org/officeDocument/2006/relationships/pivotTable" Target="../pivotTables/pivotTable9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microsoft.com/office/2017/10/relationships/threadedComment" Target="../threadedComments/threadedComment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K22"/>
  <sheetViews>
    <sheetView workbookViewId="0">
      <selection activeCell="A6" sqref="A6:E7"/>
    </sheetView>
  </sheetViews>
  <sheetFormatPr defaultRowHeight="15"/>
  <cols>
    <col min="2" max="2" width="17.42578125" customWidth="1"/>
    <col min="3" max="3" width="29" customWidth="1"/>
  </cols>
  <sheetData>
    <row r="2" spans="1:11">
      <c r="K2" t="s">
        <v>6</v>
      </c>
    </row>
    <row r="6" spans="1:11">
      <c r="D6" t="s">
        <v>0</v>
      </c>
      <c r="E6" t="s">
        <v>1</v>
      </c>
    </row>
    <row r="7" spans="1:11">
      <c r="A7" t="s">
        <v>3</v>
      </c>
      <c r="B7" t="s">
        <v>7</v>
      </c>
      <c r="C7" t="str">
        <f>"Sets!"&amp;ADDRESS(ROW(Sets!A7),COLUMN(Sets!A7),4)</f>
        <v>Sets!A7</v>
      </c>
      <c r="D7">
        <v>1</v>
      </c>
    </row>
    <row r="8" spans="1:11">
      <c r="A8" t="s">
        <v>3</v>
      </c>
      <c r="B8" t="s">
        <v>60</v>
      </c>
      <c r="C8" t="str">
        <f>"Sets!"&amp;ADDRESS(ROW(Sets!B7),COLUMN(Sets!B7),4)</f>
        <v>Sets!B7</v>
      </c>
      <c r="D8">
        <v>1</v>
      </c>
    </row>
    <row r="9" spans="1:11">
      <c r="A9" t="s">
        <v>3</v>
      </c>
      <c r="B9" t="s">
        <v>57</v>
      </c>
      <c r="C9" t="str">
        <f>"Sets!"&amp;ADDRESS(ROW(Sets!C7),COLUMN(Sets!C7),4)</f>
        <v>Sets!C7</v>
      </c>
      <c r="D9">
        <v>1</v>
      </c>
    </row>
    <row r="10" spans="1:11">
      <c r="A10" t="s">
        <v>4</v>
      </c>
      <c r="B10" t="s">
        <v>64</v>
      </c>
      <c r="C10" t="str">
        <f>"Sets!"&amp;ADDRESS(ROW(Sets!D7),COLUMN(Sets!D7),4)</f>
        <v>Sets!D7</v>
      </c>
      <c r="D10">
        <v>1</v>
      </c>
    </row>
    <row r="11" spans="1:11">
      <c r="A11" t="s">
        <v>2</v>
      </c>
      <c r="B11" t="s">
        <v>10</v>
      </c>
      <c r="C11" t="str">
        <f>"Sets!"&amp;ADDRESS(ROW(Sets!E7),COLUMN(Sets!E7),4)</f>
        <v>Sets!E7</v>
      </c>
      <c r="D11">
        <v>1</v>
      </c>
    </row>
    <row r="12" spans="1:11">
      <c r="A12" t="s">
        <v>2</v>
      </c>
      <c r="B12" t="s">
        <v>59</v>
      </c>
      <c r="C12" t="str">
        <f>"Sets!"&amp;ADDRESS(ROW(Sets!G7),COLUMN(Sets!G7),4)</f>
        <v>Sets!G7</v>
      </c>
      <c r="D12">
        <v>1</v>
      </c>
    </row>
    <row r="13" spans="1:11">
      <c r="A13" t="s">
        <v>2</v>
      </c>
      <c r="B13" t="s">
        <v>61</v>
      </c>
      <c r="C13" t="str">
        <f>"Sets!"&amp;ADDRESS(ROW(Sets!I7),COLUMN(Sets!I7),4)</f>
        <v>Sets!I7</v>
      </c>
      <c r="D13">
        <v>1</v>
      </c>
    </row>
    <row r="14" spans="1:11">
      <c r="A14" t="s">
        <v>2</v>
      </c>
      <c r="B14" t="s">
        <v>202</v>
      </c>
      <c r="C14" t="str">
        <f>"Sets!"&amp;ADDRESS(ROW(Sets!K7),COLUMN(Sets!K7),4)</f>
        <v>Sets!K7</v>
      </c>
      <c r="D14">
        <v>1</v>
      </c>
    </row>
    <row r="15" spans="1:11">
      <c r="A15" t="s">
        <v>2</v>
      </c>
      <c r="B15" t="s">
        <v>203</v>
      </c>
      <c r="C15" t="str">
        <f>"Sets!"&amp;ADDRESS(ROW(Sets!M7),COLUMN(Sets!M7),4)</f>
        <v>Sets!M7</v>
      </c>
      <c r="D15">
        <v>1</v>
      </c>
    </row>
    <row r="16" spans="1:11">
      <c r="A16" t="s">
        <v>4</v>
      </c>
      <c r="B16" t="s">
        <v>8</v>
      </c>
      <c r="C16" t="str">
        <f>"Sets!"&amp;ADDRESS(ROW(Sets!O7),COLUMN(Sets!O7),4)</f>
        <v>Sets!O7</v>
      </c>
      <c r="D16">
        <v>2</v>
      </c>
    </row>
    <row r="17" spans="1:5">
      <c r="A17" t="s">
        <v>4</v>
      </c>
      <c r="B17" t="s">
        <v>58</v>
      </c>
      <c r="C17" t="str">
        <f>"Sets!"&amp;ADDRESS(ROW(Sets!Q7),COLUMN(Sets!Q7),4)</f>
        <v>Sets!Q7</v>
      </c>
      <c r="D17">
        <v>2</v>
      </c>
    </row>
    <row r="18" spans="1:5">
      <c r="A18" t="s">
        <v>3</v>
      </c>
      <c r="B18" t="s">
        <v>54</v>
      </c>
      <c r="C18" t="str">
        <f>"Sets!"&amp;ADDRESS(ROW(Sets!AD7),COLUMN(Sets!AD7),4)</f>
        <v>Sets!AD7</v>
      </c>
      <c r="D18">
        <v>1</v>
      </c>
    </row>
    <row r="19" spans="1:5">
      <c r="A19" t="s">
        <v>3</v>
      </c>
      <c r="B19" t="s">
        <v>55</v>
      </c>
      <c r="C19" t="str">
        <f>"Sets!"&amp;ADDRESS(ROW(Sets!AE7),COLUMN(Sets!AE7),4)</f>
        <v>Sets!AE7</v>
      </c>
      <c r="D19">
        <v>1</v>
      </c>
    </row>
    <row r="20" spans="1:5">
      <c r="A20" t="s">
        <v>3</v>
      </c>
      <c r="B20" t="s">
        <v>216</v>
      </c>
      <c r="C20" t="str">
        <f>"Sets!"&amp;ADDRESS(ROW(Sets!AF7),COLUMN(Sets!AF7),4)</f>
        <v>Sets!AF7</v>
      </c>
      <c r="D20">
        <v>1</v>
      </c>
    </row>
    <row r="21" spans="1:5">
      <c r="A21" t="s">
        <v>2</v>
      </c>
      <c r="B21" t="s">
        <v>163</v>
      </c>
      <c r="C21" t="str">
        <f>"Sets!"&amp;ADDRESS(ROW(Sets!S6),COLUMN(Sets!S6),4)</f>
        <v>Sets!S6</v>
      </c>
      <c r="D21">
        <v>1</v>
      </c>
      <c r="E21">
        <v>1</v>
      </c>
    </row>
    <row r="22" spans="1:5">
      <c r="A22" t="s">
        <v>2</v>
      </c>
      <c r="B22" t="s">
        <v>206</v>
      </c>
      <c r="C22" t="str">
        <f>"Sets!"&amp;ADDRESS(ROW(Sets!AA7),COLUMN(Sets!AA7),4)</f>
        <v>Sets!AA7</v>
      </c>
      <c r="D22">
        <v>1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5:AM23"/>
  <sheetViews>
    <sheetView topLeftCell="M1" workbookViewId="0">
      <selection activeCell="AF8" sqref="AF8:AF16"/>
    </sheetView>
  </sheetViews>
  <sheetFormatPr defaultRowHeight="15"/>
  <cols>
    <col min="1" max="2" width="13.140625" bestFit="1" customWidth="1"/>
    <col min="3" max="3" width="13.140625" customWidth="1"/>
    <col min="4" max="5" width="13.140625" bestFit="1" customWidth="1"/>
    <col min="6" max="6" width="23" bestFit="1" customWidth="1"/>
    <col min="7" max="7" width="13.140625" bestFit="1" customWidth="1"/>
    <col min="8" max="8" width="19.85546875" bestFit="1" customWidth="1"/>
    <col min="9" max="9" width="13.140625" bestFit="1" customWidth="1"/>
    <col min="10" max="10" width="18.5703125" bestFit="1" customWidth="1"/>
    <col min="11" max="11" width="13.140625" bestFit="1" customWidth="1"/>
    <col min="12" max="12" width="20.7109375" bestFit="1" customWidth="1"/>
    <col min="13" max="13" width="13.140625" bestFit="1" customWidth="1"/>
    <col min="14" max="14" width="21" bestFit="1" customWidth="1"/>
    <col min="15" max="15" width="23.140625" customWidth="1"/>
    <col min="16" max="16" width="20.85546875" bestFit="1" customWidth="1"/>
    <col min="17" max="17" width="16.7109375" bestFit="1" customWidth="1"/>
    <col min="18" max="18" width="18" bestFit="1" customWidth="1"/>
    <col min="19" max="19" width="13.140625" bestFit="1" customWidth="1"/>
    <col min="20" max="20" width="4.140625" bestFit="1" customWidth="1"/>
    <col min="21" max="21" width="5.28515625" bestFit="1" customWidth="1"/>
    <col min="22" max="22" width="4.42578125" bestFit="1" customWidth="1"/>
    <col min="23" max="23" width="7.140625" bestFit="1" customWidth="1"/>
    <col min="24" max="24" width="6.85546875" bestFit="1" customWidth="1"/>
    <col min="25" max="26" width="6.85546875" customWidth="1"/>
    <col min="27" max="27" width="13.140625" bestFit="1" customWidth="1"/>
    <col min="28" max="28" width="19.140625" bestFit="1" customWidth="1"/>
    <col min="29" max="29" width="20.140625" customWidth="1"/>
    <col min="30" max="30" width="10" style="10" bestFit="1" customWidth="1"/>
    <col min="31" max="31" width="11.5703125" style="10" bestFit="1" customWidth="1"/>
    <col min="32" max="33" width="23.140625" customWidth="1"/>
    <col min="34" max="34" width="16.7109375" customWidth="1"/>
    <col min="35" max="35" width="19" customWidth="1"/>
  </cols>
  <sheetData>
    <row r="5" spans="1:39" s="1" customFormat="1">
      <c r="A5" s="1" t="s">
        <v>7</v>
      </c>
      <c r="B5" s="1" t="s">
        <v>40</v>
      </c>
      <c r="C5" s="1" t="s">
        <v>45</v>
      </c>
      <c r="D5" s="1" t="s">
        <v>63</v>
      </c>
      <c r="E5" s="1" t="s">
        <v>42</v>
      </c>
      <c r="G5" s="1" t="s">
        <v>65</v>
      </c>
      <c r="I5" s="1" t="s">
        <v>196</v>
      </c>
      <c r="K5" s="1" t="s">
        <v>198</v>
      </c>
      <c r="M5" s="1" t="s">
        <v>199</v>
      </c>
      <c r="O5" s="1" t="s">
        <v>66</v>
      </c>
      <c r="Q5" s="1" t="s">
        <v>67</v>
      </c>
      <c r="S5" s="1" t="s">
        <v>163</v>
      </c>
      <c r="AA5" s="1" t="s">
        <v>204</v>
      </c>
      <c r="AD5" s="1" t="s">
        <v>53</v>
      </c>
      <c r="AE5" s="1" t="s">
        <v>56</v>
      </c>
      <c r="AF5" s="1" t="s">
        <v>215</v>
      </c>
      <c r="AM5" s="1" t="s">
        <v>27</v>
      </c>
    </row>
    <row r="6" spans="1:39">
      <c r="A6" s="8" t="s">
        <v>33</v>
      </c>
      <c r="B6" s="8" t="s">
        <v>33</v>
      </c>
      <c r="D6" s="8" t="s">
        <v>33</v>
      </c>
      <c r="E6" s="8" t="s">
        <v>33</v>
      </c>
      <c r="F6" t="s">
        <v>41</v>
      </c>
      <c r="G6" s="8" t="s">
        <v>33</v>
      </c>
      <c r="H6" t="s">
        <v>44</v>
      </c>
      <c r="I6" s="8" t="s">
        <v>33</v>
      </c>
      <c r="J6" t="s">
        <v>43</v>
      </c>
      <c r="K6" s="8" t="s">
        <v>33</v>
      </c>
      <c r="L6" t="s">
        <v>200</v>
      </c>
      <c r="M6" s="8" t="s">
        <v>33</v>
      </c>
      <c r="N6" t="s">
        <v>201</v>
      </c>
      <c r="O6" s="8" t="s">
        <v>35</v>
      </c>
      <c r="P6" s="8" t="s">
        <v>28</v>
      </c>
      <c r="Q6" s="8" t="s">
        <v>35</v>
      </c>
      <c r="R6" s="8" t="s">
        <v>29</v>
      </c>
      <c r="S6" s="8" t="s">
        <v>33</v>
      </c>
      <c r="T6" t="s">
        <v>184</v>
      </c>
      <c r="U6" t="s">
        <v>185</v>
      </c>
      <c r="V6" t="s">
        <v>186</v>
      </c>
      <c r="W6" t="s">
        <v>187</v>
      </c>
      <c r="X6" t="s">
        <v>39</v>
      </c>
      <c r="AA6" s="8" t="s">
        <v>33</v>
      </c>
      <c r="AB6" t="s">
        <v>205</v>
      </c>
      <c r="AC6" s="8"/>
      <c r="AD6" s="12" t="s">
        <v>54</v>
      </c>
      <c r="AE6" s="12" t="s">
        <v>55</v>
      </c>
      <c r="AF6" t="s">
        <v>216</v>
      </c>
    </row>
    <row r="7" spans="1:39">
      <c r="A7" s="9" t="s">
        <v>193</v>
      </c>
      <c r="B7" s="9" t="s">
        <v>193</v>
      </c>
      <c r="C7" s="8" t="s">
        <v>30</v>
      </c>
      <c r="D7" s="9" t="s">
        <v>30</v>
      </c>
      <c r="E7" s="9" t="s">
        <v>193</v>
      </c>
      <c r="F7" s="26">
        <v>0</v>
      </c>
      <c r="G7" s="9" t="s">
        <v>193</v>
      </c>
      <c r="H7" s="26"/>
      <c r="I7" s="9" t="s">
        <v>193</v>
      </c>
      <c r="J7" s="26"/>
      <c r="K7" s="9" t="s">
        <v>193</v>
      </c>
      <c r="L7" s="26"/>
      <c r="M7" s="9" t="s">
        <v>193</v>
      </c>
      <c r="N7" s="26"/>
      <c r="O7" t="s">
        <v>193</v>
      </c>
      <c r="P7" t="s">
        <v>193</v>
      </c>
      <c r="Q7" t="s">
        <v>193</v>
      </c>
      <c r="R7" t="s">
        <v>193</v>
      </c>
      <c r="S7" s="9" t="s">
        <v>193</v>
      </c>
      <c r="T7" s="26"/>
      <c r="U7" s="26"/>
      <c r="V7" s="26"/>
      <c r="W7" s="26"/>
      <c r="X7" s="26"/>
      <c r="AA7" s="9" t="s">
        <v>193</v>
      </c>
      <c r="AB7" s="26"/>
      <c r="AD7" s="10">
        <v>2021</v>
      </c>
      <c r="AE7" s="10">
        <f>2051-Scenarios!G6</f>
        <v>2048</v>
      </c>
      <c r="AF7">
        <v>2021</v>
      </c>
      <c r="AM7" t="s">
        <v>14</v>
      </c>
    </row>
    <row r="8" spans="1:39">
      <c r="A8" s="9" t="s">
        <v>239</v>
      </c>
      <c r="B8" s="9" t="s">
        <v>240</v>
      </c>
      <c r="C8" s="9" t="s">
        <v>31</v>
      </c>
      <c r="D8" s="9" t="s">
        <v>193</v>
      </c>
      <c r="E8" s="9" t="s">
        <v>239</v>
      </c>
      <c r="F8" s="26">
        <v>1</v>
      </c>
      <c r="G8" s="9" t="s">
        <v>239</v>
      </c>
      <c r="H8" s="26">
        <v>0</v>
      </c>
      <c r="I8" s="9" t="s">
        <v>239</v>
      </c>
      <c r="J8" s="26">
        <v>0</v>
      </c>
      <c r="K8" s="9" t="s">
        <v>239</v>
      </c>
      <c r="L8" s="26">
        <v>0</v>
      </c>
      <c r="M8" s="9" t="s">
        <v>239</v>
      </c>
      <c r="N8" s="26">
        <v>0</v>
      </c>
      <c r="O8" t="s">
        <v>239</v>
      </c>
      <c r="P8" t="s">
        <v>240</v>
      </c>
      <c r="Q8" t="s">
        <v>239</v>
      </c>
      <c r="R8" t="s">
        <v>30</v>
      </c>
      <c r="S8" s="9" t="s">
        <v>239</v>
      </c>
      <c r="T8" s="26">
        <v>-1</v>
      </c>
      <c r="U8" s="26">
        <v>-1</v>
      </c>
      <c r="V8" s="26">
        <v>-1</v>
      </c>
      <c r="W8" s="26">
        <v>1</v>
      </c>
      <c r="X8" s="26">
        <v>-1</v>
      </c>
      <c r="AA8" s="9" t="s">
        <v>239</v>
      </c>
      <c r="AB8" s="26">
        <v>100</v>
      </c>
      <c r="AD8" s="10">
        <f>AD7+1</f>
        <v>2022</v>
      </c>
      <c r="AE8" s="10">
        <f>IF(OR(AE7=2050,AE7=""),"",AE7+1)</f>
        <v>2049</v>
      </c>
      <c r="AF8">
        <f>AF7+1</f>
        <v>2022</v>
      </c>
      <c r="AM8" t="s">
        <v>15</v>
      </c>
    </row>
    <row r="9" spans="1:39">
      <c r="A9" s="9" t="s">
        <v>241</v>
      </c>
      <c r="C9" s="9" t="s">
        <v>32</v>
      </c>
      <c r="E9" s="9" t="s">
        <v>241</v>
      </c>
      <c r="F9" s="26">
        <v>0</v>
      </c>
      <c r="G9" s="9" t="s">
        <v>241</v>
      </c>
      <c r="H9" s="26">
        <v>0</v>
      </c>
      <c r="I9" s="9" t="s">
        <v>241</v>
      </c>
      <c r="J9" s="26">
        <v>0</v>
      </c>
      <c r="K9" s="9" t="s">
        <v>241</v>
      </c>
      <c r="L9" s="26">
        <v>0</v>
      </c>
      <c r="M9" s="9" t="s">
        <v>241</v>
      </c>
      <c r="N9" s="26">
        <v>0</v>
      </c>
      <c r="O9" t="s">
        <v>241</v>
      </c>
      <c r="P9" t="s">
        <v>240</v>
      </c>
      <c r="Q9" t="s">
        <v>241</v>
      </c>
      <c r="R9" t="s">
        <v>30</v>
      </c>
      <c r="S9" s="9" t="s">
        <v>241</v>
      </c>
      <c r="T9" s="26">
        <v>-1</v>
      </c>
      <c r="U9" s="26">
        <v>-1</v>
      </c>
      <c r="V9" s="26">
        <v>-1</v>
      </c>
      <c r="W9" s="26">
        <v>1</v>
      </c>
      <c r="X9" s="26">
        <v>-1</v>
      </c>
      <c r="AA9" s="9" t="s">
        <v>241</v>
      </c>
      <c r="AB9" s="26">
        <v>100</v>
      </c>
      <c r="AD9" s="10">
        <f t="shared" ref="AD9:AD16" si="0">AD8+1</f>
        <v>2023</v>
      </c>
      <c r="AE9" s="10">
        <f>IF(OR(AE8=2050,AE8=""),"",AE8+1)</f>
        <v>2050</v>
      </c>
      <c r="AF9">
        <f t="shared" ref="AF9:AF16" si="1">AF8+1</f>
        <v>2023</v>
      </c>
      <c r="AM9" t="s">
        <v>16</v>
      </c>
    </row>
    <row r="10" spans="1:39">
      <c r="C10" s="9" t="s">
        <v>46</v>
      </c>
      <c r="AD10" s="10">
        <f t="shared" si="0"/>
        <v>2024</v>
      </c>
      <c r="AE10" s="10" t="str">
        <f t="shared" ref="AE10:AE13" si="2">IF(OR(AE9=2050,AE9=""),"",AE9+1)</f>
        <v/>
      </c>
      <c r="AF10">
        <f t="shared" si="1"/>
        <v>2024</v>
      </c>
      <c r="AM10" t="s">
        <v>17</v>
      </c>
    </row>
    <row r="11" spans="1:39">
      <c r="C11" s="9" t="s">
        <v>47</v>
      </c>
      <c r="AD11" s="10">
        <f t="shared" si="0"/>
        <v>2025</v>
      </c>
      <c r="AE11" s="10" t="str">
        <f t="shared" si="2"/>
        <v/>
      </c>
      <c r="AF11">
        <f t="shared" si="1"/>
        <v>2025</v>
      </c>
      <c r="AM11" t="s">
        <v>18</v>
      </c>
    </row>
    <row r="12" spans="1:39">
      <c r="C12" s="9" t="s">
        <v>48</v>
      </c>
      <c r="D12" s="9"/>
      <c r="AD12" s="10">
        <f t="shared" si="0"/>
        <v>2026</v>
      </c>
      <c r="AE12" s="10" t="str">
        <f t="shared" si="2"/>
        <v/>
      </c>
      <c r="AF12">
        <f t="shared" si="1"/>
        <v>2026</v>
      </c>
      <c r="AM12" t="s">
        <v>19</v>
      </c>
    </row>
    <row r="13" spans="1:39">
      <c r="C13" s="9" t="s">
        <v>49</v>
      </c>
      <c r="D13" s="9"/>
      <c r="AD13" s="10">
        <f t="shared" si="0"/>
        <v>2027</v>
      </c>
      <c r="AE13" s="10" t="str">
        <f t="shared" si="2"/>
        <v/>
      </c>
      <c r="AF13">
        <f t="shared" si="1"/>
        <v>2027</v>
      </c>
      <c r="AM13" t="s">
        <v>20</v>
      </c>
    </row>
    <row r="14" spans="1:39">
      <c r="C14" s="9" t="s">
        <v>50</v>
      </c>
      <c r="D14" s="9"/>
      <c r="AD14" s="10">
        <f t="shared" si="0"/>
        <v>2028</v>
      </c>
      <c r="AF14">
        <f t="shared" si="1"/>
        <v>2028</v>
      </c>
      <c r="AM14" t="s">
        <v>21</v>
      </c>
    </row>
    <row r="15" spans="1:39">
      <c r="C15" s="9" t="s">
        <v>51</v>
      </c>
      <c r="D15" s="9"/>
      <c r="AD15" s="10">
        <f t="shared" si="0"/>
        <v>2029</v>
      </c>
      <c r="AF15">
        <f t="shared" si="1"/>
        <v>2029</v>
      </c>
      <c r="AM15" t="s">
        <v>22</v>
      </c>
    </row>
    <row r="16" spans="1:39">
      <c r="C16" s="9" t="s">
        <v>52</v>
      </c>
      <c r="D16" s="9"/>
      <c r="AD16" s="10">
        <f t="shared" si="0"/>
        <v>2030</v>
      </c>
      <c r="AF16">
        <f t="shared" si="1"/>
        <v>2030</v>
      </c>
      <c r="AM16" t="s">
        <v>5</v>
      </c>
    </row>
    <row r="17" spans="39:39">
      <c r="AM17" t="s">
        <v>23</v>
      </c>
    </row>
    <row r="18" spans="39:39">
      <c r="AM18" t="s">
        <v>25</v>
      </c>
    </row>
    <row r="19" spans="39:39">
      <c r="AM19" t="s">
        <v>24</v>
      </c>
    </row>
    <row r="20" spans="39:39">
      <c r="AM20" t="s">
        <v>11</v>
      </c>
    </row>
    <row r="21" spans="39:39">
      <c r="AM21" t="s">
        <v>11</v>
      </c>
    </row>
    <row r="22" spans="39:39">
      <c r="AM22" t="s">
        <v>11</v>
      </c>
    </row>
    <row r="23" spans="39:39">
      <c r="AM23" t="s">
        <v>11</v>
      </c>
    </row>
  </sheetData>
  <phoneticPr fontId="34" type="noConversion"/>
  <pageMargins left="0.7" right="0.7" top="0.75" bottom="0.75" header="0.3" footer="0.3"/>
  <pageSetup paperSize="9" orientation="portrait" r:id="rId1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29">
    <tabColor rgb="FFFFC000"/>
  </sheetPr>
  <dimension ref="A1:BM105"/>
  <sheetViews>
    <sheetView tabSelected="1" zoomScaleNormal="100" workbookViewId="0">
      <pane xSplit="2" ySplit="9" topLeftCell="C10" activePane="bottomRight" state="frozen"/>
      <selection pane="topRight" activeCell="C1" sqref="C1"/>
      <selection pane="bottomLeft" activeCell="A8" sqref="A8"/>
      <selection pane="bottomRight" activeCell="E10" sqref="E10"/>
    </sheetView>
  </sheetViews>
  <sheetFormatPr defaultRowHeight="15"/>
  <cols>
    <col min="1" max="1" width="8.42578125" customWidth="1"/>
    <col min="2" max="2" width="41.42578125" bestFit="1" customWidth="1"/>
    <col min="3" max="3" width="37.5703125" customWidth="1"/>
    <col min="4" max="4" width="20.5703125" customWidth="1"/>
    <col min="5" max="6" width="20.28515625" customWidth="1"/>
    <col min="7" max="7" width="11.5703125" customWidth="1"/>
    <col min="8" max="8" width="22.42578125" customWidth="1"/>
    <col min="9" max="9" width="11.5703125" customWidth="1"/>
    <col min="10" max="10" width="15.85546875" customWidth="1"/>
    <col min="11" max="13" width="11.5703125" customWidth="1"/>
    <col min="14" max="14" width="7" customWidth="1"/>
    <col min="15" max="15" width="8.140625" customWidth="1"/>
    <col min="16" max="16" width="11.5703125" customWidth="1"/>
    <col min="19" max="31" width="5.5703125" customWidth="1"/>
    <col min="32" max="49" width="6.42578125" customWidth="1"/>
    <col min="50" max="50" width="10.140625" customWidth="1"/>
  </cols>
  <sheetData>
    <row r="1" spans="1:57">
      <c r="A1" t="s">
        <v>197</v>
      </c>
      <c r="B1" t="str" cm="1">
        <f t="array" aca="1" ref="B1" ca="1">LEFT(CELL("filename",A1),FIND("[",CELL("filename",A1))-1)</f>
        <v>C:\Models\SATIM-EL\</v>
      </c>
      <c r="J1" s="14" t="s">
        <v>188</v>
      </c>
      <c r="K1">
        <v>-1</v>
      </c>
      <c r="L1">
        <v>-1</v>
      </c>
      <c r="M1">
        <v>-1</v>
      </c>
      <c r="N1">
        <v>1</v>
      </c>
      <c r="O1">
        <v>-1</v>
      </c>
      <c r="T1" t="e">
        <f>RIGHT(#REF!,1)</f>
        <v>#REF!</v>
      </c>
      <c r="U1">
        <v>7.4793989999999999</v>
      </c>
    </row>
    <row r="2" spans="1:57">
      <c r="J2" s="14" t="s">
        <v>189</v>
      </c>
      <c r="K2">
        <v>2</v>
      </c>
      <c r="L2">
        <v>2</v>
      </c>
      <c r="M2">
        <v>1</v>
      </c>
      <c r="N2">
        <v>2</v>
      </c>
      <c r="O2">
        <v>1</v>
      </c>
      <c r="T2" t="e">
        <f>RIGHT(#REF!,1)</f>
        <v>#REF!</v>
      </c>
      <c r="U2">
        <v>6.4793989999999999</v>
      </c>
    </row>
    <row r="3" spans="1:57">
      <c r="J3" s="14" t="s">
        <v>190</v>
      </c>
      <c r="K3">
        <v>2</v>
      </c>
      <c r="L3">
        <v>2</v>
      </c>
      <c r="M3">
        <v>2</v>
      </c>
      <c r="N3">
        <v>1</v>
      </c>
      <c r="O3">
        <v>2</v>
      </c>
      <c r="T3" t="e">
        <f>RIGHT(#REF!,1)</f>
        <v>#REF!</v>
      </c>
      <c r="U3">
        <v>5.4793989999999999</v>
      </c>
    </row>
    <row r="4" spans="1:57">
      <c r="J4" s="14" t="s">
        <v>191</v>
      </c>
      <c r="K4">
        <v>1</v>
      </c>
      <c r="L4">
        <v>1</v>
      </c>
      <c r="M4">
        <v>3</v>
      </c>
      <c r="N4">
        <v>3</v>
      </c>
      <c r="O4">
        <v>3</v>
      </c>
      <c r="T4" t="str">
        <f>RIGHT(B13,1)</f>
        <v/>
      </c>
      <c r="U4">
        <v>4.4793989999999999</v>
      </c>
    </row>
    <row r="5" spans="1:57" ht="45">
      <c r="A5" t="s">
        <v>208</v>
      </c>
      <c r="G5" s="6" t="s">
        <v>62</v>
      </c>
      <c r="H5" s="7"/>
      <c r="I5" s="7"/>
      <c r="J5" s="14" t="s">
        <v>211</v>
      </c>
      <c r="K5" s="14">
        <f>K1</f>
        <v>-1</v>
      </c>
      <c r="L5" s="14">
        <f t="shared" ref="L5:M5" si="0">L1</f>
        <v>-1</v>
      </c>
      <c r="M5" s="14">
        <f t="shared" si="0"/>
        <v>-1</v>
      </c>
      <c r="N5" s="14">
        <v>1</v>
      </c>
      <c r="O5" s="14">
        <v>4</v>
      </c>
      <c r="P5">
        <v>-20</v>
      </c>
      <c r="T5" t="s">
        <v>214</v>
      </c>
      <c r="U5">
        <v>100</v>
      </c>
      <c r="AZ5" t="s">
        <v>207</v>
      </c>
    </row>
    <row r="6" spans="1:57">
      <c r="A6" s="4">
        <f>SUM(A10:A104)</f>
        <v>1</v>
      </c>
      <c r="B6" s="13" t="str">
        <f>IF(AY6&gt;0,"Scenario Name Too long - see column AY","ScenarioNames are Fine (&lt;30 char)")</f>
        <v>ScenarioNames are Fine (&lt;30 char)</v>
      </c>
      <c r="D6" s="7"/>
      <c r="E6" s="3"/>
      <c r="F6" s="3"/>
      <c r="G6" s="18">
        <v>3</v>
      </c>
      <c r="H6" s="3"/>
      <c r="I6" s="3"/>
      <c r="J6" s="14" t="s">
        <v>212</v>
      </c>
      <c r="K6" s="14">
        <f>K2</f>
        <v>2</v>
      </c>
      <c r="L6" s="14">
        <f t="shared" ref="L6:M6" si="1">L2</f>
        <v>2</v>
      </c>
      <c r="M6" s="14">
        <f t="shared" si="1"/>
        <v>1</v>
      </c>
      <c r="N6" s="14">
        <v>3</v>
      </c>
      <c r="O6" s="15">
        <v>5</v>
      </c>
      <c r="P6">
        <v>-45</v>
      </c>
      <c r="R6" s="25" t="s">
        <v>26</v>
      </c>
      <c r="S6" s="25"/>
      <c r="T6" s="25"/>
      <c r="U6" s="25"/>
      <c r="V6" s="25"/>
      <c r="W6" s="25"/>
      <c r="X6" s="25"/>
      <c r="Y6" s="25"/>
      <c r="Z6" s="25"/>
      <c r="AA6" s="25"/>
      <c r="AB6" s="25"/>
      <c r="AC6" s="25"/>
      <c r="AD6" s="25"/>
      <c r="AE6" s="25"/>
      <c r="AY6">
        <f>SUM(AY10:AY66)</f>
        <v>0</v>
      </c>
    </row>
    <row r="7" spans="1:57">
      <c r="A7" s="4"/>
      <c r="B7" s="13"/>
      <c r="D7" s="7"/>
      <c r="E7" s="3"/>
      <c r="F7" s="3"/>
      <c r="H7" s="3"/>
      <c r="I7" s="3"/>
      <c r="J7" s="14" t="s">
        <v>213</v>
      </c>
      <c r="K7" s="14">
        <v>2</v>
      </c>
      <c r="L7" s="14">
        <v>2</v>
      </c>
      <c r="M7" s="14">
        <v>1</v>
      </c>
      <c r="N7" s="14">
        <v>3</v>
      </c>
      <c r="O7" s="14">
        <v>4</v>
      </c>
      <c r="P7">
        <v>-20</v>
      </c>
      <c r="R7" s="16"/>
      <c r="S7" s="16"/>
      <c r="T7" s="16"/>
      <c r="U7" s="16"/>
      <c r="V7" s="16"/>
      <c r="W7" s="16"/>
      <c r="X7" s="16"/>
      <c r="Y7" s="16"/>
      <c r="Z7" s="16"/>
      <c r="AA7" s="16"/>
      <c r="AB7" s="16"/>
      <c r="AC7" s="16"/>
      <c r="AD7" s="16"/>
      <c r="AE7" s="16"/>
    </row>
    <row r="8" spans="1:57">
      <c r="A8" s="4"/>
      <c r="B8" s="13"/>
      <c r="D8" s="7"/>
      <c r="E8" s="3"/>
      <c r="F8" s="3"/>
      <c r="H8" s="3"/>
      <c r="I8" s="3"/>
      <c r="J8" s="14" t="s">
        <v>210</v>
      </c>
      <c r="K8" s="14">
        <v>-1</v>
      </c>
      <c r="L8" s="14">
        <v>-1</v>
      </c>
      <c r="M8" s="14">
        <v>-1</v>
      </c>
      <c r="N8" s="14">
        <v>1</v>
      </c>
      <c r="O8" s="14">
        <v>5</v>
      </c>
      <c r="P8">
        <v>-45</v>
      </c>
      <c r="R8" s="16"/>
      <c r="S8" s="16"/>
      <c r="T8" s="16"/>
      <c r="U8" s="16"/>
      <c r="V8" s="16"/>
      <c r="W8" s="16"/>
      <c r="X8" s="16"/>
      <c r="Y8" s="16"/>
      <c r="Z8" s="16"/>
      <c r="AA8" s="16"/>
      <c r="AB8" s="16"/>
      <c r="AC8" s="16"/>
      <c r="AD8" s="16"/>
      <c r="AE8" s="16"/>
    </row>
    <row r="9" spans="1:57" ht="45">
      <c r="A9" s="5" t="s">
        <v>9</v>
      </c>
      <c r="B9" s="2" t="s">
        <v>35</v>
      </c>
      <c r="C9" s="2" t="s">
        <v>194</v>
      </c>
      <c r="D9" s="2" t="s">
        <v>29</v>
      </c>
      <c r="E9" s="2" t="s">
        <v>28</v>
      </c>
      <c r="F9" s="2" t="s">
        <v>34</v>
      </c>
      <c r="G9" s="6" t="s">
        <v>13</v>
      </c>
      <c r="H9" s="6" t="s">
        <v>192</v>
      </c>
      <c r="I9" s="6" t="s">
        <v>36</v>
      </c>
      <c r="J9" s="6" t="s">
        <v>37</v>
      </c>
      <c r="K9" s="6" t="s">
        <v>179</v>
      </c>
      <c r="L9" s="6" t="s">
        <v>180</v>
      </c>
      <c r="M9" s="6" t="s">
        <v>181</v>
      </c>
      <c r="N9" s="6" t="s">
        <v>183</v>
      </c>
      <c r="O9" s="6" t="s">
        <v>182</v>
      </c>
      <c r="P9" s="6" t="s">
        <v>12</v>
      </c>
      <c r="Q9" s="6" t="s">
        <v>232</v>
      </c>
      <c r="R9">
        <v>2018</v>
      </c>
      <c r="S9">
        <f>R9+1</f>
        <v>2019</v>
      </c>
      <c r="T9">
        <f t="shared" ref="T9:AX9" si="2">S9+1</f>
        <v>2020</v>
      </c>
      <c r="U9">
        <f t="shared" si="2"/>
        <v>2021</v>
      </c>
      <c r="V9">
        <f t="shared" si="2"/>
        <v>2022</v>
      </c>
      <c r="W9">
        <f t="shared" si="2"/>
        <v>2023</v>
      </c>
      <c r="X9">
        <f t="shared" si="2"/>
        <v>2024</v>
      </c>
      <c r="Y9">
        <f t="shared" si="2"/>
        <v>2025</v>
      </c>
      <c r="Z9">
        <f t="shared" si="2"/>
        <v>2026</v>
      </c>
      <c r="AA9">
        <f t="shared" si="2"/>
        <v>2027</v>
      </c>
      <c r="AB9">
        <f t="shared" si="2"/>
        <v>2028</v>
      </c>
      <c r="AC9">
        <f t="shared" si="2"/>
        <v>2029</v>
      </c>
      <c r="AD9">
        <f t="shared" si="2"/>
        <v>2030</v>
      </c>
      <c r="AE9">
        <f t="shared" si="2"/>
        <v>2031</v>
      </c>
      <c r="AF9">
        <f t="shared" si="2"/>
        <v>2032</v>
      </c>
      <c r="AG9">
        <f t="shared" si="2"/>
        <v>2033</v>
      </c>
      <c r="AH9">
        <f t="shared" si="2"/>
        <v>2034</v>
      </c>
      <c r="AI9">
        <f t="shared" si="2"/>
        <v>2035</v>
      </c>
      <c r="AJ9">
        <f t="shared" si="2"/>
        <v>2036</v>
      </c>
      <c r="AK9">
        <f t="shared" si="2"/>
        <v>2037</v>
      </c>
      <c r="AL9">
        <f t="shared" si="2"/>
        <v>2038</v>
      </c>
      <c r="AM9">
        <f t="shared" si="2"/>
        <v>2039</v>
      </c>
      <c r="AN9">
        <f t="shared" si="2"/>
        <v>2040</v>
      </c>
      <c r="AO9">
        <f t="shared" si="2"/>
        <v>2041</v>
      </c>
      <c r="AP9">
        <f t="shared" si="2"/>
        <v>2042</v>
      </c>
      <c r="AQ9">
        <f t="shared" si="2"/>
        <v>2043</v>
      </c>
      <c r="AR9">
        <f t="shared" si="2"/>
        <v>2044</v>
      </c>
      <c r="AS9">
        <f t="shared" si="2"/>
        <v>2045</v>
      </c>
      <c r="AT9">
        <f t="shared" si="2"/>
        <v>2046</v>
      </c>
      <c r="AU9">
        <f t="shared" si="2"/>
        <v>2047</v>
      </c>
      <c r="AV9">
        <f t="shared" si="2"/>
        <v>2048</v>
      </c>
      <c r="AW9">
        <f t="shared" si="2"/>
        <v>2049</v>
      </c>
      <c r="AX9" s="9">
        <f t="shared" si="2"/>
        <v>2050</v>
      </c>
      <c r="AY9" t="s">
        <v>209</v>
      </c>
      <c r="AZ9" s="22" t="s">
        <v>235</v>
      </c>
      <c r="BA9" t="s">
        <v>233</v>
      </c>
      <c r="BB9" t="s">
        <v>234</v>
      </c>
      <c r="BC9" t="s">
        <v>236</v>
      </c>
      <c r="BD9" t="s">
        <v>237</v>
      </c>
      <c r="BE9" t="s">
        <v>238</v>
      </c>
    </row>
    <row r="10" spans="1:57">
      <c r="A10" s="17">
        <v>0</v>
      </c>
      <c r="B10" t="s">
        <v>241</v>
      </c>
      <c r="C10" t="s">
        <v>195</v>
      </c>
      <c r="D10" t="s">
        <v>30</v>
      </c>
      <c r="E10" t="s">
        <v>240</v>
      </c>
      <c r="F10">
        <v>0</v>
      </c>
      <c r="G10">
        <v>0</v>
      </c>
      <c r="H10" t="s">
        <v>188</v>
      </c>
      <c r="I10">
        <v>0</v>
      </c>
      <c r="J10">
        <v>0</v>
      </c>
      <c r="K10">
        <v>-1</v>
      </c>
      <c r="L10">
        <v>-1</v>
      </c>
      <c r="M10">
        <v>-1</v>
      </c>
      <c r="N10">
        <v>1</v>
      </c>
      <c r="O10">
        <v>-1</v>
      </c>
      <c r="P10">
        <v>100</v>
      </c>
      <c r="AY10">
        <v>0</v>
      </c>
    </row>
    <row r="11" spans="1:57">
      <c r="A11" s="17">
        <v>1</v>
      </c>
      <c r="B11" t="s">
        <v>239</v>
      </c>
      <c r="C11" t="s">
        <v>195</v>
      </c>
      <c r="D11" t="s">
        <v>30</v>
      </c>
      <c r="E11" t="s">
        <v>240</v>
      </c>
      <c r="F11">
        <v>0</v>
      </c>
      <c r="G11">
        <v>0</v>
      </c>
      <c r="H11" t="s">
        <v>188</v>
      </c>
      <c r="I11">
        <v>0</v>
      </c>
      <c r="J11">
        <v>0</v>
      </c>
      <c r="K11">
        <v>-1</v>
      </c>
      <c r="L11">
        <v>-1</v>
      </c>
      <c r="M11">
        <v>-1</v>
      </c>
      <c r="N11">
        <v>1</v>
      </c>
      <c r="O11">
        <v>-1</v>
      </c>
      <c r="P11">
        <v>100</v>
      </c>
      <c r="AY11">
        <v>0</v>
      </c>
    </row>
    <row r="12" spans="1:57">
      <c r="A12" s="17"/>
      <c r="AY12">
        <v>0</v>
      </c>
    </row>
    <row r="13" spans="1:57">
      <c r="A13" s="17"/>
      <c r="B13" s="20"/>
      <c r="E13" s="13"/>
      <c r="AY13">
        <v>0</v>
      </c>
      <c r="AZ13">
        <v>1</v>
      </c>
    </row>
    <row r="14" spans="1:57">
      <c r="A14" s="17"/>
      <c r="B14" s="19"/>
      <c r="E14" s="13"/>
      <c r="AY14">
        <v>0</v>
      </c>
      <c r="AZ14">
        <v>1</v>
      </c>
    </row>
    <row r="15" spans="1:57" ht="16.5" customHeight="1">
      <c r="A15" s="17"/>
      <c r="AY15">
        <v>0</v>
      </c>
      <c r="BA15">
        <v>1</v>
      </c>
    </row>
    <row r="16" spans="1:57" ht="17.25" customHeight="1">
      <c r="A16" s="17"/>
      <c r="AY16">
        <v>0</v>
      </c>
      <c r="BA16">
        <v>1</v>
      </c>
    </row>
    <row r="17" spans="1:56" ht="17.25" customHeight="1">
      <c r="A17" s="17"/>
      <c r="AY17">
        <v>0</v>
      </c>
      <c r="BA17">
        <v>1</v>
      </c>
      <c r="BD17">
        <v>1</v>
      </c>
    </row>
    <row r="18" spans="1:56" ht="17.25" customHeight="1">
      <c r="A18" s="17"/>
      <c r="AY18">
        <v>0</v>
      </c>
      <c r="BA18">
        <v>1</v>
      </c>
      <c r="BD18">
        <v>1</v>
      </c>
    </row>
    <row r="19" spans="1:56" ht="17.25" customHeight="1">
      <c r="A19" s="17"/>
      <c r="AY19">
        <v>0</v>
      </c>
      <c r="BA19">
        <v>1</v>
      </c>
      <c r="BD19">
        <v>1</v>
      </c>
    </row>
    <row r="20" spans="1:56" ht="17.25" customHeight="1">
      <c r="A20" s="17"/>
      <c r="AY20">
        <v>0</v>
      </c>
      <c r="BA20">
        <v>1</v>
      </c>
      <c r="BD20">
        <v>1</v>
      </c>
    </row>
    <row r="21" spans="1:56" s="24" customFormat="1">
      <c r="A21" s="23"/>
      <c r="AY21" s="24">
        <v>0</v>
      </c>
      <c r="BA21" s="24">
        <v>1</v>
      </c>
      <c r="BD21" s="24">
        <v>1</v>
      </c>
    </row>
    <row r="22" spans="1:56" s="24" customFormat="1">
      <c r="A22" s="23"/>
      <c r="AY22" s="24">
        <v>0</v>
      </c>
      <c r="BA22" s="24">
        <v>1</v>
      </c>
      <c r="BD22" s="24">
        <v>1</v>
      </c>
    </row>
    <row r="23" spans="1:56">
      <c r="A23" s="17"/>
      <c r="AY23">
        <v>0</v>
      </c>
      <c r="BA23">
        <v>1</v>
      </c>
    </row>
    <row r="24" spans="1:56">
      <c r="A24" s="17"/>
      <c r="AY24">
        <v>0</v>
      </c>
      <c r="BA24">
        <v>1</v>
      </c>
    </row>
    <row r="25" spans="1:56">
      <c r="A25" s="17"/>
      <c r="AY25">
        <v>0</v>
      </c>
      <c r="BA25">
        <v>1</v>
      </c>
    </row>
    <row r="26" spans="1:56">
      <c r="A26" s="17"/>
      <c r="AY26">
        <v>0</v>
      </c>
      <c r="BA26">
        <v>1</v>
      </c>
    </row>
    <row r="27" spans="1:56" s="24" customFormat="1">
      <c r="A27" s="23"/>
      <c r="BB27" s="24">
        <v>1</v>
      </c>
      <c r="BD27" s="24">
        <v>1</v>
      </c>
    </row>
    <row r="28" spans="1:56">
      <c r="A28" s="17"/>
      <c r="BB28">
        <v>1</v>
      </c>
    </row>
    <row r="29" spans="1:56">
      <c r="A29" s="17"/>
      <c r="BB29">
        <v>1</v>
      </c>
    </row>
    <row r="30" spans="1:56">
      <c r="A30" s="17"/>
      <c r="BB30">
        <v>1</v>
      </c>
    </row>
    <row r="31" spans="1:56">
      <c r="A31" s="17"/>
      <c r="BB31">
        <v>1</v>
      </c>
    </row>
    <row r="32" spans="1:56">
      <c r="A32" s="17"/>
      <c r="BB32">
        <v>1</v>
      </c>
    </row>
    <row r="33" spans="1:65">
      <c r="A33" s="17"/>
      <c r="BB33">
        <v>1</v>
      </c>
    </row>
    <row r="34" spans="1:65" s="18" customFormat="1">
      <c r="A34" s="21"/>
      <c r="P34" s="22"/>
      <c r="BB34" s="18">
        <v>1</v>
      </c>
    </row>
    <row r="35" spans="1:65">
      <c r="A35" s="17"/>
      <c r="P35" s="22"/>
      <c r="BB35">
        <v>1</v>
      </c>
      <c r="BM35" t="s">
        <v>217</v>
      </c>
    </row>
    <row r="36" spans="1:65">
      <c r="A36" s="17"/>
      <c r="P36" s="22"/>
      <c r="BB36">
        <v>1</v>
      </c>
      <c r="BM36" t="s">
        <v>218</v>
      </c>
    </row>
    <row r="37" spans="1:65">
      <c r="A37" s="17"/>
      <c r="P37" s="22"/>
      <c r="BB37">
        <v>1</v>
      </c>
      <c r="BM37" t="s">
        <v>219</v>
      </c>
    </row>
    <row r="38" spans="1:65">
      <c r="A38" s="17"/>
      <c r="P38" s="22"/>
      <c r="BB38">
        <v>1</v>
      </c>
      <c r="BM38" t="s">
        <v>220</v>
      </c>
    </row>
    <row r="39" spans="1:65">
      <c r="A39" s="17"/>
      <c r="P39" s="22"/>
      <c r="BB39">
        <v>1</v>
      </c>
      <c r="BM39" t="s">
        <v>221</v>
      </c>
    </row>
    <row r="40" spans="1:65">
      <c r="A40" s="17"/>
      <c r="P40" s="22"/>
      <c r="BB40">
        <v>1</v>
      </c>
      <c r="BM40" t="s">
        <v>222</v>
      </c>
    </row>
    <row r="41" spans="1:65">
      <c r="A41" s="17"/>
      <c r="P41" s="22"/>
      <c r="BB41">
        <v>1</v>
      </c>
      <c r="BM41" t="s">
        <v>223</v>
      </c>
    </row>
    <row r="42" spans="1:65">
      <c r="A42" s="17"/>
      <c r="P42" s="22"/>
      <c r="BB42">
        <v>1</v>
      </c>
      <c r="BM42" t="s">
        <v>224</v>
      </c>
    </row>
    <row r="43" spans="1:65">
      <c r="A43" s="17"/>
      <c r="P43" s="22"/>
      <c r="BB43">
        <v>1</v>
      </c>
      <c r="BM43" t="s">
        <v>225</v>
      </c>
    </row>
    <row r="44" spans="1:65">
      <c r="A44" s="17"/>
      <c r="P44" s="22"/>
      <c r="BB44">
        <v>1</v>
      </c>
      <c r="BM44" t="s">
        <v>226</v>
      </c>
    </row>
    <row r="45" spans="1:65">
      <c r="A45" s="17"/>
      <c r="L45" s="13"/>
      <c r="M45" s="13"/>
      <c r="P45" s="22"/>
      <c r="BB45">
        <v>1</v>
      </c>
      <c r="BM45" t="s">
        <v>227</v>
      </c>
    </row>
    <row r="46" spans="1:65">
      <c r="A46" s="17"/>
      <c r="P46" s="22"/>
      <c r="BB46">
        <v>1</v>
      </c>
      <c r="BM46" t="s">
        <v>228</v>
      </c>
    </row>
    <row r="47" spans="1:65">
      <c r="A47" s="17"/>
      <c r="P47" s="22"/>
      <c r="BB47">
        <v>1</v>
      </c>
      <c r="BM47" t="s">
        <v>229</v>
      </c>
    </row>
    <row r="48" spans="1:65">
      <c r="A48" s="17"/>
      <c r="P48" s="22"/>
      <c r="BB48">
        <v>1</v>
      </c>
      <c r="BM48" t="s">
        <v>230</v>
      </c>
    </row>
    <row r="49" spans="1:65">
      <c r="A49" s="17"/>
      <c r="P49" s="22"/>
      <c r="BB49">
        <v>1</v>
      </c>
      <c r="BM49" t="s">
        <v>231</v>
      </c>
    </row>
    <row r="50" spans="1:65">
      <c r="A50" s="17"/>
      <c r="P50" s="22"/>
      <c r="BB50">
        <v>1</v>
      </c>
    </row>
    <row r="51" spans="1:65">
      <c r="A51" s="17"/>
      <c r="P51" s="22"/>
      <c r="BB51">
        <v>1</v>
      </c>
    </row>
    <row r="52" spans="1:65">
      <c r="A52" s="17"/>
      <c r="P52" s="22"/>
      <c r="BB52">
        <v>1</v>
      </c>
    </row>
    <row r="53" spans="1:65">
      <c r="A53" s="17"/>
      <c r="L53" s="13"/>
      <c r="M53" s="13"/>
      <c r="P53" s="22"/>
      <c r="BB53">
        <v>1</v>
      </c>
    </row>
    <row r="54" spans="1:65">
      <c r="A54" s="17"/>
      <c r="L54" s="13"/>
      <c r="M54" s="13"/>
      <c r="P54" s="22"/>
      <c r="BB54">
        <v>1</v>
      </c>
    </row>
    <row r="55" spans="1:65">
      <c r="A55" s="17"/>
      <c r="L55" s="13"/>
      <c r="M55" s="13"/>
      <c r="P55" s="22"/>
      <c r="BB55">
        <v>1</v>
      </c>
    </row>
    <row r="56" spans="1:65">
      <c r="A56" s="17"/>
      <c r="P56" s="22"/>
      <c r="BB56">
        <v>1</v>
      </c>
    </row>
    <row r="57" spans="1:65">
      <c r="A57" s="17"/>
      <c r="L57" s="13"/>
      <c r="M57" s="13"/>
      <c r="P57" s="22"/>
      <c r="BB57">
        <v>1</v>
      </c>
    </row>
    <row r="58" spans="1:65">
      <c r="A58" s="17"/>
      <c r="P58" s="22"/>
      <c r="BB58">
        <v>1</v>
      </c>
    </row>
    <row r="59" spans="1:65">
      <c r="A59" s="17"/>
      <c r="P59" s="22"/>
      <c r="BB59">
        <v>1</v>
      </c>
    </row>
    <row r="60" spans="1:65">
      <c r="A60" s="17"/>
      <c r="P60" s="22"/>
      <c r="BB60">
        <v>1</v>
      </c>
    </row>
    <row r="61" spans="1:65">
      <c r="A61" s="17"/>
      <c r="L61" s="13"/>
      <c r="M61" s="13"/>
      <c r="P61" s="22"/>
      <c r="BB61">
        <v>1</v>
      </c>
    </row>
    <row r="62" spans="1:65">
      <c r="A62" s="17"/>
      <c r="L62" s="13"/>
      <c r="M62" s="13"/>
      <c r="P62" s="22"/>
      <c r="BB62">
        <v>1</v>
      </c>
    </row>
    <row r="63" spans="1:65">
      <c r="A63" s="17"/>
      <c r="L63" s="13"/>
      <c r="M63" s="13"/>
      <c r="P63" s="22"/>
      <c r="BB63">
        <v>1</v>
      </c>
    </row>
    <row r="64" spans="1:65">
      <c r="A64" s="17"/>
      <c r="P64" s="22"/>
      <c r="BB64">
        <v>1</v>
      </c>
    </row>
    <row r="65" spans="1:54">
      <c r="A65" s="17"/>
      <c r="P65" s="22"/>
      <c r="BB65">
        <v>1</v>
      </c>
    </row>
    <row r="66" spans="1:54">
      <c r="A66" s="17"/>
      <c r="P66" s="22"/>
      <c r="BB66">
        <v>1</v>
      </c>
    </row>
    <row r="67" spans="1:54">
      <c r="A67" s="17"/>
      <c r="P67" s="22"/>
      <c r="BB67">
        <v>1</v>
      </c>
    </row>
    <row r="68" spans="1:54">
      <c r="A68" s="17"/>
      <c r="P68" s="22"/>
      <c r="BB68">
        <v>1</v>
      </c>
    </row>
    <row r="69" spans="1:54">
      <c r="A69" s="17"/>
      <c r="P69" s="22"/>
      <c r="BB69">
        <v>1</v>
      </c>
    </row>
    <row r="70" spans="1:54">
      <c r="A70" s="17"/>
      <c r="P70" s="22"/>
      <c r="BB70">
        <v>1</v>
      </c>
    </row>
    <row r="71" spans="1:54">
      <c r="A71" s="17"/>
      <c r="L71" s="13"/>
      <c r="M71" s="13"/>
      <c r="P71" s="22"/>
      <c r="BB71">
        <v>1</v>
      </c>
    </row>
    <row r="72" spans="1:54">
      <c r="A72" s="17"/>
      <c r="L72" s="13"/>
      <c r="M72" s="13"/>
      <c r="P72" s="22"/>
      <c r="BB72">
        <v>1</v>
      </c>
    </row>
    <row r="73" spans="1:54">
      <c r="A73" s="17"/>
      <c r="L73" s="13"/>
      <c r="M73" s="13"/>
      <c r="P73" s="22"/>
      <c r="BB73">
        <v>1</v>
      </c>
    </row>
    <row r="74" spans="1:54">
      <c r="A74" s="17"/>
      <c r="P74" s="22"/>
      <c r="BB74">
        <v>1</v>
      </c>
    </row>
    <row r="75" spans="1:54">
      <c r="A75" s="17"/>
      <c r="L75" s="13"/>
      <c r="M75" s="13"/>
      <c r="P75" s="22"/>
      <c r="BB75">
        <v>1</v>
      </c>
    </row>
    <row r="76" spans="1:54">
      <c r="A76" s="17"/>
      <c r="P76" s="22"/>
      <c r="BB76">
        <v>1</v>
      </c>
    </row>
    <row r="77" spans="1:54">
      <c r="A77" s="17"/>
      <c r="P77" s="22"/>
      <c r="BB77">
        <v>1</v>
      </c>
    </row>
    <row r="78" spans="1:54">
      <c r="A78" s="17"/>
      <c r="P78" s="22"/>
      <c r="BB78">
        <v>1</v>
      </c>
    </row>
    <row r="79" spans="1:54">
      <c r="A79" s="17"/>
      <c r="L79" s="13"/>
      <c r="M79" s="13"/>
      <c r="P79" s="22"/>
      <c r="BB79">
        <v>1</v>
      </c>
    </row>
    <row r="80" spans="1:54">
      <c r="A80" s="17"/>
      <c r="L80" s="13"/>
      <c r="M80" s="13"/>
      <c r="P80" s="22"/>
      <c r="BB80">
        <v>1</v>
      </c>
    </row>
    <row r="81" spans="1:54">
      <c r="A81" s="17"/>
      <c r="L81" s="13"/>
      <c r="M81" s="13"/>
      <c r="P81" s="22"/>
      <c r="BB81">
        <v>1</v>
      </c>
    </row>
    <row r="82" spans="1:54">
      <c r="A82" s="17"/>
      <c r="P82" s="22"/>
      <c r="BB82">
        <v>1</v>
      </c>
    </row>
    <row r="83" spans="1:54">
      <c r="A83" s="17"/>
      <c r="P83" s="22"/>
      <c r="BB83">
        <v>1</v>
      </c>
    </row>
    <row r="84" spans="1:54">
      <c r="A84" s="17"/>
      <c r="P84" s="22"/>
      <c r="BB84">
        <v>1</v>
      </c>
    </row>
    <row r="85" spans="1:54">
      <c r="A85" s="17"/>
      <c r="P85" s="22"/>
      <c r="BB85">
        <v>1</v>
      </c>
    </row>
    <row r="86" spans="1:54">
      <c r="A86" s="17"/>
      <c r="P86" s="22"/>
      <c r="BB86">
        <v>1</v>
      </c>
    </row>
    <row r="87" spans="1:54">
      <c r="A87" s="17"/>
      <c r="P87" s="22"/>
      <c r="BB87">
        <v>1</v>
      </c>
    </row>
    <row r="88" spans="1:54">
      <c r="A88" s="17"/>
      <c r="P88" s="22"/>
      <c r="BB88">
        <v>1</v>
      </c>
    </row>
    <row r="89" spans="1:54">
      <c r="A89" s="17"/>
      <c r="L89" s="13"/>
      <c r="M89" s="13"/>
      <c r="P89" s="22"/>
      <c r="BB89">
        <v>1</v>
      </c>
    </row>
    <row r="90" spans="1:54">
      <c r="A90" s="17"/>
      <c r="L90" s="13"/>
      <c r="M90" s="13"/>
      <c r="P90" s="22"/>
      <c r="BB90">
        <v>1</v>
      </c>
    </row>
    <row r="91" spans="1:54">
      <c r="A91" s="17"/>
      <c r="L91" s="13"/>
      <c r="M91" s="13"/>
      <c r="P91" s="22"/>
      <c r="BB91">
        <v>1</v>
      </c>
    </row>
    <row r="92" spans="1:54">
      <c r="A92" s="17"/>
      <c r="P92" s="22"/>
      <c r="BB92">
        <v>1</v>
      </c>
    </row>
    <row r="93" spans="1:54">
      <c r="A93" s="17"/>
      <c r="L93" s="13"/>
      <c r="M93" s="13"/>
      <c r="P93" s="22"/>
      <c r="BB93">
        <v>1</v>
      </c>
    </row>
    <row r="94" spans="1:54">
      <c r="A94" s="17"/>
      <c r="P94" s="22"/>
      <c r="BB94">
        <v>1</v>
      </c>
    </row>
    <row r="95" spans="1:54">
      <c r="A95" s="17"/>
      <c r="P95" s="22"/>
      <c r="BB95">
        <v>1</v>
      </c>
    </row>
    <row r="96" spans="1:54">
      <c r="A96" s="17"/>
      <c r="P96" s="22"/>
      <c r="BB96">
        <v>1</v>
      </c>
    </row>
    <row r="97" spans="1:57">
      <c r="A97" s="17"/>
      <c r="L97" s="13"/>
      <c r="M97" s="13"/>
      <c r="P97" s="22"/>
      <c r="BB97">
        <v>1</v>
      </c>
    </row>
    <row r="98" spans="1:57">
      <c r="A98" s="17"/>
      <c r="L98" s="13"/>
      <c r="M98" s="13"/>
      <c r="P98" s="22"/>
      <c r="BB98">
        <v>1</v>
      </c>
    </row>
    <row r="99" spans="1:57">
      <c r="A99" s="17"/>
      <c r="L99" s="13"/>
      <c r="M99" s="13"/>
      <c r="P99" s="22"/>
      <c r="BB99">
        <v>1</v>
      </c>
    </row>
    <row r="100" spans="1:57">
      <c r="A100" s="17"/>
      <c r="P100" s="22"/>
      <c r="BB100">
        <v>1</v>
      </c>
      <c r="BE100">
        <v>1</v>
      </c>
    </row>
    <row r="101" spans="1:57">
      <c r="A101" s="17"/>
      <c r="P101" s="22"/>
      <c r="BB101">
        <v>1</v>
      </c>
      <c r="BE101">
        <v>1</v>
      </c>
    </row>
    <row r="102" spans="1:57">
      <c r="A102" s="17"/>
      <c r="P102" s="22"/>
      <c r="BB102">
        <v>1</v>
      </c>
      <c r="BE102">
        <v>1</v>
      </c>
    </row>
    <row r="103" spans="1:57">
      <c r="A103" s="17"/>
      <c r="BB103">
        <v>1</v>
      </c>
      <c r="BE103">
        <v>1</v>
      </c>
    </row>
    <row r="104" spans="1:57">
      <c r="A104" s="17"/>
      <c r="L104" s="13"/>
      <c r="M104" s="13"/>
      <c r="P104" s="22"/>
      <c r="BB104">
        <v>1</v>
      </c>
      <c r="BE104">
        <v>1</v>
      </c>
    </row>
    <row r="105" spans="1:57">
      <c r="A105" s="17"/>
    </row>
  </sheetData>
  <autoFilter ref="A9:BH104" xr:uid="{00000000-0001-0000-0E00-000000000000}"/>
  <sortState xmlns:xlrd2="http://schemas.microsoft.com/office/spreadsheetml/2017/richdata2" ref="A10:BH66">
    <sortCondition ref="B10:B66"/>
  </sortState>
  <mergeCells count="1">
    <mergeCell ref="R6:AE6"/>
  </mergeCells>
  <phoneticPr fontId="34" type="noConversion"/>
  <conditionalFormatting sqref="A106:A1048576 A1:A9">
    <cfRule type="iconSet" priority="765">
      <iconSet>
        <cfvo type="percent" val="0"/>
        <cfvo type="percent" val="33"/>
        <cfvo type="percent" val="67"/>
      </iconSet>
    </cfRule>
  </conditionalFormatting>
  <conditionalFormatting sqref="A34:A105">
    <cfRule type="iconSet" priority="904">
      <iconSet>
        <cfvo type="percent" val="0"/>
        <cfvo type="percent" val="33"/>
        <cfvo type="percent" val="67"/>
      </iconSet>
    </cfRule>
  </conditionalFormatting>
  <conditionalFormatting sqref="A13:A14">
    <cfRule type="iconSet" priority="909">
      <iconSet>
        <cfvo type="percent" val="0"/>
        <cfvo type="percent" val="33"/>
        <cfvo type="percent" val="67"/>
      </iconSet>
    </cfRule>
  </conditionalFormatting>
  <conditionalFormatting sqref="A10:A105">
    <cfRule type="iconSet" priority="924">
      <iconSet>
        <cfvo type="percent" val="0"/>
        <cfvo type="percent" val="33"/>
        <cfvo type="percent" val="67"/>
      </iconSet>
    </cfRule>
  </conditionalFormatting>
  <conditionalFormatting sqref="A13:A105">
    <cfRule type="iconSet" priority="928">
      <iconSet>
        <cfvo type="percent" val="0"/>
        <cfvo type="percent" val="33"/>
        <cfvo type="percent" val="67"/>
      </iconSet>
    </cfRule>
  </conditionalFormatting>
  <conditionalFormatting sqref="A10:A104">
    <cfRule type="iconSet" priority="1">
      <iconSet>
        <cfvo type="percent" val="0"/>
        <cfvo type="percent" val="33"/>
        <cfvo type="percent" val="67"/>
      </iconSet>
    </cfRule>
  </conditionalFormatting>
  <dataValidations count="1">
    <dataValidation type="list" allowBlank="1" showInputMessage="1" showErrorMessage="1" sqref="H10:H105" xr:uid="{80A71AC9-FE20-4506-B472-79A3688CF780}">
      <formula1>$J$1:$J$8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7049" r:id="rId4" name="Button 9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1</xdr:row>
                    <xdr:rowOff>38100</xdr:rowOff>
                  </from>
                  <to>
                    <xdr:col>2</xdr:col>
                    <xdr:colOff>3419475</xdr:colOff>
                    <xdr:row>2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7058" r:id="rId5" name="Button 18">
              <controlPr defaultSize="0" print="0" autoFill="0" autoPict="0" macro="[0]!Button9_Click">
                <anchor moveWithCells="1" sizeWithCells="1">
                  <from>
                    <xdr:col>2</xdr:col>
                    <xdr:colOff>190500</xdr:colOff>
                    <xdr:row>3</xdr:row>
                    <xdr:rowOff>38100</xdr:rowOff>
                  </from>
                  <to>
                    <xdr:col>3</xdr:col>
                    <xdr:colOff>0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5BADAFE-6A72-4CDB-BB57-58590D4A99EE}">
          <x14:formula1>
            <xm:f>Sets!$C$7:$C$16</xm:f>
          </x14:formula1>
          <xm:sqref>D10:D105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802819-E85D-4DBB-AFAA-02E37F9B69E5}">
  <sheetPr codeName="Sheet2"/>
  <dimension ref="A1"/>
  <sheetViews>
    <sheetView workbookViewId="0">
      <selection activeCell="B1" sqref="B1:C1048576"/>
    </sheetView>
  </sheetViews>
  <sheetFormatPr defaultRowHeight="1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9611ED-ED0A-4349-BC7C-959E4783D9DE}">
  <sheetPr codeName="Sheet4"/>
  <dimension ref="C1:H74"/>
  <sheetViews>
    <sheetView topLeftCell="D40" workbookViewId="0">
      <selection activeCell="H74" sqref="H74"/>
    </sheetView>
  </sheetViews>
  <sheetFormatPr defaultRowHeight="15"/>
  <cols>
    <col min="3" max="3" width="68.140625" bestFit="1" customWidth="1"/>
    <col min="7" max="7" width="56.140625" customWidth="1"/>
    <col min="8" max="8" width="130.28515625" bestFit="1" customWidth="1"/>
  </cols>
  <sheetData>
    <row r="1" spans="3:8">
      <c r="C1" s="2" t="s">
        <v>111</v>
      </c>
      <c r="D1" s="2" t="s">
        <v>106</v>
      </c>
    </row>
    <row r="2" spans="3:8">
      <c r="C2" s="2" t="s">
        <v>108</v>
      </c>
    </row>
    <row r="3" spans="3:8">
      <c r="C3" t="s">
        <v>110</v>
      </c>
      <c r="D3" t="s">
        <v>107</v>
      </c>
    </row>
    <row r="4" spans="3:8">
      <c r="C4" t="s">
        <v>109</v>
      </c>
      <c r="D4" t="s">
        <v>107</v>
      </c>
      <c r="H4" s="2" t="s">
        <v>116</v>
      </c>
    </row>
    <row r="5" spans="3:8">
      <c r="C5" t="s">
        <v>112</v>
      </c>
      <c r="D5" t="s">
        <v>107</v>
      </c>
      <c r="H5" t="s">
        <v>117</v>
      </c>
    </row>
    <row r="6" spans="3:8">
      <c r="C6" t="s">
        <v>114</v>
      </c>
      <c r="D6" t="s">
        <v>107</v>
      </c>
      <c r="H6" t="s">
        <v>118</v>
      </c>
    </row>
    <row r="7" spans="3:8">
      <c r="G7" t="s">
        <v>107</v>
      </c>
      <c r="H7" t="s">
        <v>119</v>
      </c>
    </row>
    <row r="8" spans="3:8">
      <c r="C8" s="2" t="s">
        <v>95</v>
      </c>
      <c r="G8" t="s">
        <v>165</v>
      </c>
      <c r="H8" t="s">
        <v>120</v>
      </c>
    </row>
    <row r="9" spans="3:8">
      <c r="C9" t="s">
        <v>94</v>
      </c>
      <c r="G9" t="s">
        <v>171</v>
      </c>
      <c r="H9" t="s">
        <v>121</v>
      </c>
    </row>
    <row r="10" spans="3:8">
      <c r="G10" t="s">
        <v>107</v>
      </c>
      <c r="H10" t="s">
        <v>122</v>
      </c>
    </row>
    <row r="11" spans="3:8">
      <c r="C11" s="2" t="s">
        <v>115</v>
      </c>
    </row>
    <row r="12" spans="3:8">
      <c r="C12" t="s">
        <v>68</v>
      </c>
      <c r="H12" t="s">
        <v>123</v>
      </c>
    </row>
    <row r="13" spans="3:8">
      <c r="G13" t="s">
        <v>166</v>
      </c>
      <c r="H13" t="s">
        <v>124</v>
      </c>
    </row>
    <row r="14" spans="3:8">
      <c r="C14" s="2" t="s">
        <v>69</v>
      </c>
      <c r="G14" t="s">
        <v>168</v>
      </c>
      <c r="H14" t="s">
        <v>125</v>
      </c>
    </row>
    <row r="15" spans="3:8">
      <c r="C15" t="s">
        <v>70</v>
      </c>
      <c r="G15" t="s">
        <v>166</v>
      </c>
      <c r="H15" t="s">
        <v>126</v>
      </c>
    </row>
    <row r="16" spans="3:8">
      <c r="C16" t="s">
        <v>71</v>
      </c>
    </row>
    <row r="17" spans="3:8">
      <c r="C17" t="s">
        <v>72</v>
      </c>
      <c r="H17" t="s">
        <v>127</v>
      </c>
    </row>
    <row r="18" spans="3:8">
      <c r="C18" t="s">
        <v>82</v>
      </c>
      <c r="G18" t="s">
        <v>168</v>
      </c>
      <c r="H18" t="s">
        <v>128</v>
      </c>
    </row>
    <row r="19" spans="3:8">
      <c r="C19" t="s">
        <v>93</v>
      </c>
      <c r="G19" t="s">
        <v>172</v>
      </c>
      <c r="H19" t="s">
        <v>129</v>
      </c>
    </row>
    <row r="20" spans="3:8">
      <c r="C20" t="s">
        <v>97</v>
      </c>
    </row>
    <row r="21" spans="3:8">
      <c r="C21" t="s">
        <v>113</v>
      </c>
      <c r="H21" t="s">
        <v>130</v>
      </c>
    </row>
    <row r="22" spans="3:8">
      <c r="H22" t="s">
        <v>131</v>
      </c>
    </row>
    <row r="23" spans="3:8">
      <c r="C23" s="2" t="s">
        <v>73</v>
      </c>
    </row>
    <row r="24" spans="3:8">
      <c r="C24" t="s">
        <v>74</v>
      </c>
      <c r="D24" t="s">
        <v>107</v>
      </c>
      <c r="H24" t="s">
        <v>132</v>
      </c>
    </row>
    <row r="25" spans="3:8">
      <c r="C25" t="s">
        <v>75</v>
      </c>
      <c r="D25" t="s">
        <v>107</v>
      </c>
      <c r="G25" t="s">
        <v>107</v>
      </c>
      <c r="H25" t="s">
        <v>133</v>
      </c>
    </row>
    <row r="26" spans="3:8">
      <c r="C26" t="s">
        <v>81</v>
      </c>
      <c r="G26" t="s">
        <v>168</v>
      </c>
      <c r="H26" s="11" t="s">
        <v>167</v>
      </c>
    </row>
    <row r="27" spans="3:8">
      <c r="H27" t="s">
        <v>134</v>
      </c>
    </row>
    <row r="28" spans="3:8">
      <c r="G28" t="s">
        <v>173</v>
      </c>
      <c r="H28" t="s">
        <v>135</v>
      </c>
    </row>
    <row r="29" spans="3:8">
      <c r="C29" s="2" t="s">
        <v>76</v>
      </c>
      <c r="G29" t="s">
        <v>174</v>
      </c>
    </row>
    <row r="30" spans="3:8">
      <c r="C30" t="s">
        <v>77</v>
      </c>
      <c r="D30" t="s">
        <v>107</v>
      </c>
      <c r="H30" t="s">
        <v>136</v>
      </c>
    </row>
    <row r="31" spans="3:8">
      <c r="C31" t="s">
        <v>101</v>
      </c>
      <c r="D31" t="s">
        <v>107</v>
      </c>
      <c r="G31" t="s">
        <v>171</v>
      </c>
      <c r="H31" t="s">
        <v>137</v>
      </c>
    </row>
    <row r="32" spans="3:8">
      <c r="C32" t="s">
        <v>102</v>
      </c>
      <c r="D32" t="s">
        <v>107</v>
      </c>
    </row>
    <row r="33" spans="3:8">
      <c r="H33" t="s">
        <v>138</v>
      </c>
    </row>
    <row r="34" spans="3:8">
      <c r="C34" s="2" t="s">
        <v>80</v>
      </c>
      <c r="G34" t="s">
        <v>166</v>
      </c>
      <c r="H34" t="s">
        <v>139</v>
      </c>
    </row>
    <row r="35" spans="3:8">
      <c r="C35" t="s">
        <v>78</v>
      </c>
      <c r="G35" t="s">
        <v>166</v>
      </c>
      <c r="H35" t="s">
        <v>140</v>
      </c>
    </row>
    <row r="36" spans="3:8">
      <c r="C36" t="s">
        <v>79</v>
      </c>
      <c r="G36" t="s">
        <v>166</v>
      </c>
      <c r="H36" t="s">
        <v>141</v>
      </c>
    </row>
    <row r="37" spans="3:8">
      <c r="G37" t="s">
        <v>176</v>
      </c>
      <c r="H37" t="s">
        <v>142</v>
      </c>
    </row>
    <row r="39" spans="3:8">
      <c r="C39" s="2" t="s">
        <v>103</v>
      </c>
      <c r="H39" t="s">
        <v>143</v>
      </c>
    </row>
    <row r="40" spans="3:8">
      <c r="C40" t="s">
        <v>96</v>
      </c>
      <c r="G40" t="s">
        <v>166</v>
      </c>
      <c r="H40" t="s">
        <v>169</v>
      </c>
    </row>
    <row r="41" spans="3:8">
      <c r="C41" t="s">
        <v>104</v>
      </c>
      <c r="D41" t="s">
        <v>107</v>
      </c>
    </row>
    <row r="42" spans="3:8">
      <c r="C42" t="s">
        <v>105</v>
      </c>
      <c r="H42" t="s">
        <v>144</v>
      </c>
    </row>
    <row r="43" spans="3:8">
      <c r="G43" t="s">
        <v>166</v>
      </c>
      <c r="H43" t="s">
        <v>145</v>
      </c>
    </row>
    <row r="44" spans="3:8">
      <c r="C44" s="2" t="s">
        <v>38</v>
      </c>
    </row>
    <row r="45" spans="3:8">
      <c r="C45" t="s">
        <v>85</v>
      </c>
      <c r="G45" t="s">
        <v>166</v>
      </c>
      <c r="H45" t="s">
        <v>146</v>
      </c>
    </row>
    <row r="46" spans="3:8">
      <c r="C46" t="s">
        <v>83</v>
      </c>
      <c r="D46" t="s">
        <v>107</v>
      </c>
    </row>
    <row r="47" spans="3:8">
      <c r="C47" t="s">
        <v>84</v>
      </c>
      <c r="G47" t="s">
        <v>166</v>
      </c>
      <c r="H47" t="s">
        <v>147</v>
      </c>
    </row>
    <row r="48" spans="3:8">
      <c r="H48" t="s">
        <v>148</v>
      </c>
    </row>
    <row r="49" spans="3:8">
      <c r="G49" t="s">
        <v>166</v>
      </c>
      <c r="H49" t="s">
        <v>149</v>
      </c>
    </row>
    <row r="50" spans="3:8">
      <c r="C50" s="2" t="s">
        <v>86</v>
      </c>
    </row>
    <row r="51" spans="3:8">
      <c r="C51" t="s">
        <v>88</v>
      </c>
      <c r="H51" s="2" t="s">
        <v>150</v>
      </c>
    </row>
    <row r="52" spans="3:8">
      <c r="C52" t="s">
        <v>83</v>
      </c>
      <c r="D52" t="s">
        <v>107</v>
      </c>
      <c r="H52" t="s">
        <v>151</v>
      </c>
    </row>
    <row r="53" spans="3:8">
      <c r="C53" t="s">
        <v>84</v>
      </c>
      <c r="H53" t="s">
        <v>152</v>
      </c>
    </row>
    <row r="55" spans="3:8">
      <c r="H55" t="s">
        <v>153</v>
      </c>
    </row>
    <row r="56" spans="3:8">
      <c r="C56" s="2" t="s">
        <v>87</v>
      </c>
    </row>
    <row r="57" spans="3:8">
      <c r="C57" t="s">
        <v>89</v>
      </c>
      <c r="G57" t="s">
        <v>166</v>
      </c>
      <c r="H57" t="s">
        <v>154</v>
      </c>
    </row>
    <row r="58" spans="3:8">
      <c r="C58" t="s">
        <v>83</v>
      </c>
      <c r="D58" t="s">
        <v>107</v>
      </c>
    </row>
    <row r="59" spans="3:8">
      <c r="C59" t="s">
        <v>84</v>
      </c>
      <c r="G59" t="s">
        <v>166</v>
      </c>
      <c r="H59" t="s">
        <v>155</v>
      </c>
    </row>
    <row r="60" spans="3:8">
      <c r="H60" t="s">
        <v>156</v>
      </c>
    </row>
    <row r="61" spans="3:8">
      <c r="G61" t="s">
        <v>175</v>
      </c>
      <c r="H61" t="s">
        <v>157</v>
      </c>
    </row>
    <row r="62" spans="3:8">
      <c r="C62" s="2" t="s">
        <v>90</v>
      </c>
    </row>
    <row r="63" spans="3:8">
      <c r="C63" t="s">
        <v>91</v>
      </c>
      <c r="H63" t="s">
        <v>158</v>
      </c>
    </row>
    <row r="64" spans="3:8">
      <c r="C64" t="s">
        <v>92</v>
      </c>
      <c r="H64" t="s">
        <v>159</v>
      </c>
    </row>
    <row r="65" spans="3:8">
      <c r="H65" t="s">
        <v>160</v>
      </c>
    </row>
    <row r="66" spans="3:8">
      <c r="H66" t="s">
        <v>161</v>
      </c>
    </row>
    <row r="67" spans="3:8">
      <c r="C67" s="2" t="s">
        <v>98</v>
      </c>
      <c r="H67" t="s">
        <v>162</v>
      </c>
    </row>
    <row r="68" spans="3:8">
      <c r="C68" t="s">
        <v>99</v>
      </c>
      <c r="G68" t="s">
        <v>107</v>
      </c>
      <c r="H68" t="s">
        <v>170</v>
      </c>
    </row>
    <row r="69" spans="3:8">
      <c r="C69" t="s">
        <v>100</v>
      </c>
    </row>
    <row r="71" spans="3:8">
      <c r="H71" s="2" t="s">
        <v>163</v>
      </c>
    </row>
    <row r="72" spans="3:8">
      <c r="H72" t="s">
        <v>164</v>
      </c>
    </row>
    <row r="74" spans="3:8">
      <c r="G74" t="s">
        <v>178</v>
      </c>
      <c r="H74" t="s">
        <v>177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</vt:i4>
      </vt:variant>
    </vt:vector>
  </HeadingPairs>
  <TitlesOfParts>
    <vt:vector size="6" baseType="lpstr">
      <vt:lpstr>Index</vt:lpstr>
      <vt:lpstr>Sets</vt:lpstr>
      <vt:lpstr>Scenarios</vt:lpstr>
      <vt:lpstr>OtherSettings</vt:lpstr>
      <vt:lpstr>Todo</vt:lpstr>
      <vt:lpstr>File_Path</vt:lpstr>
    </vt:vector>
  </TitlesOfParts>
  <Company>University of Cape Town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 merven</dc:creator>
  <cp:lastModifiedBy>Bruno</cp:lastModifiedBy>
  <dcterms:created xsi:type="dcterms:W3CDTF">2014-09-01T09:42:43Z</dcterms:created>
  <dcterms:modified xsi:type="dcterms:W3CDTF">2023-04-26T12:45:32Z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aveCode">
    <vt:r8>546642780303955</vt:r8>
  </property>
</Properties>
</file>