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C2C118A5-697E-4D84-9143-AE54C810911F}" xr6:coauthVersionLast="47" xr6:coauthVersionMax="47" xr10:uidLastSave="{00000000-0000-0000-0000-000000000000}"/>
  <bookViews>
    <workbookView xWindow="-120" yWindow="-120" windowWidth="38640" windowHeight="2139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70" r:id="rId9"/>
    <pivotCache cacheId="18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33" l="1"/>
  <c r="E18" i="33"/>
  <c r="E32" i="33" l="1"/>
  <c r="E33" i="33"/>
  <c r="E11" i="33"/>
  <c r="E12" i="33"/>
  <c r="E13" i="33"/>
  <c r="E14" i="33"/>
  <c r="E15" i="33"/>
  <c r="E16" i="33"/>
  <c r="E17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<sst xmlns="http://schemas.openxmlformats.org/spreadsheetml/2006/main" count="692" uniqueCount="261">
  <si>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</si>
  <si>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</si>
  <si>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</si>
  <si>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</si>
  <si>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</si>
  <si>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</si>
  <si>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</si>
  <si>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</si>
  <si>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</si>
  <si>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</si>
  <si>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</si>
  <si>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</si>
  <si>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</si>
  <si>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</si>
  <si>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</si>
  <si>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</si>
  <si>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</si>
  <si>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</si>
  <si>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</si>
  <si>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</si>
  <si>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</si>
  <si>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</si>
  <si>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</si>
  <si>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</si>
  <si>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</si>
  <si>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</si>
  <si>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</si>
  <si>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</si>
  <si>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</si>
  <si>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</si>
  <si>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</si>
  <si>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</si>
  <si>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</si>
  <si>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</si>
  <si>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</si>
  <si>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</si>
  <si>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</si>
  <si>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</si>
  <si>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</si>
  <si>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</si>
  <si>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</si>
  <si>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</si>
  <si>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</si>
  <si>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</si>
  <si>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</si>
  <si>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</si>
  <si>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</si>
  <si>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</si>
  <si>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</si>
  <si>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</si>
  <si>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</si>
  <si>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</si>
  <si>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</si>
  <si>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</si>
  <si>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</si>
  <si>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</si>
  <si>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</si>
  <si>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</si>
  <si>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</si>
  <si>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</si>
  <si>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</si>
  <si>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</si>
  <si>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</si>
  <si>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</si>
  <si>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</si>
  <si>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</si>
  <si>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</si>
  <si>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</si>
  <si>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</si>
  <si>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</si>
  <si>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</si>
  <si>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</si>
  <si>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</si>
  <si>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</si>
  <si>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</si>
  <si>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</si>
  <si>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</si>
  <si>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</si>
  <si>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</si>
  <si>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</si>
  <si>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</si>
  <si>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</si>
  <si>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</si>
  <si>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</si>
  <si>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</si>
  <si>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</si>
  <si>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</si>
  <si>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</si>
  <si>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</si>
  <si>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</si>
  <si>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</si>
  <si>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</si>
  <si>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</si>
  <si>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</si>
  <si>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</si>
  <si>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</si>
  <si>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</si>
  <si>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</si>
  <si>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</si>
  <si>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</si>
  <si>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</si>
  <si>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</si>
  <si>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</si>
  <si>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</si>
  <si>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</si>
  <si>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</si>
  <si>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</si>
  <si>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</si>
  <si>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</si>
  <si>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</si>
  <si>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</si>
  <si>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</si>
  <si>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</si>
  <si>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</si>
  <si>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</si>
  <si>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</si>
  <si>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</si>
  <si>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</si>
  <si>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</si>
  <si>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</si>
  <si>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</si>
  <si>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</si>
  <si>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</si>
  <si>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</si>
  <si>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</si>
  <si>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</si>
  <si>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</si>
  <si>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</si>
  <si>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</si>
  <si>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</si>
  <si>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</si>
  <si>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</si>
  <si>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</si>
  <si>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</si>
  <si>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</si>
  <si>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</si>
  <si>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</si>
  <si>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</si>
  <si>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</si>
  <si>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</si>
  <si>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</si>
  <si>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</si>
  <si>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</si>
  <si>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</si>
  <si>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</si>
  <si>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</si>
  <si>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</si>
  <si>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</si>
  <si>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</si>
  <si>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</si>
  <si>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</si>
  <si>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</si>
  <si>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</si>
  <si>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</si>
  <si>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</si>
  <si>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</si>
  <si>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</si>
  <si>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</si>
  <si>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</si>
  <si>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</si>
  <si>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</si>
  <si>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</si>
  <si>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</si>
  <si>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</si>
  <si>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</si>
  <si>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</si>
  <si>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</si>
  <si>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</si>
  <si>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</si>
  <si>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</si>
  <si>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</si>
  <si>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</si>
  <si>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</si>
  <si>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</si>
  <si>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</si>
  <si>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</si>
  <si>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</si>
  <si>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</si>
  <si>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</si>
  <si>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</si>
  <si>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</si>
  <si>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</si>
  <si>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</si>
  <si>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</si>
  <si>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</si>
  <si>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</si>
  <si>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</si>
  <si>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</si>
  <si>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</si>
  <si>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</si>
  <si>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</si>
  <si>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</si>
  <si>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</si>
  <si>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</si>
  <si>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</si>
  <si>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</si>
  <si>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</si>
  <si>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</si>
  <si>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</si>
  <si>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</si>
  <si>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</si>
  <si>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</si>
  <si>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</si>
  <si>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</si>
  <si>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</si>
  <si>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</si>
  <si>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</si>
  <si>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</si>
  <si>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</si>
  <si>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</si>
  <si>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</si>
  <si>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</si>
  <si>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</si>
  <si>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</si>
  <si>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</si>
  <si>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</si>
  <si>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</si>
  <si>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</si>
  <si>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</si>
  <si>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</si>
  <si>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</si>
  <si>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</si>
  <si>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</si>
  <si>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</si>
  <si>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</si>
  <si>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</si>
  <si>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</si>
  <si>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</si>
  <si>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</si>
  <si>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</si>
  <si>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</si>
  <si>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</si>
  <si>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</si>
  <si>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</si>
  <si>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</si>
  <si>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</si>
  <si>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</si>
  <si>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</si>
  <si>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</si>
  <si>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</si>
  <si>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</si>
  <si>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</si>
  <si>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</si>
  <si>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</si>
  <si>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</si>
  <si>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</si>
  <si>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</si>
  <si>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</si>
  <si>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</si>
  <si>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</si>
  <si>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</si>
  <si>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</si>
  <si>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</si>
  <si>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</si>
  <si>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</si>
  <si>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</si>
  <si>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</si>
  <si>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</si>
  <si>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</si>
  <si>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</si>
  <si>
    <t>NZ10_2050_09EESENXCT_guy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</si>
</sst>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490046180559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59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490242824075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0"/>
    <n v="0"/>
    <s v="No Pams"/>
    <n v="1"/>
    <n v="1"/>
    <n v="-1"/>
    <n v="-1"/>
    <n v="-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1"/>
    <n v="1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1"/>
    <x v="9"/>
    <m/>
    <x v="0"/>
    <x v="9"/>
    <n v="0"/>
    <n v="0"/>
    <s v="No Pams"/>
    <n v="1"/>
    <n v="1"/>
    <n v="-1"/>
    <n v="-1"/>
    <n v="-1"/>
    <n v="1"/>
    <n v="-1"/>
    <n v="100"/>
  </r>
  <r>
    <n v="1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0"/>
    <n v="0"/>
    <s v="No Pams"/>
    <n v="1"/>
    <n v="1"/>
    <n v="-1"/>
    <n v="-1"/>
    <n v="-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1"/>
    <n v="1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1"/>
    <x v="9"/>
    <m/>
    <s v="base"/>
    <s v="NZ10_2050_09EESENXCT_guy"/>
    <n v="0"/>
    <n v="0"/>
    <s v="No Pams"/>
    <n v="1"/>
    <n v="1"/>
    <n v="-1"/>
    <n v="-1"/>
    <n v="-1"/>
    <n v="1"/>
    <n v="-1"/>
    <n v="100"/>
  </r>
  <r>
    <n v="1"/>
    <x v="9"/>
    <m/>
    <s v="base"/>
    <s v="NZ10_2050_09EESE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1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2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4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19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0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1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2"/>
    <m/>
    <s v="base"/>
    <s v="NZ10_2050B_11EESSNXCN"/>
    <n v="0"/>
    <n v="0"/>
    <s v="No Pams"/>
    <n v="1"/>
    <n v="1"/>
    <n v="-1"/>
    <n v="-1"/>
    <n v="-1"/>
    <n v="1"/>
    <n v="-1"/>
    <n v="100"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0" firstHeaderRow="0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8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0" firstHeaderRow="1" firstDataRow="1" firstDataCol="1"/>
  <pivotFields count="16">
    <pivotField showAll="0"/>
    <pivotField axis="axisRow" showAll="0">
      <items count="26">
        <item m="1" x="24"/>
        <item x="23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0" firstHeaderRow="1" firstDataRow="1" firstDataCol="1"/>
  <pivotFields count="16">
    <pivotField dataField="1"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0" firstHeaderRow="1" firstDataRow="1" firstDataCol="1"/>
  <pivotFields count="16">
    <pivotField showAll="0"/>
    <pivotField showAll="0"/>
    <pivotField showAll="0"/>
    <pivotField showAll="0"/>
    <pivotField axis="axisRow" showAll="0">
      <items count="260">
        <item m="1" x="184"/>
        <item m="1" x="151"/>
        <item m="1" x="141"/>
        <item x="23"/>
        <item m="1" x="150"/>
        <item m="1" x="94"/>
        <item m="1" x="170"/>
        <item m="1" x="192"/>
        <item m="1" x="144"/>
        <item m="1" x="152"/>
        <item m="1" x="145"/>
        <item m="1" x="122"/>
        <item m="1" x="69"/>
        <item m="1" x="166"/>
        <item m="1" x="67"/>
        <item m="1" x="234"/>
        <item m="1" x="113"/>
        <item m="1" x="215"/>
        <item m="1" x="228"/>
        <item m="1" x="123"/>
        <item m="1" x="116"/>
        <item m="1" x="221"/>
        <item m="1" x="177"/>
        <item m="1" x="178"/>
        <item m="1" x="217"/>
        <item m="1" x="136"/>
        <item m="1" x="210"/>
        <item m="1" x="83"/>
        <item m="1" x="104"/>
        <item m="1" x="255"/>
        <item m="1" x="186"/>
        <item m="1" x="229"/>
        <item m="1" x="155"/>
        <item m="1" x="231"/>
        <item m="1" x="242"/>
        <item m="1" x="163"/>
        <item m="1" x="188"/>
        <item m="1" x="182"/>
        <item m="1" x="226"/>
        <item m="1" x="224"/>
        <item m="1" x="109"/>
        <item m="1" x="247"/>
        <item m="1" x="180"/>
        <item m="1" x="206"/>
        <item m="1" x="223"/>
        <item m="1" x="251"/>
        <item m="1" x="258"/>
        <item m="1" x="159"/>
        <item m="1" x="143"/>
        <item m="1" x="142"/>
        <item m="1" x="194"/>
        <item m="1" x="147"/>
        <item m="1" x="203"/>
        <item m="1" x="97"/>
        <item m="1" x="165"/>
        <item m="1" x="201"/>
        <item m="1" x="225"/>
        <item m="1" x="162"/>
        <item m="1" x="153"/>
        <item m="1" x="91"/>
        <item m="1" x="233"/>
        <item m="1" x="111"/>
        <item m="1" x="131"/>
        <item m="1" x="174"/>
        <item m="1" x="185"/>
        <item m="1" x="132"/>
        <item m="1" x="81"/>
        <item m="1" x="179"/>
        <item m="1" x="191"/>
        <item m="1" x="118"/>
        <item m="1" x="214"/>
        <item m="1" x="230"/>
        <item m="1" x="167"/>
        <item m="1" x="121"/>
        <item m="1" x="133"/>
        <item m="1" x="110"/>
        <item m="1" x="196"/>
        <item m="1" x="78"/>
        <item m="1" x="205"/>
        <item m="1" x="222"/>
        <item m="1" x="243"/>
        <item m="1" x="218"/>
        <item m="1" x="236"/>
        <item m="1" x="256"/>
        <item m="1" x="134"/>
        <item m="1" x="213"/>
        <item m="1" x="253"/>
        <item m="1" x="92"/>
        <item m="1" x="106"/>
        <item m="1" x="139"/>
        <item m="1" x="181"/>
        <item m="1" x="84"/>
        <item m="1" x="89"/>
        <item m="1" x="64"/>
        <item m="1" x="75"/>
        <item m="1" x="235"/>
        <item m="1" x="146"/>
        <item m="1" x="232"/>
        <item m="1" x="107"/>
        <item m="1" x="237"/>
        <item m="1" x="200"/>
        <item m="1" x="172"/>
        <item m="1" x="120"/>
        <item m="1" x="199"/>
        <item m="1" x="68"/>
        <item m="1" x="220"/>
        <item m="1" x="149"/>
        <item m="1" x="72"/>
        <item m="1" x="198"/>
        <item m="1" x="80"/>
        <item m="1" x="101"/>
        <item m="1" x="158"/>
        <item m="1" x="124"/>
        <item m="1" x="114"/>
        <item m="1" x="105"/>
        <item m="1" x="252"/>
        <item m="1" x="257"/>
        <item m="1" x="244"/>
        <item m="1" x="250"/>
        <item m="1" x="160"/>
        <item m="1" x="93"/>
        <item m="1" x="82"/>
        <item m="1" x="176"/>
        <item m="1" x="248"/>
        <item m="1" x="140"/>
        <item m="1" x="216"/>
        <item m="1" x="209"/>
        <item m="1" x="208"/>
        <item m="1" x="87"/>
        <item m="1" x="195"/>
        <item m="1" x="126"/>
        <item m="1" x="175"/>
        <item m="1" x="99"/>
        <item m="1" x="74"/>
        <item m="1" x="238"/>
        <item m="1" x="240"/>
        <item m="1" x="138"/>
        <item m="1" x="96"/>
        <item m="1" x="117"/>
        <item m="1" x="112"/>
        <item m="1" x="108"/>
        <item m="1" x="239"/>
        <item m="1" x="79"/>
        <item m="1" x="249"/>
        <item m="1" x="154"/>
        <item m="1" x="204"/>
        <item m="1" x="127"/>
        <item m="1" x="119"/>
        <item m="1" x="128"/>
        <item m="1" x="95"/>
        <item m="1" x="254"/>
        <item m="1" x="173"/>
        <item m="1" x="168"/>
        <item m="1" x="86"/>
        <item m="1" x="219"/>
        <item m="1" x="88"/>
        <item m="1" x="187"/>
        <item m="1" x="164"/>
        <item m="1" x="156"/>
        <item m="1" x="135"/>
        <item m="1" x="115"/>
        <item m="1" x="100"/>
        <item m="1" x="76"/>
        <item m="1" x="70"/>
        <item m="1" x="245"/>
        <item m="1" x="227"/>
        <item m="1" x="85"/>
        <item m="1" x="129"/>
        <item m="1" x="98"/>
        <item m="1" x="71"/>
        <item m="1" x="246"/>
        <item m="1" x="211"/>
        <item m="1" x="193"/>
        <item m="1" x="169"/>
        <item m="1" x="103"/>
        <item m="1" x="73"/>
        <item m="1" x="66"/>
        <item m="1" x="77"/>
        <item m="1" x="90"/>
        <item m="1" x="212"/>
        <item m="1" x="171"/>
        <item m="1" x="130"/>
        <item m="1" x="189"/>
        <item m="1" x="148"/>
        <item m="1" x="125"/>
        <item m="1" x="207"/>
        <item m="1" x="102"/>
        <item m="1" x="161"/>
        <item m="1" x="190"/>
        <item m="1" x="137"/>
        <item m="1" x="202"/>
        <item m="1" x="197"/>
        <item m="1" x="65"/>
        <item m="1" x="183"/>
        <item m="1" x="157"/>
        <item m="1" x="57"/>
        <item m="1" x="241"/>
        <item m="1" x="63"/>
        <item m="1" x="59"/>
        <item m="1" x="62"/>
        <item m="1" x="58"/>
        <item m="1" x="61"/>
        <item m="1" x="60"/>
        <item m="1" x="53"/>
        <item m="1" x="43"/>
        <item m="1" x="44"/>
        <item m="1" x="45"/>
        <item m="1" x="46"/>
        <item m="1" x="47"/>
        <item m="1" x="48"/>
        <item m="1" x="49"/>
        <item m="1" x="56"/>
        <item m="1" x="50"/>
        <item m="1" x="55"/>
        <item m="1" x="54"/>
        <item m="1" x="51"/>
        <item m="1" x="52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m="1" x="24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8"/>
        <item m="1" x="25"/>
        <item m="1" x="2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4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23"/>
        <item m="1" x="24"/>
        <item x="0"/>
        <item x="1"/>
        <item x="2"/>
        <item x="3"/>
        <item x="4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9">
        <item m="1" x="184"/>
        <item m="1" x="151"/>
        <item m="1" x="141"/>
        <item x="23"/>
        <item m="1" x="150"/>
        <item m="1" x="94"/>
        <item m="1" x="170"/>
        <item m="1" x="192"/>
        <item m="1" x="144"/>
        <item m="1" x="152"/>
        <item m="1" x="145"/>
        <item m="1" x="122"/>
        <item m="1" x="69"/>
        <item m="1" x="166"/>
        <item m="1" x="67"/>
        <item m="1" x="234"/>
        <item m="1" x="113"/>
        <item m="1" x="215"/>
        <item m="1" x="228"/>
        <item m="1" x="123"/>
        <item m="1" x="116"/>
        <item m="1" x="221"/>
        <item m="1" x="177"/>
        <item m="1" x="178"/>
        <item m="1" x="217"/>
        <item m="1" x="136"/>
        <item m="1" x="210"/>
        <item m="1" x="83"/>
        <item m="1" x="104"/>
        <item m="1" x="255"/>
        <item m="1" x="186"/>
        <item m="1" x="229"/>
        <item m="1" x="155"/>
        <item m="1" x="231"/>
        <item m="1" x="242"/>
        <item m="1" x="163"/>
        <item m="1" x="188"/>
        <item m="1" x="182"/>
        <item m="1" x="226"/>
        <item m="1" x="224"/>
        <item m="1" x="109"/>
        <item m="1" x="247"/>
        <item m="1" x="180"/>
        <item m="1" x="206"/>
        <item m="1" x="223"/>
        <item m="1" x="251"/>
        <item m="1" x="258"/>
        <item m="1" x="159"/>
        <item m="1" x="143"/>
        <item m="1" x="142"/>
        <item m="1" x="194"/>
        <item m="1" x="147"/>
        <item m="1" x="203"/>
        <item m="1" x="97"/>
        <item m="1" x="165"/>
        <item m="1" x="201"/>
        <item m="1" x="225"/>
        <item m="1" x="162"/>
        <item m="1" x="153"/>
        <item m="1" x="91"/>
        <item m="1" x="233"/>
        <item m="1" x="111"/>
        <item m="1" x="131"/>
        <item m="1" x="174"/>
        <item m="1" x="185"/>
        <item m="1" x="132"/>
        <item m="1" x="81"/>
        <item m="1" x="179"/>
        <item m="1" x="191"/>
        <item m="1" x="118"/>
        <item m="1" x="214"/>
        <item m="1" x="230"/>
        <item m="1" x="167"/>
        <item m="1" x="121"/>
        <item m="1" x="133"/>
        <item m="1" x="110"/>
        <item m="1" x="196"/>
        <item m="1" x="78"/>
        <item m="1" x="205"/>
        <item m="1" x="222"/>
        <item m="1" x="243"/>
        <item m="1" x="218"/>
        <item m="1" x="236"/>
        <item m="1" x="256"/>
        <item m="1" x="134"/>
        <item m="1" x="213"/>
        <item m="1" x="253"/>
        <item m="1" x="92"/>
        <item m="1" x="106"/>
        <item m="1" x="139"/>
        <item m="1" x="181"/>
        <item m="1" x="84"/>
        <item m="1" x="89"/>
        <item m="1" x="64"/>
        <item m="1" x="75"/>
        <item m="1" x="235"/>
        <item m="1" x="146"/>
        <item m="1" x="232"/>
        <item m="1" x="107"/>
        <item m="1" x="237"/>
        <item m="1" x="200"/>
        <item m="1" x="172"/>
        <item m="1" x="120"/>
        <item m="1" x="199"/>
        <item m="1" x="68"/>
        <item m="1" x="220"/>
        <item m="1" x="149"/>
        <item m="1" x="72"/>
        <item m="1" x="198"/>
        <item m="1" x="80"/>
        <item m="1" x="101"/>
        <item m="1" x="158"/>
        <item m="1" x="124"/>
        <item m="1" x="114"/>
        <item m="1" x="105"/>
        <item m="1" x="252"/>
        <item m="1" x="257"/>
        <item m="1" x="244"/>
        <item m="1" x="250"/>
        <item m="1" x="160"/>
        <item m="1" x="93"/>
        <item m="1" x="82"/>
        <item m="1" x="176"/>
        <item m="1" x="248"/>
        <item m="1" x="140"/>
        <item m="1" x="216"/>
        <item m="1" x="209"/>
        <item m="1" x="208"/>
        <item m="1" x="87"/>
        <item m="1" x="195"/>
        <item m="1" x="126"/>
        <item m="1" x="175"/>
        <item m="1" x="99"/>
        <item m="1" x="74"/>
        <item m="1" x="238"/>
        <item m="1" x="240"/>
        <item m="1" x="138"/>
        <item m="1" x="96"/>
        <item m="1" x="117"/>
        <item m="1" x="112"/>
        <item m="1" x="108"/>
        <item m="1" x="239"/>
        <item m="1" x="79"/>
        <item m="1" x="249"/>
        <item m="1" x="154"/>
        <item m="1" x="204"/>
        <item m="1" x="127"/>
        <item m="1" x="119"/>
        <item m="1" x="128"/>
        <item m="1" x="95"/>
        <item m="1" x="254"/>
        <item m="1" x="173"/>
        <item m="1" x="168"/>
        <item m="1" x="86"/>
        <item m="1" x="219"/>
        <item m="1" x="88"/>
        <item m="1" x="187"/>
        <item m="1" x="164"/>
        <item m="1" x="156"/>
        <item m="1" x="135"/>
        <item m="1" x="115"/>
        <item m="1" x="100"/>
        <item m="1" x="76"/>
        <item m="1" x="70"/>
        <item m="1" x="245"/>
        <item m="1" x="227"/>
        <item m="1" x="85"/>
        <item m="1" x="129"/>
        <item m="1" x="98"/>
        <item m="1" x="71"/>
        <item m="1" x="246"/>
        <item m="1" x="211"/>
        <item m="1" x="193"/>
        <item m="1" x="169"/>
        <item m="1" x="103"/>
        <item m="1" x="73"/>
        <item m="1" x="66"/>
        <item m="1" x="77"/>
        <item m="1" x="90"/>
        <item m="1" x="212"/>
        <item m="1" x="171"/>
        <item m="1" x="130"/>
        <item m="1" x="189"/>
        <item m="1" x="148"/>
        <item m="1" x="125"/>
        <item m="1" x="207"/>
        <item m="1" x="102"/>
        <item m="1" x="161"/>
        <item m="1" x="190"/>
        <item m="1" x="137"/>
        <item m="1" x="202"/>
        <item m="1" x="197"/>
        <item m="1" x="65"/>
        <item m="1" x="183"/>
        <item m="1" x="157"/>
        <item m="1" x="57"/>
        <item m="1" x="241"/>
        <item m="1" x="63"/>
        <item m="1" x="59"/>
        <item m="1" x="62"/>
        <item m="1" x="58"/>
        <item m="1" x="61"/>
        <item m="1" x="60"/>
        <item m="1" x="53"/>
        <item m="1" x="43"/>
        <item m="1" x="44"/>
        <item m="1" x="45"/>
        <item m="1" x="46"/>
        <item m="1" x="47"/>
        <item m="1" x="48"/>
        <item m="1" x="49"/>
        <item m="1" x="56"/>
        <item m="1" x="50"/>
        <item m="1" x="55"/>
        <item m="1" x="54"/>
        <item m="1" x="51"/>
        <item m="1" x="52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m="1" x="24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8"/>
        <item m="1" x="25"/>
        <item m="1" x="26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4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4"/>
    </i>
    <i>
      <x v="22"/>
      <x v="253"/>
    </i>
    <i>
      <x v="23"/>
      <x v="255"/>
    </i>
    <i>
      <x v="24"/>
      <x v="25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205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4"/>
  <sheetViews>
    <sheetView workbookViewId="0">
      <selection activeCell="A13" sqref="A13"/>
    </sheetView>
  </sheetViews>
  <sheetFormatPr defaultRowHeight="15"/>
  <cols>
    <col min="1" max="2" width="26.85546875" bestFit="1" customWidth="1"/>
    <col min="3" max="3" width="13.140625" customWidth="1"/>
    <col min="4" max="4" width="13.140625" bestFit="1" customWidth="1"/>
    <col min="5" max="5" width="26.85546875" bestFit="1" customWidth="1"/>
    <col min="6" max="6" width="23" bestFit="1" customWidth="1"/>
    <col min="7" max="7" width="26.85546875" bestFit="1" customWidth="1"/>
    <col min="8" max="8" width="19.85546875" bestFit="1" customWidth="1"/>
    <col min="9" max="9" width="26.85546875" bestFit="1" customWidth="1"/>
    <col min="10" max="10" width="18.5703125" bestFit="1" customWidth="1"/>
    <col min="11" max="11" width="26.85546875" bestFit="1" customWidth="1"/>
    <col min="12" max="12" width="20.7109375" bestFit="1" customWidth="1"/>
    <col min="13" max="13" width="26.85546875" bestFit="1" customWidth="1"/>
    <col min="14" max="14" width="21" bestFit="1" customWidth="1"/>
    <col min="15" max="15" width="23.140625" customWidth="1"/>
    <col min="16" max="16" width="26.85546875" bestFit="1" customWidth="1"/>
    <col min="17" max="17" width="16.7109375" bestFit="1" customWidth="1"/>
    <col min="18" max="18" width="18" bestFit="1" customWidth="1"/>
    <col min="19" max="19" width="26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6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237</v>
      </c>
      <c r="B8" s="9" t="s">
        <v>237</v>
      </c>
      <c r="C8" s="9" t="s">
        <v>31</v>
      </c>
      <c r="D8" s="9" t="s">
        <v>193</v>
      </c>
      <c r="E8" s="9" t="s">
        <v>237</v>
      </c>
      <c r="F8" s="21">
        <v>0</v>
      </c>
      <c r="G8" s="9" t="s">
        <v>237</v>
      </c>
      <c r="H8" s="21">
        <v>0</v>
      </c>
      <c r="I8" s="9" t="s">
        <v>237</v>
      </c>
      <c r="J8" s="21">
        <v>0</v>
      </c>
      <c r="K8" s="9" t="s">
        <v>237</v>
      </c>
      <c r="L8" s="21">
        <v>1</v>
      </c>
      <c r="M8" s="9" t="s">
        <v>237</v>
      </c>
      <c r="N8" s="21">
        <v>1</v>
      </c>
      <c r="O8" t="s">
        <v>237</v>
      </c>
      <c r="P8" t="s">
        <v>237</v>
      </c>
      <c r="Q8" t="s">
        <v>237</v>
      </c>
      <c r="R8" t="s">
        <v>30</v>
      </c>
      <c r="S8" s="9" t="s">
        <v>237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237</v>
      </c>
      <c r="AB8" s="21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238</v>
      </c>
      <c r="B9" s="9" t="s">
        <v>238</v>
      </c>
      <c r="C9" s="9" t="s">
        <v>32</v>
      </c>
      <c r="E9" s="9" t="s">
        <v>238</v>
      </c>
      <c r="F9" s="21">
        <v>0</v>
      </c>
      <c r="G9" s="9" t="s">
        <v>238</v>
      </c>
      <c r="H9" s="21">
        <v>0</v>
      </c>
      <c r="I9" s="9" t="s">
        <v>238</v>
      </c>
      <c r="J9" s="21">
        <v>0</v>
      </c>
      <c r="K9" s="9" t="s">
        <v>238</v>
      </c>
      <c r="L9" s="21">
        <v>1</v>
      </c>
      <c r="M9" s="9" t="s">
        <v>238</v>
      </c>
      <c r="N9" s="21">
        <v>1</v>
      </c>
      <c r="O9" t="s">
        <v>238</v>
      </c>
      <c r="P9" t="s">
        <v>238</v>
      </c>
      <c r="Q9" t="s">
        <v>238</v>
      </c>
      <c r="R9" t="s">
        <v>30</v>
      </c>
      <c r="S9" s="9" t="s">
        <v>238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238</v>
      </c>
      <c r="AB9" s="21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239</v>
      </c>
      <c r="B10" s="9" t="s">
        <v>239</v>
      </c>
      <c r="C10" s="9" t="s">
        <v>46</v>
      </c>
      <c r="E10" s="9" t="s">
        <v>239</v>
      </c>
      <c r="F10" s="21">
        <v>0</v>
      </c>
      <c r="G10" s="9" t="s">
        <v>239</v>
      </c>
      <c r="H10" s="21">
        <v>0</v>
      </c>
      <c r="I10" s="9" t="s">
        <v>239</v>
      </c>
      <c r="J10" s="21">
        <v>0</v>
      </c>
      <c r="K10" s="9" t="s">
        <v>239</v>
      </c>
      <c r="L10" s="21">
        <v>1</v>
      </c>
      <c r="M10" s="9" t="s">
        <v>239</v>
      </c>
      <c r="N10" s="21">
        <v>1</v>
      </c>
      <c r="O10" t="s">
        <v>239</v>
      </c>
      <c r="P10" t="s">
        <v>239</v>
      </c>
      <c r="Q10" t="s">
        <v>239</v>
      </c>
      <c r="R10" t="s">
        <v>30</v>
      </c>
      <c r="S10" s="9" t="s">
        <v>239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239</v>
      </c>
      <c r="AB10" s="21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240</v>
      </c>
      <c r="B11" s="9" t="s">
        <v>240</v>
      </c>
      <c r="C11" s="9" t="s">
        <v>47</v>
      </c>
      <c r="E11" s="9" t="s">
        <v>240</v>
      </c>
      <c r="F11" s="21">
        <v>0</v>
      </c>
      <c r="G11" s="9" t="s">
        <v>240</v>
      </c>
      <c r="H11" s="21">
        <v>0</v>
      </c>
      <c r="I11" s="9" t="s">
        <v>240</v>
      </c>
      <c r="J11" s="21">
        <v>0</v>
      </c>
      <c r="K11" s="9" t="s">
        <v>240</v>
      </c>
      <c r="L11" s="21">
        <v>1</v>
      </c>
      <c r="M11" s="9" t="s">
        <v>240</v>
      </c>
      <c r="N11" s="21">
        <v>1</v>
      </c>
      <c r="O11" t="s">
        <v>240</v>
      </c>
      <c r="P11" t="s">
        <v>240</v>
      </c>
      <c r="Q11" t="s">
        <v>240</v>
      </c>
      <c r="R11" t="s">
        <v>30</v>
      </c>
      <c r="S11" s="9" t="s">
        <v>240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240</v>
      </c>
      <c r="AB11" s="21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241</v>
      </c>
      <c r="B12" s="9" t="s">
        <v>241</v>
      </c>
      <c r="C12" s="9" t="s">
        <v>48</v>
      </c>
      <c r="D12" s="9"/>
      <c r="E12" s="9" t="s">
        <v>241</v>
      </c>
      <c r="F12" s="21">
        <v>0</v>
      </c>
      <c r="G12" s="9" t="s">
        <v>241</v>
      </c>
      <c r="H12" s="21">
        <v>0</v>
      </c>
      <c r="I12" s="9" t="s">
        <v>241</v>
      </c>
      <c r="J12" s="21">
        <v>0</v>
      </c>
      <c r="K12" s="9" t="s">
        <v>241</v>
      </c>
      <c r="L12" s="21">
        <v>1</v>
      </c>
      <c r="M12" s="9" t="s">
        <v>241</v>
      </c>
      <c r="N12" s="21">
        <v>1</v>
      </c>
      <c r="O12" t="s">
        <v>241</v>
      </c>
      <c r="P12" t="s">
        <v>241</v>
      </c>
      <c r="Q12" t="s">
        <v>241</v>
      </c>
      <c r="R12" t="s">
        <v>30</v>
      </c>
      <c r="S12" s="9" t="s">
        <v>241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241</v>
      </c>
      <c r="AB12" s="21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242</v>
      </c>
      <c r="B13" s="9" t="s">
        <v>242</v>
      </c>
      <c r="C13" s="9" t="s">
        <v>49</v>
      </c>
      <c r="D13" s="9"/>
      <c r="E13" s="9" t="s">
        <v>242</v>
      </c>
      <c r="F13" s="21">
        <v>0</v>
      </c>
      <c r="G13" s="9" t="s">
        <v>242</v>
      </c>
      <c r="H13" s="21">
        <v>0</v>
      </c>
      <c r="I13" s="9" t="s">
        <v>242</v>
      </c>
      <c r="J13" s="21">
        <v>0</v>
      </c>
      <c r="K13" s="9" t="s">
        <v>242</v>
      </c>
      <c r="L13" s="21">
        <v>1</v>
      </c>
      <c r="M13" s="9" t="s">
        <v>242</v>
      </c>
      <c r="N13" s="21">
        <v>1</v>
      </c>
      <c r="O13" t="s">
        <v>242</v>
      </c>
      <c r="P13" t="s">
        <v>242</v>
      </c>
      <c r="Q13" t="s">
        <v>242</v>
      </c>
      <c r="R13" t="s">
        <v>30</v>
      </c>
      <c r="S13" s="9" t="s">
        <v>242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242</v>
      </c>
      <c r="AB13" s="21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243</v>
      </c>
      <c r="B14" s="9" t="s">
        <v>243</v>
      </c>
      <c r="C14" s="9" t="s">
        <v>50</v>
      </c>
      <c r="D14" s="9"/>
      <c r="E14" s="9" t="s">
        <v>243</v>
      </c>
      <c r="F14" s="21">
        <v>0</v>
      </c>
      <c r="G14" s="9" t="s">
        <v>243</v>
      </c>
      <c r="H14" s="21">
        <v>0</v>
      </c>
      <c r="I14" s="9" t="s">
        <v>243</v>
      </c>
      <c r="J14" s="21">
        <v>0</v>
      </c>
      <c r="K14" s="9" t="s">
        <v>243</v>
      </c>
      <c r="L14" s="21">
        <v>1</v>
      </c>
      <c r="M14" s="9" t="s">
        <v>243</v>
      </c>
      <c r="N14" s="21">
        <v>1</v>
      </c>
      <c r="O14" t="s">
        <v>243</v>
      </c>
      <c r="P14" t="s">
        <v>243</v>
      </c>
      <c r="Q14" t="s">
        <v>243</v>
      </c>
      <c r="R14" t="s">
        <v>30</v>
      </c>
      <c r="S14" s="9" t="s">
        <v>243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243</v>
      </c>
      <c r="AB14" s="21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244</v>
      </c>
      <c r="B15" s="9" t="s">
        <v>244</v>
      </c>
      <c r="C15" s="9" t="s">
        <v>51</v>
      </c>
      <c r="D15" s="9"/>
      <c r="E15" s="9" t="s">
        <v>244</v>
      </c>
      <c r="F15" s="21">
        <v>0</v>
      </c>
      <c r="G15" s="9" t="s">
        <v>244</v>
      </c>
      <c r="H15" s="21">
        <v>0</v>
      </c>
      <c r="I15" s="9" t="s">
        <v>244</v>
      </c>
      <c r="J15" s="21">
        <v>0</v>
      </c>
      <c r="K15" s="9" t="s">
        <v>244</v>
      </c>
      <c r="L15" s="21">
        <v>1</v>
      </c>
      <c r="M15" s="9" t="s">
        <v>244</v>
      </c>
      <c r="N15" s="21">
        <v>1</v>
      </c>
      <c r="O15" t="s">
        <v>244</v>
      </c>
      <c r="P15" t="s">
        <v>244</v>
      </c>
      <c r="Q15" t="s">
        <v>244</v>
      </c>
      <c r="R15" t="s">
        <v>30</v>
      </c>
      <c r="S15" s="9" t="s">
        <v>244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244</v>
      </c>
      <c r="AB15" s="21">
        <v>100</v>
      </c>
      <c r="AD15" s="10">
        <v>2025</v>
      </c>
      <c r="AF15" s="10">
        <v>2025</v>
      </c>
      <c r="AM15" t="s">
        <v>22</v>
      </c>
    </row>
    <row r="16" spans="1:39">
      <c r="A16" s="9" t="s">
        <v>245</v>
      </c>
      <c r="B16" s="9" t="s">
        <v>245</v>
      </c>
      <c r="C16" s="9" t="s">
        <v>52</v>
      </c>
      <c r="D16" s="9"/>
      <c r="E16" s="9" t="s">
        <v>245</v>
      </c>
      <c r="F16" s="21">
        <v>0</v>
      </c>
      <c r="G16" s="9" t="s">
        <v>245</v>
      </c>
      <c r="H16" s="21">
        <v>0</v>
      </c>
      <c r="I16" s="9" t="s">
        <v>245</v>
      </c>
      <c r="J16" s="21">
        <v>0</v>
      </c>
      <c r="K16" s="9" t="s">
        <v>245</v>
      </c>
      <c r="L16" s="21">
        <v>1</v>
      </c>
      <c r="M16" s="9" t="s">
        <v>245</v>
      </c>
      <c r="N16" s="21">
        <v>1</v>
      </c>
      <c r="O16" t="s">
        <v>245</v>
      </c>
      <c r="P16" t="s">
        <v>245</v>
      </c>
      <c r="Q16" t="s">
        <v>245</v>
      </c>
      <c r="R16" t="s">
        <v>30</v>
      </c>
      <c r="S16" s="9" t="s">
        <v>245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245</v>
      </c>
      <c r="AB16" s="21">
        <v>100</v>
      </c>
      <c r="AD16" s="10">
        <v>2026</v>
      </c>
      <c r="AF16" s="10">
        <v>2026</v>
      </c>
      <c r="AM16" t="s">
        <v>5</v>
      </c>
    </row>
    <row r="17" spans="1:39">
      <c r="A17" s="9" t="s">
        <v>246</v>
      </c>
      <c r="B17" s="9" t="s">
        <v>246</v>
      </c>
      <c r="E17" s="9" t="s">
        <v>246</v>
      </c>
      <c r="F17" s="21">
        <v>0</v>
      </c>
      <c r="G17" s="9" t="s">
        <v>246</v>
      </c>
      <c r="H17" s="21">
        <v>0</v>
      </c>
      <c r="I17" s="9" t="s">
        <v>246</v>
      </c>
      <c r="J17" s="21">
        <v>0</v>
      </c>
      <c r="K17" s="9" t="s">
        <v>246</v>
      </c>
      <c r="L17" s="21">
        <v>1</v>
      </c>
      <c r="M17" s="9" t="s">
        <v>246</v>
      </c>
      <c r="N17" s="21">
        <v>1</v>
      </c>
      <c r="O17" t="s">
        <v>246</v>
      </c>
      <c r="P17" t="s">
        <v>246</v>
      </c>
      <c r="Q17" t="s">
        <v>246</v>
      </c>
      <c r="R17" t="s">
        <v>30</v>
      </c>
      <c r="S17" s="9" t="s">
        <v>246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246</v>
      </c>
      <c r="AB17" s="21">
        <v>100</v>
      </c>
      <c r="AD17" s="10">
        <v>2027</v>
      </c>
      <c r="AF17" s="10">
        <v>2027</v>
      </c>
      <c r="AM17" t="s">
        <v>23</v>
      </c>
    </row>
    <row r="18" spans="1:39">
      <c r="A18" s="9" t="s">
        <v>247</v>
      </c>
      <c r="B18" s="9" t="s">
        <v>247</v>
      </c>
      <c r="E18" s="9" t="s">
        <v>247</v>
      </c>
      <c r="F18" s="21">
        <v>0</v>
      </c>
      <c r="G18" s="9" t="s">
        <v>247</v>
      </c>
      <c r="H18" s="21">
        <v>0</v>
      </c>
      <c r="I18" s="9" t="s">
        <v>247</v>
      </c>
      <c r="J18" s="21">
        <v>0</v>
      </c>
      <c r="K18" s="9" t="s">
        <v>247</v>
      </c>
      <c r="L18" s="21">
        <v>1</v>
      </c>
      <c r="M18" s="9" t="s">
        <v>247</v>
      </c>
      <c r="N18" s="21">
        <v>1</v>
      </c>
      <c r="O18" t="s">
        <v>247</v>
      </c>
      <c r="P18" t="s">
        <v>247</v>
      </c>
      <c r="Q18" t="s">
        <v>247</v>
      </c>
      <c r="R18" t="s">
        <v>30</v>
      </c>
      <c r="S18" s="9" t="s">
        <v>247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247</v>
      </c>
      <c r="AB18" s="21">
        <v>100</v>
      </c>
      <c r="AD18" s="10">
        <v>2028</v>
      </c>
      <c r="AF18" s="10">
        <v>2028</v>
      </c>
      <c r="AM18" t="s">
        <v>25</v>
      </c>
    </row>
    <row r="19" spans="1:39">
      <c r="A19" s="9" t="s">
        <v>248</v>
      </c>
      <c r="B19" s="9" t="s">
        <v>248</v>
      </c>
      <c r="E19" s="9" t="s">
        <v>248</v>
      </c>
      <c r="F19" s="21">
        <v>0</v>
      </c>
      <c r="G19" s="9" t="s">
        <v>248</v>
      </c>
      <c r="H19" s="21">
        <v>0</v>
      </c>
      <c r="I19" s="9" t="s">
        <v>248</v>
      </c>
      <c r="J19" s="21">
        <v>0</v>
      </c>
      <c r="K19" s="9" t="s">
        <v>248</v>
      </c>
      <c r="L19" s="21">
        <v>1</v>
      </c>
      <c r="M19" s="9" t="s">
        <v>248</v>
      </c>
      <c r="N19" s="21">
        <v>1</v>
      </c>
      <c r="O19" t="s">
        <v>248</v>
      </c>
      <c r="P19" t="s">
        <v>248</v>
      </c>
      <c r="Q19" t="s">
        <v>248</v>
      </c>
      <c r="R19" t="s">
        <v>30</v>
      </c>
      <c r="S19" s="9" t="s">
        <v>248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248</v>
      </c>
      <c r="AB19" s="21">
        <v>100</v>
      </c>
      <c r="AD19" s="10">
        <v>2029</v>
      </c>
      <c r="AF19" s="10">
        <v>2029</v>
      </c>
      <c r="AM19" t="s">
        <v>24</v>
      </c>
    </row>
    <row r="20" spans="1:39">
      <c r="A20" s="9" t="s">
        <v>249</v>
      </c>
      <c r="B20" s="9" t="s">
        <v>249</v>
      </c>
      <c r="E20" s="9" t="s">
        <v>249</v>
      </c>
      <c r="F20" s="21">
        <v>0</v>
      </c>
      <c r="G20" s="9" t="s">
        <v>249</v>
      </c>
      <c r="H20" s="21">
        <v>0</v>
      </c>
      <c r="I20" s="9" t="s">
        <v>249</v>
      </c>
      <c r="J20" s="21">
        <v>0</v>
      </c>
      <c r="K20" s="9" t="s">
        <v>249</v>
      </c>
      <c r="L20" s="21">
        <v>1</v>
      </c>
      <c r="M20" s="9" t="s">
        <v>249</v>
      </c>
      <c r="N20" s="21">
        <v>1</v>
      </c>
      <c r="O20" t="s">
        <v>249</v>
      </c>
      <c r="P20" t="s">
        <v>249</v>
      </c>
      <c r="Q20" t="s">
        <v>249</v>
      </c>
      <c r="R20" t="s">
        <v>30</v>
      </c>
      <c r="S20" s="9" t="s">
        <v>249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249</v>
      </c>
      <c r="AB20" s="21">
        <v>100</v>
      </c>
      <c r="AD20" s="10">
        <v>2030</v>
      </c>
      <c r="AF20" s="10">
        <v>2030</v>
      </c>
      <c r="AM20" t="s">
        <v>11</v>
      </c>
    </row>
    <row r="21" spans="1:39">
      <c r="A21" s="9" t="s">
        <v>250</v>
      </c>
      <c r="B21" s="9" t="s">
        <v>250</v>
      </c>
      <c r="E21" s="9" t="s">
        <v>250</v>
      </c>
      <c r="F21" s="21">
        <v>0</v>
      </c>
      <c r="G21" s="9" t="s">
        <v>250</v>
      </c>
      <c r="H21" s="21">
        <v>0</v>
      </c>
      <c r="I21" s="9" t="s">
        <v>250</v>
      </c>
      <c r="J21" s="21">
        <v>0</v>
      </c>
      <c r="K21" s="9" t="s">
        <v>250</v>
      </c>
      <c r="L21" s="21">
        <v>1</v>
      </c>
      <c r="M21" s="9" t="s">
        <v>250</v>
      </c>
      <c r="N21" s="21">
        <v>1</v>
      </c>
      <c r="O21" t="s">
        <v>250</v>
      </c>
      <c r="P21" t="s">
        <v>250</v>
      </c>
      <c r="Q21" t="s">
        <v>250</v>
      </c>
      <c r="R21" t="s">
        <v>30</v>
      </c>
      <c r="S21" s="9" t="s">
        <v>250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250</v>
      </c>
      <c r="AB21" s="21">
        <v>100</v>
      </c>
      <c r="AD21" s="10">
        <v>2031</v>
      </c>
      <c r="AF21" s="10">
        <v>2031</v>
      </c>
      <c r="AM21" t="s">
        <v>11</v>
      </c>
    </row>
    <row r="22" spans="1:39">
      <c r="A22" s="9" t="s">
        <v>251</v>
      </c>
      <c r="B22" s="9" t="s">
        <v>251</v>
      </c>
      <c r="E22" s="9" t="s">
        <v>251</v>
      </c>
      <c r="F22" s="21">
        <v>0</v>
      </c>
      <c r="G22" s="9" t="s">
        <v>251</v>
      </c>
      <c r="H22" s="21">
        <v>0</v>
      </c>
      <c r="I22" s="9" t="s">
        <v>251</v>
      </c>
      <c r="J22" s="21">
        <v>0</v>
      </c>
      <c r="K22" s="9" t="s">
        <v>251</v>
      </c>
      <c r="L22" s="21">
        <v>1</v>
      </c>
      <c r="M22" s="9" t="s">
        <v>251</v>
      </c>
      <c r="N22" s="21">
        <v>1</v>
      </c>
      <c r="O22" t="s">
        <v>251</v>
      </c>
      <c r="P22" t="s">
        <v>251</v>
      </c>
      <c r="Q22" t="s">
        <v>251</v>
      </c>
      <c r="R22" t="s">
        <v>30</v>
      </c>
      <c r="S22" s="9" t="s">
        <v>251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251</v>
      </c>
      <c r="AB22" s="21">
        <v>100</v>
      </c>
      <c r="AD22" s="10">
        <v>2032</v>
      </c>
      <c r="AF22" s="10">
        <v>2032</v>
      </c>
      <c r="AM22" t="s">
        <v>11</v>
      </c>
    </row>
    <row r="23" spans="1:39">
      <c r="A23" s="9" t="s">
        <v>252</v>
      </c>
      <c r="B23" s="9" t="s">
        <v>252</v>
      </c>
      <c r="E23" s="9" t="s">
        <v>252</v>
      </c>
      <c r="F23" s="21">
        <v>0</v>
      </c>
      <c r="G23" s="9" t="s">
        <v>252</v>
      </c>
      <c r="H23" s="21">
        <v>0</v>
      </c>
      <c r="I23" s="9" t="s">
        <v>252</v>
      </c>
      <c r="J23" s="21">
        <v>0</v>
      </c>
      <c r="K23" s="9" t="s">
        <v>252</v>
      </c>
      <c r="L23" s="21">
        <v>1</v>
      </c>
      <c r="M23" s="9" t="s">
        <v>252</v>
      </c>
      <c r="N23" s="21">
        <v>1</v>
      </c>
      <c r="O23" t="s">
        <v>252</v>
      </c>
      <c r="P23" t="s">
        <v>252</v>
      </c>
      <c r="Q23" t="s">
        <v>252</v>
      </c>
      <c r="R23" t="s">
        <v>30</v>
      </c>
      <c r="S23" s="9" t="s">
        <v>252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252</v>
      </c>
      <c r="AB23" s="21">
        <v>100</v>
      </c>
      <c r="AD23" s="10">
        <v>2033</v>
      </c>
      <c r="AF23" s="10">
        <v>2033</v>
      </c>
      <c r="AM23" t="s">
        <v>11</v>
      </c>
    </row>
    <row r="24" spans="1:39">
      <c r="A24" s="9" t="s">
        <v>253</v>
      </c>
      <c r="B24" s="9" t="s">
        <v>253</v>
      </c>
      <c r="E24" s="9" t="s">
        <v>253</v>
      </c>
      <c r="F24" s="21">
        <v>0</v>
      </c>
      <c r="G24" s="9" t="s">
        <v>253</v>
      </c>
      <c r="H24" s="21">
        <v>0</v>
      </c>
      <c r="I24" s="9" t="s">
        <v>253</v>
      </c>
      <c r="J24" s="21">
        <v>0</v>
      </c>
      <c r="K24" s="9" t="s">
        <v>253</v>
      </c>
      <c r="L24" s="21">
        <v>1</v>
      </c>
      <c r="M24" s="9" t="s">
        <v>253</v>
      </c>
      <c r="N24" s="21">
        <v>1</v>
      </c>
      <c r="O24" t="s">
        <v>253</v>
      </c>
      <c r="P24" t="s">
        <v>253</v>
      </c>
      <c r="Q24" t="s">
        <v>253</v>
      </c>
      <c r="R24" t="s">
        <v>30</v>
      </c>
      <c r="S24" s="9" t="s">
        <v>253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253</v>
      </c>
      <c r="AB24" s="21">
        <v>100</v>
      </c>
      <c r="AD24" s="10">
        <v>2034</v>
      </c>
      <c r="AF24" s="10">
        <v>2034</v>
      </c>
    </row>
    <row r="25" spans="1:39">
      <c r="A25" s="9" t="s">
        <v>254</v>
      </c>
      <c r="B25" s="9" t="s">
        <v>254</v>
      </c>
      <c r="E25" s="9" t="s">
        <v>254</v>
      </c>
      <c r="F25" s="21">
        <v>0</v>
      </c>
      <c r="G25" s="9" t="s">
        <v>254</v>
      </c>
      <c r="H25" s="21">
        <v>0</v>
      </c>
      <c r="I25" s="9" t="s">
        <v>254</v>
      </c>
      <c r="J25" s="21">
        <v>0</v>
      </c>
      <c r="K25" s="9" t="s">
        <v>254</v>
      </c>
      <c r="L25" s="21">
        <v>1</v>
      </c>
      <c r="M25" s="9" t="s">
        <v>254</v>
      </c>
      <c r="N25" s="21">
        <v>1</v>
      </c>
      <c r="O25" t="s">
        <v>254</v>
      </c>
      <c r="P25" t="s">
        <v>254</v>
      </c>
      <c r="Q25" t="s">
        <v>254</v>
      </c>
      <c r="R25" t="s">
        <v>30</v>
      </c>
      <c r="S25" s="9" t="s">
        <v>254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254</v>
      </c>
      <c r="AB25" s="21">
        <v>100</v>
      </c>
      <c r="AD25" s="10">
        <v>2035</v>
      </c>
      <c r="AF25" s="10">
        <v>2035</v>
      </c>
    </row>
    <row r="26" spans="1:39">
      <c r="A26" s="9" t="s">
        <v>255</v>
      </c>
      <c r="B26" s="9" t="s">
        <v>255</v>
      </c>
      <c r="E26" s="9" t="s">
        <v>255</v>
      </c>
      <c r="F26" s="21">
        <v>0</v>
      </c>
      <c r="G26" s="9" t="s">
        <v>255</v>
      </c>
      <c r="H26" s="21">
        <v>0</v>
      </c>
      <c r="I26" s="9" t="s">
        <v>255</v>
      </c>
      <c r="J26" s="21">
        <v>0</v>
      </c>
      <c r="K26" s="9" t="s">
        <v>255</v>
      </c>
      <c r="L26" s="21">
        <v>1</v>
      </c>
      <c r="M26" s="9" t="s">
        <v>255</v>
      </c>
      <c r="N26" s="21">
        <v>1</v>
      </c>
      <c r="O26" t="s">
        <v>255</v>
      </c>
      <c r="P26" t="s">
        <v>255</v>
      </c>
      <c r="Q26" t="s">
        <v>255</v>
      </c>
      <c r="R26" t="s">
        <v>30</v>
      </c>
      <c r="S26" s="9" t="s">
        <v>255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255</v>
      </c>
      <c r="AB26" s="21">
        <v>100</v>
      </c>
      <c r="AD26" s="10">
        <v>2036</v>
      </c>
      <c r="AF26" s="10">
        <v>2036</v>
      </c>
    </row>
    <row r="27" spans="1:39">
      <c r="A27" s="9" t="s">
        <v>256</v>
      </c>
      <c r="B27" s="9" t="s">
        <v>257</v>
      </c>
      <c r="E27" s="9" t="s">
        <v>256</v>
      </c>
      <c r="F27" s="21">
        <v>0</v>
      </c>
      <c r="G27" s="9" t="s">
        <v>256</v>
      </c>
      <c r="H27" s="21">
        <v>0</v>
      </c>
      <c r="I27" s="9" t="s">
        <v>256</v>
      </c>
      <c r="J27" s="21">
        <v>0</v>
      </c>
      <c r="K27" s="9" t="s">
        <v>256</v>
      </c>
      <c r="L27" s="21">
        <v>1</v>
      </c>
      <c r="M27" s="9" t="s">
        <v>256</v>
      </c>
      <c r="N27" s="21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256</v>
      </c>
      <c r="AB27" s="21">
        <v>100</v>
      </c>
      <c r="AD27" s="10">
        <v>2037</v>
      </c>
      <c r="AF27" s="10">
        <v>2037</v>
      </c>
    </row>
    <row r="28" spans="1:39">
      <c r="A28" s="9" t="s">
        <v>257</v>
      </c>
      <c r="B28" s="9" t="s">
        <v>256</v>
      </c>
      <c r="E28" s="9" t="s">
        <v>257</v>
      </c>
      <c r="F28" s="21">
        <v>0</v>
      </c>
      <c r="G28" s="9" t="s">
        <v>257</v>
      </c>
      <c r="H28" s="21">
        <v>0</v>
      </c>
      <c r="I28" s="9" t="s">
        <v>257</v>
      </c>
      <c r="J28" s="21">
        <v>0</v>
      </c>
      <c r="K28" s="9" t="s">
        <v>257</v>
      </c>
      <c r="L28" s="21">
        <v>1</v>
      </c>
      <c r="M28" s="9" t="s">
        <v>257</v>
      </c>
      <c r="N28" s="21">
        <v>1</v>
      </c>
      <c r="O28" t="s">
        <v>257</v>
      </c>
      <c r="P28" t="s">
        <v>257</v>
      </c>
      <c r="Q28" t="s">
        <v>257</v>
      </c>
      <c r="R28" t="s">
        <v>30</v>
      </c>
      <c r="S28" s="9" t="s">
        <v>257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257</v>
      </c>
      <c r="AB28" s="21">
        <v>100</v>
      </c>
      <c r="AD28" s="10">
        <v>2038</v>
      </c>
      <c r="AF28" s="10">
        <v>2038</v>
      </c>
    </row>
    <row r="29" spans="1:39">
      <c r="A29" s="9" t="s">
        <v>259</v>
      </c>
      <c r="B29" s="9" t="s">
        <v>259</v>
      </c>
      <c r="E29" s="9" t="s">
        <v>259</v>
      </c>
      <c r="F29" s="21">
        <v>0</v>
      </c>
      <c r="G29" s="9" t="s">
        <v>259</v>
      </c>
      <c r="H29" s="21">
        <v>0</v>
      </c>
      <c r="I29" s="9" t="s">
        <v>259</v>
      </c>
      <c r="J29" s="21">
        <v>0</v>
      </c>
      <c r="K29" s="9" t="s">
        <v>259</v>
      </c>
      <c r="L29" s="21">
        <v>1</v>
      </c>
      <c r="M29" s="9" t="s">
        <v>259</v>
      </c>
      <c r="N29" s="21">
        <v>1</v>
      </c>
      <c r="O29" t="s">
        <v>259</v>
      </c>
      <c r="P29" t="s">
        <v>259</v>
      </c>
      <c r="Q29" t="s">
        <v>259</v>
      </c>
      <c r="R29" t="s">
        <v>30</v>
      </c>
      <c r="S29" s="9" t="s">
        <v>259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259</v>
      </c>
      <c r="AB29" s="21">
        <v>100</v>
      </c>
      <c r="AD29" s="10">
        <v>2039</v>
      </c>
      <c r="AF29" s="10">
        <v>2039</v>
      </c>
    </row>
    <row r="30" spans="1:39">
      <c r="A30" s="9" t="s">
        <v>260</v>
      </c>
      <c r="B30" s="9" t="s">
        <v>260</v>
      </c>
      <c r="E30" s="9" t="s">
        <v>260</v>
      </c>
      <c r="F30" s="21">
        <v>2</v>
      </c>
      <c r="G30" s="9" t="s">
        <v>260</v>
      </c>
      <c r="H30" s="21">
        <v>0</v>
      </c>
      <c r="I30" s="9" t="s">
        <v>260</v>
      </c>
      <c r="J30" s="21">
        <v>0</v>
      </c>
      <c r="K30" s="9" t="s">
        <v>260</v>
      </c>
      <c r="L30" s="21">
        <v>2</v>
      </c>
      <c r="M30" s="9" t="s">
        <v>260</v>
      </c>
      <c r="N30" s="21">
        <v>2</v>
      </c>
      <c r="O30" t="s">
        <v>260</v>
      </c>
      <c r="P30" t="s">
        <v>260</v>
      </c>
      <c r="Q30" t="s">
        <v>260</v>
      </c>
      <c r="R30" t="s">
        <v>30</v>
      </c>
      <c r="S30" s="9" t="s">
        <v>260</v>
      </c>
      <c r="T30" s="21">
        <v>-2</v>
      </c>
      <c r="U30" s="21">
        <v>-2</v>
      </c>
      <c r="V30" s="21">
        <v>-2</v>
      </c>
      <c r="W30" s="21">
        <v>2</v>
      </c>
      <c r="X30" s="21">
        <v>-2</v>
      </c>
      <c r="AA30" s="9" t="s">
        <v>260</v>
      </c>
      <c r="AB30" s="21">
        <v>200</v>
      </c>
      <c r="AD30" s="10">
        <v>2040</v>
      </c>
      <c r="AF30" s="10">
        <v>2040</v>
      </c>
    </row>
    <row r="31" spans="1:39">
      <c r="AD31" s="10">
        <v>2041</v>
      </c>
      <c r="AF31" s="10">
        <v>2041</v>
      </c>
    </row>
    <row r="32" spans="1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2058</v>
      </c>
      <c r="AF46" s="10">
        <v>2058</v>
      </c>
      <c r="AI46" s="10"/>
    </row>
    <row r="47" spans="30:36">
      <c r="AD47" s="10">
        <v>2063</v>
      </c>
      <c r="AI47" s="10"/>
    </row>
    <row r="48" spans="30:36">
      <c r="AD48" s="10">
        <v>2068</v>
      </c>
      <c r="AI48" s="10"/>
    </row>
    <row r="49" spans="32:35">
      <c r="AI49" s="10"/>
    </row>
    <row r="50" spans="32:35">
      <c r="AF50" s="10">
        <v>2056</v>
      </c>
      <c r="AI50" s="10"/>
    </row>
    <row r="51" spans="32:35">
      <c r="AF51" s="10">
        <v>2057</v>
      </c>
      <c r="AI51" s="10"/>
    </row>
    <row r="52" spans="32:35">
      <c r="AF52" s="10">
        <v>2058</v>
      </c>
      <c r="AI52" s="10"/>
    </row>
    <row r="53" spans="32:35">
      <c r="AF53" s="10">
        <v>2059</v>
      </c>
      <c r="AI53" s="10"/>
    </row>
    <row r="54" spans="32:35">
      <c r="AF54" s="10">
        <v>2060</v>
      </c>
      <c r="AI54" s="10"/>
    </row>
    <row r="55" spans="32:35">
      <c r="AF55" s="10">
        <v>2061</v>
      </c>
      <c r="AI55" s="10"/>
    </row>
    <row r="56" spans="32:35">
      <c r="AF56" s="10">
        <v>2062</v>
      </c>
      <c r="AI56" s="10"/>
    </row>
    <row r="57" spans="32:35">
      <c r="AF57" s="10">
        <v>2063</v>
      </c>
      <c r="AI57" s="10"/>
    </row>
    <row r="58" spans="32:35">
      <c r="AF58" s="10">
        <v>2064</v>
      </c>
      <c r="AI58" s="10"/>
    </row>
    <row r="59" spans="32:35">
      <c r="AF59" s="10">
        <v>2065</v>
      </c>
      <c r="AI59" s="10"/>
    </row>
    <row r="60" spans="32:35">
      <c r="AF60" s="10">
        <v>2066</v>
      </c>
      <c r="AI60" s="10"/>
    </row>
    <row r="61" spans="32:35">
      <c r="AF61" s="10">
        <v>2067</v>
      </c>
    </row>
    <row r="62" spans="32:35">
      <c r="AF62" s="10">
        <v>2068</v>
      </c>
    </row>
    <row r="63" spans="32:35">
      <c r="AF63" s="10">
        <v>2069</v>
      </c>
    </row>
    <row r="64" spans="32:35">
      <c r="AF6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20" sqref="B2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230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233</v>
      </c>
      <c r="BA9" t="s">
        <v>231</v>
      </c>
      <c r="BB9" t="s">
        <v>232</v>
      </c>
      <c r="BC9" t="s">
        <v>234</v>
      </c>
      <c r="BD9" t="s">
        <v>235</v>
      </c>
      <c r="BE9" t="s">
        <v>236</v>
      </c>
    </row>
    <row r="10" spans="1:57">
      <c r="A10" s="17">
        <v>0</v>
      </c>
      <c r="B10" t="s">
        <v>237</v>
      </c>
      <c r="C10" t="s">
        <v>258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D11" t="s">
        <v>30</v>
      </c>
      <c r="E11" t="str">
        <f t="shared" ref="E11:E31" si="3">B11</f>
        <v>NZ10_2099B_99EESSNXCT</v>
      </c>
      <c r="F11">
        <v>0</v>
      </c>
      <c r="G11">
        <v>0</v>
      </c>
      <c r="H11" t="s">
        <v>188</v>
      </c>
      <c r="I11">
        <v>1</v>
      </c>
      <c r="J11">
        <v>1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239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240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0</v>
      </c>
      <c r="B14" t="s">
        <v>241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0</v>
      </c>
      <c r="B15" t="s">
        <v>242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243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t="s">
        <v>244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0</v>
      </c>
      <c r="B18" t="s">
        <v>259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1</v>
      </c>
      <c r="B19" t="s">
        <v>260</v>
      </c>
      <c r="D19" t="s">
        <v>30</v>
      </c>
      <c r="E19" t="str">
        <f t="shared" ref="E19" si="5">B19</f>
        <v>NZ10_2050_09EESENXCT_guy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1</v>
      </c>
      <c r="B20" t="s">
        <v>260</v>
      </c>
      <c r="D20" t="s">
        <v>30</v>
      </c>
      <c r="E20" t="str">
        <f t="shared" si="3"/>
        <v>NZ10_2050_09EESENXCT_guy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0</v>
      </c>
      <c r="B21" t="s">
        <v>245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 s="17">
        <v>0</v>
      </c>
      <c r="B22" t="s">
        <v>246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 s="17">
        <v>0</v>
      </c>
      <c r="B23" t="s">
        <v>247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t="s">
        <v>248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t="s">
        <v>249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 s="17">
        <v>0</v>
      </c>
      <c r="B26" t="s">
        <v>250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 s="17">
        <v>0</v>
      </c>
      <c r="B27" t="s">
        <v>251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 s="17">
        <v>0</v>
      </c>
      <c r="B28" t="s">
        <v>252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 s="17">
        <v>0</v>
      </c>
      <c r="B29" t="s">
        <v>253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 s="17">
        <v>0</v>
      </c>
      <c r="B30" t="s">
        <v>254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 s="17">
        <v>0</v>
      </c>
      <c r="B31" t="s">
        <v>255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 s="17">
        <v>0</v>
      </c>
      <c r="B32" t="s">
        <v>257</v>
      </c>
      <c r="D32" t="s">
        <v>30</v>
      </c>
      <c r="E32" t="str">
        <f t="shared" ref="E32:E33" si="6">B32</f>
        <v>NZ10_2050B_09EESSEXCN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 s="17">
        <v>0</v>
      </c>
      <c r="B33" t="s">
        <v>256</v>
      </c>
      <c r="D33" t="s">
        <v>30</v>
      </c>
      <c r="E33" t="str">
        <f t="shared" si="6"/>
        <v>NZ10_2050B_11EESSNXCN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 s="17"/>
      <c r="P34" s="19"/>
      <c r="BB34">
        <v>1</v>
      </c>
      <c r="BM34" t="s">
        <v>224</v>
      </c>
    </row>
    <row r="35" spans="1:65">
      <c r="A35" s="17"/>
      <c r="L35" s="13"/>
      <c r="M35" s="13"/>
      <c r="P35" s="19"/>
      <c r="BB35">
        <v>1</v>
      </c>
      <c r="BM35" t="s">
        <v>225</v>
      </c>
    </row>
    <row r="36" spans="1:65">
      <c r="A36" s="17"/>
      <c r="P36" s="19"/>
      <c r="BB36">
        <v>1</v>
      </c>
      <c r="BM36" t="s">
        <v>226</v>
      </c>
    </row>
    <row r="37" spans="1:65">
      <c r="A37" s="17"/>
      <c r="P37" s="19"/>
      <c r="BB37">
        <v>1</v>
      </c>
      <c r="BM37" t="s">
        <v>227</v>
      </c>
    </row>
    <row r="38" spans="1:65">
      <c r="A38" s="17"/>
      <c r="P38" s="19"/>
      <c r="BB38">
        <v>1</v>
      </c>
      <c r="BM38" t="s">
        <v>228</v>
      </c>
    </row>
    <row r="39" spans="1:65">
      <c r="A39" s="17"/>
      <c r="P39" s="19"/>
      <c r="BB39">
        <v>1</v>
      </c>
      <c r="BM39" t="s">
        <v>229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6:A95">
    <cfRule type="iconSet" priority="936">
      <iconSet>
        <cfvo type="percent" val="0"/>
        <cfvo type="percent" val="33"/>
        <cfvo type="percent" val="67"/>
      </iconSet>
    </cfRule>
  </conditionalFormatting>
  <conditionalFormatting sqref="A10:A95">
    <cfRule type="iconSet" priority="937">
      <iconSet>
        <cfvo type="percent" val="0"/>
        <cfvo type="percent" val="33"/>
        <cfvo type="percent" val="67"/>
      </iconSet>
    </cfRule>
  </conditionalFormatting>
  <conditionalFormatting sqref="A15:A95">
    <cfRule type="iconSet" priority="939">
      <iconSet>
        <cfvo type="percent" val="0"/>
        <cfvo type="percent" val="33"/>
        <cfvo type="percent" val="67"/>
      </iconSet>
    </cfRule>
  </conditionalFormatting>
  <conditionalFormatting sqref="A10:A94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2023-10-09T09:46:20Z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