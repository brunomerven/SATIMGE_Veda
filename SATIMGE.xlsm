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GE_Veda\"/>
    </mc:Choice>
  </mc:AlternateContent>
  <xr:revisionPtr revIDLastSave="0" documentId="13_ncr:1_{DEADBE41-F4FB-4074-AD9F-67629CDF42CD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Scenarios!$A$9:$BI$96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17932" r:id="rId9"/>
    <pivotCache cacheId="17938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Z58" i="33" l="1"/>
  <c r="K58" i="33"/>
  <c r="E58" i="33"/>
  <c r="AZ57" i="33"/>
  <c r="K57" i="33"/>
  <c r="E57" i="33"/>
  <c r="K48" i="33" l="1"/>
  <c r="K49" i="33"/>
  <c r="K50" i="33"/>
  <c r="K51" i="33"/>
  <c r="K52" i="33"/>
  <c r="K53" i="33"/>
  <c r="K54" i="33"/>
  <c r="K55" i="33"/>
  <c r="K56" i="33"/>
  <c r="AZ54" i="33"/>
  <c r="E54" i="33"/>
  <c r="E56" i="33"/>
  <c r="AZ56" i="33"/>
  <c r="AZ46" i="33" l="1"/>
  <c r="N46" i="33"/>
  <c r="M46" i="33"/>
  <c r="K46" i="33"/>
  <c r="E46" i="33"/>
  <c r="E55" i="33" l="1"/>
  <c r="AZ55" i="33"/>
  <c r="AZ45" i="33"/>
  <c r="N45" i="33"/>
  <c r="M45" i="33"/>
  <c r="K45" i="33"/>
  <c r="E45" i="33"/>
  <c r="AZ43" i="33"/>
  <c r="N43" i="33"/>
  <c r="M43" i="33"/>
  <c r="K43" i="33"/>
  <c r="E43" i="33"/>
  <c r="AZ44" i="33"/>
  <c r="N44" i="33"/>
  <c r="M44" i="33"/>
  <c r="K44" i="33"/>
  <c r="E44" i="33"/>
  <c r="E52" i="33"/>
  <c r="M52" i="33"/>
  <c r="N52" i="33"/>
  <c r="AZ52" i="33"/>
  <c r="E53" i="33"/>
  <c r="AZ53" i="33"/>
  <c r="E51" i="33" l="1"/>
  <c r="AZ51" i="33"/>
  <c r="BK2" i="33" l="1"/>
  <c r="AZ50" i="33" l="1"/>
  <c r="N50" i="33"/>
  <c r="M50" i="33"/>
  <c r="E50" i="33"/>
  <c r="AZ49" i="33"/>
  <c r="N49" i="33"/>
  <c r="M49" i="33"/>
  <c r="E49" i="33"/>
  <c r="E40" i="33"/>
  <c r="K40" i="33"/>
  <c r="M40" i="33"/>
  <c r="N40" i="33"/>
  <c r="AZ40" i="33"/>
  <c r="E41" i="33"/>
  <c r="K41" i="33"/>
  <c r="M41" i="33"/>
  <c r="N41" i="33"/>
  <c r="AZ41" i="33"/>
  <c r="E42" i="33"/>
  <c r="K42" i="33"/>
  <c r="M42" i="33"/>
  <c r="N42" i="33"/>
  <c r="AZ42" i="33"/>
  <c r="E47" i="33"/>
  <c r="K47" i="33"/>
  <c r="M47" i="33"/>
  <c r="N47" i="33"/>
  <c r="AZ47" i="33"/>
  <c r="E48" i="33"/>
  <c r="M48" i="33"/>
  <c r="N48" i="33"/>
  <c r="AZ48" i="33"/>
  <c r="AZ14" i="33" l="1"/>
  <c r="N14" i="33"/>
  <c r="M14" i="33"/>
  <c r="K14" i="33"/>
  <c r="E14" i="33"/>
  <c r="AZ15" i="33" l="1"/>
  <c r="N15" i="33"/>
  <c r="M15" i="33"/>
  <c r="K15" i="33"/>
  <c r="E15" i="33"/>
  <c r="E39" i="33"/>
  <c r="K39" i="33"/>
  <c r="M39" i="33"/>
  <c r="N39" i="33"/>
  <c r="AZ39" i="33"/>
  <c r="N17" i="33"/>
  <c r="N18" i="33"/>
  <c r="N19" i="33"/>
  <c r="N20" i="33"/>
  <c r="N21" i="33"/>
  <c r="N22" i="33"/>
  <c r="N23" i="33"/>
  <c r="N24" i="33"/>
  <c r="N25" i="33"/>
  <c r="N26" i="33"/>
  <c r="N27" i="33"/>
  <c r="N28" i="33"/>
  <c r="N29" i="33"/>
  <c r="N30" i="33"/>
  <c r="N31" i="33"/>
  <c r="N32" i="33"/>
  <c r="N33" i="33"/>
  <c r="N34" i="33"/>
  <c r="N35" i="33"/>
  <c r="N36" i="33"/>
  <c r="N37" i="33"/>
  <c r="N38" i="33"/>
  <c r="N16" i="33"/>
  <c r="M17" i="33"/>
  <c r="M18" i="33"/>
  <c r="M19" i="33"/>
  <c r="M20" i="33"/>
  <c r="M21" i="33"/>
  <c r="M22" i="33"/>
  <c r="M23" i="33"/>
  <c r="M24" i="33"/>
  <c r="M25" i="33"/>
  <c r="M26" i="33"/>
  <c r="M27" i="33"/>
  <c r="M28" i="33"/>
  <c r="M29" i="33"/>
  <c r="M30" i="33"/>
  <c r="M31" i="33"/>
  <c r="M32" i="33"/>
  <c r="M33" i="33"/>
  <c r="M34" i="33"/>
  <c r="M35" i="33"/>
  <c r="M36" i="33"/>
  <c r="M37" i="33"/>
  <c r="M38" i="33"/>
  <c r="M16" i="33"/>
  <c r="K17" i="33" l="1"/>
  <c r="K18" i="33"/>
  <c r="K19" i="33"/>
  <c r="K20" i="33"/>
  <c r="K21" i="33"/>
  <c r="K22" i="33"/>
  <c r="K23" i="33"/>
  <c r="K24" i="33"/>
  <c r="K25" i="33"/>
  <c r="K26" i="33"/>
  <c r="K27" i="33"/>
  <c r="K28" i="33"/>
  <c r="K29" i="33"/>
  <c r="K30" i="33"/>
  <c r="K31" i="33"/>
  <c r="K32" i="33"/>
  <c r="K33" i="33"/>
  <c r="K34" i="33"/>
  <c r="K35" i="33"/>
  <c r="K36" i="33"/>
  <c r="K37" i="33"/>
  <c r="K38" i="33"/>
  <c r="K59" i="33"/>
  <c r="K60" i="33"/>
  <c r="K61" i="33"/>
  <c r="K62" i="33"/>
  <c r="K63" i="33"/>
  <c r="K64" i="33"/>
  <c r="K65" i="33"/>
  <c r="K66" i="33"/>
  <c r="K67" i="33"/>
  <c r="K68" i="33"/>
  <c r="K69" i="33"/>
  <c r="K70" i="33"/>
  <c r="K71" i="33"/>
  <c r="K72" i="33"/>
  <c r="K73" i="33"/>
  <c r="K74" i="33"/>
  <c r="K75" i="33"/>
  <c r="K76" i="33"/>
  <c r="K77" i="33"/>
  <c r="K78" i="33"/>
  <c r="K79" i="33"/>
  <c r="K80" i="33"/>
  <c r="K81" i="33"/>
  <c r="K82" i="33"/>
  <c r="K83" i="33"/>
  <c r="K84" i="33"/>
  <c r="K85" i="33"/>
  <c r="K86" i="33"/>
  <c r="K87" i="33"/>
  <c r="K88" i="33"/>
  <c r="K89" i="33"/>
  <c r="K90" i="33"/>
  <c r="K91" i="33"/>
  <c r="K92" i="33"/>
  <c r="K93" i="33"/>
  <c r="K94" i="33"/>
  <c r="K95" i="33"/>
  <c r="K96" i="33"/>
  <c r="K16" i="33"/>
  <c r="E17" i="33"/>
  <c r="E18" i="33"/>
  <c r="E19" i="33"/>
  <c r="E20" i="33"/>
  <c r="E21" i="33"/>
  <c r="E22" i="33"/>
  <c r="E23" i="33"/>
  <c r="E24" i="33"/>
  <c r="E25" i="33"/>
  <c r="E26" i="33"/>
  <c r="E27" i="33"/>
  <c r="E28" i="33"/>
  <c r="E29" i="33"/>
  <c r="E30" i="33"/>
  <c r="E31" i="33"/>
  <c r="E32" i="33"/>
  <c r="E33" i="33"/>
  <c r="E34" i="33"/>
  <c r="E35" i="33"/>
  <c r="E36" i="33"/>
  <c r="E37" i="33"/>
  <c r="E38" i="33"/>
  <c r="E13" i="33"/>
  <c r="AZ13" i="33"/>
  <c r="AZ29" i="33" l="1"/>
  <c r="AZ17" i="33" l="1"/>
  <c r="AZ18" i="33"/>
  <c r="AZ19" i="33"/>
  <c r="AZ20" i="33"/>
  <c r="AZ21" i="33"/>
  <c r="AZ22" i="33"/>
  <c r="AZ23" i="33"/>
  <c r="AZ24" i="33"/>
  <c r="AZ25" i="33"/>
  <c r="AZ26" i="33"/>
  <c r="AZ27" i="33"/>
  <c r="AZ28" i="33"/>
  <c r="AZ30" i="33"/>
  <c r="AZ31" i="33"/>
  <c r="AZ32" i="33"/>
  <c r="AZ33" i="33"/>
  <c r="AZ34" i="33"/>
  <c r="AZ35" i="33"/>
  <c r="AZ36" i="33"/>
  <c r="AZ37" i="33"/>
  <c r="AZ38" i="33"/>
  <c r="AZ10" i="33"/>
  <c r="AZ11" i="33"/>
  <c r="AZ12" i="33"/>
  <c r="AZ59" i="33"/>
  <c r="AZ60" i="33"/>
  <c r="AZ61" i="33"/>
  <c r="AZ62" i="33"/>
  <c r="AZ63" i="33"/>
  <c r="AZ64" i="33"/>
  <c r="AZ65" i="33"/>
  <c r="AZ66" i="33"/>
  <c r="AZ16" i="33"/>
  <c r="C23" i="4" l="1"/>
  <c r="C21" i="4" l="1"/>
  <c r="AH7" i="5" l="1"/>
  <c r="AH8" i="5" s="1"/>
  <c r="AH9" i="5" s="1"/>
  <c r="AH10" i="5" s="1"/>
  <c r="AH11" i="5" s="1"/>
  <c r="AH12" i="5" s="1"/>
  <c r="AH13" i="5" s="1"/>
  <c r="AH14" i="5" s="1"/>
  <c r="AH15" i="5" s="1"/>
  <c r="E12" i="33"/>
  <c r="E10" i="33" l="1"/>
  <c r="E11" i="33"/>
  <c r="E16" i="33"/>
  <c r="A6" i="33"/>
  <c r="C20" i="4" l="1"/>
  <c r="C18" i="4" l="1"/>
  <c r="U2" i="33"/>
  <c r="U3" i="33"/>
  <c r="U4" i="33"/>
  <c r="U1" i="33"/>
  <c r="M6" i="33" l="1"/>
  <c r="N6" i="33"/>
  <c r="L6" i="33"/>
  <c r="M5" i="33"/>
  <c r="N5" i="33"/>
  <c r="L5" i="33"/>
  <c r="C24" i="4" l="1"/>
  <c r="C15" i="4"/>
  <c r="C14" i="4"/>
  <c r="B1" i="33" a="1"/>
  <c r="B1" i="33" s="1"/>
  <c r="C22" i="4"/>
  <c r="C10" i="4"/>
  <c r="C9" i="4"/>
  <c r="C13" i="4"/>
  <c r="C19" i="4"/>
  <c r="C17" i="4"/>
  <c r="C16" i="4"/>
  <c r="C12" i="4"/>
  <c r="C8" i="4"/>
  <c r="C11" i="4"/>
  <c r="C7" i="4"/>
  <c r="T9" i="33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9" i="33" s="1"/>
  <c r="AZ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tc={E06A0201-60A9-4F03-B29D-3C7C0689567C}</author>
    <author>tc={CB7120FF-BD0F-4216-BB52-4AEFC9918079}</author>
    <author>tc={544E2065-F6A0-42F6-A293-72328BDF32A5}</author>
    <author>tc={83CA511A-FBD5-43F7-B8F0-E5362C3DCE52}</author>
  </authors>
  <commentList>
    <comment ref="K9" authorId="0" shapeId="0" xr:uid="{E06A0201-60A9-4F03-B29D-3C7C0689567C}">
      <text>
        <t>[Threaded comment]
Your version of Excel allows you to read this threaded comment; however, any edits to it will get removed if the file is opened in a newer version of Excel. Learn more: https://go.microsoft.com/fwlink/?linkid=870924
Comment:
    1 = world A (NZ for all), CBAM coded to go up to 250$/ton by 2050. 2 = world B (NZ for some countries), CBAM coded to stay constant at 2030 value.</t>
      </text>
    </comment>
    <comment ref="D14" authorId="1" shapeId="0" xr:uid="{CB7120FF-BD0F-4216-BB52-4AEFC991807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" authorId="2" shapeId="0" xr:uid="{544E2065-F6A0-42F6-A293-72328BDF32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3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<sst xmlns="http://schemas.openxmlformats.org/spreadsheetml/2006/main" count="1168" uniqueCount="278">
  <si>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</si>
  <si>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</si>
  <si>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</si>
  <si>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</si>
  <si>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</si>
  <si>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</si>
  <si>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</si>
  <si>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</si>
  <si>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</si>
  <si>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</si>
  <si>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</si>
  <si>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</si>
  <si>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</si>
  <si>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</si>
  <si>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</si>
  <si>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</si>
  <si>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</si>
  <si>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</si>
  <si>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</si>
  <si>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</si>
  <si>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</si>
  <si>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</si>
  <si>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</si>
  <si>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</si>
  <si>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</si>
  <si>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</si>
  <si>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</si>
  <si>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</si>
  <si>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</si>
  <si>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</si>
  <si>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</si>
  <si>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</si>
  <si>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</si>
  <si>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</si>
  <si>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</si>
  <si>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</si>
  <si>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</si>
  <si>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</si>
  <si>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</si>
  <si>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</si>
  <si>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</si>
  <si>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</si>
  <si>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</si>
  <si>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</si>
  <si>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</si>
  <si>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</si>
  <si>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</si>
  <si>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</si>
  <si>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</si>
  <si>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</si>
  <si>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</si>
  <si>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</si>
  <si>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</si>
  <si>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</si>
  <si>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</si>
  <si>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</si>
  <si>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</si>
  <si>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</si>
  <si>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</si>
  <si>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</si>
  <si>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</si>
  <si>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</si>
  <si>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</si>
  <si>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</si>
  <si>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</si>
  <si>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</si>
  <si>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</si>
  <si>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</si>
  <si>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</si>
  <si>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</si>
  <si>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</si>
  <si>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</si>
  <si>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</si>
  <si>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</si>
  <si>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</si>
  <si>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</si>
  <si>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</si>
  <si>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</si>
  <si>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</si>
  <si>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</si>
  <si>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</si>
  <si>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</si>
  <si>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</si>
  <si>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</si>
  <si>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</si>
  <si>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</si>
  <si>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</si>
  <si>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</si>
  <si>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</si>
  <si>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</si>
  <si>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</si>
  <si>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</si>
  <si>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</si>
  <si>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</si>
  <si>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</si>
  <si>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</si>
  <si>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</si>
  <si>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</si>
  <si>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</si>
  <si>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</si>
  <si>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</si>
  <si>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</si>
  <si>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</si>
  <si>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</si>
  <si>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</si>
  <si>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</si>
  <si>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</si>
  <si>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</si>
  <si>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</si>
  <si>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</si>
  <si>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</si>
  <si>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</si>
  <si>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</si>
  <si>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</si>
  <si>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</si>
  <si>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</si>
  <si>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</si>
  <si>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</si>
  <si>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</si>
  <si>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</si>
  <si>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</si>
  <si>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</si>
  <si>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</si>
  <si>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</si>
  <si>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</si>
  <si>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</si>
  <si>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</si>
  <si>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</si>
  <si>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</si>
  <si>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</si>
  <si>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</si>
  <si>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</si>
  <si>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</si>
  <si>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</si>
  <si>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</si>
  <si>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</si>
  <si>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</si>
  <si>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</si>
  <si>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</si>
  <si>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</si>
  <si>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</si>
  <si>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</si>
  <si>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</si>
  <si>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</si>
  <si>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</si>
  <si>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</si>
  <si>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</si>
  <si>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</si>
  <si>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</si>
  <si>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</si>
  <si>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</si>
  <si>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</si>
  <si>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</si>
  <si>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</si>
  <si>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</si>
  <si>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</si>
  <si>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</si>
  <si>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</si>
  <si>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</si>
  <si>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</si>
  <si>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</si>
  <si>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</si>
  <si>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</si>
  <si>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</si>
  <si>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</si>
  <si>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</si>
  <si>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</si>
  <si>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</si>
  <si>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</si>
  <si>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</si>
  <si>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</si>
  <si>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</si>
  <si>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</si>
  <si>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</si>
  <si>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</si>
  <si>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</si>
  <si>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</si>
  <si>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</si>
  <si>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</si>
  <si>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</si>
  <si>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</si>
  <si>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</si>
  <si>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</si>
  <si>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</si>
  <si>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</si>
  <si>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</si>
  <si>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</si>
  <si>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</si>
  <si>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</si>
  <si>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</si>
  <si>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</si>
  <si>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</si>
  <si>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</si>
  <si>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</si>
  <si>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</si>
  <si>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</si>
  <si>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</si>
  <si>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</si>
  <si>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</si>
  <si>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</si>
  <si>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</si>
  <si>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</si>
  <si>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</si>
  <si>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</si>
  <si>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</si>
  <si>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</si>
  <si>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</si>
  <si>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</si>
  <si>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</si>
  <si>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</si>
  <si>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</si>
  <si>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</si>
  <si>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</si>
  <si>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</si>
  <si>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</si>
  <si>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</si>
  <si>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Run?</t>
  </si>
  <si>
    <t>Demand years</t>
  </si>
  <si>
    <t>TDEM</t>
  </si>
  <si>
    <t>NZ_NDCLO</t>
  </si>
  <si>
    <t>NZ_NDCUP</t>
  </si>
  <si>
    <t>REF</t>
  </si>
  <si>
    <t>CBAM</t>
  </si>
  <si>
    <t>Sum of CBAM</t>
  </si>
  <si>
    <t>SIM_CBAM</t>
  </si>
  <si>
    <t>DELAYED</t>
  </si>
  <si>
    <t>NZ</t>
  </si>
  <si>
    <t>IFPRI-SARB</t>
  </si>
  <si>
    <t>NZ10_2099A_99NESSNXCTCL</t>
  </si>
  <si>
    <t>NZ10_2099B_99NESSNXCTCL</t>
  </si>
  <si>
    <t>NZ10_2099A_99EESSNXCNSC</t>
  </si>
  <si>
    <t>NZ10_2099B_99EESSNXCNSC</t>
  </si>
  <si>
    <t>NZ10_2099A_99NESSNXCNSC</t>
  </si>
  <si>
    <t>NZ10_2050A_08EESSNXCTSC</t>
  </si>
  <si>
    <t>NZ10_2050A_09EESSNXCTSC</t>
  </si>
  <si>
    <t>NZ10_2050A_09EESSEXCTSC</t>
  </si>
  <si>
    <t>NZ10_2050A_09NESSNXCTSC</t>
  </si>
  <si>
    <t>NZ10_2050A_09EESSNXCTCL</t>
  </si>
  <si>
    <t>NZ10_2050A_09EESFNXCTSC</t>
  </si>
  <si>
    <t>NZ10_2050A_10EESSNXCTSC</t>
  </si>
  <si>
    <t>NZ10_2050A_11EESSNXCTSC</t>
  </si>
  <si>
    <t>NZ10_2050A_99EESSNXCTSC</t>
  </si>
  <si>
    <t>NZ10_2055A_99EESSNXCTSC</t>
  </si>
  <si>
    <t>NZ10_2055A_09EESSNXCTSC</t>
  </si>
  <si>
    <t>NZ10_2055A_10EESSEXCTSC</t>
  </si>
  <si>
    <t>NZ10_2055A_10EESSNXCTSC</t>
  </si>
  <si>
    <t>NZ10_2055A_11EESSNXCTSC</t>
  </si>
  <si>
    <t>NZ10_2055B_99EESSNXCTSC</t>
  </si>
  <si>
    <t>NZ10_2050B_09EESSNXCNSC</t>
  </si>
  <si>
    <t>NZ10_2050B_09EESSEXCNSC</t>
  </si>
  <si>
    <t>NZ10_2050B_11EESSNXCNSC</t>
  </si>
  <si>
    <t>NZ10_2050A_09EESENXCTSC</t>
  </si>
  <si>
    <t>NZ10_2099A_99EESSNXCTCL</t>
  </si>
  <si>
    <t>NZ10_2099A_99EESSNXCTSC</t>
  </si>
  <si>
    <t>NZ10_2099B_99NESSNXCTCLNR</t>
  </si>
  <si>
    <t>NZ10_2099B_99NESSNXCTCLFR</t>
  </si>
  <si>
    <t>NZ10_2050A_09EESSNXCTSCERNC</t>
  </si>
  <si>
    <t>NZ10_2099B_99NESSNXCTCL_HiR</t>
  </si>
  <si>
    <t>NZ10_2099B_99NESSNXCTCLNR_HiR</t>
  </si>
  <si>
    <t>NZ10_2099B_99NESSNXCTCLER_IRP</t>
  </si>
  <si>
    <t>NZ10_2099B_99NESSNXCTCLNR_IRP</t>
  </si>
  <si>
    <t>Incomplete runs</t>
  </si>
  <si>
    <t>broken run</t>
  </si>
  <si>
    <t>IF(ISNA(MATCH(B14,$BJ$14:$BJ$29,0)),0,1)</t>
  </si>
  <si>
    <t>problem with CGE</t>
  </si>
  <si>
    <t>NZ10_2099A_99EESSNXCTSCFR</t>
  </si>
  <si>
    <t>NZ10_2099A_10EESSNXCTSC</t>
  </si>
  <si>
    <t>NZ10_2099A_10EESSEXCTSC</t>
  </si>
  <si>
    <t>NZ10_2099B_10EESSNXCTSC</t>
  </si>
  <si>
    <t>NZ10_2050A_08EESSNXCTCL</t>
  </si>
  <si>
    <t>NZ10_2050B_09NESSNXCTCL</t>
  </si>
  <si>
    <t>NZ10_2050B_09EESSNXCTSC</t>
  </si>
  <si>
    <t>NZ10_2055B_09EESSNXCTSC</t>
  </si>
  <si>
    <t>NZ10_2055B_10EESSNXCTSC</t>
  </si>
  <si>
    <t>NZ10_2050A_09NESSEXCNCL</t>
  </si>
  <si>
    <t>NZ10_2050A_09EESSEXCNSC</t>
  </si>
  <si>
    <t>NZ10_2050B_09EESENXCTSC</t>
  </si>
  <si>
    <t>NZ10_2050B_09EESFNXCTSC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</si>
</sst>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7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5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0" fillId="0" borderId="0" xfId="0" applyAlignment="1">
      <alignment wrapText="1"/>
    </xf>
    <xf numFmtId="0" fontId="0" fillId="0" borderId="0" xfId="0" applyAlignment="1">
      <alignment vertical="center" wrapText="1"/>
    </xf>
    <xf numFmtId="0" fontId="0" fillId="14" borderId="0" xfId="0" applyFill="1"/>
    <xf numFmtId="0" fontId="0" fillId="15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1"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  <sheetName val="Hydrogen2019"/>
      <sheetName val="Hydrogen2012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  <person displayName="Bruno Merven" id="{1B5620DA-B06A-4AF7-8F88-06408EAE442C}" userId="S::01405439@wf.uct.ac.za::c7f06137-2c3b-4c5c-8f38-fe1abbc96860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36.378559143515" createdVersion="6" refreshedVersion="8" minRefreshableVersion="3" recordCount="89" xr:uid="{D229C3DF-142A-4D15-BB2C-2EA205AB0203}">
  <cacheSource type="worksheet">
    <worksheetSource ref="A9:Q112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1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336.378559606484" createdVersion="6" refreshedVersion="8" minRefreshableVersion="3" recordCount="89" xr:uid="{C0EB43E8-6CC6-4DE4-B7F1-02B09F7BA69A}">
  <cacheSource type="worksheet">
    <worksheetSource ref="A9:Q111" sheet="Scenarios"/>
  </cacheSource>
  <cacheFields count="17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51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353">
        <s v="NZ_NDCLO"/>
        <s v="NZ_NDCUP"/>
        <s v="REF"/>
        <s v="DELAYED"/>
        <s v="NZ10_2099A_99EESSNXCTSC"/>
        <s v="NZ10_2099A_99EESSNXCTCL"/>
        <s v="NZ10_2099A_99NESSNXCTCL"/>
        <s v="NZ10_2099B_99NESSNXCTCL"/>
        <s v="NZ10_2099A_99EESSNXCNSC"/>
        <s v="NZ10_2099B_99EESSNXCNSC"/>
        <s v="NZ10_2099A_99NESSNXCNSC"/>
        <s v="NZ10_2050A_08EESSNXCTSC"/>
        <s v="NZ10_2050A_09EESSNXCTSC"/>
        <s v="NZ10_2050A_09EESSEXCTSC"/>
        <s v="NZ10_2050A_09NESSNXCTSC"/>
        <s v="NZ10_2050A_09EESSNXCTCL"/>
        <s v="NZ10_2050A_09EESFNXCTSC"/>
        <s v="NZ10_2050A_09EESENXCTSC"/>
        <s v="NZ10_2050A_10EESSNXCTSC"/>
        <s v="NZ10_2050A_11EESSNXCTSC"/>
        <s v="NZ10_2050A_99EESSNXCTSC"/>
        <s v="NZ10_2055A_99EESSNXCTSC"/>
        <s v="NZ10_2055A_09EESSNXCTSC"/>
        <s v="NZ10_2055A_10EESSEXCTSC"/>
        <s v="NZ10_2055A_10EESSNXCTSC"/>
        <s v="NZ10_2055A_11EESSNXCTSC"/>
        <s v="NZ10_2055B_99EESSNXCTSC"/>
        <s v="NZ10_2050B_09EESSNXCNSC"/>
        <s v="NZ10_2050B_09EESSEXCNSC"/>
        <s v="NZ10_2050B_11EESSNXCNSC"/>
        <s v="NZ10_2099B_99NESSNXCTCLNR"/>
        <s v="NZ10_2099A_99EESSNXCTSCFR"/>
        <s v="NZ10_2050A_09EESSNXCTSCERNC"/>
        <s v="NZ10_2099A_10EESSNXCTSC"/>
        <s v="NZ10_2099A_10EESSEXCTSC"/>
        <s v="NZ10_2099B_10EESSNXCTSC"/>
        <s v="NZ10_2050A_08EESSNXCTCL"/>
        <s v="NZ10_2099B_99NESSNXCTCLER_IRP"/>
        <s v="NZ10_2099B_99NESSNXCTCLNR_IRP"/>
        <s v="NZ10_2099B_99NESSNXCTCL_HiR"/>
        <s v="NZ10_2099B_99NESSNXCTCLNR_HiR"/>
        <s v="NZ10_2050B_09NESSNXCTCL"/>
        <s v="NZ10_2050B_09EESSNXCTSC"/>
        <s v="NZ10_2055B_09EESSNXCTSC"/>
        <s v="NZ10_2055B_10EESSNXCTSC"/>
        <s v="NZ10_2050A_09NESSEXCNCL"/>
        <s v="NZ10_2050A_09EESSEXCNSC"/>
        <s v="NZ10_2050B_09EESENXCTSC"/>
        <s v="NZ10_2050B_09EESFNXCTSC"/>
        <m/>
        <s v="NZ_11_-010100-1No Pams" u="1"/>
        <s v="NZ_11_-010100-1" u="1"/>
        <s v="NZ_10_-010100-1" u="1"/>
        <s v="CurPolEE" u="1"/>
        <s v="CurPolCnstOilPrice" u="1"/>
        <s v="NetZero2050" u="1"/>
        <s v="NetZero2050CnstOilPrice" u="1"/>
        <s v="NetZero2050HiOilPrice" u="1"/>
        <s v="ref_c" u="1"/>
        <s v="CurPolNoEE" u="1"/>
        <s v="NetZero2051" u="1"/>
        <s v="NetZero" u="1"/>
        <s v="NZ10_2099A_99EESSNXCNSCFR" u="1"/>
        <s v="NZ10_2099B_99NESSNXCTCLFR" u="1"/>
        <s v="NZ11_2099B_99NESSNXCTCLNR_IRP" u="1"/>
        <s v="NZ11_2099A_99NESSNXCTCLNR_IRP" u="1"/>
        <s v="NZ10_2099A_99NESSNXCTCLER_IRP" u="1"/>
        <s v="NZ11_2099A_99EESSNXCTCLNR_IRP" u="1"/>
        <s v="NZ10_2099A_99EESSNXCTCLER_IRP" u="1"/>
        <s v="NZ10_2099A_99NESSNXCT" u="1"/>
        <s v="NZ10_2099B_99NESSNXCT" u="1"/>
        <s v="NZ10_2099A_99EESSNXCN" u="1"/>
        <s v="NZ10_2099B_99EESSNXCN" u="1"/>
        <s v="NZ10_2099A_99NESSNXCN" u="1"/>
        <s v="NZ10_2050A_08EESSNXCT" u="1"/>
        <s v="NZ10_2050A_09EESSNXCT" u="1"/>
        <s v="NZ10_2050A_09EESSEXCT" u="1"/>
        <s v="NZ10_2050A_09NESSNXCT" u="1"/>
        <s v="NZ10_2050A_09EESFNXCT" u="1"/>
        <s v="NZ10_2050A_09EESENXCT" u="1"/>
        <s v="NZ10_2050A_10EESSNXCT" u="1"/>
        <s v="NZ10_2050A_11EESSNXCT" u="1"/>
        <s v="NZ10_2050A_99EESSNXCT" u="1"/>
        <s v="NZ10_2055A_99EESSNXCT" u="1"/>
        <s v="NZ10_2055A_08EESSNXCT" u="1"/>
        <s v="NZ10_2055A_09EESSNXCT" u="1"/>
        <s v="NZ10_2055A_10EESSNXCT" u="1"/>
        <s v="NZ10_2055A_11EESSNXCT" u="1"/>
        <s v="NZ10_2055B_99EESSNXCT" u="1"/>
        <s v="NZ10_2050B_09EESSNXCN" u="1"/>
        <s v="NZ10_2050B_09EESSEXCN" u="1"/>
        <s v="NZ10_2050B_11EESSNXCN" u="1"/>
        <s v="NZ10_2099B_99EESSNXCT_guy" u="1"/>
        <s v="NZ10_2050A_09EESSNXCT_guy" u="1"/>
        <s v="NZ10_2099A_99EESSNXCT" u="1"/>
        <s v="NZ10_2099B_99EESSNXCT" u="1"/>
        <s v="NZ11_2099A_99NESSNXCN" u="1"/>
        <s v="NZ10_2050A_09EESSNXCT-LocHi" u="1"/>
        <s v="NZ10_2050A_09EESSNXCT-LocLo" u="1"/>
        <s v="NZ10_2050A_09EESSMXCT" u="1"/>
        <s v="LEAF" u="1"/>
        <s v="LEAF-RF" u="1"/>
        <s v="LEAF-RF-NZNDCUP" u="1"/>
        <s v="REF_OPConstant" u="1"/>
        <s v="REFOPLow" u="1"/>
        <s v="NZ_NDCUP-LoLocal" u="1"/>
        <s v="TestLinked" u="1"/>
        <s v="NZ10_2099B_99NESSNXCTC" u="1"/>
        <s v="NZ10_2099B_99NESSNXCTCB0" u="1"/>
        <s v="NZ10_2099A_99EESSNXCNfgkhflgsjdfgh ldsfkjghsdlf kgjs" u="1"/>
        <s v="NZ10_2099B_99NESSNXCTCB2" u="1"/>
        <s v="NZ10_2099B_99NESSNXCTCB1" u="1"/>
        <s v="NZ10_2099B_99NESSNXCT-IMG" u="1"/>
        <s v="NZ10_2050A_09EESSNXCT-IMG" u="1"/>
        <s v="NZ10_2050A_08EESSNXCT_IMG" u="1"/>
        <s v="NZ10_2099_99EESSNXCT_guy" u="1"/>
        <s v="NZ10_2050_09EESENXCT_guy" u="1"/>
        <s v="NZ10_2099_99EESSNXC_guy" u="1"/>
        <s v="NZ10_2099_99EESSNXC" u="1"/>
        <s v="NZ10_2050_09EESENXCT" u="1"/>
        <s v="NZ10_2050_09NESSNXCT_guy" u="1"/>
        <s v="NZ10_2050_09NESSNXCT" u="1"/>
        <s v="NZ10_2099A_99EE" u="1"/>
        <s v="NZ10_2099B_99EE" u="1"/>
        <s v="NZ11_2099A_99NE" u="1"/>
        <s v="NZ10_2050A_08EE" u="1"/>
        <s v="NZ10_2050A_09EE" u="1"/>
        <s v="NZ10_2050A_10EE" u="1"/>
        <s v="NZ10_2050A_11EE" u="1"/>
        <s v="NZ10_2050A_99EE" u="1"/>
        <s v="NZ10_2055A_99EE" u="1"/>
        <s v="NZ10_2055A_08EE" u="1"/>
        <s v="NZ10_2055A_09EE" u="1"/>
        <s v="NZ10_2055A_10EE" u="1"/>
        <s v="NZ10_2055A_11EE" u="1"/>
        <s v="NZ10_2055B_99EE" u="1"/>
        <s v="NZ10_2050B_09EE" u="1"/>
        <s v="NZ10_2050B_11EE" u="1"/>
        <s v="NZ10_2050A_08" u="1"/>
        <s v="NZ10_2050A_10" u="1"/>
        <s v="NZ10_2050A_11" u="1"/>
        <s v="NZ10_2050A_99" u="1"/>
        <s v="NZ10_2055A_09" u="1"/>
        <s v="NZ10_2055A_11" u="1"/>
        <s v="NZ10_2055A_99" u="1"/>
        <s v="NZ10_2099A_99" u="1"/>
        <s v="CumulTest-EE-UCG" u="1"/>
        <s v="CumulTest-EE-EC" u="1"/>
        <s v="NZ10_2050A_09" u="1"/>
        <s v="CumulTest-EE" u="1"/>
        <s v="NZ10_2099A_100" u="1"/>
        <s v="NZ10_2055A_100" u="1"/>
        <s v="Run00" u="1"/>
        <s v="Reference" u="1"/>
        <s v="RefDebug" u="1"/>
        <s v="Nztest_debug" u="1"/>
        <s v="CumulTest" u="1"/>
        <s v="Rerence" u="1"/>
        <s v="TestBY" u="1"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CBAM" numFmtId="0">
      <sharedItems containsString="0" containsBlank="1" containsNumber="1" containsInteger="1" minValue="1" maxValue="2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1"/>
    </cacheField>
    <cacheField name="PAMS_TRA" numFmtId="0">
      <sharedItems containsString="0" containsBlank="1" containsNumber="1" containsInteger="1" minValue="-1" maxValue="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s v="base"/>
    <s v="NZ_NDCLO"/>
    <n v="1"/>
    <n v="1"/>
    <s v="No Pams"/>
    <n v="1"/>
    <n v="1"/>
    <n v="1"/>
    <n v="-1"/>
    <n v="1"/>
    <n v="1"/>
    <n v="1"/>
    <n v="-1"/>
    <n v="100"/>
  </r>
  <r>
    <n v="0"/>
    <x v="1"/>
    <m/>
    <s v="base"/>
    <s v="NZ_NDCUP"/>
    <n v="1"/>
    <n v="1"/>
    <s v="No Pams"/>
    <n v="1"/>
    <n v="1"/>
    <n v="1"/>
    <n v="-1"/>
    <n v="1"/>
    <n v="1"/>
    <n v="1"/>
    <n v="-1"/>
    <n v="100"/>
  </r>
  <r>
    <n v="0"/>
    <x v="2"/>
    <m/>
    <s v="base"/>
    <s v="REF"/>
    <n v="1"/>
    <n v="1"/>
    <s v="No Pams"/>
    <n v="1"/>
    <n v="1"/>
    <n v="1"/>
    <n v="-1"/>
    <n v="1"/>
    <n v="1"/>
    <n v="1"/>
    <n v="-1"/>
    <n v="100"/>
  </r>
  <r>
    <n v="0"/>
    <x v="3"/>
    <m/>
    <s v="base"/>
    <s v="DELAYED"/>
    <n v="1"/>
    <n v="1"/>
    <s v="No Pams"/>
    <n v="1"/>
    <n v="1"/>
    <n v="1"/>
    <n v="-1"/>
    <n v="1"/>
    <n v="1"/>
    <n v="1"/>
    <n v="-1"/>
    <n v="100"/>
  </r>
  <r>
    <n v="1"/>
    <x v="4"/>
    <m/>
    <s v="base"/>
    <s v="NZ10_2099A_99EESSNXCTSC"/>
    <n v="1"/>
    <n v="1"/>
    <s v="No Pams"/>
    <n v="1"/>
    <n v="1"/>
    <n v="1"/>
    <n v="-1"/>
    <n v="1"/>
    <n v="1"/>
    <n v="1"/>
    <n v="-1"/>
    <n v="100"/>
  </r>
  <r>
    <n v="1"/>
    <x v="5"/>
    <m/>
    <s v="base"/>
    <s v="NZ10_2099A_99EESSNXCTCL"/>
    <n v="1"/>
    <n v="1"/>
    <s v="No Pams"/>
    <n v="1"/>
    <n v="1"/>
    <n v="1"/>
    <n v="-1"/>
    <n v="1"/>
    <n v="1"/>
    <n v="1"/>
    <n v="-1"/>
    <n v="100"/>
  </r>
  <r>
    <n v="1"/>
    <x v="6"/>
    <m/>
    <s v="base"/>
    <s v="NZ10_2099A_99NESSNXCTCL"/>
    <n v="1"/>
    <n v="1"/>
    <s v="No Pams"/>
    <n v="1"/>
    <n v="1"/>
    <n v="1"/>
    <n v="-1"/>
    <n v="-1"/>
    <n v="-1"/>
    <n v="1"/>
    <n v="-1"/>
    <n v="100"/>
  </r>
  <r>
    <n v="1"/>
    <x v="7"/>
    <m/>
    <s v="base"/>
    <s v="NZ10_2099B_99NESSNXCTCL"/>
    <n v="1"/>
    <n v="1"/>
    <s v="No Pams"/>
    <n v="1"/>
    <n v="1"/>
    <n v="2"/>
    <n v="-1"/>
    <n v="-1"/>
    <n v="-1"/>
    <n v="1"/>
    <n v="-1"/>
    <n v="100"/>
  </r>
  <r>
    <n v="1"/>
    <x v="8"/>
    <m/>
    <s v="base"/>
    <s v="NZ10_2099A_99EESSNXCNSC"/>
    <n v="1"/>
    <n v="1"/>
    <s v="No Pams"/>
    <n v="1"/>
    <n v="1"/>
    <n v="1"/>
    <n v="-1"/>
    <n v="1"/>
    <n v="1"/>
    <n v="1"/>
    <n v="-1"/>
    <n v="100"/>
  </r>
  <r>
    <n v="1"/>
    <x v="9"/>
    <m/>
    <s v="base"/>
    <s v="NZ10_2099B_99EESSNXCNSC"/>
    <n v="0"/>
    <n v="1"/>
    <s v="No Pams"/>
    <n v="1"/>
    <n v="1"/>
    <n v="2"/>
    <n v="-1"/>
    <n v="1"/>
    <n v="1"/>
    <n v="1"/>
    <n v="-1"/>
    <n v="100"/>
  </r>
  <r>
    <n v="1"/>
    <x v="10"/>
    <m/>
    <s v="base"/>
    <s v="NZ10_2099A_99NESSNXCNSC"/>
    <n v="1"/>
    <n v="1"/>
    <s v="No Pams"/>
    <n v="1"/>
    <n v="1"/>
    <n v="1"/>
    <n v="-1"/>
    <n v="-1"/>
    <n v="-1"/>
    <n v="1"/>
    <n v="-1"/>
    <n v="100"/>
  </r>
  <r>
    <n v="1"/>
    <x v="11"/>
    <m/>
    <s v="base"/>
    <s v="NZ10_2050A_08EESSNXCTSC"/>
    <n v="1"/>
    <n v="1"/>
    <s v="No Pams"/>
    <n v="1"/>
    <n v="1"/>
    <n v="1"/>
    <n v="-1"/>
    <n v="1"/>
    <n v="1"/>
    <n v="1"/>
    <n v="-1"/>
    <n v="100"/>
  </r>
  <r>
    <n v="1"/>
    <x v="12"/>
    <m/>
    <s v="base"/>
    <s v="NZ10_2050A_09EESSNXCTSC"/>
    <n v="1"/>
    <n v="1"/>
    <s v="No Pams"/>
    <n v="1"/>
    <n v="1"/>
    <n v="1"/>
    <n v="-1"/>
    <n v="1"/>
    <n v="1"/>
    <n v="1"/>
    <n v="-1"/>
    <n v="100"/>
  </r>
  <r>
    <n v="1"/>
    <x v="13"/>
    <m/>
    <s v="base"/>
    <s v="NZ10_2050A_09EESSEXCTSC"/>
    <n v="1"/>
    <n v="1"/>
    <s v="No Pams"/>
    <n v="1"/>
    <n v="1"/>
    <n v="1"/>
    <n v="-1"/>
    <n v="1"/>
    <n v="1"/>
    <n v="1"/>
    <n v="-1"/>
    <n v="100"/>
  </r>
  <r>
    <n v="1"/>
    <x v="14"/>
    <m/>
    <s v="base"/>
    <s v="NZ10_2050A_09NESSNXCTSC"/>
    <n v="1"/>
    <n v="1"/>
    <s v="No Pams"/>
    <n v="1"/>
    <n v="1"/>
    <n v="1"/>
    <n v="-1"/>
    <n v="-1"/>
    <n v="-1"/>
    <n v="1"/>
    <n v="-1"/>
    <n v="100"/>
  </r>
  <r>
    <n v="1"/>
    <x v="15"/>
    <m/>
    <s v="base"/>
    <s v="NZ10_2050A_09EESSNXCTCL"/>
    <n v="1"/>
    <n v="1"/>
    <s v="No Pams"/>
    <n v="1"/>
    <n v="1"/>
    <n v="1"/>
    <n v="-1"/>
    <n v="1"/>
    <n v="1"/>
    <n v="1"/>
    <n v="-1"/>
    <n v="100"/>
  </r>
  <r>
    <n v="1"/>
    <x v="16"/>
    <m/>
    <s v="base"/>
    <s v="NZ10_2050A_09EESFNXCTSC"/>
    <n v="1"/>
    <n v="1"/>
    <s v="No Pams"/>
    <n v="1"/>
    <n v="1"/>
    <n v="1"/>
    <n v="-1"/>
    <n v="1"/>
    <n v="1"/>
    <n v="1"/>
    <n v="-1"/>
    <n v="100"/>
  </r>
  <r>
    <n v="1"/>
    <x v="17"/>
    <m/>
    <s v="base"/>
    <s v="NZ10_2050A_09EESENXCTSC"/>
    <n v="1"/>
    <n v="1"/>
    <s v="No Pams"/>
    <n v="1"/>
    <n v="1"/>
    <n v="1"/>
    <n v="-1"/>
    <n v="1"/>
    <n v="1"/>
    <n v="1"/>
    <n v="-1"/>
    <n v="100"/>
  </r>
  <r>
    <n v="0"/>
    <x v="18"/>
    <s v="problem with CGE"/>
    <s v="base"/>
    <s v="NZ10_2050A_10EESSNXCTSC"/>
    <n v="1"/>
    <n v="1"/>
    <s v="No Pams"/>
    <n v="1"/>
    <n v="1"/>
    <n v="1"/>
    <n v="-1"/>
    <n v="1"/>
    <n v="1"/>
    <n v="1"/>
    <n v="-1"/>
    <n v="100"/>
  </r>
  <r>
    <n v="1"/>
    <x v="19"/>
    <m/>
    <s v="base"/>
    <s v="NZ10_2050A_11EESSNXCTSC"/>
    <n v="1"/>
    <n v="1"/>
    <s v="No Pams"/>
    <n v="1"/>
    <n v="1"/>
    <n v="1"/>
    <n v="-1"/>
    <n v="1"/>
    <n v="1"/>
    <n v="1"/>
    <n v="-1"/>
    <n v="100"/>
  </r>
  <r>
    <n v="1"/>
    <x v="20"/>
    <m/>
    <s v="base"/>
    <s v="NZ10_2050A_99EESSNXCTSC"/>
    <n v="1"/>
    <n v="1"/>
    <s v="No Pams"/>
    <n v="1"/>
    <n v="1"/>
    <n v="1"/>
    <n v="-1"/>
    <n v="1"/>
    <n v="1"/>
    <n v="1"/>
    <n v="-1"/>
    <n v="100"/>
  </r>
  <r>
    <n v="1"/>
    <x v="21"/>
    <m/>
    <s v="base"/>
    <s v="NZ10_2055A_99EESSNXCTSC"/>
    <n v="1"/>
    <n v="1"/>
    <s v="No Pams"/>
    <n v="1"/>
    <n v="1"/>
    <n v="1"/>
    <n v="-1"/>
    <n v="1"/>
    <n v="1"/>
    <n v="1"/>
    <n v="-1"/>
    <n v="100"/>
  </r>
  <r>
    <n v="1"/>
    <x v="22"/>
    <m/>
    <s v="base"/>
    <s v="NZ10_2055A_09EESSNXCTSC"/>
    <n v="1"/>
    <n v="1"/>
    <s v="No Pams"/>
    <n v="1"/>
    <n v="1"/>
    <n v="1"/>
    <n v="-1"/>
    <n v="1"/>
    <n v="1"/>
    <n v="1"/>
    <n v="-1"/>
    <n v="100"/>
  </r>
  <r>
    <n v="1"/>
    <x v="23"/>
    <m/>
    <s v="base"/>
    <s v="NZ10_2055A_10EESSEXCTSC"/>
    <n v="1"/>
    <n v="1"/>
    <s v="No Pams"/>
    <n v="1"/>
    <n v="1"/>
    <n v="1"/>
    <n v="-1"/>
    <n v="1"/>
    <n v="1"/>
    <n v="1"/>
    <n v="-1"/>
    <n v="100"/>
  </r>
  <r>
    <n v="1"/>
    <x v="24"/>
    <m/>
    <s v="base"/>
    <s v="NZ10_2055A_10EESSNXCTSC"/>
    <n v="1"/>
    <n v="1"/>
    <s v="No Pams"/>
    <n v="1"/>
    <n v="1"/>
    <n v="1"/>
    <n v="-1"/>
    <n v="1"/>
    <n v="1"/>
    <n v="1"/>
    <n v="-1"/>
    <n v="100"/>
  </r>
  <r>
    <n v="1"/>
    <x v="25"/>
    <m/>
    <s v="base"/>
    <s v="NZ10_2055A_11EESSNXCTSC"/>
    <n v="1"/>
    <n v="1"/>
    <s v="No Pams"/>
    <n v="1"/>
    <n v="1"/>
    <n v="1"/>
    <n v="-1"/>
    <n v="1"/>
    <n v="1"/>
    <n v="1"/>
    <n v="-1"/>
    <n v="100"/>
  </r>
  <r>
    <n v="1"/>
    <x v="26"/>
    <m/>
    <s v="base"/>
    <s v="NZ10_2055B_99EESSNXCTSC"/>
    <n v="1"/>
    <n v="1"/>
    <s v="No Pams"/>
    <n v="1"/>
    <n v="1"/>
    <n v="2"/>
    <n v="-1"/>
    <n v="1"/>
    <n v="1"/>
    <n v="1"/>
    <n v="-1"/>
    <n v="100"/>
  </r>
  <r>
    <n v="1"/>
    <x v="27"/>
    <m/>
    <s v="base"/>
    <s v="NZ10_2050B_09EESSNXCNSC"/>
    <n v="1"/>
    <n v="1"/>
    <s v="No Pams"/>
    <n v="1"/>
    <n v="1"/>
    <n v="2"/>
    <n v="-1"/>
    <n v="1"/>
    <n v="1"/>
    <n v="1"/>
    <n v="-1"/>
    <n v="100"/>
  </r>
  <r>
    <n v="1"/>
    <x v="28"/>
    <m/>
    <s v="base"/>
    <s v="NZ10_2050B_09EESSEXCNSC"/>
    <n v="1"/>
    <n v="1"/>
    <s v="No Pams"/>
    <n v="1"/>
    <n v="1"/>
    <n v="2"/>
    <n v="-1"/>
    <n v="1"/>
    <n v="1"/>
    <n v="1"/>
    <n v="-1"/>
    <n v="100"/>
  </r>
  <r>
    <n v="1"/>
    <x v="29"/>
    <m/>
    <s v="base"/>
    <s v="NZ10_2050B_11EESSNXCNSC"/>
    <n v="1"/>
    <n v="1"/>
    <s v="No Pams"/>
    <n v="1"/>
    <n v="1"/>
    <n v="2"/>
    <n v="-1"/>
    <n v="1"/>
    <n v="1"/>
    <n v="1"/>
    <n v="-1"/>
    <n v="100"/>
  </r>
  <r>
    <n v="1"/>
    <x v="30"/>
    <m/>
    <s v="base"/>
    <s v="NZ10_2099B_99NESSNXCTCLNR"/>
    <n v="1"/>
    <n v="1"/>
    <s v="No Pams"/>
    <n v="1"/>
    <n v="1"/>
    <n v="2"/>
    <n v="-1"/>
    <n v="-1"/>
    <n v="-1"/>
    <n v="1"/>
    <n v="-1"/>
    <n v="100"/>
  </r>
  <r>
    <n v="1"/>
    <x v="31"/>
    <m/>
    <s v="base"/>
    <s v="NZ10_2099A_99EESSNXCTSCFR"/>
    <n v="1"/>
    <n v="1"/>
    <s v="No Pams"/>
    <n v="1"/>
    <n v="1"/>
    <n v="1"/>
    <n v="-1"/>
    <n v="1"/>
    <n v="1"/>
    <n v="1"/>
    <n v="-1"/>
    <n v="100"/>
  </r>
  <r>
    <n v="1"/>
    <x v="32"/>
    <s v="done"/>
    <s v="base"/>
    <s v="NZ10_2050A_09EESSNXCTSCERNC"/>
    <n v="1"/>
    <n v="1"/>
    <s v="No Pams"/>
    <n v="1"/>
    <n v="1"/>
    <n v="1"/>
    <n v="-1"/>
    <n v="1"/>
    <n v="1"/>
    <n v="1"/>
    <n v="-1"/>
    <n v="100"/>
  </r>
  <r>
    <n v="1"/>
    <x v="33"/>
    <m/>
    <s v="base"/>
    <s v="NZ10_2099A_10EESSNXCTSC"/>
    <n v="1"/>
    <n v="1"/>
    <s v="No Pams"/>
    <n v="1"/>
    <n v="1"/>
    <n v="1"/>
    <n v="-1"/>
    <n v="1"/>
    <n v="1"/>
    <n v="1"/>
    <n v="-1"/>
    <n v="100"/>
  </r>
  <r>
    <n v="1"/>
    <x v="34"/>
    <m/>
    <s v="base"/>
    <s v="NZ10_2099A_10EESSEXCTSC"/>
    <n v="1"/>
    <n v="1"/>
    <s v="No Pams"/>
    <n v="1"/>
    <n v="1"/>
    <n v="1"/>
    <n v="-1"/>
    <n v="1"/>
    <n v="1"/>
    <n v="1"/>
    <n v="-1"/>
    <n v="100"/>
  </r>
  <r>
    <n v="1"/>
    <x v="35"/>
    <m/>
    <s v="base"/>
    <s v="NZ10_2099B_10EESSNXCTSC"/>
    <n v="1"/>
    <n v="1"/>
    <s v="No Pams"/>
    <n v="1"/>
    <n v="1"/>
    <n v="2"/>
    <n v="-1"/>
    <n v="1"/>
    <n v="1"/>
    <n v="1"/>
    <n v="-1"/>
    <n v="100"/>
  </r>
  <r>
    <n v="1"/>
    <x v="36"/>
    <m/>
    <s v="base"/>
    <s v="NZ10_2050A_08EESSNXCTCL"/>
    <n v="1"/>
    <n v="1"/>
    <s v="No Pams"/>
    <n v="1"/>
    <n v="1"/>
    <n v="1"/>
    <n v="-1"/>
    <n v="1"/>
    <n v="1"/>
    <n v="1"/>
    <n v="-1"/>
    <n v="100"/>
  </r>
  <r>
    <n v="0"/>
    <x v="37"/>
    <m/>
    <s v="base"/>
    <s v="NZ10_2099B_99NESSNXCTCLER_IRP"/>
    <n v="0"/>
    <n v="0"/>
    <s v="No Pams"/>
    <n v="1"/>
    <n v="1"/>
    <n v="2"/>
    <n v="-1"/>
    <n v="-1"/>
    <n v="-1"/>
    <n v="1"/>
    <n v="-1"/>
    <n v="100"/>
  </r>
  <r>
    <n v="0"/>
    <x v="38"/>
    <m/>
    <s v="base"/>
    <s v="NZ10_2099B_99NESSNXCTCLNR_IRP"/>
    <n v="0"/>
    <n v="0"/>
    <s v="No Pams"/>
    <n v="1"/>
    <n v="1"/>
    <n v="2"/>
    <n v="-1"/>
    <n v="-1"/>
    <n v="-1"/>
    <n v="1"/>
    <n v="-1"/>
    <n v="100"/>
  </r>
  <r>
    <n v="0"/>
    <x v="39"/>
    <m/>
    <s v="base"/>
    <s v="NZ10_2099B_99NESSNXCTCL_HiR"/>
    <n v="0"/>
    <n v="0"/>
    <s v="No Pams"/>
    <n v="1"/>
    <n v="1"/>
    <n v="2"/>
    <n v="-1"/>
    <n v="-1"/>
    <n v="-1"/>
    <n v="1"/>
    <n v="-1"/>
    <n v="100"/>
  </r>
  <r>
    <n v="0"/>
    <x v="40"/>
    <m/>
    <s v="base"/>
    <s v="NZ10_2099B_99NESSNXCTCLNR_HiR"/>
    <n v="0"/>
    <n v="0"/>
    <s v="No Pams"/>
    <n v="1"/>
    <n v="1"/>
    <n v="2"/>
    <n v="-1"/>
    <n v="-1"/>
    <n v="-1"/>
    <n v="1"/>
    <n v="-1"/>
    <n v="100"/>
  </r>
  <r>
    <n v="1"/>
    <x v="41"/>
    <m/>
    <s v="base"/>
    <s v="NZ10_2050B_09NESSNXCTCL"/>
    <n v="1"/>
    <n v="1"/>
    <s v="No Pams"/>
    <n v="1"/>
    <n v="1"/>
    <n v="2"/>
    <n v="-1"/>
    <n v="1"/>
    <n v="1"/>
    <n v="1"/>
    <n v="-1"/>
    <n v="100"/>
  </r>
  <r>
    <n v="1"/>
    <x v="42"/>
    <m/>
    <s v="base"/>
    <s v="NZ10_2050B_09EESSNXCTSC"/>
    <n v="1"/>
    <n v="1"/>
    <s v="No Pams"/>
    <n v="1"/>
    <n v="1"/>
    <n v="2"/>
    <n v="-1"/>
    <n v="1"/>
    <n v="1"/>
    <n v="1"/>
    <n v="-1"/>
    <n v="100"/>
  </r>
  <r>
    <n v="1"/>
    <x v="43"/>
    <m/>
    <s v="base"/>
    <s v="NZ10_2055B_09EESSNXCTSC"/>
    <n v="1"/>
    <n v="1"/>
    <s v="No Pams"/>
    <n v="1"/>
    <n v="1"/>
    <n v="2"/>
    <n v="-1"/>
    <n v="1"/>
    <n v="1"/>
    <n v="1"/>
    <n v="-1"/>
    <n v="100"/>
  </r>
  <r>
    <n v="1"/>
    <x v="44"/>
    <m/>
    <s v="base"/>
    <s v="NZ10_2055B_10EESSNXCTSC"/>
    <n v="1"/>
    <n v="1"/>
    <s v="No Pams"/>
    <n v="1"/>
    <n v="1"/>
    <n v="2"/>
    <n v="-1"/>
    <n v="1"/>
    <n v="1"/>
    <n v="1"/>
    <n v="-1"/>
    <n v="100"/>
  </r>
  <r>
    <n v="1"/>
    <x v="45"/>
    <m/>
    <s v="base"/>
    <s v="NZ10_2050A_09NESSEXCNCL"/>
    <n v="1"/>
    <n v="1"/>
    <s v="No Pams"/>
    <n v="1"/>
    <n v="1"/>
    <n v="1"/>
    <n v="-1"/>
    <n v="1"/>
    <n v="1"/>
    <n v="1"/>
    <n v="-1"/>
    <n v="100"/>
  </r>
  <r>
    <n v="1"/>
    <x v="46"/>
    <m/>
    <s v="base"/>
    <s v="NZ10_2050A_09EESSEXCNSC"/>
    <n v="1"/>
    <n v="1"/>
    <s v="No Pams"/>
    <n v="1"/>
    <n v="1"/>
    <n v="1"/>
    <n v="-1"/>
    <n v="1"/>
    <n v="1"/>
    <n v="1"/>
    <n v="-1"/>
    <n v="100"/>
  </r>
  <r>
    <n v="1"/>
    <x v="47"/>
    <m/>
    <s v="base"/>
    <s v="NZ10_2050B_09EESENXCTSC"/>
    <n v="1"/>
    <n v="1"/>
    <s v="No Pams"/>
    <n v="1"/>
    <n v="1"/>
    <n v="2"/>
    <n v="-1"/>
    <n v="1"/>
    <n v="1"/>
    <n v="1"/>
    <n v="-1"/>
    <n v="100"/>
  </r>
  <r>
    <n v="1"/>
    <x v="48"/>
    <m/>
    <s v="base"/>
    <s v="NZ10_2050B_09EESFNXCTSC"/>
    <n v="1"/>
    <n v="1"/>
    <s v="No Pams"/>
    <n v="1"/>
    <n v="1"/>
    <n v="2"/>
    <n v="-1"/>
    <n v="1"/>
    <n v="1"/>
    <n v="1"/>
    <n v="-1"/>
    <n v="100"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n v="1"/>
    <m/>
    <m/>
    <m/>
    <m/>
    <m/>
    <m/>
  </r>
  <r>
    <m/>
    <x v="49"/>
    <m/>
    <m/>
    <m/>
    <m/>
    <m/>
    <m/>
    <m/>
    <m/>
    <m/>
    <m/>
    <m/>
    <m/>
    <m/>
    <m/>
    <m/>
  </r>
  <r>
    <m/>
    <x v="49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9">
  <r>
    <n v="0"/>
    <x v="0"/>
    <m/>
    <x v="0"/>
    <x v="0"/>
    <n v="1"/>
    <n v="1"/>
    <s v="No Pams"/>
    <n v="1"/>
    <n v="1"/>
    <n v="1"/>
    <n v="-1"/>
    <n v="1"/>
    <n v="1"/>
    <n v="1"/>
    <n v="-1"/>
    <n v="100"/>
  </r>
  <r>
    <n v="0"/>
    <x v="1"/>
    <m/>
    <x v="0"/>
    <x v="1"/>
    <n v="1"/>
    <n v="1"/>
    <s v="No Pams"/>
    <n v="1"/>
    <n v="1"/>
    <n v="1"/>
    <n v="-1"/>
    <n v="1"/>
    <n v="1"/>
    <n v="1"/>
    <n v="-1"/>
    <n v="100"/>
  </r>
  <r>
    <n v="0"/>
    <x v="2"/>
    <m/>
    <x v="0"/>
    <x v="2"/>
    <n v="1"/>
    <n v="1"/>
    <s v="No Pams"/>
    <n v="1"/>
    <n v="1"/>
    <n v="1"/>
    <n v="-1"/>
    <n v="1"/>
    <n v="1"/>
    <n v="1"/>
    <n v="-1"/>
    <n v="100"/>
  </r>
  <r>
    <n v="0"/>
    <x v="3"/>
    <m/>
    <x v="0"/>
    <x v="3"/>
    <n v="1"/>
    <n v="1"/>
    <s v="No Pams"/>
    <n v="1"/>
    <n v="1"/>
    <n v="1"/>
    <n v="-1"/>
    <n v="1"/>
    <n v="1"/>
    <n v="1"/>
    <n v="-1"/>
    <n v="100"/>
  </r>
  <r>
    <n v="1"/>
    <x v="4"/>
    <m/>
    <x v="0"/>
    <x v="4"/>
    <n v="1"/>
    <n v="1"/>
    <s v="No Pams"/>
    <n v="1"/>
    <n v="1"/>
    <n v="1"/>
    <n v="-1"/>
    <n v="1"/>
    <n v="1"/>
    <n v="1"/>
    <n v="-1"/>
    <n v="100"/>
  </r>
  <r>
    <n v="1"/>
    <x v="5"/>
    <m/>
    <x v="0"/>
    <x v="5"/>
    <n v="1"/>
    <n v="1"/>
    <s v="No Pams"/>
    <n v="1"/>
    <n v="1"/>
    <n v="1"/>
    <n v="-1"/>
    <n v="1"/>
    <n v="1"/>
    <n v="1"/>
    <n v="-1"/>
    <n v="100"/>
  </r>
  <r>
    <n v="1"/>
    <x v="6"/>
    <m/>
    <x v="0"/>
    <x v="6"/>
    <n v="1"/>
    <n v="1"/>
    <s v="No Pams"/>
    <n v="1"/>
    <n v="1"/>
    <n v="1"/>
    <n v="-1"/>
    <n v="-1"/>
    <n v="-1"/>
    <n v="1"/>
    <n v="-1"/>
    <n v="100"/>
  </r>
  <r>
    <n v="1"/>
    <x v="7"/>
    <m/>
    <x v="0"/>
    <x v="7"/>
    <n v="1"/>
    <n v="1"/>
    <s v="No Pams"/>
    <n v="1"/>
    <n v="1"/>
    <n v="2"/>
    <n v="-1"/>
    <n v="-1"/>
    <n v="-1"/>
    <n v="1"/>
    <n v="-1"/>
    <n v="100"/>
  </r>
  <r>
    <n v="1"/>
    <x v="8"/>
    <m/>
    <x v="0"/>
    <x v="8"/>
    <n v="1"/>
    <n v="1"/>
    <s v="No Pams"/>
    <n v="1"/>
    <n v="1"/>
    <n v="1"/>
    <n v="-1"/>
    <n v="1"/>
    <n v="1"/>
    <n v="1"/>
    <n v="-1"/>
    <n v="100"/>
  </r>
  <r>
    <n v="1"/>
    <x v="9"/>
    <m/>
    <x v="0"/>
    <x v="9"/>
    <n v="0"/>
    <n v="1"/>
    <s v="No Pams"/>
    <n v="1"/>
    <n v="1"/>
    <n v="2"/>
    <n v="-1"/>
    <n v="1"/>
    <n v="1"/>
    <n v="1"/>
    <n v="-1"/>
    <n v="100"/>
  </r>
  <r>
    <n v="1"/>
    <x v="10"/>
    <m/>
    <x v="0"/>
    <x v="10"/>
    <n v="1"/>
    <n v="1"/>
    <s v="No Pams"/>
    <n v="1"/>
    <n v="1"/>
    <n v="1"/>
    <n v="-1"/>
    <n v="-1"/>
    <n v="-1"/>
    <n v="1"/>
    <n v="-1"/>
    <n v="100"/>
  </r>
  <r>
    <n v="1"/>
    <x v="11"/>
    <m/>
    <x v="0"/>
    <x v="11"/>
    <n v="1"/>
    <n v="1"/>
    <s v="No Pams"/>
    <n v="1"/>
    <n v="1"/>
    <n v="1"/>
    <n v="-1"/>
    <n v="1"/>
    <n v="1"/>
    <n v="1"/>
    <n v="-1"/>
    <n v="100"/>
  </r>
  <r>
    <n v="1"/>
    <x v="12"/>
    <m/>
    <x v="0"/>
    <x v="12"/>
    <n v="1"/>
    <n v="1"/>
    <s v="No Pams"/>
    <n v="1"/>
    <n v="1"/>
    <n v="1"/>
    <n v="-1"/>
    <n v="1"/>
    <n v="1"/>
    <n v="1"/>
    <n v="-1"/>
    <n v="100"/>
  </r>
  <r>
    <n v="1"/>
    <x v="13"/>
    <m/>
    <x v="0"/>
    <x v="13"/>
    <n v="1"/>
    <n v="1"/>
    <s v="No Pams"/>
    <n v="1"/>
    <n v="1"/>
    <n v="1"/>
    <n v="-1"/>
    <n v="1"/>
    <n v="1"/>
    <n v="1"/>
    <n v="-1"/>
    <n v="100"/>
  </r>
  <r>
    <n v="1"/>
    <x v="14"/>
    <m/>
    <x v="0"/>
    <x v="14"/>
    <n v="1"/>
    <n v="1"/>
    <s v="No Pams"/>
    <n v="1"/>
    <n v="1"/>
    <n v="1"/>
    <n v="-1"/>
    <n v="-1"/>
    <n v="-1"/>
    <n v="1"/>
    <n v="-1"/>
    <n v="100"/>
  </r>
  <r>
    <n v="1"/>
    <x v="15"/>
    <m/>
    <x v="0"/>
    <x v="15"/>
    <n v="1"/>
    <n v="1"/>
    <s v="No Pams"/>
    <n v="1"/>
    <n v="1"/>
    <n v="1"/>
    <n v="-1"/>
    <n v="1"/>
    <n v="1"/>
    <n v="1"/>
    <n v="-1"/>
    <n v="100"/>
  </r>
  <r>
    <n v="1"/>
    <x v="16"/>
    <m/>
    <x v="0"/>
    <x v="16"/>
    <n v="1"/>
    <n v="1"/>
    <s v="No Pams"/>
    <n v="1"/>
    <n v="1"/>
    <n v="1"/>
    <n v="-1"/>
    <n v="1"/>
    <n v="1"/>
    <n v="1"/>
    <n v="-1"/>
    <n v="100"/>
  </r>
  <r>
    <n v="1"/>
    <x v="17"/>
    <m/>
    <x v="0"/>
    <x v="17"/>
    <n v="1"/>
    <n v="1"/>
    <s v="No Pams"/>
    <n v="1"/>
    <n v="1"/>
    <n v="1"/>
    <n v="-1"/>
    <n v="1"/>
    <n v="1"/>
    <n v="1"/>
    <n v="-1"/>
    <n v="100"/>
  </r>
  <r>
    <n v="0"/>
    <x v="18"/>
    <s v="problem with CGE"/>
    <x v="0"/>
    <x v="18"/>
    <n v="1"/>
    <n v="1"/>
    <s v="No Pams"/>
    <n v="1"/>
    <n v="1"/>
    <n v="1"/>
    <n v="-1"/>
    <n v="1"/>
    <n v="1"/>
    <n v="1"/>
    <n v="-1"/>
    <n v="100"/>
  </r>
  <r>
    <n v="1"/>
    <x v="19"/>
    <m/>
    <x v="0"/>
    <x v="19"/>
    <n v="1"/>
    <n v="1"/>
    <s v="No Pams"/>
    <n v="1"/>
    <n v="1"/>
    <n v="1"/>
    <n v="-1"/>
    <n v="1"/>
    <n v="1"/>
    <n v="1"/>
    <n v="-1"/>
    <n v="100"/>
  </r>
  <r>
    <n v="1"/>
    <x v="20"/>
    <m/>
    <x v="0"/>
    <x v="20"/>
    <n v="1"/>
    <n v="1"/>
    <s v="No Pams"/>
    <n v="1"/>
    <n v="1"/>
    <n v="1"/>
    <n v="-1"/>
    <n v="1"/>
    <n v="1"/>
    <n v="1"/>
    <n v="-1"/>
    <n v="100"/>
  </r>
  <r>
    <n v="1"/>
    <x v="21"/>
    <m/>
    <x v="0"/>
    <x v="21"/>
    <n v="1"/>
    <n v="1"/>
    <s v="No Pams"/>
    <n v="1"/>
    <n v="1"/>
    <n v="1"/>
    <n v="-1"/>
    <n v="1"/>
    <n v="1"/>
    <n v="1"/>
    <n v="-1"/>
    <n v="100"/>
  </r>
  <r>
    <n v="1"/>
    <x v="22"/>
    <m/>
    <x v="0"/>
    <x v="22"/>
    <n v="1"/>
    <n v="1"/>
    <s v="No Pams"/>
    <n v="1"/>
    <n v="1"/>
    <n v="1"/>
    <n v="-1"/>
    <n v="1"/>
    <n v="1"/>
    <n v="1"/>
    <n v="-1"/>
    <n v="100"/>
  </r>
  <r>
    <n v="1"/>
    <x v="23"/>
    <m/>
    <x v="0"/>
    <x v="23"/>
    <n v="1"/>
    <n v="1"/>
    <s v="No Pams"/>
    <n v="1"/>
    <n v="1"/>
    <n v="1"/>
    <n v="-1"/>
    <n v="1"/>
    <n v="1"/>
    <n v="1"/>
    <n v="-1"/>
    <n v="100"/>
  </r>
  <r>
    <n v="1"/>
    <x v="24"/>
    <m/>
    <x v="0"/>
    <x v="24"/>
    <n v="1"/>
    <n v="1"/>
    <s v="No Pams"/>
    <n v="1"/>
    <n v="1"/>
    <n v="1"/>
    <n v="-1"/>
    <n v="1"/>
    <n v="1"/>
    <n v="1"/>
    <n v="-1"/>
    <n v="100"/>
  </r>
  <r>
    <n v="1"/>
    <x v="25"/>
    <m/>
    <x v="0"/>
    <x v="25"/>
    <n v="1"/>
    <n v="1"/>
    <s v="No Pams"/>
    <n v="1"/>
    <n v="1"/>
    <n v="1"/>
    <n v="-1"/>
    <n v="1"/>
    <n v="1"/>
    <n v="1"/>
    <n v="-1"/>
    <n v="100"/>
  </r>
  <r>
    <n v="1"/>
    <x v="26"/>
    <m/>
    <x v="0"/>
    <x v="26"/>
    <n v="1"/>
    <n v="1"/>
    <s v="No Pams"/>
    <n v="1"/>
    <n v="1"/>
    <n v="2"/>
    <n v="-1"/>
    <n v="1"/>
    <n v="1"/>
    <n v="1"/>
    <n v="-1"/>
    <n v="100"/>
  </r>
  <r>
    <n v="1"/>
    <x v="27"/>
    <m/>
    <x v="0"/>
    <x v="27"/>
    <n v="1"/>
    <n v="1"/>
    <s v="No Pams"/>
    <n v="1"/>
    <n v="1"/>
    <n v="2"/>
    <n v="-1"/>
    <n v="1"/>
    <n v="1"/>
    <n v="1"/>
    <n v="-1"/>
    <n v="100"/>
  </r>
  <r>
    <n v="1"/>
    <x v="28"/>
    <m/>
    <x v="0"/>
    <x v="28"/>
    <n v="1"/>
    <n v="1"/>
    <s v="No Pams"/>
    <n v="1"/>
    <n v="1"/>
    <n v="2"/>
    <n v="-1"/>
    <n v="1"/>
    <n v="1"/>
    <n v="1"/>
    <n v="-1"/>
    <n v="100"/>
  </r>
  <r>
    <n v="1"/>
    <x v="29"/>
    <m/>
    <x v="0"/>
    <x v="29"/>
    <n v="1"/>
    <n v="1"/>
    <s v="No Pams"/>
    <n v="1"/>
    <n v="1"/>
    <n v="2"/>
    <n v="-1"/>
    <n v="1"/>
    <n v="1"/>
    <n v="1"/>
    <n v="-1"/>
    <n v="100"/>
  </r>
  <r>
    <n v="1"/>
    <x v="30"/>
    <m/>
    <x v="0"/>
    <x v="30"/>
    <n v="1"/>
    <n v="1"/>
    <s v="No Pams"/>
    <n v="1"/>
    <n v="1"/>
    <n v="2"/>
    <n v="-1"/>
    <n v="-1"/>
    <n v="-1"/>
    <n v="1"/>
    <n v="-1"/>
    <n v="100"/>
  </r>
  <r>
    <n v="1"/>
    <x v="31"/>
    <m/>
    <x v="0"/>
    <x v="31"/>
    <n v="1"/>
    <n v="1"/>
    <s v="No Pams"/>
    <n v="1"/>
    <n v="1"/>
    <n v="1"/>
    <n v="-1"/>
    <n v="1"/>
    <n v="1"/>
    <n v="1"/>
    <n v="-1"/>
    <n v="100"/>
  </r>
  <r>
    <n v="1"/>
    <x v="32"/>
    <s v="done"/>
    <x v="0"/>
    <x v="32"/>
    <n v="1"/>
    <n v="1"/>
    <s v="No Pams"/>
    <n v="1"/>
    <n v="1"/>
    <n v="1"/>
    <n v="-1"/>
    <n v="1"/>
    <n v="1"/>
    <n v="1"/>
    <n v="-1"/>
    <n v="100"/>
  </r>
  <r>
    <n v="1"/>
    <x v="33"/>
    <m/>
    <x v="0"/>
    <x v="33"/>
    <n v="1"/>
    <n v="1"/>
    <s v="No Pams"/>
    <n v="1"/>
    <n v="1"/>
    <n v="1"/>
    <n v="-1"/>
    <n v="1"/>
    <n v="1"/>
    <n v="1"/>
    <n v="-1"/>
    <n v="100"/>
  </r>
  <r>
    <n v="1"/>
    <x v="34"/>
    <m/>
    <x v="0"/>
    <x v="34"/>
    <n v="1"/>
    <n v="1"/>
    <s v="No Pams"/>
    <n v="1"/>
    <n v="1"/>
    <n v="1"/>
    <n v="-1"/>
    <n v="1"/>
    <n v="1"/>
    <n v="1"/>
    <n v="-1"/>
    <n v="100"/>
  </r>
  <r>
    <n v="1"/>
    <x v="35"/>
    <m/>
    <x v="0"/>
    <x v="35"/>
    <n v="1"/>
    <n v="1"/>
    <s v="No Pams"/>
    <n v="1"/>
    <n v="1"/>
    <n v="2"/>
    <n v="-1"/>
    <n v="1"/>
    <n v="1"/>
    <n v="1"/>
    <n v="-1"/>
    <n v="100"/>
  </r>
  <r>
    <n v="1"/>
    <x v="36"/>
    <m/>
    <x v="0"/>
    <x v="36"/>
    <n v="1"/>
    <n v="1"/>
    <s v="No Pams"/>
    <n v="1"/>
    <n v="1"/>
    <n v="1"/>
    <n v="-1"/>
    <n v="1"/>
    <n v="1"/>
    <n v="1"/>
    <n v="-1"/>
    <n v="100"/>
  </r>
  <r>
    <n v="0"/>
    <x v="37"/>
    <m/>
    <x v="0"/>
    <x v="37"/>
    <n v="0"/>
    <n v="0"/>
    <s v="No Pams"/>
    <n v="1"/>
    <n v="1"/>
    <n v="2"/>
    <n v="-1"/>
    <n v="-1"/>
    <n v="-1"/>
    <n v="1"/>
    <n v="-1"/>
    <n v="100"/>
  </r>
  <r>
    <n v="0"/>
    <x v="38"/>
    <m/>
    <x v="0"/>
    <x v="38"/>
    <n v="0"/>
    <n v="0"/>
    <s v="No Pams"/>
    <n v="1"/>
    <n v="1"/>
    <n v="2"/>
    <n v="-1"/>
    <n v="-1"/>
    <n v="-1"/>
    <n v="1"/>
    <n v="-1"/>
    <n v="100"/>
  </r>
  <r>
    <n v="0"/>
    <x v="39"/>
    <m/>
    <x v="0"/>
    <x v="39"/>
    <n v="0"/>
    <n v="0"/>
    <s v="No Pams"/>
    <n v="1"/>
    <n v="1"/>
    <n v="2"/>
    <n v="-1"/>
    <n v="-1"/>
    <n v="-1"/>
    <n v="1"/>
    <n v="-1"/>
    <n v="100"/>
  </r>
  <r>
    <n v="0"/>
    <x v="40"/>
    <m/>
    <x v="0"/>
    <x v="40"/>
    <n v="0"/>
    <n v="0"/>
    <s v="No Pams"/>
    <n v="1"/>
    <n v="1"/>
    <n v="2"/>
    <n v="-1"/>
    <n v="-1"/>
    <n v="-1"/>
    <n v="1"/>
    <n v="-1"/>
    <n v="100"/>
  </r>
  <r>
    <n v="1"/>
    <x v="41"/>
    <m/>
    <x v="0"/>
    <x v="41"/>
    <n v="1"/>
    <n v="1"/>
    <s v="No Pams"/>
    <n v="1"/>
    <n v="1"/>
    <n v="2"/>
    <n v="-1"/>
    <n v="1"/>
    <n v="1"/>
    <n v="1"/>
    <n v="-1"/>
    <n v="100"/>
  </r>
  <r>
    <n v="1"/>
    <x v="42"/>
    <m/>
    <x v="0"/>
    <x v="42"/>
    <n v="1"/>
    <n v="1"/>
    <s v="No Pams"/>
    <n v="1"/>
    <n v="1"/>
    <n v="2"/>
    <n v="-1"/>
    <n v="1"/>
    <n v="1"/>
    <n v="1"/>
    <n v="-1"/>
    <n v="100"/>
  </r>
  <r>
    <n v="1"/>
    <x v="43"/>
    <m/>
    <x v="0"/>
    <x v="43"/>
    <n v="1"/>
    <n v="1"/>
    <s v="No Pams"/>
    <n v="1"/>
    <n v="1"/>
    <n v="2"/>
    <n v="-1"/>
    <n v="1"/>
    <n v="1"/>
    <n v="1"/>
    <n v="-1"/>
    <n v="100"/>
  </r>
  <r>
    <n v="1"/>
    <x v="44"/>
    <m/>
    <x v="0"/>
    <x v="44"/>
    <n v="1"/>
    <n v="1"/>
    <s v="No Pams"/>
    <n v="1"/>
    <n v="1"/>
    <n v="2"/>
    <n v="-1"/>
    <n v="1"/>
    <n v="1"/>
    <n v="1"/>
    <n v="-1"/>
    <n v="100"/>
  </r>
  <r>
    <n v="1"/>
    <x v="45"/>
    <m/>
    <x v="0"/>
    <x v="45"/>
    <n v="1"/>
    <n v="1"/>
    <s v="No Pams"/>
    <n v="1"/>
    <n v="1"/>
    <n v="1"/>
    <n v="-1"/>
    <n v="1"/>
    <n v="1"/>
    <n v="1"/>
    <n v="-1"/>
    <n v="100"/>
  </r>
  <r>
    <n v="1"/>
    <x v="46"/>
    <m/>
    <x v="0"/>
    <x v="46"/>
    <n v="1"/>
    <n v="1"/>
    <s v="No Pams"/>
    <n v="1"/>
    <n v="1"/>
    <n v="1"/>
    <n v="-1"/>
    <n v="1"/>
    <n v="1"/>
    <n v="1"/>
    <n v="-1"/>
    <n v="100"/>
  </r>
  <r>
    <n v="1"/>
    <x v="47"/>
    <m/>
    <x v="0"/>
    <x v="47"/>
    <n v="1"/>
    <n v="1"/>
    <s v="No Pams"/>
    <n v="1"/>
    <n v="1"/>
    <n v="2"/>
    <n v="-1"/>
    <n v="1"/>
    <n v="1"/>
    <n v="1"/>
    <n v="-1"/>
    <n v="100"/>
  </r>
  <r>
    <n v="1"/>
    <x v="48"/>
    <m/>
    <x v="0"/>
    <x v="48"/>
    <n v="1"/>
    <n v="1"/>
    <s v="No Pams"/>
    <n v="1"/>
    <n v="1"/>
    <n v="2"/>
    <n v="-1"/>
    <n v="1"/>
    <n v="1"/>
    <n v="1"/>
    <n v="-1"/>
    <n v="100"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n v="1"/>
    <m/>
    <m/>
    <m/>
    <m/>
    <m/>
    <m/>
  </r>
  <r>
    <m/>
    <x v="49"/>
    <m/>
    <x v="1"/>
    <x v="49"/>
    <m/>
    <m/>
    <m/>
    <m/>
    <m/>
    <m/>
    <m/>
    <m/>
    <m/>
    <m/>
    <m/>
    <m/>
  </r>
  <r>
    <m/>
    <x v="49"/>
    <m/>
    <x v="1"/>
    <x v="49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56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1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3">
        <item m="1" x="279"/>
        <item m="1" x="246"/>
        <item m="1" x="236"/>
        <item x="49"/>
        <item m="1" x="245"/>
        <item m="1" x="189"/>
        <item m="1" x="265"/>
        <item m="1" x="286"/>
        <item m="1" x="239"/>
        <item m="1" x="247"/>
        <item m="1" x="240"/>
        <item m="1" x="217"/>
        <item m="1" x="164"/>
        <item m="1" x="261"/>
        <item m="1" x="162"/>
        <item m="1" x="328"/>
        <item m="1" x="208"/>
        <item m="1" x="309"/>
        <item m="1" x="322"/>
        <item m="1" x="218"/>
        <item m="1" x="211"/>
        <item m="1" x="315"/>
        <item m="1" x="272"/>
        <item m="1" x="273"/>
        <item m="1" x="311"/>
        <item m="1" x="231"/>
        <item m="1" x="304"/>
        <item m="1" x="178"/>
        <item m="1" x="199"/>
        <item m="1" x="349"/>
        <item m="1" x="281"/>
        <item m="1" x="323"/>
        <item m="1" x="250"/>
        <item m="1" x="325"/>
        <item m="1" x="336"/>
        <item m="1" x="258"/>
        <item m="1" x="283"/>
        <item m="1" x="277"/>
        <item m="1" x="320"/>
        <item m="1" x="318"/>
        <item m="1" x="204"/>
        <item m="1" x="341"/>
        <item m="1" x="275"/>
        <item m="1" x="300"/>
        <item m="1" x="317"/>
        <item m="1" x="345"/>
        <item m="1" x="352"/>
        <item m="1" x="254"/>
        <item m="1" x="238"/>
        <item m="1" x="237"/>
        <item m="1" x="288"/>
        <item m="1" x="242"/>
        <item m="1" x="297"/>
        <item m="1" x="192"/>
        <item m="1" x="260"/>
        <item m="1" x="295"/>
        <item m="1" x="319"/>
        <item m="1" x="257"/>
        <item m="1" x="248"/>
        <item m="1" x="186"/>
        <item m="1" x="327"/>
        <item m="1" x="206"/>
        <item m="1" x="226"/>
        <item m="1" x="269"/>
        <item m="1" x="280"/>
        <item m="1" x="227"/>
        <item m="1" x="176"/>
        <item m="1" x="274"/>
        <item m="1" x="285"/>
        <item m="1" x="213"/>
        <item m="1" x="308"/>
        <item m="1" x="324"/>
        <item m="1" x="262"/>
        <item m="1" x="216"/>
        <item m="1" x="228"/>
        <item m="1" x="205"/>
        <item m="1" x="290"/>
        <item m="1" x="173"/>
        <item m="1" x="299"/>
        <item m="1" x="316"/>
        <item m="1" x="337"/>
        <item m="1" x="312"/>
        <item m="1" x="330"/>
        <item m="1" x="350"/>
        <item m="1" x="229"/>
        <item m="1" x="307"/>
        <item m="1" x="347"/>
        <item m="1" x="187"/>
        <item m="1" x="201"/>
        <item m="1" x="234"/>
        <item m="1" x="276"/>
        <item m="1" x="179"/>
        <item m="1" x="184"/>
        <item m="1" x="159"/>
        <item m="1" x="170"/>
        <item m="1" x="329"/>
        <item m="1" x="241"/>
        <item m="1" x="326"/>
        <item m="1" x="202"/>
        <item m="1" x="331"/>
        <item m="1" x="294"/>
        <item m="1" x="267"/>
        <item m="1" x="215"/>
        <item m="1" x="293"/>
        <item m="1" x="163"/>
        <item m="1" x="314"/>
        <item m="1" x="244"/>
        <item m="1" x="167"/>
        <item m="1" x="292"/>
        <item m="1" x="175"/>
        <item m="1" x="196"/>
        <item m="1" x="253"/>
        <item m="1" x="219"/>
        <item m="1" x="209"/>
        <item m="1" x="200"/>
        <item m="1" x="346"/>
        <item m="1" x="351"/>
        <item m="1" x="338"/>
        <item m="1" x="344"/>
        <item m="1" x="255"/>
        <item m="1" x="188"/>
        <item m="1" x="177"/>
        <item m="1" x="271"/>
        <item m="1" x="342"/>
        <item m="1" x="235"/>
        <item m="1" x="310"/>
        <item m="1" x="303"/>
        <item m="1" x="302"/>
        <item m="1" x="182"/>
        <item m="1" x="289"/>
        <item m="1" x="221"/>
        <item m="1" x="270"/>
        <item m="1" x="194"/>
        <item m="1" x="169"/>
        <item m="1" x="332"/>
        <item m="1" x="334"/>
        <item m="1" x="233"/>
        <item m="1" x="191"/>
        <item m="1" x="212"/>
        <item m="1" x="207"/>
        <item m="1" x="203"/>
        <item m="1" x="333"/>
        <item m="1" x="174"/>
        <item m="1" x="343"/>
        <item m="1" x="249"/>
        <item m="1" x="298"/>
        <item m="1" x="222"/>
        <item m="1" x="214"/>
        <item m="1" x="223"/>
        <item m="1" x="190"/>
        <item m="1" x="348"/>
        <item m="1" x="268"/>
        <item m="1" x="263"/>
        <item m="1" x="181"/>
        <item m="1" x="313"/>
        <item m="1" x="183"/>
        <item m="1" x="282"/>
        <item m="1" x="259"/>
        <item m="1" x="251"/>
        <item m="1" x="230"/>
        <item m="1" x="210"/>
        <item m="1" x="195"/>
        <item m="1" x="171"/>
        <item m="1" x="165"/>
        <item m="1" x="339"/>
        <item m="1" x="321"/>
        <item m="1" x="180"/>
        <item m="1" x="224"/>
        <item m="1" x="193"/>
        <item m="1" x="166"/>
        <item m="1" x="340"/>
        <item m="1" x="305"/>
        <item m="1" x="287"/>
        <item m="1" x="264"/>
        <item m="1" x="198"/>
        <item m="1" x="168"/>
        <item m="1" x="161"/>
        <item m="1" x="172"/>
        <item m="1" x="185"/>
        <item m="1" x="306"/>
        <item m="1" x="266"/>
        <item m="1" x="225"/>
        <item x="2"/>
        <item m="1" x="243"/>
        <item m="1" x="220"/>
        <item m="1" x="301"/>
        <item m="1" x="197"/>
        <item m="1" x="256"/>
        <item m="1" x="284"/>
        <item m="1" x="232"/>
        <item m="1" x="296"/>
        <item m="1" x="291"/>
        <item m="1" x="160"/>
        <item m="1" x="278"/>
        <item m="1" x="252"/>
        <item m="1" x="152"/>
        <item m="1" x="335"/>
        <item m="1" x="158"/>
        <item m="1" x="154"/>
        <item m="1" x="157"/>
        <item m="1" x="153"/>
        <item m="1" x="156"/>
        <item m="1" x="155"/>
        <item m="1" x="148"/>
        <item m="1" x="138"/>
        <item m="1" x="139"/>
        <item m="1" x="140"/>
        <item m="1" x="141"/>
        <item m="1" x="142"/>
        <item m="1" x="143"/>
        <item m="1" x="144"/>
        <item m="1" x="151"/>
        <item m="1" x="145"/>
        <item m="1" x="150"/>
        <item m="1" x="149"/>
        <item m="1" x="146"/>
        <item m="1" x="147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94"/>
        <item m="1" x="95"/>
        <item m="1" x="71"/>
        <item m="1" x="72"/>
        <item m="1" x="96"/>
        <item m="1" x="74"/>
        <item m="1" x="75"/>
        <item m="1" x="76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77"/>
        <item m="1" x="120"/>
        <item m="1" x="121"/>
        <item m="1" x="116"/>
        <item m="1" x="118"/>
        <item m="1" x="119"/>
        <item m="1" x="117"/>
        <item m="1" x="115"/>
        <item m="1" x="92"/>
        <item m="1" x="93"/>
        <item m="1" x="106"/>
        <item m="1" x="112"/>
        <item m="1" x="113"/>
        <item m="1" x="114"/>
        <item x="0"/>
        <item x="1"/>
        <item m="1" x="100"/>
        <item m="1" x="101"/>
        <item m="1" x="102"/>
        <item m="1" x="103"/>
        <item m="1" x="104"/>
        <item m="1" x="105"/>
        <item m="1" x="97"/>
        <item m="1" x="98"/>
        <item m="1" x="70"/>
        <item m="1" x="108"/>
        <item m="1" x="111"/>
        <item m="1" x="110"/>
        <item m="1" x="109"/>
        <item m="1" x="107"/>
        <item m="1" x="99"/>
        <item x="3"/>
        <item m="1" x="69"/>
        <item m="1" x="7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3"/>
        <item x="32"/>
        <item m="1" x="68"/>
        <item m="1" x="67"/>
        <item m="1" x="66"/>
        <item m="1" x="65"/>
        <item x="39"/>
        <item x="40"/>
        <item x="37"/>
        <item m="1" x="64"/>
        <item x="38"/>
        <item m="1" x="62"/>
        <item x="31"/>
        <item m="1" x="53"/>
        <item m="1" x="59"/>
        <item m="1" x="61"/>
        <item m="1" x="55"/>
        <item x="33"/>
        <item x="34"/>
        <item x="35"/>
        <item m="1" x="60"/>
        <item m="1" x="57"/>
        <item m="1" x="54"/>
        <item x="36"/>
        <item m="1" x="58"/>
        <item m="1" x="56"/>
        <item m="1" x="50"/>
        <item m="1" x="51"/>
        <item m="1" x="52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50">
    <i>
      <x/>
      <x v="3"/>
    </i>
    <i>
      <x v="2"/>
      <x v="269"/>
    </i>
    <i>
      <x v="3"/>
      <x v="270"/>
    </i>
    <i>
      <x v="4"/>
      <x v="182"/>
    </i>
    <i>
      <x v="5"/>
      <x v="286"/>
    </i>
    <i>
      <x v="6"/>
      <x v="289"/>
    </i>
    <i>
      <x v="7"/>
      <x v="290"/>
    </i>
    <i>
      <x v="8"/>
      <x v="291"/>
    </i>
    <i>
      <x v="9"/>
      <x v="292"/>
    </i>
    <i>
      <x v="10"/>
      <x v="293"/>
    </i>
    <i>
      <x v="11"/>
      <x v="294"/>
    </i>
    <i>
      <x v="12"/>
      <x v="295"/>
    </i>
    <i>
      <x v="13"/>
      <x v="296"/>
    </i>
    <i>
      <x v="14"/>
      <x v="297"/>
    </i>
    <i>
      <x v="15"/>
      <x v="298"/>
    </i>
    <i>
      <x v="16"/>
      <x v="299"/>
    </i>
    <i>
      <x v="17"/>
      <x v="300"/>
    </i>
    <i>
      <x v="18"/>
      <x v="301"/>
    </i>
    <i>
      <x v="19"/>
      <x v="302"/>
    </i>
    <i>
      <x v="20"/>
      <x v="303"/>
    </i>
    <i>
      <x v="21"/>
      <x v="304"/>
    </i>
    <i>
      <x v="22"/>
      <x v="305"/>
    </i>
    <i>
      <x v="23"/>
      <x v="306"/>
    </i>
    <i>
      <x v="24"/>
      <x v="307"/>
    </i>
    <i>
      <x v="25"/>
      <x v="308"/>
    </i>
    <i>
      <x v="26"/>
      <x v="309"/>
    </i>
    <i>
      <x v="27"/>
      <x v="310"/>
    </i>
    <i>
      <x v="28"/>
      <x v="312"/>
    </i>
    <i>
      <x v="29"/>
      <x v="311"/>
    </i>
    <i>
      <x v="30"/>
      <x v="313"/>
    </i>
    <i>
      <x v="31"/>
      <x v="314"/>
    </i>
    <i>
      <x v="32"/>
      <x v="315"/>
    </i>
    <i>
      <x v="33"/>
      <x v="317"/>
    </i>
    <i>
      <x v="34"/>
      <x v="322"/>
    </i>
    <i>
      <x v="35"/>
      <x v="323"/>
    </i>
    <i>
      <x v="36"/>
      <x v="324"/>
    </i>
    <i>
      <x v="37"/>
      <x v="326"/>
    </i>
    <i>
      <x v="38"/>
      <x v="328"/>
    </i>
    <i>
      <x v="39"/>
      <x v="333"/>
    </i>
    <i>
      <x v="40"/>
      <x v="334"/>
    </i>
    <i>
      <x v="41"/>
      <x v="335"/>
    </i>
    <i>
      <x v="42"/>
      <x v="339"/>
    </i>
    <i>
      <x v="43"/>
      <x v="345"/>
    </i>
    <i>
      <x v="44"/>
      <x v="346"/>
    </i>
    <i>
      <x v="45"/>
      <x v="347"/>
    </i>
    <i>
      <x v="46"/>
      <x v="348"/>
    </i>
    <i>
      <x v="47"/>
      <x v="349"/>
    </i>
    <i>
      <x v="48"/>
      <x v="350"/>
    </i>
    <i>
      <x v="49"/>
      <x v="351"/>
    </i>
    <i>
      <x v="50"/>
      <x v="35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56" firstHeaderRow="1" firstDataRow="1" firstDataCol="1"/>
  <pivotFields count="17">
    <pivotField showAll="0"/>
    <pivotField showAll="0"/>
    <pivotField showAll="0"/>
    <pivotField showAll="0"/>
    <pivotField axis="axisRow" showAll="0">
      <items count="354">
        <item m="1" x="279"/>
        <item m="1" x="246"/>
        <item m="1" x="236"/>
        <item x="49"/>
        <item m="1" x="245"/>
        <item m="1" x="189"/>
        <item m="1" x="265"/>
        <item m="1" x="286"/>
        <item m="1" x="239"/>
        <item m="1" x="247"/>
        <item m="1" x="240"/>
        <item m="1" x="217"/>
        <item m="1" x="164"/>
        <item m="1" x="261"/>
        <item m="1" x="162"/>
        <item m="1" x="328"/>
        <item m="1" x="208"/>
        <item m="1" x="309"/>
        <item m="1" x="322"/>
        <item m="1" x="218"/>
        <item m="1" x="211"/>
        <item m="1" x="315"/>
        <item m="1" x="272"/>
        <item m="1" x="273"/>
        <item m="1" x="311"/>
        <item m="1" x="231"/>
        <item m="1" x="304"/>
        <item m="1" x="178"/>
        <item m="1" x="199"/>
        <item m="1" x="349"/>
        <item m="1" x="281"/>
        <item m="1" x="323"/>
        <item m="1" x="250"/>
        <item m="1" x="325"/>
        <item m="1" x="336"/>
        <item m="1" x="258"/>
        <item m="1" x="283"/>
        <item m="1" x="277"/>
        <item m="1" x="320"/>
        <item m="1" x="318"/>
        <item m="1" x="204"/>
        <item m="1" x="341"/>
        <item m="1" x="275"/>
        <item m="1" x="300"/>
        <item m="1" x="317"/>
        <item m="1" x="345"/>
        <item m="1" x="352"/>
        <item m="1" x="254"/>
        <item m="1" x="238"/>
        <item m="1" x="237"/>
        <item m="1" x="288"/>
        <item m="1" x="242"/>
        <item m="1" x="297"/>
        <item m="1" x="192"/>
        <item m="1" x="260"/>
        <item m="1" x="295"/>
        <item m="1" x="319"/>
        <item m="1" x="257"/>
        <item m="1" x="248"/>
        <item m="1" x="186"/>
        <item m="1" x="327"/>
        <item m="1" x="206"/>
        <item m="1" x="226"/>
        <item m="1" x="269"/>
        <item m="1" x="280"/>
        <item m="1" x="227"/>
        <item m="1" x="176"/>
        <item m="1" x="274"/>
        <item m="1" x="285"/>
        <item m="1" x="213"/>
        <item m="1" x="308"/>
        <item m="1" x="324"/>
        <item m="1" x="262"/>
        <item m="1" x="216"/>
        <item m="1" x="228"/>
        <item m="1" x="205"/>
        <item m="1" x="290"/>
        <item m="1" x="173"/>
        <item m="1" x="299"/>
        <item m="1" x="316"/>
        <item m="1" x="337"/>
        <item m="1" x="312"/>
        <item m="1" x="330"/>
        <item m="1" x="350"/>
        <item m="1" x="229"/>
        <item m="1" x="307"/>
        <item m="1" x="347"/>
        <item m="1" x="187"/>
        <item m="1" x="201"/>
        <item m="1" x="234"/>
        <item m="1" x="276"/>
        <item m="1" x="179"/>
        <item m="1" x="184"/>
        <item m="1" x="159"/>
        <item m="1" x="170"/>
        <item m="1" x="329"/>
        <item m="1" x="241"/>
        <item m="1" x="326"/>
        <item m="1" x="202"/>
        <item m="1" x="331"/>
        <item m="1" x="294"/>
        <item m="1" x="267"/>
        <item m="1" x="215"/>
        <item m="1" x="293"/>
        <item m="1" x="163"/>
        <item m="1" x="314"/>
        <item m="1" x="244"/>
        <item m="1" x="167"/>
        <item m="1" x="292"/>
        <item m="1" x="175"/>
        <item m="1" x="196"/>
        <item m="1" x="253"/>
        <item m="1" x="219"/>
        <item m="1" x="209"/>
        <item m="1" x="200"/>
        <item m="1" x="346"/>
        <item m="1" x="351"/>
        <item m="1" x="338"/>
        <item m="1" x="344"/>
        <item m="1" x="255"/>
        <item m="1" x="188"/>
        <item m="1" x="177"/>
        <item m="1" x="271"/>
        <item m="1" x="342"/>
        <item m="1" x="235"/>
        <item m="1" x="310"/>
        <item m="1" x="303"/>
        <item m="1" x="302"/>
        <item m="1" x="182"/>
        <item m="1" x="289"/>
        <item m="1" x="221"/>
        <item m="1" x="270"/>
        <item m="1" x="194"/>
        <item m="1" x="169"/>
        <item m="1" x="332"/>
        <item m="1" x="334"/>
        <item m="1" x="233"/>
        <item m="1" x="191"/>
        <item m="1" x="212"/>
        <item m="1" x="207"/>
        <item m="1" x="203"/>
        <item m="1" x="333"/>
        <item m="1" x="174"/>
        <item m="1" x="343"/>
        <item m="1" x="249"/>
        <item m="1" x="298"/>
        <item m="1" x="222"/>
        <item m="1" x="214"/>
        <item m="1" x="223"/>
        <item m="1" x="190"/>
        <item m="1" x="348"/>
        <item m="1" x="268"/>
        <item m="1" x="263"/>
        <item m="1" x="181"/>
        <item m="1" x="313"/>
        <item m="1" x="183"/>
        <item m="1" x="282"/>
        <item m="1" x="259"/>
        <item m="1" x="251"/>
        <item m="1" x="230"/>
        <item m="1" x="210"/>
        <item m="1" x="195"/>
        <item m="1" x="171"/>
        <item m="1" x="165"/>
        <item m="1" x="339"/>
        <item m="1" x="321"/>
        <item m="1" x="180"/>
        <item m="1" x="224"/>
        <item m="1" x="193"/>
        <item m="1" x="166"/>
        <item m="1" x="340"/>
        <item m="1" x="305"/>
        <item m="1" x="287"/>
        <item m="1" x="264"/>
        <item m="1" x="198"/>
        <item m="1" x="168"/>
        <item m="1" x="161"/>
        <item m="1" x="172"/>
        <item m="1" x="185"/>
        <item m="1" x="306"/>
        <item m="1" x="266"/>
        <item m="1" x="225"/>
        <item x="2"/>
        <item m="1" x="243"/>
        <item m="1" x="220"/>
        <item m="1" x="301"/>
        <item m="1" x="197"/>
        <item m="1" x="256"/>
        <item m="1" x="284"/>
        <item m="1" x="232"/>
        <item m="1" x="296"/>
        <item m="1" x="291"/>
        <item m="1" x="160"/>
        <item m="1" x="278"/>
        <item m="1" x="252"/>
        <item m="1" x="152"/>
        <item m="1" x="335"/>
        <item m="1" x="158"/>
        <item m="1" x="154"/>
        <item m="1" x="157"/>
        <item m="1" x="153"/>
        <item m="1" x="156"/>
        <item m="1" x="155"/>
        <item m="1" x="148"/>
        <item m="1" x="138"/>
        <item m="1" x="139"/>
        <item m="1" x="140"/>
        <item m="1" x="141"/>
        <item m="1" x="142"/>
        <item m="1" x="143"/>
        <item m="1" x="144"/>
        <item m="1" x="151"/>
        <item m="1" x="145"/>
        <item m="1" x="150"/>
        <item m="1" x="149"/>
        <item m="1" x="146"/>
        <item m="1" x="147"/>
        <item m="1" x="122"/>
        <item m="1" x="123"/>
        <item m="1" x="124"/>
        <item m="1" x="125"/>
        <item m="1" x="126"/>
        <item m="1" x="127"/>
        <item m="1" x="128"/>
        <item m="1" x="129"/>
        <item m="1" x="130"/>
        <item m="1" x="131"/>
        <item m="1" x="132"/>
        <item m="1" x="133"/>
        <item m="1" x="134"/>
        <item m="1" x="135"/>
        <item m="1" x="136"/>
        <item m="1" x="137"/>
        <item m="1" x="94"/>
        <item m="1" x="95"/>
        <item m="1" x="71"/>
        <item m="1" x="72"/>
        <item m="1" x="96"/>
        <item m="1" x="74"/>
        <item m="1" x="75"/>
        <item m="1" x="76"/>
        <item m="1" x="78"/>
        <item m="1" x="79"/>
        <item m="1" x="80"/>
        <item m="1" x="81"/>
        <item m="1" x="82"/>
        <item m="1" x="83"/>
        <item m="1" x="84"/>
        <item m="1" x="85"/>
        <item m="1" x="86"/>
        <item m="1" x="87"/>
        <item m="1" x="88"/>
        <item m="1" x="89"/>
        <item m="1" x="90"/>
        <item m="1" x="91"/>
        <item m="1" x="77"/>
        <item m="1" x="120"/>
        <item m="1" x="121"/>
        <item m="1" x="116"/>
        <item m="1" x="118"/>
        <item m="1" x="119"/>
        <item m="1" x="117"/>
        <item m="1" x="115"/>
        <item m="1" x="92"/>
        <item m="1" x="93"/>
        <item m="1" x="106"/>
        <item m="1" x="112"/>
        <item m="1" x="113"/>
        <item m="1" x="114"/>
        <item x="0"/>
        <item x="1"/>
        <item m="1" x="100"/>
        <item m="1" x="101"/>
        <item m="1" x="102"/>
        <item m="1" x="103"/>
        <item m="1" x="104"/>
        <item m="1" x="105"/>
        <item m="1" x="97"/>
        <item m="1" x="98"/>
        <item m="1" x="70"/>
        <item m="1" x="108"/>
        <item m="1" x="111"/>
        <item m="1" x="110"/>
        <item m="1" x="109"/>
        <item m="1" x="107"/>
        <item m="1" x="99"/>
        <item x="3"/>
        <item m="1" x="69"/>
        <item m="1" x="7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17"/>
        <item x="5"/>
        <item x="4"/>
        <item x="30"/>
        <item m="1" x="63"/>
        <item x="32"/>
        <item m="1" x="68"/>
        <item m="1" x="67"/>
        <item m="1" x="66"/>
        <item m="1" x="65"/>
        <item x="39"/>
        <item x="40"/>
        <item x="37"/>
        <item m="1" x="64"/>
        <item x="38"/>
        <item m="1" x="62"/>
        <item x="31"/>
        <item m="1" x="53"/>
        <item m="1" x="59"/>
        <item m="1" x="61"/>
        <item m="1" x="55"/>
        <item x="33"/>
        <item x="34"/>
        <item x="35"/>
        <item m="1" x="60"/>
        <item m="1" x="57"/>
        <item m="1" x="54"/>
        <item x="36"/>
        <item m="1" x="58"/>
        <item m="1" x="56"/>
        <item m="1" x="50"/>
        <item m="1" x="51"/>
        <item m="1" x="52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50">
    <i>
      <x v="3"/>
    </i>
    <i>
      <x v="182"/>
    </i>
    <i>
      <x v="269"/>
    </i>
    <i>
      <x v="270"/>
    </i>
    <i>
      <x v="286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7"/>
    </i>
    <i>
      <x v="322"/>
    </i>
    <i>
      <x v="323"/>
    </i>
    <i>
      <x v="324"/>
    </i>
    <i>
      <x v="326"/>
    </i>
    <i>
      <x v="328"/>
    </i>
    <i>
      <x v="333"/>
    </i>
    <i>
      <x v="334"/>
    </i>
    <i>
      <x v="335"/>
    </i>
    <i>
      <x v="339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CO2 CumCap" fld="1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499077-0A89-4443-BB91-74C89289A8EE}" name="PivotTable14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D6:AE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CBAM" fld="1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56" firstHeaderRow="1" firstDataRow="1" firstDataCol="2"/>
  <pivotFields count="17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51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50">
    <i>
      <x/>
      <x v="2"/>
    </i>
    <i>
      <x v="2"/>
      <x/>
    </i>
    <i>
      <x v="3"/>
      <x/>
    </i>
    <i>
      <x v="4"/>
      <x/>
    </i>
    <i>
      <x v="5"/>
      <x/>
    </i>
    <i>
      <x v="6"/>
      <x/>
    </i>
    <i>
      <x v="7"/>
      <x/>
    </i>
    <i>
      <x v="8"/>
      <x/>
    </i>
    <i>
      <x v="9"/>
      <x/>
    </i>
    <i>
      <x v="10"/>
      <x/>
    </i>
    <i>
      <x v="11"/>
      <x/>
    </i>
    <i>
      <x v="12"/>
      <x/>
    </i>
    <i>
      <x v="13"/>
      <x/>
    </i>
    <i>
      <x v="14"/>
      <x/>
    </i>
    <i>
      <x v="15"/>
      <x/>
    </i>
    <i>
      <x v="16"/>
      <x/>
    </i>
    <i>
      <x v="17"/>
      <x/>
    </i>
    <i>
      <x v="18"/>
      <x/>
    </i>
    <i>
      <x v="19"/>
      <x/>
    </i>
    <i>
      <x v="20"/>
      <x/>
    </i>
    <i>
      <x v="21"/>
      <x/>
    </i>
    <i>
      <x v="22"/>
      <x/>
    </i>
    <i>
      <x v="23"/>
      <x/>
    </i>
    <i>
      <x v="24"/>
      <x/>
    </i>
    <i>
      <x v="25"/>
      <x/>
    </i>
    <i>
      <x v="26"/>
      <x/>
    </i>
    <i>
      <x v="27"/>
      <x/>
    </i>
    <i>
      <x v="28"/>
      <x/>
    </i>
    <i>
      <x v="29"/>
      <x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17938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56" firstHeaderRow="1" firstDataRow="1" firstDataCol="1"/>
  <pivotFields count="17">
    <pivotField dataField="1"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56" firstHeaderRow="0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1" baseField="0" baseItem="0"/>
    <dataField name="COM" fld="12" baseField="0" baseItem="0"/>
    <dataField name="TRA" fld="13" baseField="0" baseItem="0"/>
    <dataField name="WASTE" fld="14" baseField="0" baseItem="0"/>
    <dataField name="AFOLU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17932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56" firstHeaderRow="1" firstDataRow="1" firstDataCol="1"/>
  <pivotFields count="17">
    <pivotField showAll="0"/>
    <pivotField axis="axisRow" showAll="0">
      <items count="52">
        <item m="1" x="50"/>
        <item x="49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7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17938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56" firstHeaderRow="1" firstDataRow="1" firstDataCol="1"/>
  <pivotFields count="17">
    <pivotField showAll="0"/>
    <pivotField axis="axisRow" showAll="0">
      <items count="52">
        <item x="49"/>
        <item m="1" x="50"/>
        <item x="0"/>
        <item x="1"/>
        <item x="2"/>
        <item x="3"/>
        <item x="6"/>
        <item x="7"/>
        <item x="8"/>
        <item x="9"/>
        <item x="10"/>
        <item x="11"/>
        <item x="12"/>
        <item x="13"/>
        <item x="14"/>
        <item x="15"/>
        <item x="16"/>
        <item x="18"/>
        <item x="19"/>
        <item x="20"/>
        <item x="21"/>
        <item x="22"/>
        <item x="23"/>
        <item x="24"/>
        <item x="25"/>
        <item x="26"/>
        <item x="27"/>
        <item x="28"/>
        <item x="17"/>
        <item x="29"/>
        <item x="5"/>
        <item x="4"/>
        <item x="30"/>
        <item x="32"/>
        <item x="39"/>
        <item x="40"/>
        <item x="37"/>
        <item x="38"/>
        <item x="31"/>
        <item x="33"/>
        <item x="34"/>
        <item x="35"/>
        <item x="36"/>
        <item x="41"/>
        <item x="42"/>
        <item x="43"/>
        <item x="44"/>
        <item x="45"/>
        <item x="46"/>
        <item x="47"/>
        <item x="48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50">
    <i>
      <x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K9" dT="2024-01-18T15:16:28.73" personId="{1B5620DA-B06A-4AF7-8F88-06408EAE442C}" id="{E06A0201-60A9-4F03-B29D-3C7C0689567C}">
    <text>1 = world A (NZ for all), CBAM coded to go up to 250$/ton by 2050. 2 = world B (NZ for some countries), CBAM coded to stay constant at 2030 value.</text>
  </threadedComment>
  <threadedComment ref="D14" dT="2020-08-07T12:32:29.60" personId="{8A307EF1-062C-4DD1-801F-D45833AE4B68}" id="{CB7120FF-BD0F-4216-BB52-4AEFC9918079}">
    <text>Note that there is still a problem running with other cases here - still looking into it.</text>
  </threadedComment>
  <threadedComment ref="D15" dT="2020-08-07T12:32:29.60" personId="{8A307EF1-062C-4DD1-801F-D45833AE4B68}" id="{544E2065-F6A0-42F6-A293-72328BDF32A5}">
    <text>Note that there is still a problem running with other cases here - still looking into it.</text>
  </threadedComment>
  <threadedComment ref="D16" dT="2020-08-07T12:32:29.60" personId="{8A307EF1-062C-4DD1-801F-D45833AE4B68}" id="{83CA511A-FBD5-43F7-B8F0-E5362C3DCE52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4"/>
  <sheetViews>
    <sheetView workbookViewId="0">
      <selection activeCell="A6" sqref="A6:E8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201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202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"Sets!"&amp;ADDRESS(ROW(Sets!AG7),COLUMN(Sets!AG7),4)</f>
        <v>Sets!AG7</v>
      </c>
      <c r="D18">
        <v>1</v>
      </c>
    </row>
    <row r="19" spans="1:5">
      <c r="A19" t="s">
        <v>3</v>
      </c>
      <c r="B19" t="s">
        <v>55</v>
      </c>
      <c r="C19" t="str">
        <f>"Sets!"&amp;ADDRESS(ROW(Sets!AH7),COLUMN(Sets!AH7),4)</f>
        <v>Sets!AH7</v>
      </c>
      <c r="D19">
        <v>1</v>
      </c>
    </row>
    <row r="20" spans="1:5">
      <c r="A20" t="s">
        <v>3</v>
      </c>
      <c r="B20" t="s">
        <v>215</v>
      </c>
      <c r="C20" t="str">
        <f>"Sets!"&amp;ADDRESS(ROW(Sets!AI7),COLUMN(Sets!AI7),4)</f>
        <v>Sets!AI7</v>
      </c>
      <c r="D20">
        <v>1</v>
      </c>
    </row>
    <row r="21" spans="1:5">
      <c r="A21" t="s">
        <v>3</v>
      </c>
      <c r="B21" t="s">
        <v>218</v>
      </c>
      <c r="C21" t="str">
        <f>"Sets!"&amp;ADDRESS(ROW(Sets!AJ7),COLUMN(Sets!AJ7),4)</f>
        <v>Sets!AJ7</v>
      </c>
      <c r="D21">
        <v>1</v>
      </c>
    </row>
    <row r="22" spans="1:5">
      <c r="A22" t="s">
        <v>2</v>
      </c>
      <c r="B22" t="s">
        <v>163</v>
      </c>
      <c r="C22" t="str">
        <f>"Sets!"&amp;ADDRESS(ROW(Sets!S6),COLUMN(Sets!S6),4)</f>
        <v>Sets!S6</v>
      </c>
      <c r="D22">
        <v>1</v>
      </c>
      <c r="E22">
        <v>1</v>
      </c>
    </row>
    <row r="23" spans="1:5">
      <c r="A23" t="s">
        <v>2</v>
      </c>
      <c r="B23" t="s">
        <v>224</v>
      </c>
      <c r="C23" t="str">
        <f>"Sets!"&amp;ADDRESS(ROW(Sets!AD7),COLUMN(Sets!AD7),4)</f>
        <v>Sets!AD7</v>
      </c>
      <c r="D23">
        <v>1</v>
      </c>
    </row>
    <row r="24" spans="1:5">
      <c r="A24" t="s">
        <v>2</v>
      </c>
      <c r="B24" t="s">
        <v>205</v>
      </c>
      <c r="C24" t="str">
        <f>"Sets!"&amp;ADDRESS(ROW(Sets!AA7),COLUMN(Sets!AA7),4)</f>
        <v>Sets!AA7</v>
      </c>
      <c r="D24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P84"/>
  <sheetViews>
    <sheetView topLeftCell="Z1" workbookViewId="0">
      <selection activeCell="AG19" sqref="AG19:AG43"/>
    </sheetView>
  </sheetViews>
  <sheetFormatPr defaultRowHeight="15"/>
  <cols>
    <col min="1" max="2" width="33" bestFit="1" customWidth="1"/>
    <col min="3" max="3" width="13.140625" customWidth="1"/>
    <col min="4" max="4" width="13.140625" bestFit="1" customWidth="1"/>
    <col min="5" max="5" width="33" bestFit="1" customWidth="1"/>
    <col min="6" max="6" width="23" bestFit="1" customWidth="1"/>
    <col min="7" max="7" width="33" bestFit="1" customWidth="1"/>
    <col min="8" max="8" width="19.85546875" bestFit="1" customWidth="1"/>
    <col min="9" max="9" width="33" bestFit="1" customWidth="1"/>
    <col min="10" max="10" width="18.5703125" bestFit="1" customWidth="1"/>
    <col min="11" max="11" width="33" bestFit="1" customWidth="1"/>
    <col min="12" max="12" width="20.7109375" bestFit="1" customWidth="1"/>
    <col min="13" max="13" width="33" bestFit="1" customWidth="1"/>
    <col min="14" max="14" width="21" bestFit="1" customWidth="1"/>
    <col min="15" max="15" width="23.140625" customWidth="1"/>
    <col min="16" max="16" width="33" bestFit="1" customWidth="1"/>
    <col min="17" max="17" width="16.7109375" bestFit="1" customWidth="1"/>
    <col min="18" max="18" width="18" bestFit="1" customWidth="1"/>
    <col min="19" max="19" width="33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33" bestFit="1" customWidth="1"/>
    <col min="28" max="28" width="19.140625" bestFit="1" customWidth="1"/>
    <col min="29" max="29" width="20.140625" customWidth="1"/>
    <col min="30" max="30" width="33" bestFit="1" customWidth="1"/>
    <col min="31" max="31" width="12.85546875" bestFit="1" customWidth="1"/>
    <col min="32" max="32" width="20.140625" customWidth="1"/>
    <col min="33" max="33" width="10" style="10" bestFit="1" customWidth="1"/>
    <col min="34" max="34" width="11.5703125" style="10" bestFit="1" customWidth="1"/>
    <col min="35" max="36" width="23.140625" customWidth="1"/>
    <col min="37" max="37" width="16.7109375" customWidth="1"/>
    <col min="38" max="38" width="19" customWidth="1"/>
  </cols>
  <sheetData>
    <row r="5" spans="1:42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195</v>
      </c>
      <c r="K5" s="1" t="s">
        <v>197</v>
      </c>
      <c r="M5" s="1" t="s">
        <v>198</v>
      </c>
      <c r="O5" s="1" t="s">
        <v>66</v>
      </c>
      <c r="Q5" s="1" t="s">
        <v>67</v>
      </c>
      <c r="S5" s="1" t="s">
        <v>163</v>
      </c>
      <c r="AA5" s="1" t="s">
        <v>203</v>
      </c>
      <c r="AD5" s="1" t="s">
        <v>222</v>
      </c>
      <c r="AG5" s="1" t="s">
        <v>53</v>
      </c>
      <c r="AH5" s="1" t="s">
        <v>56</v>
      </c>
      <c r="AI5" s="1" t="s">
        <v>214</v>
      </c>
      <c r="AJ5" s="1" t="s">
        <v>217</v>
      </c>
      <c r="AP5" s="1" t="s">
        <v>27</v>
      </c>
    </row>
    <row r="6" spans="1:42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199</v>
      </c>
      <c r="M6" s="8" t="s">
        <v>33</v>
      </c>
      <c r="N6" t="s">
        <v>200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204</v>
      </c>
      <c r="AC6" s="8"/>
      <c r="AD6" s="8" t="s">
        <v>33</v>
      </c>
      <c r="AE6" t="s">
        <v>223</v>
      </c>
      <c r="AF6" s="8"/>
      <c r="AG6" s="12" t="s">
        <v>54</v>
      </c>
      <c r="AH6" s="12" t="s">
        <v>55</v>
      </c>
      <c r="AI6" t="s">
        <v>215</v>
      </c>
      <c r="AJ6" t="s">
        <v>218</v>
      </c>
    </row>
    <row r="7" spans="1:42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4">
        <v>0</v>
      </c>
      <c r="G7" s="9" t="s">
        <v>193</v>
      </c>
      <c r="H7" s="24"/>
      <c r="I7" s="9" t="s">
        <v>193</v>
      </c>
      <c r="J7" s="24"/>
      <c r="K7" s="9" t="s">
        <v>193</v>
      </c>
      <c r="L7" s="24"/>
      <c r="M7" s="9" t="s">
        <v>193</v>
      </c>
      <c r="N7" s="24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4"/>
      <c r="U7" s="24"/>
      <c r="V7" s="24"/>
      <c r="W7" s="24"/>
      <c r="X7" s="24"/>
      <c r="AA7" s="9" t="s">
        <v>193</v>
      </c>
      <c r="AB7" s="24"/>
      <c r="AD7" s="9" t="s">
        <v>193</v>
      </c>
      <c r="AE7" s="24">
        <v>38</v>
      </c>
      <c r="AG7" s="10">
        <v>2019</v>
      </c>
      <c r="AH7" s="10">
        <f>2056-Scenarios!G6</f>
        <v>2053</v>
      </c>
      <c r="AI7" s="10">
        <v>2017</v>
      </c>
      <c r="AJ7">
        <v>2018</v>
      </c>
      <c r="AP7" t="s">
        <v>14</v>
      </c>
    </row>
    <row r="8" spans="1:42">
      <c r="A8" s="9" t="s">
        <v>219</v>
      </c>
      <c r="B8" s="9" t="s">
        <v>221</v>
      </c>
      <c r="C8" s="9" t="s">
        <v>31</v>
      </c>
      <c r="D8" s="9" t="s">
        <v>193</v>
      </c>
      <c r="E8" s="9" t="s">
        <v>219</v>
      </c>
      <c r="F8" s="24">
        <v>0</v>
      </c>
      <c r="G8" s="9" t="s">
        <v>219</v>
      </c>
      <c r="H8" s="24">
        <v>1</v>
      </c>
      <c r="I8" s="9" t="s">
        <v>219</v>
      </c>
      <c r="J8" s="24">
        <v>1</v>
      </c>
      <c r="K8" s="9" t="s">
        <v>219</v>
      </c>
      <c r="L8" s="24">
        <v>1</v>
      </c>
      <c r="M8" s="9" t="s">
        <v>219</v>
      </c>
      <c r="N8" s="24">
        <v>1</v>
      </c>
      <c r="O8" t="s">
        <v>219</v>
      </c>
      <c r="P8" t="s">
        <v>219</v>
      </c>
      <c r="Q8" t="s">
        <v>219</v>
      </c>
      <c r="R8" t="s">
        <v>30</v>
      </c>
      <c r="S8" s="9" t="s">
        <v>219</v>
      </c>
      <c r="T8" s="24">
        <v>-1</v>
      </c>
      <c r="U8" s="24">
        <v>1</v>
      </c>
      <c r="V8" s="24">
        <v>1</v>
      </c>
      <c r="W8" s="24">
        <v>1</v>
      </c>
      <c r="X8" s="24">
        <v>-1</v>
      </c>
      <c r="AA8" s="9" t="s">
        <v>219</v>
      </c>
      <c r="AB8" s="24">
        <v>100</v>
      </c>
      <c r="AD8" s="9" t="s">
        <v>219</v>
      </c>
      <c r="AE8" s="24">
        <v>1</v>
      </c>
      <c r="AG8" s="10">
        <v>2020</v>
      </c>
      <c r="AH8" s="10">
        <f>IF(OR(AH7=2055,AH7=""),"",AH7+1)</f>
        <v>2054</v>
      </c>
      <c r="AI8" s="10">
        <v>2018</v>
      </c>
      <c r="AJ8">
        <v>2019</v>
      </c>
      <c r="AK8" s="10">
        <v>2018</v>
      </c>
      <c r="AP8" t="s">
        <v>15</v>
      </c>
    </row>
    <row r="9" spans="1:42">
      <c r="A9" s="9" t="s">
        <v>220</v>
      </c>
      <c r="B9" s="9" t="s">
        <v>219</v>
      </c>
      <c r="C9" s="9" t="s">
        <v>32</v>
      </c>
      <c r="E9" s="9" t="s">
        <v>220</v>
      </c>
      <c r="F9" s="24">
        <v>0</v>
      </c>
      <c r="G9" s="9" t="s">
        <v>220</v>
      </c>
      <c r="H9" s="24">
        <v>1</v>
      </c>
      <c r="I9" s="9" t="s">
        <v>220</v>
      </c>
      <c r="J9" s="24">
        <v>1</v>
      </c>
      <c r="K9" s="9" t="s">
        <v>220</v>
      </c>
      <c r="L9" s="24">
        <v>1</v>
      </c>
      <c r="M9" s="9" t="s">
        <v>220</v>
      </c>
      <c r="N9" s="24">
        <v>1</v>
      </c>
      <c r="O9" t="s">
        <v>220</v>
      </c>
      <c r="P9" t="s">
        <v>220</v>
      </c>
      <c r="Q9" t="s">
        <v>220</v>
      </c>
      <c r="R9" t="s">
        <v>30</v>
      </c>
      <c r="S9" s="9" t="s">
        <v>220</v>
      </c>
      <c r="T9" s="24">
        <v>-1</v>
      </c>
      <c r="U9" s="24">
        <v>1</v>
      </c>
      <c r="V9" s="24">
        <v>1</v>
      </c>
      <c r="W9" s="24">
        <v>1</v>
      </c>
      <c r="X9" s="24">
        <v>-1</v>
      </c>
      <c r="AA9" s="9" t="s">
        <v>220</v>
      </c>
      <c r="AB9" s="24">
        <v>100</v>
      </c>
      <c r="AD9" s="9" t="s">
        <v>220</v>
      </c>
      <c r="AE9" s="24">
        <v>1</v>
      </c>
      <c r="AG9" s="10">
        <v>2021</v>
      </c>
      <c r="AH9" s="10">
        <f t="shared" ref="AH9:AH15" si="0">IF(OR(AH8=2055,AH8=""),"",AH8+1)</f>
        <v>2055</v>
      </c>
      <c r="AI9" s="10">
        <v>2019</v>
      </c>
      <c r="AJ9">
        <v>2020</v>
      </c>
      <c r="AP9" t="s">
        <v>16</v>
      </c>
    </row>
    <row r="10" spans="1:42">
      <c r="A10" s="9" t="s">
        <v>221</v>
      </c>
      <c r="B10" s="9" t="s">
        <v>220</v>
      </c>
      <c r="C10" s="9" t="s">
        <v>46</v>
      </c>
      <c r="E10" s="9" t="s">
        <v>221</v>
      </c>
      <c r="F10" s="24">
        <v>0</v>
      </c>
      <c r="G10" s="9" t="s">
        <v>221</v>
      </c>
      <c r="H10" s="24">
        <v>1</v>
      </c>
      <c r="I10" s="9" t="s">
        <v>221</v>
      </c>
      <c r="J10" s="24">
        <v>1</v>
      </c>
      <c r="K10" s="9" t="s">
        <v>221</v>
      </c>
      <c r="L10" s="24">
        <v>1</v>
      </c>
      <c r="M10" s="9" t="s">
        <v>221</v>
      </c>
      <c r="N10" s="24">
        <v>1</v>
      </c>
      <c r="O10" t="s">
        <v>221</v>
      </c>
      <c r="P10" t="s">
        <v>221</v>
      </c>
      <c r="Q10" t="s">
        <v>221</v>
      </c>
      <c r="R10" t="s">
        <v>30</v>
      </c>
      <c r="S10" s="9" t="s">
        <v>221</v>
      </c>
      <c r="T10" s="24">
        <v>-1</v>
      </c>
      <c r="U10" s="24">
        <v>1</v>
      </c>
      <c r="V10" s="24">
        <v>1</v>
      </c>
      <c r="W10" s="24">
        <v>1</v>
      </c>
      <c r="X10" s="24">
        <v>-1</v>
      </c>
      <c r="AA10" s="9" t="s">
        <v>221</v>
      </c>
      <c r="AB10" s="24">
        <v>100</v>
      </c>
      <c r="AD10" s="9" t="s">
        <v>221</v>
      </c>
      <c r="AE10" s="24">
        <v>1</v>
      </c>
      <c r="AG10" s="10">
        <v>2022</v>
      </c>
      <c r="AH10" s="10" t="str">
        <f t="shared" si="0"/>
        <v/>
      </c>
      <c r="AI10" s="10">
        <v>2020</v>
      </c>
      <c r="AJ10">
        <v>2021</v>
      </c>
      <c r="AP10" t="s">
        <v>17</v>
      </c>
    </row>
    <row r="11" spans="1:42">
      <c r="A11" s="9" t="s">
        <v>225</v>
      </c>
      <c r="B11" s="9" t="s">
        <v>225</v>
      </c>
      <c r="C11" s="9" t="s">
        <v>47</v>
      </c>
      <c r="E11" s="9" t="s">
        <v>225</v>
      </c>
      <c r="F11" s="24">
        <v>0</v>
      </c>
      <c r="G11" s="9" t="s">
        <v>225</v>
      </c>
      <c r="H11" s="24">
        <v>1</v>
      </c>
      <c r="I11" s="9" t="s">
        <v>225</v>
      </c>
      <c r="J11" s="24">
        <v>1</v>
      </c>
      <c r="K11" s="9" t="s">
        <v>225</v>
      </c>
      <c r="L11" s="24">
        <v>1</v>
      </c>
      <c r="M11" s="9" t="s">
        <v>225</v>
      </c>
      <c r="N11" s="24">
        <v>1</v>
      </c>
      <c r="O11" t="s">
        <v>225</v>
      </c>
      <c r="P11" t="s">
        <v>225</v>
      </c>
      <c r="Q11" t="s">
        <v>225</v>
      </c>
      <c r="R11" t="s">
        <v>30</v>
      </c>
      <c r="S11" s="9" t="s">
        <v>225</v>
      </c>
      <c r="T11" s="24">
        <v>-1</v>
      </c>
      <c r="U11" s="24">
        <v>1</v>
      </c>
      <c r="V11" s="24">
        <v>1</v>
      </c>
      <c r="W11" s="24">
        <v>1</v>
      </c>
      <c r="X11" s="24">
        <v>-1</v>
      </c>
      <c r="AA11" s="9" t="s">
        <v>225</v>
      </c>
      <c r="AB11" s="24">
        <v>100</v>
      </c>
      <c r="AD11" s="9" t="s">
        <v>225</v>
      </c>
      <c r="AE11" s="24">
        <v>1</v>
      </c>
      <c r="AG11" s="10">
        <v>2023</v>
      </c>
      <c r="AH11" s="10" t="str">
        <f t="shared" si="0"/>
        <v/>
      </c>
      <c r="AI11" s="10">
        <v>2021</v>
      </c>
      <c r="AJ11">
        <v>2022</v>
      </c>
      <c r="AP11" t="s">
        <v>18</v>
      </c>
    </row>
    <row r="12" spans="1:42">
      <c r="A12" s="9" t="s">
        <v>228</v>
      </c>
      <c r="B12" s="9" t="s">
        <v>228</v>
      </c>
      <c r="C12" s="9" t="s">
        <v>48</v>
      </c>
      <c r="D12" s="9"/>
      <c r="E12" s="9" t="s">
        <v>228</v>
      </c>
      <c r="F12" s="24">
        <v>1</v>
      </c>
      <c r="G12" s="9" t="s">
        <v>228</v>
      </c>
      <c r="H12" s="24">
        <v>1</v>
      </c>
      <c r="I12" s="9" t="s">
        <v>228</v>
      </c>
      <c r="J12" s="24">
        <v>1</v>
      </c>
      <c r="K12" s="9" t="s">
        <v>228</v>
      </c>
      <c r="L12" s="24">
        <v>1</v>
      </c>
      <c r="M12" s="9" t="s">
        <v>228</v>
      </c>
      <c r="N12" s="24">
        <v>1</v>
      </c>
      <c r="O12" t="s">
        <v>228</v>
      </c>
      <c r="P12" t="s">
        <v>228</v>
      </c>
      <c r="Q12" t="s">
        <v>228</v>
      </c>
      <c r="R12" t="s">
        <v>30</v>
      </c>
      <c r="S12" s="9" t="s">
        <v>228</v>
      </c>
      <c r="T12" s="24">
        <v>-1</v>
      </c>
      <c r="U12" s="24">
        <v>-1</v>
      </c>
      <c r="V12" s="24">
        <v>-1</v>
      </c>
      <c r="W12" s="24">
        <v>1</v>
      </c>
      <c r="X12" s="24">
        <v>-1</v>
      </c>
      <c r="AA12" s="9" t="s">
        <v>228</v>
      </c>
      <c r="AB12" s="24">
        <v>100</v>
      </c>
      <c r="AD12" s="9" t="s">
        <v>228</v>
      </c>
      <c r="AE12" s="24">
        <v>1</v>
      </c>
      <c r="AG12" s="10">
        <v>2024</v>
      </c>
      <c r="AH12" s="10" t="str">
        <f t="shared" si="0"/>
        <v/>
      </c>
      <c r="AI12" s="10">
        <v>2022</v>
      </c>
      <c r="AJ12">
        <v>2023</v>
      </c>
      <c r="AP12" t="s">
        <v>19</v>
      </c>
    </row>
    <row r="13" spans="1:42">
      <c r="A13" s="9" t="s">
        <v>229</v>
      </c>
      <c r="B13" s="9" t="s">
        <v>229</v>
      </c>
      <c r="C13" s="9" t="s">
        <v>49</v>
      </c>
      <c r="D13" s="9"/>
      <c r="E13" s="9" t="s">
        <v>229</v>
      </c>
      <c r="F13" s="24">
        <v>1</v>
      </c>
      <c r="G13" s="9" t="s">
        <v>229</v>
      </c>
      <c r="H13" s="24">
        <v>1</v>
      </c>
      <c r="I13" s="9" t="s">
        <v>229</v>
      </c>
      <c r="J13" s="24">
        <v>1</v>
      </c>
      <c r="K13" s="9" t="s">
        <v>229</v>
      </c>
      <c r="L13" s="24">
        <v>1</v>
      </c>
      <c r="M13" s="9" t="s">
        <v>229</v>
      </c>
      <c r="N13" s="24">
        <v>1</v>
      </c>
      <c r="O13" t="s">
        <v>229</v>
      </c>
      <c r="P13" t="s">
        <v>229</v>
      </c>
      <c r="Q13" t="s">
        <v>229</v>
      </c>
      <c r="R13" t="s">
        <v>30</v>
      </c>
      <c r="S13" s="9" t="s">
        <v>229</v>
      </c>
      <c r="T13" s="24">
        <v>-1</v>
      </c>
      <c r="U13" s="24">
        <v>-1</v>
      </c>
      <c r="V13" s="24">
        <v>-1</v>
      </c>
      <c r="W13" s="24">
        <v>1</v>
      </c>
      <c r="X13" s="24">
        <v>-1</v>
      </c>
      <c r="AA13" s="9" t="s">
        <v>229</v>
      </c>
      <c r="AB13" s="24">
        <v>100</v>
      </c>
      <c r="AD13" s="9" t="s">
        <v>229</v>
      </c>
      <c r="AE13" s="24">
        <v>2</v>
      </c>
      <c r="AG13" s="10">
        <v>2025</v>
      </c>
      <c r="AH13" s="10" t="str">
        <f t="shared" si="0"/>
        <v/>
      </c>
      <c r="AI13" s="10">
        <v>2023</v>
      </c>
      <c r="AJ13">
        <v>2024</v>
      </c>
      <c r="AP13" t="s">
        <v>20</v>
      </c>
    </row>
    <row r="14" spans="1:42">
      <c r="A14" s="9" t="s">
        <v>230</v>
      </c>
      <c r="B14" s="9" t="s">
        <v>230</v>
      </c>
      <c r="C14" s="9" t="s">
        <v>50</v>
      </c>
      <c r="D14" s="9"/>
      <c r="E14" s="9" t="s">
        <v>230</v>
      </c>
      <c r="F14" s="24">
        <v>1</v>
      </c>
      <c r="G14" s="9" t="s">
        <v>230</v>
      </c>
      <c r="H14" s="24">
        <v>1</v>
      </c>
      <c r="I14" s="9" t="s">
        <v>230</v>
      </c>
      <c r="J14" s="24">
        <v>1</v>
      </c>
      <c r="K14" s="9" t="s">
        <v>230</v>
      </c>
      <c r="L14" s="24">
        <v>1</v>
      </c>
      <c r="M14" s="9" t="s">
        <v>230</v>
      </c>
      <c r="N14" s="24">
        <v>1</v>
      </c>
      <c r="O14" t="s">
        <v>230</v>
      </c>
      <c r="P14" t="s">
        <v>230</v>
      </c>
      <c r="Q14" t="s">
        <v>230</v>
      </c>
      <c r="R14" t="s">
        <v>30</v>
      </c>
      <c r="S14" s="9" t="s">
        <v>230</v>
      </c>
      <c r="T14" s="24">
        <v>-1</v>
      </c>
      <c r="U14" s="24">
        <v>1</v>
      </c>
      <c r="V14" s="24">
        <v>1</v>
      </c>
      <c r="W14" s="24">
        <v>1</v>
      </c>
      <c r="X14" s="24">
        <v>-1</v>
      </c>
      <c r="AA14" s="9" t="s">
        <v>230</v>
      </c>
      <c r="AB14" s="24">
        <v>100</v>
      </c>
      <c r="AD14" s="9" t="s">
        <v>230</v>
      </c>
      <c r="AE14" s="24">
        <v>1</v>
      </c>
      <c r="AG14" s="10">
        <v>2026</v>
      </c>
      <c r="AH14" s="10" t="str">
        <f t="shared" si="0"/>
        <v/>
      </c>
      <c r="AI14" s="10">
        <v>2024</v>
      </c>
      <c r="AJ14">
        <v>2025</v>
      </c>
      <c r="AP14" t="s">
        <v>21</v>
      </c>
    </row>
    <row r="15" spans="1:42">
      <c r="A15" s="9" t="s">
        <v>231</v>
      </c>
      <c r="B15" s="9" t="s">
        <v>231</v>
      </c>
      <c r="C15" s="9" t="s">
        <v>51</v>
      </c>
      <c r="D15" s="9"/>
      <c r="E15" s="9" t="s">
        <v>231</v>
      </c>
      <c r="F15" s="24">
        <v>1</v>
      </c>
      <c r="G15" s="9" t="s">
        <v>231</v>
      </c>
      <c r="H15" s="24">
        <v>0</v>
      </c>
      <c r="I15" s="9" t="s">
        <v>231</v>
      </c>
      <c r="J15" s="24">
        <v>1</v>
      </c>
      <c r="K15" s="9" t="s">
        <v>231</v>
      </c>
      <c r="L15" s="24">
        <v>1</v>
      </c>
      <c r="M15" s="9" t="s">
        <v>231</v>
      </c>
      <c r="N15" s="24">
        <v>1</v>
      </c>
      <c r="O15" t="s">
        <v>231</v>
      </c>
      <c r="P15" t="s">
        <v>231</v>
      </c>
      <c r="Q15" t="s">
        <v>231</v>
      </c>
      <c r="R15" t="s">
        <v>30</v>
      </c>
      <c r="S15" s="9" t="s">
        <v>231</v>
      </c>
      <c r="T15" s="24">
        <v>-1</v>
      </c>
      <c r="U15" s="24">
        <v>1</v>
      </c>
      <c r="V15" s="24">
        <v>1</v>
      </c>
      <c r="W15" s="24">
        <v>1</v>
      </c>
      <c r="X15" s="24">
        <v>-1</v>
      </c>
      <c r="AA15" s="9" t="s">
        <v>231</v>
      </c>
      <c r="AB15" s="24">
        <v>100</v>
      </c>
      <c r="AD15" s="9" t="s">
        <v>231</v>
      </c>
      <c r="AE15" s="24">
        <v>2</v>
      </c>
      <c r="AG15" s="10">
        <v>2027</v>
      </c>
      <c r="AH15" s="10" t="str">
        <f t="shared" si="0"/>
        <v/>
      </c>
      <c r="AI15" s="10">
        <v>2025</v>
      </c>
      <c r="AJ15">
        <v>2026</v>
      </c>
      <c r="AP15" t="s">
        <v>22</v>
      </c>
    </row>
    <row r="16" spans="1:42">
      <c r="A16" s="9" t="s">
        <v>232</v>
      </c>
      <c r="B16" s="9" t="s">
        <v>232</v>
      </c>
      <c r="C16" s="9" t="s">
        <v>52</v>
      </c>
      <c r="D16" s="9"/>
      <c r="E16" s="9" t="s">
        <v>232</v>
      </c>
      <c r="F16" s="24">
        <v>1</v>
      </c>
      <c r="G16" s="9" t="s">
        <v>232</v>
      </c>
      <c r="H16" s="24">
        <v>1</v>
      </c>
      <c r="I16" s="9" t="s">
        <v>232</v>
      </c>
      <c r="J16" s="24">
        <v>1</v>
      </c>
      <c r="K16" s="9" t="s">
        <v>232</v>
      </c>
      <c r="L16" s="24">
        <v>1</v>
      </c>
      <c r="M16" s="9" t="s">
        <v>232</v>
      </c>
      <c r="N16" s="24">
        <v>1</v>
      </c>
      <c r="O16" t="s">
        <v>232</v>
      </c>
      <c r="P16" t="s">
        <v>232</v>
      </c>
      <c r="Q16" t="s">
        <v>232</v>
      </c>
      <c r="R16" t="s">
        <v>30</v>
      </c>
      <c r="S16" s="9" t="s">
        <v>232</v>
      </c>
      <c r="T16" s="24">
        <v>-1</v>
      </c>
      <c r="U16" s="24">
        <v>-1</v>
      </c>
      <c r="V16" s="24">
        <v>-1</v>
      </c>
      <c r="W16" s="24">
        <v>1</v>
      </c>
      <c r="X16" s="24">
        <v>-1</v>
      </c>
      <c r="AA16" s="9" t="s">
        <v>232</v>
      </c>
      <c r="AB16" s="24">
        <v>100</v>
      </c>
      <c r="AD16" s="9" t="s">
        <v>232</v>
      </c>
      <c r="AE16" s="24">
        <v>1</v>
      </c>
      <c r="AG16" s="10">
        <v>2028</v>
      </c>
      <c r="AI16" s="10">
        <v>2026</v>
      </c>
      <c r="AJ16">
        <v>2027</v>
      </c>
      <c r="AP16" t="s">
        <v>5</v>
      </c>
    </row>
    <row r="17" spans="1:42">
      <c r="A17" s="9" t="s">
        <v>233</v>
      </c>
      <c r="B17" s="9" t="s">
        <v>233</v>
      </c>
      <c r="E17" s="9" t="s">
        <v>233</v>
      </c>
      <c r="F17" s="24">
        <v>1</v>
      </c>
      <c r="G17" s="9" t="s">
        <v>233</v>
      </c>
      <c r="H17" s="24">
        <v>1</v>
      </c>
      <c r="I17" s="9" t="s">
        <v>233</v>
      </c>
      <c r="J17" s="24">
        <v>1</v>
      </c>
      <c r="K17" s="9" t="s">
        <v>233</v>
      </c>
      <c r="L17" s="24">
        <v>1</v>
      </c>
      <c r="M17" s="9" t="s">
        <v>233</v>
      </c>
      <c r="N17" s="24">
        <v>1</v>
      </c>
      <c r="O17" t="s">
        <v>233</v>
      </c>
      <c r="P17" t="s">
        <v>233</v>
      </c>
      <c r="Q17" t="s">
        <v>233</v>
      </c>
      <c r="R17" t="s">
        <v>30</v>
      </c>
      <c r="S17" s="9" t="s">
        <v>233</v>
      </c>
      <c r="T17" s="24">
        <v>-1</v>
      </c>
      <c r="U17" s="24">
        <v>1</v>
      </c>
      <c r="V17" s="24">
        <v>1</v>
      </c>
      <c r="W17" s="24">
        <v>1</v>
      </c>
      <c r="X17" s="24">
        <v>-1</v>
      </c>
      <c r="AA17" s="9" t="s">
        <v>233</v>
      </c>
      <c r="AB17" s="24">
        <v>100</v>
      </c>
      <c r="AD17" s="9" t="s">
        <v>233</v>
      </c>
      <c r="AE17" s="24">
        <v>1</v>
      </c>
      <c r="AG17" s="10">
        <v>2029</v>
      </c>
      <c r="AI17" s="10">
        <v>2027</v>
      </c>
      <c r="AJ17">
        <v>2028</v>
      </c>
      <c r="AP17" t="s">
        <v>23</v>
      </c>
    </row>
    <row r="18" spans="1:42">
      <c r="A18" s="9" t="s">
        <v>234</v>
      </c>
      <c r="B18" s="9" t="s">
        <v>234</v>
      </c>
      <c r="E18" s="9" t="s">
        <v>234</v>
      </c>
      <c r="F18" s="24">
        <v>1</v>
      </c>
      <c r="G18" s="9" t="s">
        <v>234</v>
      </c>
      <c r="H18" s="24">
        <v>1</v>
      </c>
      <c r="I18" s="9" t="s">
        <v>234</v>
      </c>
      <c r="J18" s="24">
        <v>1</v>
      </c>
      <c r="K18" s="9" t="s">
        <v>234</v>
      </c>
      <c r="L18" s="24">
        <v>1</v>
      </c>
      <c r="M18" s="9" t="s">
        <v>234</v>
      </c>
      <c r="N18" s="24">
        <v>1</v>
      </c>
      <c r="O18" t="s">
        <v>234</v>
      </c>
      <c r="P18" t="s">
        <v>234</v>
      </c>
      <c r="Q18" t="s">
        <v>234</v>
      </c>
      <c r="R18" t="s">
        <v>30</v>
      </c>
      <c r="S18" s="9" t="s">
        <v>234</v>
      </c>
      <c r="T18" s="24">
        <v>-1</v>
      </c>
      <c r="U18" s="24">
        <v>1</v>
      </c>
      <c r="V18" s="24">
        <v>1</v>
      </c>
      <c r="W18" s="24">
        <v>1</v>
      </c>
      <c r="X18" s="24">
        <v>-1</v>
      </c>
      <c r="AA18" s="9" t="s">
        <v>234</v>
      </c>
      <c r="AB18" s="24">
        <v>100</v>
      </c>
      <c r="AD18" s="9" t="s">
        <v>234</v>
      </c>
      <c r="AE18" s="24">
        <v>1</v>
      </c>
      <c r="AG18" s="10">
        <v>2030</v>
      </c>
      <c r="AI18" s="10">
        <v>2028</v>
      </c>
      <c r="AJ18">
        <v>2029</v>
      </c>
      <c r="AP18" t="s">
        <v>25</v>
      </c>
    </row>
    <row r="19" spans="1:42">
      <c r="A19" s="9" t="s">
        <v>235</v>
      </c>
      <c r="B19" s="9" t="s">
        <v>235</v>
      </c>
      <c r="E19" s="9" t="s">
        <v>235</v>
      </c>
      <c r="F19" s="24">
        <v>1</v>
      </c>
      <c r="G19" s="9" t="s">
        <v>235</v>
      </c>
      <c r="H19" s="24">
        <v>1</v>
      </c>
      <c r="I19" s="9" t="s">
        <v>235</v>
      </c>
      <c r="J19" s="24">
        <v>1</v>
      </c>
      <c r="K19" s="9" t="s">
        <v>235</v>
      </c>
      <c r="L19" s="24">
        <v>1</v>
      </c>
      <c r="M19" s="9" t="s">
        <v>235</v>
      </c>
      <c r="N19" s="24">
        <v>1</v>
      </c>
      <c r="O19" t="s">
        <v>235</v>
      </c>
      <c r="P19" t="s">
        <v>235</v>
      </c>
      <c r="Q19" t="s">
        <v>235</v>
      </c>
      <c r="R19" t="s">
        <v>30</v>
      </c>
      <c r="S19" s="9" t="s">
        <v>235</v>
      </c>
      <c r="T19" s="24">
        <v>-1</v>
      </c>
      <c r="U19" s="24">
        <v>1</v>
      </c>
      <c r="V19" s="24">
        <v>1</v>
      </c>
      <c r="W19" s="24">
        <v>1</v>
      </c>
      <c r="X19" s="24">
        <v>-1</v>
      </c>
      <c r="AA19" s="9" t="s">
        <v>235</v>
      </c>
      <c r="AB19" s="24">
        <v>100</v>
      </c>
      <c r="AD19" s="9" t="s">
        <v>235</v>
      </c>
      <c r="AE19" s="24">
        <v>1</v>
      </c>
      <c r="AG19" s="10">
        <v>2031</v>
      </c>
      <c r="AI19" s="10">
        <v>2029</v>
      </c>
      <c r="AJ19">
        <v>2030</v>
      </c>
      <c r="AP19" t="s">
        <v>24</v>
      </c>
    </row>
    <row r="20" spans="1:42">
      <c r="A20" s="9" t="s">
        <v>236</v>
      </c>
      <c r="B20" s="9" t="s">
        <v>236</v>
      </c>
      <c r="E20" s="9" t="s">
        <v>236</v>
      </c>
      <c r="F20" s="24">
        <v>1</v>
      </c>
      <c r="G20" s="9" t="s">
        <v>236</v>
      </c>
      <c r="H20" s="24">
        <v>1</v>
      </c>
      <c r="I20" s="9" t="s">
        <v>236</v>
      </c>
      <c r="J20" s="24">
        <v>1</v>
      </c>
      <c r="K20" s="9" t="s">
        <v>236</v>
      </c>
      <c r="L20" s="24">
        <v>1</v>
      </c>
      <c r="M20" s="9" t="s">
        <v>236</v>
      </c>
      <c r="N20" s="24">
        <v>1</v>
      </c>
      <c r="O20" t="s">
        <v>236</v>
      </c>
      <c r="P20" t="s">
        <v>236</v>
      </c>
      <c r="Q20" t="s">
        <v>236</v>
      </c>
      <c r="R20" t="s">
        <v>30</v>
      </c>
      <c r="S20" s="9" t="s">
        <v>236</v>
      </c>
      <c r="T20" s="24">
        <v>-1</v>
      </c>
      <c r="U20" s="24">
        <v>-1</v>
      </c>
      <c r="V20" s="24">
        <v>-1</v>
      </c>
      <c r="W20" s="24">
        <v>1</v>
      </c>
      <c r="X20" s="24">
        <v>-1</v>
      </c>
      <c r="AA20" s="9" t="s">
        <v>236</v>
      </c>
      <c r="AB20" s="24">
        <v>100</v>
      </c>
      <c r="AD20" s="9" t="s">
        <v>236</v>
      </c>
      <c r="AE20" s="24">
        <v>1</v>
      </c>
      <c r="AG20" s="10">
        <v>2032</v>
      </c>
      <c r="AI20" s="10">
        <v>2030</v>
      </c>
      <c r="AJ20">
        <v>2031</v>
      </c>
      <c r="AP20" t="s">
        <v>11</v>
      </c>
    </row>
    <row r="21" spans="1:42">
      <c r="A21" s="9" t="s">
        <v>237</v>
      </c>
      <c r="B21" s="9" t="s">
        <v>237</v>
      </c>
      <c r="E21" s="9" t="s">
        <v>237</v>
      </c>
      <c r="F21" s="24">
        <v>1</v>
      </c>
      <c r="G21" s="9" t="s">
        <v>237</v>
      </c>
      <c r="H21" s="24">
        <v>1</v>
      </c>
      <c r="I21" s="9" t="s">
        <v>237</v>
      </c>
      <c r="J21" s="24">
        <v>1</v>
      </c>
      <c r="K21" s="9" t="s">
        <v>237</v>
      </c>
      <c r="L21" s="24">
        <v>1</v>
      </c>
      <c r="M21" s="9" t="s">
        <v>237</v>
      </c>
      <c r="N21" s="24">
        <v>1</v>
      </c>
      <c r="O21" t="s">
        <v>237</v>
      </c>
      <c r="P21" t="s">
        <v>237</v>
      </c>
      <c r="Q21" t="s">
        <v>237</v>
      </c>
      <c r="R21" t="s">
        <v>30</v>
      </c>
      <c r="S21" s="9" t="s">
        <v>237</v>
      </c>
      <c r="T21" s="24">
        <v>-1</v>
      </c>
      <c r="U21" s="24">
        <v>1</v>
      </c>
      <c r="V21" s="24">
        <v>1</v>
      </c>
      <c r="W21" s="24">
        <v>1</v>
      </c>
      <c r="X21" s="24">
        <v>-1</v>
      </c>
      <c r="AA21" s="9" t="s">
        <v>237</v>
      </c>
      <c r="AB21" s="24">
        <v>100</v>
      </c>
      <c r="AD21" s="9" t="s">
        <v>237</v>
      </c>
      <c r="AE21" s="24">
        <v>1</v>
      </c>
      <c r="AG21" s="10">
        <v>2033</v>
      </c>
      <c r="AI21" s="10">
        <v>2031</v>
      </c>
      <c r="AJ21">
        <v>2032</v>
      </c>
      <c r="AP21" t="s">
        <v>11</v>
      </c>
    </row>
    <row r="22" spans="1:42">
      <c r="A22" s="9" t="s">
        <v>238</v>
      </c>
      <c r="B22" s="9" t="s">
        <v>238</v>
      </c>
      <c r="E22" s="9" t="s">
        <v>238</v>
      </c>
      <c r="F22" s="24">
        <v>1</v>
      </c>
      <c r="G22" s="9" t="s">
        <v>238</v>
      </c>
      <c r="H22" s="24">
        <v>1</v>
      </c>
      <c r="I22" s="9" t="s">
        <v>238</v>
      </c>
      <c r="J22" s="24">
        <v>1</v>
      </c>
      <c r="K22" s="9" t="s">
        <v>238</v>
      </c>
      <c r="L22" s="24">
        <v>1</v>
      </c>
      <c r="M22" s="9" t="s">
        <v>238</v>
      </c>
      <c r="N22" s="24">
        <v>1</v>
      </c>
      <c r="O22" t="s">
        <v>238</v>
      </c>
      <c r="P22" t="s">
        <v>238</v>
      </c>
      <c r="Q22" t="s">
        <v>238</v>
      </c>
      <c r="R22" t="s">
        <v>30</v>
      </c>
      <c r="S22" s="9" t="s">
        <v>238</v>
      </c>
      <c r="T22" s="24">
        <v>-1</v>
      </c>
      <c r="U22" s="24">
        <v>1</v>
      </c>
      <c r="V22" s="24">
        <v>1</v>
      </c>
      <c r="W22" s="24">
        <v>1</v>
      </c>
      <c r="X22" s="24">
        <v>-1</v>
      </c>
      <c r="AA22" s="9" t="s">
        <v>238</v>
      </c>
      <c r="AB22" s="24">
        <v>100</v>
      </c>
      <c r="AD22" s="9" t="s">
        <v>238</v>
      </c>
      <c r="AE22" s="24">
        <v>1</v>
      </c>
      <c r="AG22" s="10">
        <v>2034</v>
      </c>
      <c r="AI22" s="10">
        <v>2032</v>
      </c>
      <c r="AJ22">
        <v>2033</v>
      </c>
      <c r="AP22" t="s">
        <v>11</v>
      </c>
    </row>
    <row r="23" spans="1:42">
      <c r="A23" s="9" t="s">
        <v>239</v>
      </c>
      <c r="B23" s="9" t="s">
        <v>239</v>
      </c>
      <c r="E23" s="9" t="s">
        <v>239</v>
      </c>
      <c r="F23" s="24">
        <v>0</v>
      </c>
      <c r="G23" s="9" t="s">
        <v>239</v>
      </c>
      <c r="H23" s="24">
        <v>1</v>
      </c>
      <c r="I23" s="9" t="s">
        <v>239</v>
      </c>
      <c r="J23" s="24">
        <v>1</v>
      </c>
      <c r="K23" s="9" t="s">
        <v>239</v>
      </c>
      <c r="L23" s="24">
        <v>1</v>
      </c>
      <c r="M23" s="9" t="s">
        <v>239</v>
      </c>
      <c r="N23" s="24">
        <v>1</v>
      </c>
      <c r="O23" t="s">
        <v>239</v>
      </c>
      <c r="P23" t="s">
        <v>239</v>
      </c>
      <c r="Q23" t="s">
        <v>239</v>
      </c>
      <c r="R23" t="s">
        <v>30</v>
      </c>
      <c r="S23" s="9" t="s">
        <v>239</v>
      </c>
      <c r="T23" s="24">
        <v>-1</v>
      </c>
      <c r="U23" s="24">
        <v>1</v>
      </c>
      <c r="V23" s="24">
        <v>1</v>
      </c>
      <c r="W23" s="24">
        <v>1</v>
      </c>
      <c r="X23" s="24">
        <v>-1</v>
      </c>
      <c r="AA23" s="9" t="s">
        <v>239</v>
      </c>
      <c r="AB23" s="24">
        <v>100</v>
      </c>
      <c r="AD23" s="9" t="s">
        <v>239</v>
      </c>
      <c r="AE23" s="24">
        <v>1</v>
      </c>
      <c r="AG23" s="10">
        <v>2035</v>
      </c>
      <c r="AI23" s="10">
        <v>2033</v>
      </c>
      <c r="AJ23">
        <v>2034</v>
      </c>
      <c r="AP23" t="s">
        <v>11</v>
      </c>
    </row>
    <row r="24" spans="1:42">
      <c r="A24" s="9" t="s">
        <v>240</v>
      </c>
      <c r="B24" s="9" t="s">
        <v>240</v>
      </c>
      <c r="E24" s="9" t="s">
        <v>240</v>
      </c>
      <c r="F24" s="24">
        <v>1</v>
      </c>
      <c r="G24" s="9" t="s">
        <v>240</v>
      </c>
      <c r="H24" s="24">
        <v>1</v>
      </c>
      <c r="I24" s="9" t="s">
        <v>240</v>
      </c>
      <c r="J24" s="24">
        <v>1</v>
      </c>
      <c r="K24" s="9" t="s">
        <v>240</v>
      </c>
      <c r="L24" s="24">
        <v>1</v>
      </c>
      <c r="M24" s="9" t="s">
        <v>240</v>
      </c>
      <c r="N24" s="24">
        <v>1</v>
      </c>
      <c r="O24" t="s">
        <v>240</v>
      </c>
      <c r="P24" t="s">
        <v>240</v>
      </c>
      <c r="Q24" t="s">
        <v>240</v>
      </c>
      <c r="R24" t="s">
        <v>30</v>
      </c>
      <c r="S24" s="9" t="s">
        <v>240</v>
      </c>
      <c r="T24" s="24">
        <v>-1</v>
      </c>
      <c r="U24" s="24">
        <v>1</v>
      </c>
      <c r="V24" s="24">
        <v>1</v>
      </c>
      <c r="W24" s="24">
        <v>1</v>
      </c>
      <c r="X24" s="24">
        <v>-1</v>
      </c>
      <c r="AA24" s="9" t="s">
        <v>240</v>
      </c>
      <c r="AB24" s="24">
        <v>100</v>
      </c>
      <c r="AD24" s="9" t="s">
        <v>240</v>
      </c>
      <c r="AE24" s="24">
        <v>1</v>
      </c>
      <c r="AG24" s="10">
        <v>2036</v>
      </c>
      <c r="AI24" s="10">
        <v>2034</v>
      </c>
      <c r="AJ24">
        <v>2035</v>
      </c>
    </row>
    <row r="25" spans="1:42">
      <c r="A25" s="9" t="s">
        <v>241</v>
      </c>
      <c r="B25" s="9" t="s">
        <v>241</v>
      </c>
      <c r="E25" s="9" t="s">
        <v>241</v>
      </c>
      <c r="F25" s="24">
        <v>1</v>
      </c>
      <c r="G25" s="9" t="s">
        <v>241</v>
      </c>
      <c r="H25" s="24">
        <v>1</v>
      </c>
      <c r="I25" s="9" t="s">
        <v>241</v>
      </c>
      <c r="J25" s="24">
        <v>1</v>
      </c>
      <c r="K25" s="9" t="s">
        <v>241</v>
      </c>
      <c r="L25" s="24">
        <v>1</v>
      </c>
      <c r="M25" s="9" t="s">
        <v>241</v>
      </c>
      <c r="N25" s="24">
        <v>1</v>
      </c>
      <c r="O25" t="s">
        <v>241</v>
      </c>
      <c r="P25" t="s">
        <v>241</v>
      </c>
      <c r="Q25" t="s">
        <v>241</v>
      </c>
      <c r="R25" t="s">
        <v>30</v>
      </c>
      <c r="S25" s="9" t="s">
        <v>241</v>
      </c>
      <c r="T25" s="24">
        <v>-1</v>
      </c>
      <c r="U25" s="24">
        <v>1</v>
      </c>
      <c r="V25" s="24">
        <v>1</v>
      </c>
      <c r="W25" s="24">
        <v>1</v>
      </c>
      <c r="X25" s="24">
        <v>-1</v>
      </c>
      <c r="AA25" s="9" t="s">
        <v>241</v>
      </c>
      <c r="AB25" s="24">
        <v>100</v>
      </c>
      <c r="AD25" s="9" t="s">
        <v>241</v>
      </c>
      <c r="AE25" s="24">
        <v>1</v>
      </c>
      <c r="AG25" s="10">
        <v>2037</v>
      </c>
      <c r="AI25" s="10">
        <v>2035</v>
      </c>
      <c r="AJ25">
        <v>2036</v>
      </c>
    </row>
    <row r="26" spans="1:42">
      <c r="A26" s="9" t="s">
        <v>242</v>
      </c>
      <c r="B26" s="9" t="s">
        <v>242</v>
      </c>
      <c r="E26" s="9" t="s">
        <v>242</v>
      </c>
      <c r="F26" s="24">
        <v>1</v>
      </c>
      <c r="G26" s="9" t="s">
        <v>242</v>
      </c>
      <c r="H26" s="24">
        <v>1</v>
      </c>
      <c r="I26" s="9" t="s">
        <v>242</v>
      </c>
      <c r="J26" s="24">
        <v>1</v>
      </c>
      <c r="K26" s="9" t="s">
        <v>242</v>
      </c>
      <c r="L26" s="24">
        <v>1</v>
      </c>
      <c r="M26" s="9" t="s">
        <v>242</v>
      </c>
      <c r="N26" s="24">
        <v>1</v>
      </c>
      <c r="O26" t="s">
        <v>242</v>
      </c>
      <c r="P26" t="s">
        <v>242</v>
      </c>
      <c r="Q26" t="s">
        <v>242</v>
      </c>
      <c r="R26" t="s">
        <v>30</v>
      </c>
      <c r="S26" s="9" t="s">
        <v>242</v>
      </c>
      <c r="T26" s="24">
        <v>-1</v>
      </c>
      <c r="U26" s="24">
        <v>1</v>
      </c>
      <c r="V26" s="24">
        <v>1</v>
      </c>
      <c r="W26" s="24">
        <v>1</v>
      </c>
      <c r="X26" s="24">
        <v>-1</v>
      </c>
      <c r="AA26" s="9" t="s">
        <v>242</v>
      </c>
      <c r="AB26" s="24">
        <v>100</v>
      </c>
      <c r="AD26" s="9" t="s">
        <v>242</v>
      </c>
      <c r="AE26" s="24">
        <v>1</v>
      </c>
      <c r="AG26" s="10">
        <v>2038</v>
      </c>
      <c r="AI26" s="10">
        <v>2036</v>
      </c>
      <c r="AJ26">
        <v>2037</v>
      </c>
    </row>
    <row r="27" spans="1:42">
      <c r="A27" s="9" t="s">
        <v>243</v>
      </c>
      <c r="B27" s="9" t="s">
        <v>243</v>
      </c>
      <c r="E27" s="9" t="s">
        <v>243</v>
      </c>
      <c r="F27" s="24">
        <v>1</v>
      </c>
      <c r="G27" s="9" t="s">
        <v>243</v>
      </c>
      <c r="H27" s="24">
        <v>1</v>
      </c>
      <c r="I27" s="9" t="s">
        <v>243</v>
      </c>
      <c r="J27" s="24">
        <v>1</v>
      </c>
      <c r="K27" s="9" t="s">
        <v>243</v>
      </c>
      <c r="L27" s="24">
        <v>1</v>
      </c>
      <c r="M27" s="9" t="s">
        <v>243</v>
      </c>
      <c r="N27" s="24">
        <v>1</v>
      </c>
      <c r="O27" t="s">
        <v>243</v>
      </c>
      <c r="P27" t="s">
        <v>243</v>
      </c>
      <c r="Q27" t="s">
        <v>243</v>
      </c>
      <c r="R27" t="s">
        <v>30</v>
      </c>
      <c r="S27" s="9" t="s">
        <v>243</v>
      </c>
      <c r="T27" s="24">
        <v>-1</v>
      </c>
      <c r="U27" s="24">
        <v>1</v>
      </c>
      <c r="V27" s="24">
        <v>1</v>
      </c>
      <c r="W27" s="24">
        <v>1</v>
      </c>
      <c r="X27" s="24">
        <v>-1</v>
      </c>
      <c r="AA27" s="9" t="s">
        <v>243</v>
      </c>
      <c r="AB27" s="24">
        <v>100</v>
      </c>
      <c r="AD27" s="9" t="s">
        <v>243</v>
      </c>
      <c r="AE27" s="24">
        <v>1</v>
      </c>
      <c r="AG27" s="10">
        <v>2039</v>
      </c>
      <c r="AI27" s="10">
        <v>2037</v>
      </c>
      <c r="AJ27">
        <v>2038</v>
      </c>
    </row>
    <row r="28" spans="1:42">
      <c r="A28" s="9" t="s">
        <v>244</v>
      </c>
      <c r="B28" s="9" t="s">
        <v>244</v>
      </c>
      <c r="E28" s="9" t="s">
        <v>244</v>
      </c>
      <c r="F28" s="24">
        <v>1</v>
      </c>
      <c r="G28" s="9" t="s">
        <v>244</v>
      </c>
      <c r="H28" s="24">
        <v>1</v>
      </c>
      <c r="I28" s="9" t="s">
        <v>244</v>
      </c>
      <c r="J28" s="24">
        <v>1</v>
      </c>
      <c r="K28" s="9" t="s">
        <v>244</v>
      </c>
      <c r="L28" s="24">
        <v>1</v>
      </c>
      <c r="M28" s="9" t="s">
        <v>244</v>
      </c>
      <c r="N28" s="24">
        <v>1</v>
      </c>
      <c r="O28" t="s">
        <v>244</v>
      </c>
      <c r="P28" t="s">
        <v>244</v>
      </c>
      <c r="Q28" t="s">
        <v>244</v>
      </c>
      <c r="R28" t="s">
        <v>30</v>
      </c>
      <c r="S28" s="9" t="s">
        <v>244</v>
      </c>
      <c r="T28" s="24">
        <v>-1</v>
      </c>
      <c r="U28" s="24">
        <v>1</v>
      </c>
      <c r="V28" s="24">
        <v>1</v>
      </c>
      <c r="W28" s="24">
        <v>1</v>
      </c>
      <c r="X28" s="24">
        <v>-1</v>
      </c>
      <c r="AA28" s="9" t="s">
        <v>244</v>
      </c>
      <c r="AB28" s="24">
        <v>100</v>
      </c>
      <c r="AD28" s="9" t="s">
        <v>244</v>
      </c>
      <c r="AE28" s="24">
        <v>1</v>
      </c>
      <c r="AG28" s="10">
        <v>2040</v>
      </c>
      <c r="AI28" s="10">
        <v>2038</v>
      </c>
      <c r="AJ28">
        <v>2039</v>
      </c>
    </row>
    <row r="29" spans="1:42">
      <c r="A29" s="9" t="s">
        <v>245</v>
      </c>
      <c r="B29" s="9" t="s">
        <v>245</v>
      </c>
      <c r="E29" s="9" t="s">
        <v>245</v>
      </c>
      <c r="F29" s="24">
        <v>1</v>
      </c>
      <c r="G29" s="9" t="s">
        <v>245</v>
      </c>
      <c r="H29" s="24">
        <v>1</v>
      </c>
      <c r="I29" s="9" t="s">
        <v>245</v>
      </c>
      <c r="J29" s="24">
        <v>1</v>
      </c>
      <c r="K29" s="9" t="s">
        <v>245</v>
      </c>
      <c r="L29" s="24">
        <v>1</v>
      </c>
      <c r="M29" s="9" t="s">
        <v>245</v>
      </c>
      <c r="N29" s="24">
        <v>1</v>
      </c>
      <c r="O29" t="s">
        <v>245</v>
      </c>
      <c r="P29" t="s">
        <v>245</v>
      </c>
      <c r="Q29" t="s">
        <v>245</v>
      </c>
      <c r="R29" t="s">
        <v>30</v>
      </c>
      <c r="S29" s="9" t="s">
        <v>245</v>
      </c>
      <c r="T29" s="24">
        <v>-1</v>
      </c>
      <c r="U29" s="24">
        <v>1</v>
      </c>
      <c r="V29" s="24">
        <v>1</v>
      </c>
      <c r="W29" s="24">
        <v>1</v>
      </c>
      <c r="X29" s="24">
        <v>-1</v>
      </c>
      <c r="AA29" s="9" t="s">
        <v>245</v>
      </c>
      <c r="AB29" s="24">
        <v>100</v>
      </c>
      <c r="AD29" s="9" t="s">
        <v>245</v>
      </c>
      <c r="AE29" s="24">
        <v>1</v>
      </c>
      <c r="AG29" s="10">
        <v>2041</v>
      </c>
      <c r="AI29" s="10">
        <v>2039</v>
      </c>
      <c r="AJ29">
        <v>2040</v>
      </c>
    </row>
    <row r="30" spans="1:42">
      <c r="A30" s="9" t="s">
        <v>246</v>
      </c>
      <c r="B30" s="9" t="s">
        <v>246</v>
      </c>
      <c r="E30" s="9" t="s">
        <v>246</v>
      </c>
      <c r="F30" s="24">
        <v>1</v>
      </c>
      <c r="G30" s="9" t="s">
        <v>246</v>
      </c>
      <c r="H30" s="24">
        <v>1</v>
      </c>
      <c r="I30" s="9" t="s">
        <v>246</v>
      </c>
      <c r="J30" s="24">
        <v>1</v>
      </c>
      <c r="K30" s="9" t="s">
        <v>246</v>
      </c>
      <c r="L30" s="24">
        <v>1</v>
      </c>
      <c r="M30" s="9" t="s">
        <v>246</v>
      </c>
      <c r="N30" s="24">
        <v>1</v>
      </c>
      <c r="O30" t="s">
        <v>246</v>
      </c>
      <c r="P30" t="s">
        <v>246</v>
      </c>
      <c r="Q30" t="s">
        <v>246</v>
      </c>
      <c r="R30" t="s">
        <v>30</v>
      </c>
      <c r="S30" s="9" t="s">
        <v>246</v>
      </c>
      <c r="T30" s="24">
        <v>-1</v>
      </c>
      <c r="U30" s="24">
        <v>1</v>
      </c>
      <c r="V30" s="24">
        <v>1</v>
      </c>
      <c r="W30" s="24">
        <v>1</v>
      </c>
      <c r="X30" s="24">
        <v>-1</v>
      </c>
      <c r="AA30" s="9" t="s">
        <v>246</v>
      </c>
      <c r="AB30" s="24">
        <v>100</v>
      </c>
      <c r="AD30" s="9" t="s">
        <v>246</v>
      </c>
      <c r="AE30" s="24">
        <v>1</v>
      </c>
      <c r="AG30" s="10">
        <v>2042</v>
      </c>
      <c r="AI30" s="10">
        <v>2040</v>
      </c>
      <c r="AJ30">
        <v>2045</v>
      </c>
    </row>
    <row r="31" spans="1:42">
      <c r="A31" s="9" t="s">
        <v>247</v>
      </c>
      <c r="B31" s="9" t="s">
        <v>247</v>
      </c>
      <c r="E31" s="9" t="s">
        <v>247</v>
      </c>
      <c r="F31" s="24">
        <v>1</v>
      </c>
      <c r="G31" s="9" t="s">
        <v>247</v>
      </c>
      <c r="H31" s="24">
        <v>1</v>
      </c>
      <c r="I31" s="9" t="s">
        <v>247</v>
      </c>
      <c r="J31" s="24">
        <v>1</v>
      </c>
      <c r="K31" s="9" t="s">
        <v>247</v>
      </c>
      <c r="L31" s="24">
        <v>1</v>
      </c>
      <c r="M31" s="9" t="s">
        <v>247</v>
      </c>
      <c r="N31" s="24">
        <v>1</v>
      </c>
      <c r="O31" t="s">
        <v>247</v>
      </c>
      <c r="P31" t="s">
        <v>247</v>
      </c>
      <c r="Q31" t="s">
        <v>247</v>
      </c>
      <c r="R31" t="s">
        <v>30</v>
      </c>
      <c r="S31" s="9" t="s">
        <v>247</v>
      </c>
      <c r="T31" s="24">
        <v>-1</v>
      </c>
      <c r="U31" s="24">
        <v>1</v>
      </c>
      <c r="V31" s="24">
        <v>1</v>
      </c>
      <c r="W31" s="24">
        <v>1</v>
      </c>
      <c r="X31" s="24">
        <v>-1</v>
      </c>
      <c r="AA31" s="9" t="s">
        <v>247</v>
      </c>
      <c r="AB31" s="24">
        <v>100</v>
      </c>
      <c r="AD31" s="9" t="s">
        <v>247</v>
      </c>
      <c r="AE31" s="24">
        <v>2</v>
      </c>
      <c r="AG31" s="10">
        <v>2043</v>
      </c>
      <c r="AI31" s="10">
        <v>2041</v>
      </c>
      <c r="AJ31" s="10">
        <v>2050</v>
      </c>
    </row>
    <row r="32" spans="1:42">
      <c r="A32" s="9" t="s">
        <v>248</v>
      </c>
      <c r="B32" s="9" t="s">
        <v>248</v>
      </c>
      <c r="E32" s="9" t="s">
        <v>248</v>
      </c>
      <c r="F32" s="24">
        <v>1</v>
      </c>
      <c r="G32" s="9" t="s">
        <v>248</v>
      </c>
      <c r="H32" s="24">
        <v>1</v>
      </c>
      <c r="I32" s="9" t="s">
        <v>248</v>
      </c>
      <c r="J32" s="24">
        <v>1</v>
      </c>
      <c r="K32" s="9" t="s">
        <v>248</v>
      </c>
      <c r="L32" s="24">
        <v>1</v>
      </c>
      <c r="M32" s="9" t="s">
        <v>248</v>
      </c>
      <c r="N32" s="24">
        <v>1</v>
      </c>
      <c r="O32" t="s">
        <v>248</v>
      </c>
      <c r="P32" t="s">
        <v>248</v>
      </c>
      <c r="Q32" t="s">
        <v>248</v>
      </c>
      <c r="R32" t="s">
        <v>30</v>
      </c>
      <c r="S32" s="9" t="s">
        <v>248</v>
      </c>
      <c r="T32" s="24">
        <v>-1</v>
      </c>
      <c r="U32" s="24">
        <v>1</v>
      </c>
      <c r="V32" s="24">
        <v>1</v>
      </c>
      <c r="W32" s="24">
        <v>1</v>
      </c>
      <c r="X32" s="24">
        <v>-1</v>
      </c>
      <c r="AA32" s="9" t="s">
        <v>248</v>
      </c>
      <c r="AB32" s="24">
        <v>100</v>
      </c>
      <c r="AD32" s="9" t="s">
        <v>248</v>
      </c>
      <c r="AE32" s="24">
        <v>2</v>
      </c>
      <c r="AG32" s="10">
        <v>2044</v>
      </c>
      <c r="AI32" s="10">
        <v>2042</v>
      </c>
      <c r="AJ32" s="10">
        <v>2060</v>
      </c>
    </row>
    <row r="33" spans="1:39">
      <c r="A33" s="9" t="s">
        <v>249</v>
      </c>
      <c r="B33" s="9" t="s">
        <v>249</v>
      </c>
      <c r="E33" s="9" t="s">
        <v>249</v>
      </c>
      <c r="F33" s="24">
        <v>1</v>
      </c>
      <c r="G33" s="9" t="s">
        <v>249</v>
      </c>
      <c r="H33" s="24">
        <v>1</v>
      </c>
      <c r="I33" s="9" t="s">
        <v>249</v>
      </c>
      <c r="J33" s="24">
        <v>1</v>
      </c>
      <c r="K33" s="9" t="s">
        <v>249</v>
      </c>
      <c r="L33" s="24">
        <v>1</v>
      </c>
      <c r="M33" s="9" t="s">
        <v>249</v>
      </c>
      <c r="N33" s="24">
        <v>1</v>
      </c>
      <c r="O33" t="s">
        <v>249</v>
      </c>
      <c r="P33" t="s">
        <v>249</v>
      </c>
      <c r="Q33" t="s">
        <v>249</v>
      </c>
      <c r="R33" t="s">
        <v>30</v>
      </c>
      <c r="S33" s="9" t="s">
        <v>249</v>
      </c>
      <c r="T33" s="24">
        <v>-1</v>
      </c>
      <c r="U33" s="24">
        <v>1</v>
      </c>
      <c r="V33" s="24">
        <v>1</v>
      </c>
      <c r="W33" s="24">
        <v>1</v>
      </c>
      <c r="X33" s="24">
        <v>-1</v>
      </c>
      <c r="AA33" s="9" t="s">
        <v>249</v>
      </c>
      <c r="AB33" s="24">
        <v>100</v>
      </c>
      <c r="AD33" s="9" t="s">
        <v>249</v>
      </c>
      <c r="AE33" s="24">
        <v>2</v>
      </c>
      <c r="AG33" s="10">
        <v>2045</v>
      </c>
      <c r="AI33" s="10">
        <v>2043</v>
      </c>
      <c r="AJ33">
        <v>2070</v>
      </c>
    </row>
    <row r="34" spans="1:39">
      <c r="A34" s="9" t="s">
        <v>251</v>
      </c>
      <c r="B34" s="9" t="s">
        <v>250</v>
      </c>
      <c r="E34" s="9" t="s">
        <v>251</v>
      </c>
      <c r="F34" s="24">
        <v>1</v>
      </c>
      <c r="G34" s="9" t="s">
        <v>251</v>
      </c>
      <c r="H34" s="24">
        <v>1</v>
      </c>
      <c r="I34" s="9" t="s">
        <v>251</v>
      </c>
      <c r="J34" s="24">
        <v>1</v>
      </c>
      <c r="K34" s="9" t="s">
        <v>251</v>
      </c>
      <c r="L34" s="24">
        <v>1</v>
      </c>
      <c r="M34" s="9" t="s">
        <v>251</v>
      </c>
      <c r="N34" s="24">
        <v>1</v>
      </c>
      <c r="O34" t="s">
        <v>251</v>
      </c>
      <c r="P34" t="s">
        <v>251</v>
      </c>
      <c r="Q34" t="s">
        <v>251</v>
      </c>
      <c r="R34" t="s">
        <v>30</v>
      </c>
      <c r="S34" s="9" t="s">
        <v>251</v>
      </c>
      <c r="T34" s="24">
        <v>-1</v>
      </c>
      <c r="U34" s="24">
        <v>1</v>
      </c>
      <c r="V34" s="24">
        <v>1</v>
      </c>
      <c r="W34" s="24">
        <v>1</v>
      </c>
      <c r="X34" s="24">
        <v>-1</v>
      </c>
      <c r="AA34" s="9" t="s">
        <v>251</v>
      </c>
      <c r="AB34" s="24">
        <v>100</v>
      </c>
      <c r="AD34" s="9" t="s">
        <v>251</v>
      </c>
      <c r="AE34" s="24">
        <v>1</v>
      </c>
      <c r="AG34" s="10">
        <v>2046</v>
      </c>
      <c r="AI34" s="10">
        <v>2044</v>
      </c>
    </row>
    <row r="35" spans="1:39">
      <c r="A35" s="9" t="s">
        <v>250</v>
      </c>
      <c r="B35" s="9" t="s">
        <v>251</v>
      </c>
      <c r="E35" s="9" t="s">
        <v>250</v>
      </c>
      <c r="F35" s="24">
        <v>1</v>
      </c>
      <c r="G35" s="9" t="s">
        <v>250</v>
      </c>
      <c r="H35" s="24">
        <v>1</v>
      </c>
      <c r="I35" s="9" t="s">
        <v>250</v>
      </c>
      <c r="J35" s="24">
        <v>1</v>
      </c>
      <c r="K35" s="9" t="s">
        <v>250</v>
      </c>
      <c r="L35" s="24">
        <v>1</v>
      </c>
      <c r="M35" s="9" t="s">
        <v>250</v>
      </c>
      <c r="N35" s="24">
        <v>1</v>
      </c>
      <c r="O35" t="s">
        <v>250</v>
      </c>
      <c r="P35" t="s">
        <v>250</v>
      </c>
      <c r="Q35" t="s">
        <v>250</v>
      </c>
      <c r="R35" t="s">
        <v>30</v>
      </c>
      <c r="S35" s="9" t="s">
        <v>250</v>
      </c>
      <c r="T35" s="24">
        <v>-1</v>
      </c>
      <c r="U35" s="24">
        <v>1</v>
      </c>
      <c r="V35" s="24">
        <v>1</v>
      </c>
      <c r="W35" s="24">
        <v>1</v>
      </c>
      <c r="X35" s="24">
        <v>-1</v>
      </c>
      <c r="AA35" s="9" t="s">
        <v>250</v>
      </c>
      <c r="AB35" s="24">
        <v>100</v>
      </c>
      <c r="AD35" s="9" t="s">
        <v>250</v>
      </c>
      <c r="AE35" s="24">
        <v>2</v>
      </c>
      <c r="AG35" s="10">
        <v>2047</v>
      </c>
      <c r="AI35" s="10">
        <v>2045</v>
      </c>
    </row>
    <row r="36" spans="1:39">
      <c r="A36" s="9" t="s">
        <v>252</v>
      </c>
      <c r="B36" s="9" t="s">
        <v>252</v>
      </c>
      <c r="E36" s="9" t="s">
        <v>252</v>
      </c>
      <c r="F36" s="24">
        <v>1</v>
      </c>
      <c r="G36" s="9" t="s">
        <v>252</v>
      </c>
      <c r="H36" s="24">
        <v>1</v>
      </c>
      <c r="I36" s="9" t="s">
        <v>252</v>
      </c>
      <c r="J36" s="24">
        <v>1</v>
      </c>
      <c r="K36" s="9" t="s">
        <v>252</v>
      </c>
      <c r="L36" s="24">
        <v>1</v>
      </c>
      <c r="M36" s="9" t="s">
        <v>252</v>
      </c>
      <c r="N36" s="24">
        <v>1</v>
      </c>
      <c r="O36" t="s">
        <v>252</v>
      </c>
      <c r="P36" t="s">
        <v>252</v>
      </c>
      <c r="Q36" t="s">
        <v>252</v>
      </c>
      <c r="R36" t="s">
        <v>30</v>
      </c>
      <c r="S36" s="9" t="s">
        <v>252</v>
      </c>
      <c r="T36" s="24">
        <v>-1</v>
      </c>
      <c r="U36" s="24">
        <v>1</v>
      </c>
      <c r="V36" s="24">
        <v>1</v>
      </c>
      <c r="W36" s="24">
        <v>1</v>
      </c>
      <c r="X36" s="24">
        <v>-1</v>
      </c>
      <c r="AA36" s="9" t="s">
        <v>252</v>
      </c>
      <c r="AB36" s="24">
        <v>100</v>
      </c>
      <c r="AD36" s="9" t="s">
        <v>252</v>
      </c>
      <c r="AE36" s="24">
        <v>1</v>
      </c>
      <c r="AG36" s="10">
        <v>2048</v>
      </c>
      <c r="AI36" s="10">
        <v>2046</v>
      </c>
    </row>
    <row r="37" spans="1:39">
      <c r="A37" s="9" t="s">
        <v>253</v>
      </c>
      <c r="B37" s="9" t="s">
        <v>253</v>
      </c>
      <c r="E37" s="9" t="s">
        <v>253</v>
      </c>
      <c r="F37" s="24">
        <v>1</v>
      </c>
      <c r="G37" s="9" t="s">
        <v>253</v>
      </c>
      <c r="H37" s="24">
        <v>1</v>
      </c>
      <c r="I37" s="9" t="s">
        <v>253</v>
      </c>
      <c r="J37" s="24">
        <v>1</v>
      </c>
      <c r="K37" s="9" t="s">
        <v>253</v>
      </c>
      <c r="L37" s="24">
        <v>1</v>
      </c>
      <c r="M37" s="9" t="s">
        <v>253</v>
      </c>
      <c r="N37" s="24">
        <v>1</v>
      </c>
      <c r="O37" t="s">
        <v>253</v>
      </c>
      <c r="P37" t="s">
        <v>253</v>
      </c>
      <c r="Q37" t="s">
        <v>253</v>
      </c>
      <c r="R37" t="s">
        <v>30</v>
      </c>
      <c r="S37" s="9" t="s">
        <v>253</v>
      </c>
      <c r="T37" s="24">
        <v>-1</v>
      </c>
      <c r="U37" s="24">
        <v>1</v>
      </c>
      <c r="V37" s="24">
        <v>1</v>
      </c>
      <c r="W37" s="24">
        <v>1</v>
      </c>
      <c r="X37" s="24">
        <v>-1</v>
      </c>
      <c r="AA37" s="9" t="s">
        <v>253</v>
      </c>
      <c r="AB37" s="24">
        <v>100</v>
      </c>
      <c r="AD37" s="9" t="s">
        <v>253</v>
      </c>
      <c r="AE37" s="24">
        <v>1</v>
      </c>
      <c r="AG37" s="10">
        <v>2049</v>
      </c>
      <c r="AI37" s="10">
        <v>2047</v>
      </c>
    </row>
    <row r="38" spans="1:39">
      <c r="A38" s="9" t="s">
        <v>254</v>
      </c>
      <c r="B38" s="9" t="s">
        <v>254</v>
      </c>
      <c r="E38" s="9" t="s">
        <v>254</v>
      </c>
      <c r="F38" s="24">
        <v>1</v>
      </c>
      <c r="G38" s="9" t="s">
        <v>254</v>
      </c>
      <c r="H38" s="24">
        <v>1</v>
      </c>
      <c r="I38" s="9" t="s">
        <v>254</v>
      </c>
      <c r="J38" s="24">
        <v>1</v>
      </c>
      <c r="K38" s="9" t="s">
        <v>254</v>
      </c>
      <c r="L38" s="24">
        <v>1</v>
      </c>
      <c r="M38" s="9" t="s">
        <v>254</v>
      </c>
      <c r="N38" s="24">
        <v>1</v>
      </c>
      <c r="O38" t="s">
        <v>254</v>
      </c>
      <c r="P38" t="s">
        <v>254</v>
      </c>
      <c r="Q38" t="s">
        <v>254</v>
      </c>
      <c r="R38" t="s">
        <v>30</v>
      </c>
      <c r="S38" s="9" t="s">
        <v>254</v>
      </c>
      <c r="T38" s="24">
        <v>-1</v>
      </c>
      <c r="U38" s="24">
        <v>-1</v>
      </c>
      <c r="V38" s="24">
        <v>-1</v>
      </c>
      <c r="W38" s="24">
        <v>1</v>
      </c>
      <c r="X38" s="24">
        <v>-1</v>
      </c>
      <c r="AA38" s="9" t="s">
        <v>254</v>
      </c>
      <c r="AB38" s="24">
        <v>100</v>
      </c>
      <c r="AD38" s="9" t="s">
        <v>254</v>
      </c>
      <c r="AE38" s="24">
        <v>2</v>
      </c>
      <c r="AG38" s="10">
        <v>2050</v>
      </c>
      <c r="AI38" s="10">
        <v>2048</v>
      </c>
    </row>
    <row r="39" spans="1:39">
      <c r="A39" s="9" t="s">
        <v>256</v>
      </c>
      <c r="B39" s="9" t="s">
        <v>256</v>
      </c>
      <c r="E39" s="9" t="s">
        <v>256</v>
      </c>
      <c r="F39" s="24">
        <v>1</v>
      </c>
      <c r="G39" s="9" t="s">
        <v>256</v>
      </c>
      <c r="H39" s="24">
        <v>1</v>
      </c>
      <c r="I39" s="9" t="s">
        <v>256</v>
      </c>
      <c r="J39" s="24">
        <v>1</v>
      </c>
      <c r="K39" s="9" t="s">
        <v>256</v>
      </c>
      <c r="L39" s="24">
        <v>1</v>
      </c>
      <c r="M39" s="9" t="s">
        <v>256</v>
      </c>
      <c r="N39" s="24">
        <v>1</v>
      </c>
      <c r="O39" t="s">
        <v>256</v>
      </c>
      <c r="P39" t="s">
        <v>256</v>
      </c>
      <c r="Q39" t="s">
        <v>256</v>
      </c>
      <c r="R39" t="s">
        <v>30</v>
      </c>
      <c r="S39" s="9" t="s">
        <v>256</v>
      </c>
      <c r="T39" s="24">
        <v>-1</v>
      </c>
      <c r="U39" s="24">
        <v>1</v>
      </c>
      <c r="V39" s="24">
        <v>1</v>
      </c>
      <c r="W39" s="24">
        <v>1</v>
      </c>
      <c r="X39" s="24">
        <v>-1</v>
      </c>
      <c r="AA39" s="9" t="s">
        <v>256</v>
      </c>
      <c r="AB39" s="24">
        <v>100</v>
      </c>
      <c r="AD39" s="9" t="s">
        <v>256</v>
      </c>
      <c r="AE39" s="24">
        <v>1</v>
      </c>
      <c r="AG39" s="10">
        <v>2051</v>
      </c>
      <c r="AI39" s="10">
        <v>2049</v>
      </c>
    </row>
    <row r="40" spans="1:39">
      <c r="A40" s="9" t="s">
        <v>257</v>
      </c>
      <c r="B40" s="9" t="s">
        <v>257</v>
      </c>
      <c r="E40" s="9" t="s">
        <v>257</v>
      </c>
      <c r="F40" s="24">
        <v>0</v>
      </c>
      <c r="G40" s="9" t="s">
        <v>257</v>
      </c>
      <c r="H40" s="24">
        <v>0</v>
      </c>
      <c r="I40" s="9" t="s">
        <v>257</v>
      </c>
      <c r="J40" s="24">
        <v>0</v>
      </c>
      <c r="K40" s="9" t="s">
        <v>257</v>
      </c>
      <c r="L40" s="24">
        <v>1</v>
      </c>
      <c r="M40" s="9" t="s">
        <v>257</v>
      </c>
      <c r="N40" s="24">
        <v>1</v>
      </c>
      <c r="O40" t="s">
        <v>257</v>
      </c>
      <c r="P40" t="s">
        <v>257</v>
      </c>
      <c r="Q40" t="s">
        <v>257</v>
      </c>
      <c r="R40" t="s">
        <v>30</v>
      </c>
      <c r="S40" s="9" t="s">
        <v>257</v>
      </c>
      <c r="T40" s="24">
        <v>-1</v>
      </c>
      <c r="U40" s="24">
        <v>-1</v>
      </c>
      <c r="V40" s="24">
        <v>-1</v>
      </c>
      <c r="W40" s="24">
        <v>1</v>
      </c>
      <c r="X40" s="24">
        <v>-1</v>
      </c>
      <c r="AA40" s="9" t="s">
        <v>257</v>
      </c>
      <c r="AB40" s="24">
        <v>100</v>
      </c>
      <c r="AD40" s="9" t="s">
        <v>257</v>
      </c>
      <c r="AE40" s="24">
        <v>2</v>
      </c>
      <c r="AG40" s="10">
        <v>2052</v>
      </c>
      <c r="AI40" s="10">
        <v>2050</v>
      </c>
    </row>
    <row r="41" spans="1:39">
      <c r="A41" s="9" t="s">
        <v>258</v>
      </c>
      <c r="B41" s="9" t="s">
        <v>258</v>
      </c>
      <c r="E41" s="9" t="s">
        <v>258</v>
      </c>
      <c r="F41" s="24">
        <v>0</v>
      </c>
      <c r="G41" s="9" t="s">
        <v>258</v>
      </c>
      <c r="H41" s="24">
        <v>0</v>
      </c>
      <c r="I41" s="9" t="s">
        <v>258</v>
      </c>
      <c r="J41" s="24">
        <v>0</v>
      </c>
      <c r="K41" s="9" t="s">
        <v>258</v>
      </c>
      <c r="L41" s="24">
        <v>1</v>
      </c>
      <c r="M41" s="9" t="s">
        <v>258</v>
      </c>
      <c r="N41" s="24">
        <v>1</v>
      </c>
      <c r="O41" t="s">
        <v>258</v>
      </c>
      <c r="P41" t="s">
        <v>258</v>
      </c>
      <c r="Q41" t="s">
        <v>258</v>
      </c>
      <c r="R41" t="s">
        <v>30</v>
      </c>
      <c r="S41" s="9" t="s">
        <v>258</v>
      </c>
      <c r="T41" s="24">
        <v>-1</v>
      </c>
      <c r="U41" s="24">
        <v>-1</v>
      </c>
      <c r="V41" s="24">
        <v>-1</v>
      </c>
      <c r="W41" s="24">
        <v>1</v>
      </c>
      <c r="X41" s="24">
        <v>-1</v>
      </c>
      <c r="AA41" s="9" t="s">
        <v>258</v>
      </c>
      <c r="AB41" s="24">
        <v>100</v>
      </c>
      <c r="AD41" s="9" t="s">
        <v>258</v>
      </c>
      <c r="AE41" s="24">
        <v>2</v>
      </c>
      <c r="AG41" s="10">
        <v>2053</v>
      </c>
      <c r="AI41" s="10">
        <v>2051</v>
      </c>
      <c r="AL41" s="10"/>
      <c r="AM41" s="10">
        <v>2051</v>
      </c>
    </row>
    <row r="42" spans="1:39">
      <c r="A42" s="9" t="s">
        <v>259</v>
      </c>
      <c r="B42" s="9" t="s">
        <v>259</v>
      </c>
      <c r="E42" s="9" t="s">
        <v>259</v>
      </c>
      <c r="F42" s="24">
        <v>0</v>
      </c>
      <c r="G42" s="9" t="s">
        <v>259</v>
      </c>
      <c r="H42" s="24">
        <v>0</v>
      </c>
      <c r="I42" s="9" t="s">
        <v>259</v>
      </c>
      <c r="J42" s="24">
        <v>0</v>
      </c>
      <c r="K42" s="9" t="s">
        <v>259</v>
      </c>
      <c r="L42" s="24">
        <v>1</v>
      </c>
      <c r="M42" s="9" t="s">
        <v>259</v>
      </c>
      <c r="N42" s="24">
        <v>1</v>
      </c>
      <c r="O42" t="s">
        <v>259</v>
      </c>
      <c r="P42" t="s">
        <v>259</v>
      </c>
      <c r="Q42" t="s">
        <v>259</v>
      </c>
      <c r="R42" t="s">
        <v>30</v>
      </c>
      <c r="S42" s="9" t="s">
        <v>259</v>
      </c>
      <c r="T42" s="24">
        <v>-1</v>
      </c>
      <c r="U42" s="24">
        <v>-1</v>
      </c>
      <c r="V42" s="24">
        <v>-1</v>
      </c>
      <c r="W42" s="24">
        <v>1</v>
      </c>
      <c r="X42" s="24">
        <v>-1</v>
      </c>
      <c r="AA42" s="9" t="s">
        <v>259</v>
      </c>
      <c r="AB42" s="24">
        <v>100</v>
      </c>
      <c r="AD42" s="9" t="s">
        <v>259</v>
      </c>
      <c r="AE42" s="24">
        <v>2</v>
      </c>
      <c r="AG42" s="10">
        <v>2054</v>
      </c>
      <c r="AI42" s="10">
        <v>2052</v>
      </c>
      <c r="AL42" s="10"/>
      <c r="AM42" s="10">
        <v>2056</v>
      </c>
    </row>
    <row r="43" spans="1:39">
      <c r="A43" s="9" t="s">
        <v>260</v>
      </c>
      <c r="B43" s="9" t="s">
        <v>260</v>
      </c>
      <c r="E43" s="9" t="s">
        <v>260</v>
      </c>
      <c r="F43" s="24">
        <v>0</v>
      </c>
      <c r="G43" s="9" t="s">
        <v>260</v>
      </c>
      <c r="H43" s="24">
        <v>0</v>
      </c>
      <c r="I43" s="9" t="s">
        <v>260</v>
      </c>
      <c r="J43" s="24">
        <v>0</v>
      </c>
      <c r="K43" s="9" t="s">
        <v>260</v>
      </c>
      <c r="L43" s="24">
        <v>1</v>
      </c>
      <c r="M43" s="9" t="s">
        <v>260</v>
      </c>
      <c r="N43" s="24">
        <v>1</v>
      </c>
      <c r="O43" t="s">
        <v>260</v>
      </c>
      <c r="P43" t="s">
        <v>260</v>
      </c>
      <c r="Q43" t="s">
        <v>260</v>
      </c>
      <c r="R43" t="s">
        <v>30</v>
      </c>
      <c r="S43" s="9" t="s">
        <v>260</v>
      </c>
      <c r="T43" s="24">
        <v>-1</v>
      </c>
      <c r="U43" s="24">
        <v>-1</v>
      </c>
      <c r="V43" s="24">
        <v>-1</v>
      </c>
      <c r="W43" s="24">
        <v>1</v>
      </c>
      <c r="X43" s="24">
        <v>-1</v>
      </c>
      <c r="AA43" s="9" t="s">
        <v>260</v>
      </c>
      <c r="AB43" s="24">
        <v>100</v>
      </c>
      <c r="AD43" s="9" t="s">
        <v>260</v>
      </c>
      <c r="AE43" s="24">
        <v>2</v>
      </c>
      <c r="AG43" s="10">
        <v>2055</v>
      </c>
      <c r="AI43" s="10">
        <v>2053</v>
      </c>
      <c r="AL43" s="10"/>
      <c r="AM43" s="10">
        <v>2065</v>
      </c>
    </row>
    <row r="44" spans="1:39">
      <c r="A44" s="9" t="s">
        <v>265</v>
      </c>
      <c r="B44" s="9" t="s">
        <v>265</v>
      </c>
      <c r="E44" s="9" t="s">
        <v>265</v>
      </c>
      <c r="F44" s="24">
        <v>1</v>
      </c>
      <c r="G44" s="9" t="s">
        <v>265</v>
      </c>
      <c r="H44" s="24">
        <v>1</v>
      </c>
      <c r="I44" s="9" t="s">
        <v>265</v>
      </c>
      <c r="J44" s="24">
        <v>1</v>
      </c>
      <c r="K44" s="9" t="s">
        <v>265</v>
      </c>
      <c r="L44" s="24">
        <v>1</v>
      </c>
      <c r="M44" s="9" t="s">
        <v>265</v>
      </c>
      <c r="N44" s="24">
        <v>1</v>
      </c>
      <c r="O44" t="s">
        <v>265</v>
      </c>
      <c r="P44" t="s">
        <v>265</v>
      </c>
      <c r="Q44" t="s">
        <v>265</v>
      </c>
      <c r="R44" t="s">
        <v>30</v>
      </c>
      <c r="S44" s="9" t="s">
        <v>265</v>
      </c>
      <c r="T44" s="24">
        <v>-1</v>
      </c>
      <c r="U44" s="24">
        <v>1</v>
      </c>
      <c r="V44" s="24">
        <v>1</v>
      </c>
      <c r="W44" s="24">
        <v>1</v>
      </c>
      <c r="X44" s="24">
        <v>-1</v>
      </c>
      <c r="AA44" s="9" t="s">
        <v>265</v>
      </c>
      <c r="AB44" s="24">
        <v>100</v>
      </c>
      <c r="AD44" s="9" t="s">
        <v>265</v>
      </c>
      <c r="AE44" s="24">
        <v>1</v>
      </c>
      <c r="AI44" s="10">
        <v>2054</v>
      </c>
      <c r="AL44" s="10"/>
    </row>
    <row r="45" spans="1:39">
      <c r="A45" s="9" t="s">
        <v>266</v>
      </c>
      <c r="B45" s="9" t="s">
        <v>266</v>
      </c>
      <c r="E45" s="9" t="s">
        <v>266</v>
      </c>
      <c r="F45" s="24">
        <v>1</v>
      </c>
      <c r="G45" s="9" t="s">
        <v>266</v>
      </c>
      <c r="H45" s="24">
        <v>1</v>
      </c>
      <c r="I45" s="9" t="s">
        <v>266</v>
      </c>
      <c r="J45" s="24">
        <v>1</v>
      </c>
      <c r="K45" s="9" t="s">
        <v>266</v>
      </c>
      <c r="L45" s="24">
        <v>1</v>
      </c>
      <c r="M45" s="9" t="s">
        <v>266</v>
      </c>
      <c r="N45" s="24">
        <v>1</v>
      </c>
      <c r="O45" t="s">
        <v>266</v>
      </c>
      <c r="P45" t="s">
        <v>266</v>
      </c>
      <c r="Q45" t="s">
        <v>266</v>
      </c>
      <c r="R45" t="s">
        <v>30</v>
      </c>
      <c r="S45" s="9" t="s">
        <v>266</v>
      </c>
      <c r="T45" s="24">
        <v>-1</v>
      </c>
      <c r="U45" s="24">
        <v>1</v>
      </c>
      <c r="V45" s="24">
        <v>1</v>
      </c>
      <c r="W45" s="24">
        <v>1</v>
      </c>
      <c r="X45" s="24">
        <v>-1</v>
      </c>
      <c r="AA45" s="9" t="s">
        <v>266</v>
      </c>
      <c r="AB45" s="24">
        <v>100</v>
      </c>
      <c r="AD45" s="9" t="s">
        <v>266</v>
      </c>
      <c r="AE45" s="24">
        <v>1</v>
      </c>
      <c r="AI45" s="10">
        <v>2055</v>
      </c>
      <c r="AL45" s="10"/>
    </row>
    <row r="46" spans="1:39">
      <c r="A46" s="9" t="s">
        <v>267</v>
      </c>
      <c r="B46" s="9" t="s">
        <v>267</v>
      </c>
      <c r="E46" s="9" t="s">
        <v>267</v>
      </c>
      <c r="F46" s="24">
        <v>1</v>
      </c>
      <c r="G46" s="9" t="s">
        <v>267</v>
      </c>
      <c r="H46" s="24">
        <v>1</v>
      </c>
      <c r="I46" s="9" t="s">
        <v>267</v>
      </c>
      <c r="J46" s="24">
        <v>1</v>
      </c>
      <c r="K46" s="9" t="s">
        <v>267</v>
      </c>
      <c r="L46" s="24">
        <v>1</v>
      </c>
      <c r="M46" s="9" t="s">
        <v>267</v>
      </c>
      <c r="N46" s="24">
        <v>1</v>
      </c>
      <c r="O46" t="s">
        <v>267</v>
      </c>
      <c r="P46" t="s">
        <v>267</v>
      </c>
      <c r="Q46" t="s">
        <v>267</v>
      </c>
      <c r="R46" t="s">
        <v>30</v>
      </c>
      <c r="S46" s="9" t="s">
        <v>267</v>
      </c>
      <c r="T46" s="24">
        <v>-1</v>
      </c>
      <c r="U46" s="24">
        <v>1</v>
      </c>
      <c r="V46" s="24">
        <v>1</v>
      </c>
      <c r="W46" s="24">
        <v>1</v>
      </c>
      <c r="X46" s="24">
        <v>-1</v>
      </c>
      <c r="AA46" s="9" t="s">
        <v>267</v>
      </c>
      <c r="AB46" s="24">
        <v>100</v>
      </c>
      <c r="AD46" s="9" t="s">
        <v>267</v>
      </c>
      <c r="AE46" s="24">
        <v>1</v>
      </c>
      <c r="AI46" s="10">
        <v>2058</v>
      </c>
      <c r="AL46" s="10"/>
    </row>
    <row r="47" spans="1:39">
      <c r="A47" s="9" t="s">
        <v>268</v>
      </c>
      <c r="B47" s="9" t="s">
        <v>268</v>
      </c>
      <c r="E47" s="9" t="s">
        <v>268</v>
      </c>
      <c r="F47" s="24">
        <v>1</v>
      </c>
      <c r="G47" s="9" t="s">
        <v>268</v>
      </c>
      <c r="H47" s="24">
        <v>1</v>
      </c>
      <c r="I47" s="9" t="s">
        <v>268</v>
      </c>
      <c r="J47" s="24">
        <v>1</v>
      </c>
      <c r="K47" s="9" t="s">
        <v>268</v>
      </c>
      <c r="L47" s="24">
        <v>1</v>
      </c>
      <c r="M47" s="9" t="s">
        <v>268</v>
      </c>
      <c r="N47" s="24">
        <v>1</v>
      </c>
      <c r="O47" t="s">
        <v>268</v>
      </c>
      <c r="P47" t="s">
        <v>268</v>
      </c>
      <c r="Q47" t="s">
        <v>268</v>
      </c>
      <c r="R47" t="s">
        <v>30</v>
      </c>
      <c r="S47" s="9" t="s">
        <v>268</v>
      </c>
      <c r="T47" s="24">
        <v>-1</v>
      </c>
      <c r="U47" s="24">
        <v>1</v>
      </c>
      <c r="V47" s="24">
        <v>1</v>
      </c>
      <c r="W47" s="24">
        <v>1</v>
      </c>
      <c r="X47" s="24">
        <v>-1</v>
      </c>
      <c r="AA47" s="9" t="s">
        <v>268</v>
      </c>
      <c r="AB47" s="24">
        <v>100</v>
      </c>
      <c r="AD47" s="9" t="s">
        <v>268</v>
      </c>
      <c r="AE47" s="24">
        <v>2</v>
      </c>
      <c r="AI47" s="10">
        <v>2063</v>
      </c>
      <c r="AL47" s="10"/>
    </row>
    <row r="48" spans="1:39">
      <c r="A48" s="9" t="s">
        <v>269</v>
      </c>
      <c r="B48" s="9" t="s">
        <v>269</v>
      </c>
      <c r="E48" s="9" t="s">
        <v>269</v>
      </c>
      <c r="F48" s="24">
        <v>1</v>
      </c>
      <c r="G48" s="9" t="s">
        <v>269</v>
      </c>
      <c r="H48" s="24">
        <v>1</v>
      </c>
      <c r="I48" s="9" t="s">
        <v>269</v>
      </c>
      <c r="J48" s="24">
        <v>1</v>
      </c>
      <c r="K48" s="9" t="s">
        <v>269</v>
      </c>
      <c r="L48" s="24">
        <v>1</v>
      </c>
      <c r="M48" s="9" t="s">
        <v>269</v>
      </c>
      <c r="N48" s="24">
        <v>1</v>
      </c>
      <c r="O48" t="s">
        <v>269</v>
      </c>
      <c r="P48" t="s">
        <v>269</v>
      </c>
      <c r="Q48" t="s">
        <v>269</v>
      </c>
      <c r="R48" t="s">
        <v>30</v>
      </c>
      <c r="S48" s="9" t="s">
        <v>269</v>
      </c>
      <c r="T48" s="24">
        <v>-1</v>
      </c>
      <c r="U48" s="24">
        <v>1</v>
      </c>
      <c r="V48" s="24">
        <v>1</v>
      </c>
      <c r="W48" s="24">
        <v>1</v>
      </c>
      <c r="X48" s="24">
        <v>-1</v>
      </c>
      <c r="AA48" s="9" t="s">
        <v>269</v>
      </c>
      <c r="AB48" s="24">
        <v>100</v>
      </c>
      <c r="AD48" s="9" t="s">
        <v>269</v>
      </c>
      <c r="AE48" s="24">
        <v>1</v>
      </c>
      <c r="AI48" s="10">
        <v>2068</v>
      </c>
      <c r="AL48" s="10"/>
    </row>
    <row r="49" spans="1:38">
      <c r="A49" s="9" t="s">
        <v>270</v>
      </c>
      <c r="B49" s="9" t="s">
        <v>270</v>
      </c>
      <c r="E49" s="9" t="s">
        <v>270</v>
      </c>
      <c r="F49" s="24">
        <v>1</v>
      </c>
      <c r="G49" s="9" t="s">
        <v>270</v>
      </c>
      <c r="H49" s="24">
        <v>1</v>
      </c>
      <c r="I49" s="9" t="s">
        <v>270</v>
      </c>
      <c r="J49" s="24">
        <v>1</v>
      </c>
      <c r="K49" s="9" t="s">
        <v>270</v>
      </c>
      <c r="L49" s="24">
        <v>1</v>
      </c>
      <c r="M49" s="9" t="s">
        <v>270</v>
      </c>
      <c r="N49" s="24">
        <v>1</v>
      </c>
      <c r="O49" t="s">
        <v>270</v>
      </c>
      <c r="P49" t="s">
        <v>270</v>
      </c>
      <c r="Q49" t="s">
        <v>270</v>
      </c>
      <c r="R49" t="s">
        <v>30</v>
      </c>
      <c r="S49" s="9" t="s">
        <v>270</v>
      </c>
      <c r="T49" s="24">
        <v>-1</v>
      </c>
      <c r="U49" s="24">
        <v>1</v>
      </c>
      <c r="V49" s="24">
        <v>1</v>
      </c>
      <c r="W49" s="24">
        <v>1</v>
      </c>
      <c r="X49" s="24">
        <v>-1</v>
      </c>
      <c r="AA49" s="9" t="s">
        <v>270</v>
      </c>
      <c r="AB49" s="24">
        <v>100</v>
      </c>
      <c r="AD49" s="9" t="s">
        <v>270</v>
      </c>
      <c r="AE49" s="24">
        <v>2</v>
      </c>
      <c r="AL49" s="10"/>
    </row>
    <row r="50" spans="1:38">
      <c r="A50" s="9" t="s">
        <v>271</v>
      </c>
      <c r="B50" s="9" t="s">
        <v>271</v>
      </c>
      <c r="E50" s="9" t="s">
        <v>271</v>
      </c>
      <c r="F50" s="24">
        <v>1</v>
      </c>
      <c r="G50" s="9" t="s">
        <v>271</v>
      </c>
      <c r="H50" s="24">
        <v>1</v>
      </c>
      <c r="I50" s="9" t="s">
        <v>271</v>
      </c>
      <c r="J50" s="24">
        <v>1</v>
      </c>
      <c r="K50" s="9" t="s">
        <v>271</v>
      </c>
      <c r="L50" s="24">
        <v>1</v>
      </c>
      <c r="M50" s="9" t="s">
        <v>271</v>
      </c>
      <c r="N50" s="24">
        <v>1</v>
      </c>
      <c r="O50" t="s">
        <v>271</v>
      </c>
      <c r="P50" t="s">
        <v>271</v>
      </c>
      <c r="Q50" t="s">
        <v>271</v>
      </c>
      <c r="R50" t="s">
        <v>30</v>
      </c>
      <c r="S50" s="9" t="s">
        <v>271</v>
      </c>
      <c r="T50" s="24">
        <v>-1</v>
      </c>
      <c r="U50" s="24">
        <v>1</v>
      </c>
      <c r="V50" s="24">
        <v>1</v>
      </c>
      <c r="W50" s="24">
        <v>1</v>
      </c>
      <c r="X50" s="24">
        <v>-1</v>
      </c>
      <c r="AA50" s="9" t="s">
        <v>271</v>
      </c>
      <c r="AB50" s="24">
        <v>100</v>
      </c>
      <c r="AD50" s="9" t="s">
        <v>271</v>
      </c>
      <c r="AE50" s="24">
        <v>2</v>
      </c>
      <c r="AL50" s="10"/>
    </row>
    <row r="51" spans="1:38">
      <c r="A51" s="9" t="s">
        <v>272</v>
      </c>
      <c r="B51" s="9" t="s">
        <v>272</v>
      </c>
      <c r="E51" s="9" t="s">
        <v>272</v>
      </c>
      <c r="F51" s="24">
        <v>1</v>
      </c>
      <c r="G51" s="9" t="s">
        <v>272</v>
      </c>
      <c r="H51" s="24">
        <v>1</v>
      </c>
      <c r="I51" s="9" t="s">
        <v>272</v>
      </c>
      <c r="J51" s="24">
        <v>1</v>
      </c>
      <c r="K51" s="9" t="s">
        <v>272</v>
      </c>
      <c r="L51" s="24">
        <v>1</v>
      </c>
      <c r="M51" s="9" t="s">
        <v>272</v>
      </c>
      <c r="N51" s="24">
        <v>1</v>
      </c>
      <c r="O51" t="s">
        <v>272</v>
      </c>
      <c r="P51" t="s">
        <v>272</v>
      </c>
      <c r="Q51" t="s">
        <v>272</v>
      </c>
      <c r="R51" t="s">
        <v>30</v>
      </c>
      <c r="S51" s="9" t="s">
        <v>272</v>
      </c>
      <c r="T51" s="24">
        <v>-1</v>
      </c>
      <c r="U51" s="24">
        <v>1</v>
      </c>
      <c r="V51" s="24">
        <v>1</v>
      </c>
      <c r="W51" s="24">
        <v>1</v>
      </c>
      <c r="X51" s="24">
        <v>-1</v>
      </c>
      <c r="AA51" s="9" t="s">
        <v>272</v>
      </c>
      <c r="AB51" s="24">
        <v>100</v>
      </c>
      <c r="AD51" s="9" t="s">
        <v>272</v>
      </c>
      <c r="AE51" s="24">
        <v>2</v>
      </c>
      <c r="AL51" s="10"/>
    </row>
    <row r="52" spans="1:38">
      <c r="A52" s="9" t="s">
        <v>273</v>
      </c>
      <c r="B52" s="9" t="s">
        <v>273</v>
      </c>
      <c r="E52" s="9" t="s">
        <v>273</v>
      </c>
      <c r="F52" s="24">
        <v>1</v>
      </c>
      <c r="G52" s="9" t="s">
        <v>273</v>
      </c>
      <c r="H52" s="24">
        <v>1</v>
      </c>
      <c r="I52" s="9" t="s">
        <v>273</v>
      </c>
      <c r="J52" s="24">
        <v>1</v>
      </c>
      <c r="K52" s="9" t="s">
        <v>273</v>
      </c>
      <c r="L52" s="24">
        <v>1</v>
      </c>
      <c r="M52" s="9" t="s">
        <v>273</v>
      </c>
      <c r="N52" s="24">
        <v>1</v>
      </c>
      <c r="O52" t="s">
        <v>273</v>
      </c>
      <c r="P52" t="s">
        <v>273</v>
      </c>
      <c r="Q52" t="s">
        <v>273</v>
      </c>
      <c r="R52" t="s">
        <v>30</v>
      </c>
      <c r="S52" s="9" t="s">
        <v>273</v>
      </c>
      <c r="T52" s="24">
        <v>-1</v>
      </c>
      <c r="U52" s="24">
        <v>1</v>
      </c>
      <c r="V52" s="24">
        <v>1</v>
      </c>
      <c r="W52" s="24">
        <v>1</v>
      </c>
      <c r="X52" s="24">
        <v>-1</v>
      </c>
      <c r="AA52" s="9" t="s">
        <v>273</v>
      </c>
      <c r="AB52" s="24">
        <v>100</v>
      </c>
      <c r="AD52" s="9" t="s">
        <v>273</v>
      </c>
      <c r="AE52" s="24">
        <v>2</v>
      </c>
      <c r="AL52" s="10"/>
    </row>
    <row r="53" spans="1:38">
      <c r="A53" s="9" t="s">
        <v>274</v>
      </c>
      <c r="B53" s="9" t="s">
        <v>274</v>
      </c>
      <c r="E53" s="9" t="s">
        <v>274</v>
      </c>
      <c r="F53" s="24">
        <v>1</v>
      </c>
      <c r="G53" s="9" t="s">
        <v>274</v>
      </c>
      <c r="H53" s="24">
        <v>1</v>
      </c>
      <c r="I53" s="9" t="s">
        <v>274</v>
      </c>
      <c r="J53" s="24">
        <v>1</v>
      </c>
      <c r="K53" s="9" t="s">
        <v>274</v>
      </c>
      <c r="L53" s="24">
        <v>1</v>
      </c>
      <c r="M53" s="9" t="s">
        <v>274</v>
      </c>
      <c r="N53" s="24">
        <v>1</v>
      </c>
      <c r="O53" t="s">
        <v>274</v>
      </c>
      <c r="P53" t="s">
        <v>274</v>
      </c>
      <c r="Q53" t="s">
        <v>274</v>
      </c>
      <c r="R53" t="s">
        <v>30</v>
      </c>
      <c r="S53" s="9" t="s">
        <v>274</v>
      </c>
      <c r="T53" s="24">
        <v>-1</v>
      </c>
      <c r="U53" s="24">
        <v>1</v>
      </c>
      <c r="V53" s="24">
        <v>1</v>
      </c>
      <c r="W53" s="24">
        <v>1</v>
      </c>
      <c r="X53" s="24">
        <v>-1</v>
      </c>
      <c r="AA53" s="9" t="s">
        <v>274</v>
      </c>
      <c r="AB53" s="24">
        <v>100</v>
      </c>
      <c r="AD53" s="9" t="s">
        <v>274</v>
      </c>
      <c r="AE53" s="24">
        <v>1</v>
      </c>
      <c r="AL53" s="10"/>
    </row>
    <row r="54" spans="1:38">
      <c r="A54" s="9" t="s">
        <v>275</v>
      </c>
      <c r="B54" s="9" t="s">
        <v>275</v>
      </c>
      <c r="E54" s="9" t="s">
        <v>275</v>
      </c>
      <c r="F54" s="24">
        <v>1</v>
      </c>
      <c r="G54" s="9" t="s">
        <v>275</v>
      </c>
      <c r="H54" s="24">
        <v>1</v>
      </c>
      <c r="I54" s="9" t="s">
        <v>275</v>
      </c>
      <c r="J54" s="24">
        <v>1</v>
      </c>
      <c r="K54" s="9" t="s">
        <v>275</v>
      </c>
      <c r="L54" s="24">
        <v>1</v>
      </c>
      <c r="M54" s="9" t="s">
        <v>275</v>
      </c>
      <c r="N54" s="24">
        <v>1</v>
      </c>
      <c r="O54" t="s">
        <v>275</v>
      </c>
      <c r="P54" t="s">
        <v>275</v>
      </c>
      <c r="Q54" t="s">
        <v>275</v>
      </c>
      <c r="R54" t="s">
        <v>30</v>
      </c>
      <c r="S54" s="9" t="s">
        <v>275</v>
      </c>
      <c r="T54" s="24">
        <v>-1</v>
      </c>
      <c r="U54" s="24">
        <v>1</v>
      </c>
      <c r="V54" s="24">
        <v>1</v>
      </c>
      <c r="W54" s="24">
        <v>1</v>
      </c>
      <c r="X54" s="24">
        <v>-1</v>
      </c>
      <c r="AA54" s="9" t="s">
        <v>275</v>
      </c>
      <c r="AB54" s="24">
        <v>100</v>
      </c>
      <c r="AD54" s="9" t="s">
        <v>275</v>
      </c>
      <c r="AE54" s="24">
        <v>1</v>
      </c>
      <c r="AL54" s="10"/>
    </row>
    <row r="55" spans="1:38">
      <c r="A55" s="9" t="s">
        <v>276</v>
      </c>
      <c r="B55" s="9" t="s">
        <v>276</v>
      </c>
      <c r="E55" s="9" t="s">
        <v>276</v>
      </c>
      <c r="F55" s="24">
        <v>1</v>
      </c>
      <c r="G55" s="9" t="s">
        <v>276</v>
      </c>
      <c r="H55" s="24">
        <v>1</v>
      </c>
      <c r="I55" s="9" t="s">
        <v>276</v>
      </c>
      <c r="J55" s="24">
        <v>1</v>
      </c>
      <c r="K55" s="9" t="s">
        <v>276</v>
      </c>
      <c r="L55" s="24">
        <v>1</v>
      </c>
      <c r="M55" s="9" t="s">
        <v>276</v>
      </c>
      <c r="N55" s="24">
        <v>1</v>
      </c>
      <c r="O55" t="s">
        <v>276</v>
      </c>
      <c r="P55" t="s">
        <v>276</v>
      </c>
      <c r="Q55" t="s">
        <v>276</v>
      </c>
      <c r="R55" t="s">
        <v>30</v>
      </c>
      <c r="S55" s="9" t="s">
        <v>276</v>
      </c>
      <c r="T55" s="24">
        <v>-1</v>
      </c>
      <c r="U55" s="24">
        <v>1</v>
      </c>
      <c r="V55" s="24">
        <v>1</v>
      </c>
      <c r="W55" s="24">
        <v>1</v>
      </c>
      <c r="X55" s="24">
        <v>-1</v>
      </c>
      <c r="AA55" s="9" t="s">
        <v>276</v>
      </c>
      <c r="AB55" s="24">
        <v>100</v>
      </c>
      <c r="AD55" s="9" t="s">
        <v>276</v>
      </c>
      <c r="AE55" s="24">
        <v>2</v>
      </c>
      <c r="AL55" s="10"/>
    </row>
    <row r="56" spans="1:38">
      <c r="A56" s="9" t="s">
        <v>277</v>
      </c>
      <c r="B56" s="9" t="s">
        <v>277</v>
      </c>
      <c r="E56" s="9" t="s">
        <v>277</v>
      </c>
      <c r="F56" s="24">
        <v>1</v>
      </c>
      <c r="G56" s="9" t="s">
        <v>277</v>
      </c>
      <c r="H56" s="24">
        <v>1</v>
      </c>
      <c r="I56" s="9" t="s">
        <v>277</v>
      </c>
      <c r="J56" s="24">
        <v>1</v>
      </c>
      <c r="K56" s="9" t="s">
        <v>277</v>
      </c>
      <c r="L56" s="24">
        <v>1</v>
      </c>
      <c r="M56" s="9" t="s">
        <v>277</v>
      </c>
      <c r="N56" s="24">
        <v>1</v>
      </c>
      <c r="O56" t="s">
        <v>277</v>
      </c>
      <c r="P56" t="s">
        <v>277</v>
      </c>
      <c r="Q56" t="s">
        <v>277</v>
      </c>
      <c r="R56" t="s">
        <v>30</v>
      </c>
      <c r="S56" s="9" t="s">
        <v>277</v>
      </c>
      <c r="T56" s="24">
        <v>-1</v>
      </c>
      <c r="U56" s="24">
        <v>1</v>
      </c>
      <c r="V56" s="24">
        <v>1</v>
      </c>
      <c r="W56" s="24">
        <v>1</v>
      </c>
      <c r="X56" s="24">
        <v>-1</v>
      </c>
      <c r="AA56" s="9" t="s">
        <v>277</v>
      </c>
      <c r="AB56" s="24">
        <v>100</v>
      </c>
      <c r="AD56" s="9" t="s">
        <v>277</v>
      </c>
      <c r="AE56" s="24">
        <v>2</v>
      </c>
      <c r="AL56" s="10"/>
    </row>
    <row r="57" spans="1:38">
      <c r="AL57" s="10"/>
    </row>
    <row r="58" spans="1:38">
      <c r="AL58" s="10"/>
    </row>
    <row r="59" spans="1:38">
      <c r="AL59" s="10"/>
    </row>
    <row r="60" spans="1:38">
      <c r="AL60" s="10"/>
    </row>
    <row r="65" spans="35:35">
      <c r="AI65" s="10">
        <v>2051</v>
      </c>
    </row>
    <row r="66" spans="35:35">
      <c r="AI66" s="10">
        <v>2052</v>
      </c>
    </row>
    <row r="67" spans="35:35">
      <c r="AI67" s="10">
        <v>2053</v>
      </c>
    </row>
    <row r="68" spans="35:35">
      <c r="AI68" s="10">
        <v>2054</v>
      </c>
    </row>
    <row r="69" spans="35:35">
      <c r="AI69" s="10">
        <v>2055</v>
      </c>
    </row>
    <row r="70" spans="35:35">
      <c r="AI70" s="10">
        <v>2056</v>
      </c>
    </row>
    <row r="71" spans="35:35">
      <c r="AI71" s="10">
        <v>2057</v>
      </c>
    </row>
    <row r="72" spans="35:35">
      <c r="AI72" s="10">
        <v>2058</v>
      </c>
    </row>
    <row r="73" spans="35:35">
      <c r="AI73" s="10">
        <v>2059</v>
      </c>
    </row>
    <row r="74" spans="35:35">
      <c r="AI74" s="10">
        <v>2060</v>
      </c>
    </row>
    <row r="75" spans="35:35">
      <c r="AI75" s="10">
        <v>2061</v>
      </c>
    </row>
    <row r="76" spans="35:35">
      <c r="AI76" s="10">
        <v>2062</v>
      </c>
    </row>
    <row r="77" spans="35:35">
      <c r="AI77" s="10">
        <v>2063</v>
      </c>
    </row>
    <row r="78" spans="35:35">
      <c r="AI78" s="10">
        <v>2064</v>
      </c>
    </row>
    <row r="79" spans="35:35">
      <c r="AI79" s="10">
        <v>2065</v>
      </c>
    </row>
    <row r="80" spans="35:35">
      <c r="AI80" s="10">
        <v>2066</v>
      </c>
    </row>
    <row r="81" spans="35:35">
      <c r="AI81" s="10">
        <v>2067</v>
      </c>
    </row>
    <row r="82" spans="35:35">
      <c r="AI82" s="10">
        <v>2068</v>
      </c>
    </row>
    <row r="83" spans="35:35">
      <c r="AI83" s="10">
        <v>2069</v>
      </c>
    </row>
    <row r="84" spans="35:35">
      <c r="AI84" s="10">
        <v>2070</v>
      </c>
    </row>
  </sheetData>
  <phoneticPr fontId="34" type="noConversion"/>
  <pageMargins left="0.7" right="0.7" top="0.75" bottom="0.75" header="0.3" footer="0.3"/>
  <pageSetup paperSize="9" orientation="portrait" r:id="rId1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P97"/>
  <sheetViews>
    <sheetView tabSelected="1" zoomScale="90" zoomScaleNormal="90" workbookViewId="0">
      <pane xSplit="2" ySplit="9" topLeftCell="C34" activePane="bottomRight" state="frozen"/>
      <selection pane="topRight" activeCell="C1" sqref="C1"/>
      <selection pane="bottomLeft" activeCell="A8" sqref="A8"/>
      <selection pane="bottomRight" activeCell="B58" sqref="B58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5" width="42.85546875" customWidth="1"/>
    <col min="6" max="6" width="20.28515625" customWidth="1"/>
    <col min="7" max="7" width="11.5703125" customWidth="1"/>
    <col min="8" max="8" width="22.42578125" customWidth="1"/>
    <col min="9" max="9" width="11.5703125" customWidth="1"/>
    <col min="10" max="11" width="15.85546875" customWidth="1"/>
    <col min="12" max="14" width="11.5703125" customWidth="1"/>
    <col min="15" max="15" width="7" customWidth="1"/>
    <col min="16" max="16" width="8.140625" customWidth="1"/>
    <col min="17" max="17" width="11.5703125" customWidth="1"/>
    <col min="20" max="32" width="5.5703125" customWidth="1"/>
    <col min="33" max="50" width="6.42578125" customWidth="1"/>
    <col min="51" max="51" width="10.140625" customWidth="1"/>
  </cols>
  <sheetData>
    <row r="1" spans="1:63">
      <c r="A1" t="s">
        <v>196</v>
      </c>
      <c r="B1" t="str" cm="1">
        <f t="array" aca="1" ref="B1" ca="1">LEFT(CELL("filename",A1),FIND("[",CELL("filename",A1))-1)</f>
        <v>C:\Models\SATIMGE_Veda\</v>
      </c>
      <c r="E1" t="s">
        <v>263</v>
      </c>
      <c r="J1" s="14" t="s">
        <v>188</v>
      </c>
      <c r="K1" s="14"/>
      <c r="L1">
        <v>-1</v>
      </c>
      <c r="M1">
        <v>-1</v>
      </c>
      <c r="N1">
        <v>-1</v>
      </c>
      <c r="O1">
        <v>1</v>
      </c>
      <c r="P1">
        <v>-1</v>
      </c>
      <c r="U1" t="e">
        <f>RIGHT(#REF!,1)</f>
        <v>#REF!</v>
      </c>
      <c r="V1">
        <v>7.4793989999999999</v>
      </c>
    </row>
    <row r="2" spans="1:63">
      <c r="J2" s="14" t="s">
        <v>189</v>
      </c>
      <c r="K2" s="14"/>
      <c r="L2">
        <v>2</v>
      </c>
      <c r="M2">
        <v>2</v>
      </c>
      <c r="N2">
        <v>1</v>
      </c>
      <c r="O2">
        <v>2</v>
      </c>
      <c r="P2">
        <v>1</v>
      </c>
      <c r="U2" t="e">
        <f>RIGHT(#REF!,1)</f>
        <v>#REF!</v>
      </c>
      <c r="V2">
        <v>6.4793989999999999</v>
      </c>
      <c r="BK2">
        <f>14*14/60</f>
        <v>3.2666666666666666</v>
      </c>
    </row>
    <row r="3" spans="1:63">
      <c r="J3" s="14" t="s">
        <v>190</v>
      </c>
      <c r="K3" s="14"/>
      <c r="L3">
        <v>2</v>
      </c>
      <c r="M3">
        <v>2</v>
      </c>
      <c r="N3">
        <v>2</v>
      </c>
      <c r="O3">
        <v>1</v>
      </c>
      <c r="P3">
        <v>2</v>
      </c>
      <c r="U3" t="e">
        <f>RIGHT(#REF!,1)</f>
        <v>#REF!</v>
      </c>
      <c r="V3">
        <v>5.4793989999999999</v>
      </c>
    </row>
    <row r="4" spans="1:63">
      <c r="J4" s="14" t="s">
        <v>191</v>
      </c>
      <c r="K4" s="14"/>
      <c r="L4">
        <v>1</v>
      </c>
      <c r="M4">
        <v>1</v>
      </c>
      <c r="N4">
        <v>3</v>
      </c>
      <c r="O4">
        <v>3</v>
      </c>
      <c r="P4">
        <v>3</v>
      </c>
      <c r="U4" t="str">
        <f>RIGHT(B22,1)</f>
        <v>C</v>
      </c>
      <c r="V4">
        <v>4.4793989999999999</v>
      </c>
    </row>
    <row r="5" spans="1:63" ht="45">
      <c r="A5" t="s">
        <v>207</v>
      </c>
      <c r="G5" s="6" t="s">
        <v>62</v>
      </c>
      <c r="H5" s="7"/>
      <c r="I5" s="7"/>
      <c r="J5" s="14" t="s">
        <v>210</v>
      </c>
      <c r="K5" s="14"/>
      <c r="L5" s="14">
        <f>L1</f>
        <v>-1</v>
      </c>
      <c r="M5" s="14">
        <f t="shared" ref="M5:N5" si="0">M1</f>
        <v>-1</v>
      </c>
      <c r="N5" s="14">
        <f t="shared" si="0"/>
        <v>-1</v>
      </c>
      <c r="O5" s="14">
        <v>1</v>
      </c>
      <c r="P5" s="14">
        <v>4</v>
      </c>
      <c r="Q5">
        <v>-20</v>
      </c>
      <c r="U5" t="s">
        <v>213</v>
      </c>
      <c r="V5">
        <v>100</v>
      </c>
      <c r="BA5" t="s">
        <v>206</v>
      </c>
    </row>
    <row r="6" spans="1:63">
      <c r="A6" s="4">
        <f>SUM(A16:A96)</f>
        <v>38</v>
      </c>
      <c r="B6" s="13" t="str">
        <f>IF(AZ6&gt;0,"Scenario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211</v>
      </c>
      <c r="K6" s="14"/>
      <c r="L6" s="14">
        <f>L2</f>
        <v>2</v>
      </c>
      <c r="M6" s="14">
        <f t="shared" ref="M6:N6" si="1">M2</f>
        <v>2</v>
      </c>
      <c r="N6" s="14">
        <f t="shared" si="1"/>
        <v>1</v>
      </c>
      <c r="O6" s="14">
        <v>3</v>
      </c>
      <c r="P6" s="15">
        <v>5</v>
      </c>
      <c r="Q6">
        <v>-45</v>
      </c>
      <c r="S6" s="23" t="s">
        <v>26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Z6">
        <f>SUM(AZ16:AZ58)</f>
        <v>0</v>
      </c>
    </row>
    <row r="7" spans="1:63">
      <c r="A7" s="4"/>
      <c r="B7" s="13"/>
      <c r="D7" s="7"/>
      <c r="E7" s="3"/>
      <c r="F7" s="3"/>
      <c r="H7" s="3"/>
      <c r="I7" s="3"/>
      <c r="J7" s="14" t="s">
        <v>212</v>
      </c>
      <c r="K7" s="14"/>
      <c r="L7" s="14">
        <v>2</v>
      </c>
      <c r="M7" s="14">
        <v>2</v>
      </c>
      <c r="N7" s="14">
        <v>1</v>
      </c>
      <c r="O7" s="14">
        <v>3</v>
      </c>
      <c r="P7" s="14">
        <v>4</v>
      </c>
      <c r="Q7">
        <v>-20</v>
      </c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</row>
    <row r="8" spans="1:63">
      <c r="A8" s="4"/>
      <c r="B8" s="13"/>
      <c r="D8" s="7"/>
      <c r="E8" s="3"/>
      <c r="F8" s="3"/>
      <c r="H8" s="3"/>
      <c r="I8" s="3"/>
      <c r="J8" s="14" t="s">
        <v>209</v>
      </c>
      <c r="K8" s="14"/>
      <c r="L8" s="14">
        <v>-1</v>
      </c>
      <c r="M8" s="14">
        <v>-1</v>
      </c>
      <c r="N8" s="14">
        <v>-1</v>
      </c>
      <c r="O8" s="14">
        <v>1</v>
      </c>
      <c r="P8" s="14">
        <v>5</v>
      </c>
      <c r="Q8">
        <v>-45</v>
      </c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</row>
    <row r="9" spans="1:63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222</v>
      </c>
      <c r="L9" s="6" t="s">
        <v>179</v>
      </c>
      <c r="M9" s="6" t="s">
        <v>180</v>
      </c>
      <c r="N9" s="6" t="s">
        <v>181</v>
      </c>
      <c r="O9" s="6" t="s">
        <v>183</v>
      </c>
      <c r="P9" s="6" t="s">
        <v>182</v>
      </c>
      <c r="Q9" s="6" t="s">
        <v>12</v>
      </c>
      <c r="R9" s="6" t="s">
        <v>216</v>
      </c>
      <c r="S9">
        <v>2018</v>
      </c>
      <c r="T9">
        <f>S9+1</f>
        <v>2019</v>
      </c>
      <c r="U9">
        <f t="shared" ref="U9:AY9" si="2">T9+1</f>
        <v>2020</v>
      </c>
      <c r="V9">
        <f t="shared" si="2"/>
        <v>2021</v>
      </c>
      <c r="W9">
        <f t="shared" si="2"/>
        <v>2022</v>
      </c>
      <c r="X9">
        <f t="shared" si="2"/>
        <v>2023</v>
      </c>
      <c r="Y9">
        <f t="shared" si="2"/>
        <v>2024</v>
      </c>
      <c r="Z9">
        <f t="shared" si="2"/>
        <v>2025</v>
      </c>
      <c r="AA9">
        <f t="shared" si="2"/>
        <v>2026</v>
      </c>
      <c r="AB9">
        <f t="shared" si="2"/>
        <v>2027</v>
      </c>
      <c r="AC9">
        <f t="shared" si="2"/>
        <v>2028</v>
      </c>
      <c r="AD9">
        <f t="shared" si="2"/>
        <v>2029</v>
      </c>
      <c r="AE9">
        <f t="shared" si="2"/>
        <v>2030</v>
      </c>
      <c r="AF9">
        <f t="shared" si="2"/>
        <v>2031</v>
      </c>
      <c r="AG9">
        <f t="shared" si="2"/>
        <v>2032</v>
      </c>
      <c r="AH9">
        <f t="shared" si="2"/>
        <v>2033</v>
      </c>
      <c r="AI9">
        <f t="shared" si="2"/>
        <v>2034</v>
      </c>
      <c r="AJ9">
        <f t="shared" si="2"/>
        <v>2035</v>
      </c>
      <c r="AK9">
        <f t="shared" si="2"/>
        <v>2036</v>
      </c>
      <c r="AL9">
        <f t="shared" si="2"/>
        <v>2037</v>
      </c>
      <c r="AM9">
        <f t="shared" si="2"/>
        <v>2038</v>
      </c>
      <c r="AN9">
        <f t="shared" si="2"/>
        <v>2039</v>
      </c>
      <c r="AO9">
        <f t="shared" si="2"/>
        <v>2040</v>
      </c>
      <c r="AP9">
        <f t="shared" si="2"/>
        <v>2041</v>
      </c>
      <c r="AQ9">
        <f t="shared" si="2"/>
        <v>2042</v>
      </c>
      <c r="AR9">
        <f t="shared" si="2"/>
        <v>2043</v>
      </c>
      <c r="AS9">
        <f t="shared" si="2"/>
        <v>2044</v>
      </c>
      <c r="AT9">
        <f t="shared" si="2"/>
        <v>2045</v>
      </c>
      <c r="AU9">
        <f t="shared" si="2"/>
        <v>2046</v>
      </c>
      <c r="AV9">
        <f t="shared" si="2"/>
        <v>2047</v>
      </c>
      <c r="AW9">
        <f t="shared" si="2"/>
        <v>2048</v>
      </c>
      <c r="AX9">
        <f t="shared" si="2"/>
        <v>2049</v>
      </c>
      <c r="AY9" s="9">
        <f t="shared" si="2"/>
        <v>2050</v>
      </c>
      <c r="AZ9" t="s">
        <v>208</v>
      </c>
      <c r="BA9" s="19" t="s">
        <v>226</v>
      </c>
      <c r="BB9" t="s">
        <v>227</v>
      </c>
    </row>
    <row r="10" spans="1:63">
      <c r="A10">
        <v>0</v>
      </c>
      <c r="B10" s="20" t="s">
        <v>219</v>
      </c>
      <c r="D10" t="s">
        <v>30</v>
      </c>
      <c r="E10" t="str">
        <f t="shared" ref="E10:E11" si="3">B10</f>
        <v>NZ_NDCLO</v>
      </c>
      <c r="F10">
        <v>1</v>
      </c>
      <c r="G10">
        <v>1</v>
      </c>
      <c r="H10" t="s">
        <v>188</v>
      </c>
      <c r="I10">
        <v>1</v>
      </c>
      <c r="J10">
        <v>1</v>
      </c>
      <c r="K10">
        <v>1</v>
      </c>
      <c r="L10">
        <v>-1</v>
      </c>
      <c r="M10">
        <v>1</v>
      </c>
      <c r="N10">
        <v>1</v>
      </c>
      <c r="O10">
        <v>1</v>
      </c>
      <c r="P10">
        <v>-1</v>
      </c>
      <c r="Q10">
        <v>100</v>
      </c>
      <c r="AZ10">
        <f t="shared" ref="AZ10:AZ16" si="4">IF(LEN(B10)&gt;=30,1,0)</f>
        <v>0</v>
      </c>
      <c r="BB10">
        <v>1</v>
      </c>
      <c r="BJ10" t="s">
        <v>262</v>
      </c>
    </row>
    <row r="11" spans="1:63">
      <c r="A11">
        <v>0</v>
      </c>
      <c r="B11" s="20" t="s">
        <v>220</v>
      </c>
      <c r="D11" t="s">
        <v>30</v>
      </c>
      <c r="E11" t="str">
        <f t="shared" si="3"/>
        <v>NZ_NDCUP</v>
      </c>
      <c r="F11">
        <v>1</v>
      </c>
      <c r="G11">
        <v>1</v>
      </c>
      <c r="H11" t="s">
        <v>188</v>
      </c>
      <c r="I11">
        <v>1</v>
      </c>
      <c r="J11">
        <v>1</v>
      </c>
      <c r="K11">
        <v>1</v>
      </c>
      <c r="L11">
        <v>-1</v>
      </c>
      <c r="M11">
        <v>1</v>
      </c>
      <c r="N11">
        <v>1</v>
      </c>
      <c r="O11">
        <v>1</v>
      </c>
      <c r="P11">
        <v>-1</v>
      </c>
      <c r="Q11">
        <v>100</v>
      </c>
      <c r="AZ11">
        <f t="shared" si="4"/>
        <v>0</v>
      </c>
      <c r="BB11">
        <v>1</v>
      </c>
      <c r="BJ11" t="s">
        <v>240</v>
      </c>
    </row>
    <row r="12" spans="1:63">
      <c r="A12">
        <v>0</v>
      </c>
      <c r="B12" s="20" t="s">
        <v>221</v>
      </c>
      <c r="D12" t="s">
        <v>30</v>
      </c>
      <c r="E12" t="str">
        <f t="shared" ref="E12" si="5">B12</f>
        <v>REF</v>
      </c>
      <c r="F12">
        <v>1</v>
      </c>
      <c r="G12">
        <v>1</v>
      </c>
      <c r="H12" t="s">
        <v>188</v>
      </c>
      <c r="I12">
        <v>1</v>
      </c>
      <c r="J12">
        <v>1</v>
      </c>
      <c r="K12">
        <v>1</v>
      </c>
      <c r="L12">
        <v>-1</v>
      </c>
      <c r="M12">
        <v>1</v>
      </c>
      <c r="N12">
        <v>1</v>
      </c>
      <c r="O12">
        <v>1</v>
      </c>
      <c r="P12">
        <v>-1</v>
      </c>
      <c r="Q12">
        <v>100</v>
      </c>
      <c r="AZ12">
        <f t="shared" si="4"/>
        <v>0</v>
      </c>
      <c r="BB12">
        <v>1</v>
      </c>
    </row>
    <row r="13" spans="1:63">
      <c r="A13">
        <v>0</v>
      </c>
      <c r="B13" s="20" t="s">
        <v>225</v>
      </c>
      <c r="D13" t="s">
        <v>30</v>
      </c>
      <c r="E13" t="str">
        <f t="shared" ref="E13" si="6">B13</f>
        <v>DELAYED</v>
      </c>
      <c r="F13">
        <v>1</v>
      </c>
      <c r="G13">
        <v>1</v>
      </c>
      <c r="H13" t="s">
        <v>188</v>
      </c>
      <c r="I13">
        <v>1</v>
      </c>
      <c r="J13">
        <v>1</v>
      </c>
      <c r="K13">
        <v>1</v>
      </c>
      <c r="L13">
        <v>-1</v>
      </c>
      <c r="M13">
        <v>1</v>
      </c>
      <c r="N13">
        <v>1</v>
      </c>
      <c r="O13">
        <v>1</v>
      </c>
      <c r="P13">
        <v>-1</v>
      </c>
      <c r="Q13">
        <v>100</v>
      </c>
      <c r="AZ13">
        <f t="shared" si="4"/>
        <v>0</v>
      </c>
      <c r="BB13">
        <v>1</v>
      </c>
      <c r="BJ13" t="s">
        <v>261</v>
      </c>
    </row>
    <row r="14" spans="1:63">
      <c r="A14">
        <v>1</v>
      </c>
      <c r="B14" t="s">
        <v>253</v>
      </c>
      <c r="D14" t="s">
        <v>30</v>
      </c>
      <c r="E14" t="str">
        <f>B14</f>
        <v>NZ10_2099A_99EESSNXCTSC</v>
      </c>
      <c r="F14">
        <v>1</v>
      </c>
      <c r="G14">
        <v>1</v>
      </c>
      <c r="H14" t="s">
        <v>188</v>
      </c>
      <c r="I14">
        <v>1</v>
      </c>
      <c r="J14">
        <v>1</v>
      </c>
      <c r="K14">
        <f>IF(MID(B14,10,1) = "B",2,1)</f>
        <v>1</v>
      </c>
      <c r="L14">
        <v>-1</v>
      </c>
      <c r="M14">
        <f>IF(MID(B14,14,2)="EE",1,-1)</f>
        <v>1</v>
      </c>
      <c r="N14">
        <f>IF(MID(B14,14,2)="EE",1,-1)</f>
        <v>1</v>
      </c>
      <c r="O14">
        <v>1</v>
      </c>
      <c r="P14">
        <v>-1</v>
      </c>
      <c r="Q14">
        <v>100</v>
      </c>
      <c r="AZ14">
        <f t="shared" si="4"/>
        <v>0</v>
      </c>
      <c r="BA14">
        <v>1</v>
      </c>
      <c r="BJ14" t="s">
        <v>241</v>
      </c>
    </row>
    <row r="15" spans="1:63">
      <c r="A15">
        <v>1</v>
      </c>
      <c r="B15" t="s">
        <v>252</v>
      </c>
      <c r="D15" t="s">
        <v>30</v>
      </c>
      <c r="E15" t="str">
        <f>B15</f>
        <v>NZ10_2099A_99EESSNXCTCL</v>
      </c>
      <c r="F15">
        <v>1</v>
      </c>
      <c r="G15">
        <v>1</v>
      </c>
      <c r="H15" t="s">
        <v>188</v>
      </c>
      <c r="I15">
        <v>1</v>
      </c>
      <c r="J15">
        <v>1</v>
      </c>
      <c r="K15">
        <f>IF(MID(B15,10,1) = "B",2,1)</f>
        <v>1</v>
      </c>
      <c r="L15">
        <v>-1</v>
      </c>
      <c r="M15">
        <f>IF(MID(B15,14,2)="EE",1,-1)</f>
        <v>1</v>
      </c>
      <c r="N15">
        <f>IF(MID(B15,14,2)="EE",1,-1)</f>
        <v>1</v>
      </c>
      <c r="O15">
        <v>1</v>
      </c>
      <c r="P15">
        <v>-1</v>
      </c>
      <c r="Q15">
        <v>100</v>
      </c>
      <c r="AZ15">
        <f t="shared" si="4"/>
        <v>0</v>
      </c>
      <c r="BA15">
        <v>1</v>
      </c>
      <c r="BJ15" t="s">
        <v>242</v>
      </c>
    </row>
    <row r="16" spans="1:63">
      <c r="A16">
        <v>1</v>
      </c>
      <c r="B16" t="s">
        <v>228</v>
      </c>
      <c r="D16" t="s">
        <v>30</v>
      </c>
      <c r="E16" t="str">
        <f>B16</f>
        <v>NZ10_2099A_99NESSNXCTCL</v>
      </c>
      <c r="F16">
        <v>1</v>
      </c>
      <c r="G16">
        <v>1</v>
      </c>
      <c r="H16" t="s">
        <v>188</v>
      </c>
      <c r="I16">
        <v>1</v>
      </c>
      <c r="J16">
        <v>1</v>
      </c>
      <c r="K16">
        <f>IF(MID(B16,10,1) = "B",2,1)</f>
        <v>1</v>
      </c>
      <c r="L16">
        <v>-1</v>
      </c>
      <c r="M16">
        <f>IF(MID(B16,14,2)="EE",1,-1)</f>
        <v>-1</v>
      </c>
      <c r="N16">
        <f>IF(MID(B16,14,2)="EE",1,-1)</f>
        <v>-1</v>
      </c>
      <c r="O16">
        <v>1</v>
      </c>
      <c r="P16">
        <v>-1</v>
      </c>
      <c r="Q16">
        <v>100</v>
      </c>
      <c r="AZ16">
        <f t="shared" si="4"/>
        <v>0</v>
      </c>
      <c r="BA16">
        <v>1</v>
      </c>
      <c r="BJ16" t="s">
        <v>243</v>
      </c>
    </row>
    <row r="17" spans="1:68" s="18" customFormat="1">
      <c r="A17">
        <v>1</v>
      </c>
      <c r="B17" t="s">
        <v>229</v>
      </c>
      <c r="C17"/>
      <c r="D17" t="s">
        <v>30</v>
      </c>
      <c r="E17" t="str">
        <f t="shared" ref="E17:E38" si="7">B17</f>
        <v>NZ10_2099B_99NESSNXCTCL</v>
      </c>
      <c r="F17">
        <v>1</v>
      </c>
      <c r="G17">
        <v>1</v>
      </c>
      <c r="H17" t="s">
        <v>188</v>
      </c>
      <c r="I17">
        <v>1</v>
      </c>
      <c r="J17">
        <v>1</v>
      </c>
      <c r="K17">
        <f t="shared" ref="K17:K85" si="8">IF(MID(B17,10,1) = "B",2,1)</f>
        <v>2</v>
      </c>
      <c r="L17" s="18">
        <v>-1</v>
      </c>
      <c r="M17">
        <f t="shared" ref="M17:M38" si="9">IF(MID(B17,14,2)="EE",1,-1)</f>
        <v>-1</v>
      </c>
      <c r="N17">
        <f t="shared" ref="N17:N38" si="10">IF(MID(B17,14,2)="EE",1,-1)</f>
        <v>-1</v>
      </c>
      <c r="O17" s="18">
        <v>1</v>
      </c>
      <c r="P17" s="18">
        <v>-1</v>
      </c>
      <c r="Q17">
        <v>100</v>
      </c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>
        <f t="shared" ref="AZ17:AZ66" si="11">IF(LEN(B17)&gt;=30,1,0)</f>
        <v>0</v>
      </c>
      <c r="BA17">
        <v>1</v>
      </c>
      <c r="BB17"/>
      <c r="BC17"/>
      <c r="BD17"/>
      <c r="BE17"/>
      <c r="BF17"/>
      <c r="BG17"/>
      <c r="BH17"/>
      <c r="BI17"/>
      <c r="BJ17" t="s">
        <v>244</v>
      </c>
      <c r="BK17"/>
      <c r="BL17"/>
      <c r="BM17"/>
      <c r="BN17"/>
      <c r="BO17"/>
      <c r="BP17"/>
    </row>
    <row r="18" spans="1:68" s="18" customFormat="1">
      <c r="A18">
        <v>1</v>
      </c>
      <c r="B18" t="s">
        <v>230</v>
      </c>
      <c r="C18"/>
      <c r="D18" t="s">
        <v>30</v>
      </c>
      <c r="E18" t="str">
        <f t="shared" si="7"/>
        <v>NZ10_2099A_99EESSNXCNSC</v>
      </c>
      <c r="F18">
        <v>1</v>
      </c>
      <c r="G18">
        <v>1</v>
      </c>
      <c r="H18" t="s">
        <v>188</v>
      </c>
      <c r="I18">
        <v>1</v>
      </c>
      <c r="J18">
        <v>1</v>
      </c>
      <c r="K18">
        <f t="shared" si="8"/>
        <v>1</v>
      </c>
      <c r="L18" s="18">
        <v>-1</v>
      </c>
      <c r="M18">
        <f t="shared" si="9"/>
        <v>1</v>
      </c>
      <c r="N18">
        <f t="shared" si="10"/>
        <v>1</v>
      </c>
      <c r="O18" s="18">
        <v>1</v>
      </c>
      <c r="P18" s="18">
        <v>-1</v>
      </c>
      <c r="Q18">
        <v>100</v>
      </c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>
        <f t="shared" si="11"/>
        <v>0</v>
      </c>
      <c r="BA18">
        <v>1</v>
      </c>
      <c r="BB18"/>
      <c r="BC18"/>
      <c r="BD18"/>
      <c r="BE18"/>
      <c r="BF18"/>
      <c r="BG18"/>
      <c r="BH18"/>
      <c r="BI18"/>
      <c r="BJ18" t="s">
        <v>245</v>
      </c>
      <c r="BK18"/>
      <c r="BL18"/>
      <c r="BM18"/>
      <c r="BN18"/>
      <c r="BO18"/>
      <c r="BP18"/>
    </row>
    <row r="19" spans="1:68" s="18" customFormat="1">
      <c r="A19">
        <v>1</v>
      </c>
      <c r="B19" t="s">
        <v>231</v>
      </c>
      <c r="C19"/>
      <c r="D19" t="s">
        <v>30</v>
      </c>
      <c r="E19" t="str">
        <f t="shared" si="7"/>
        <v>NZ10_2099B_99EESSNXCNSC</v>
      </c>
      <c r="F19">
        <v>0</v>
      </c>
      <c r="G19">
        <v>1</v>
      </c>
      <c r="H19" t="s">
        <v>188</v>
      </c>
      <c r="I19">
        <v>1</v>
      </c>
      <c r="J19">
        <v>1</v>
      </c>
      <c r="K19">
        <f t="shared" si="8"/>
        <v>2</v>
      </c>
      <c r="L19" s="18">
        <v>-1</v>
      </c>
      <c r="M19">
        <f t="shared" si="9"/>
        <v>1</v>
      </c>
      <c r="N19">
        <f t="shared" si="10"/>
        <v>1</v>
      </c>
      <c r="O19" s="18">
        <v>1</v>
      </c>
      <c r="P19" s="18">
        <v>-1</v>
      </c>
      <c r="Q19">
        <v>100</v>
      </c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>
        <f t="shared" si="11"/>
        <v>0</v>
      </c>
      <c r="BA19">
        <v>1</v>
      </c>
      <c r="BB19"/>
      <c r="BC19"/>
      <c r="BD19"/>
      <c r="BE19"/>
      <c r="BF19"/>
      <c r="BG19"/>
      <c r="BH19"/>
      <c r="BI19"/>
      <c r="BJ19" t="s">
        <v>246</v>
      </c>
      <c r="BK19"/>
      <c r="BL19"/>
      <c r="BM19"/>
      <c r="BN19"/>
      <c r="BO19"/>
      <c r="BP19"/>
    </row>
    <row r="20" spans="1:68" s="18" customFormat="1">
      <c r="A20">
        <v>1</v>
      </c>
      <c r="B20" t="s">
        <v>232</v>
      </c>
      <c r="C20"/>
      <c r="D20" t="s">
        <v>30</v>
      </c>
      <c r="E20" t="str">
        <f t="shared" si="7"/>
        <v>NZ10_2099A_99NESSNXCNSC</v>
      </c>
      <c r="F20">
        <v>1</v>
      </c>
      <c r="G20">
        <v>1</v>
      </c>
      <c r="H20" t="s">
        <v>188</v>
      </c>
      <c r="I20">
        <v>1</v>
      </c>
      <c r="J20">
        <v>1</v>
      </c>
      <c r="K20">
        <f t="shared" si="8"/>
        <v>1</v>
      </c>
      <c r="L20" s="18">
        <v>-1</v>
      </c>
      <c r="M20">
        <f t="shared" si="9"/>
        <v>-1</v>
      </c>
      <c r="N20">
        <f t="shared" si="10"/>
        <v>-1</v>
      </c>
      <c r="O20" s="18">
        <v>1</v>
      </c>
      <c r="P20" s="18">
        <v>-1</v>
      </c>
      <c r="Q20">
        <v>100</v>
      </c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>
        <f t="shared" si="11"/>
        <v>0</v>
      </c>
      <c r="BA20">
        <v>1</v>
      </c>
      <c r="BB20"/>
      <c r="BC20"/>
      <c r="BD20"/>
      <c r="BE20"/>
      <c r="BF20"/>
      <c r="BG20"/>
      <c r="BH20"/>
      <c r="BI20"/>
      <c r="BJ20" t="s">
        <v>247</v>
      </c>
      <c r="BK20"/>
      <c r="BL20"/>
      <c r="BM20"/>
      <c r="BN20"/>
      <c r="BO20"/>
      <c r="BP20"/>
    </row>
    <row r="21" spans="1:68">
      <c r="A21">
        <v>1</v>
      </c>
      <c r="B21" t="s">
        <v>233</v>
      </c>
      <c r="D21" t="s">
        <v>30</v>
      </c>
      <c r="E21" t="str">
        <f t="shared" si="7"/>
        <v>NZ10_2050A_08EESSNXCTSC</v>
      </c>
      <c r="F21">
        <v>1</v>
      </c>
      <c r="G21">
        <v>1</v>
      </c>
      <c r="H21" t="s">
        <v>188</v>
      </c>
      <c r="I21">
        <v>1</v>
      </c>
      <c r="J21">
        <v>1</v>
      </c>
      <c r="K21">
        <f t="shared" si="8"/>
        <v>1</v>
      </c>
      <c r="L21">
        <v>-1</v>
      </c>
      <c r="M21">
        <f t="shared" si="9"/>
        <v>1</v>
      </c>
      <c r="N21">
        <f t="shared" si="10"/>
        <v>1</v>
      </c>
      <c r="O21">
        <v>1</v>
      </c>
      <c r="P21">
        <v>-1</v>
      </c>
      <c r="Q21">
        <v>100</v>
      </c>
      <c r="AZ21">
        <f t="shared" si="11"/>
        <v>0</v>
      </c>
      <c r="BA21">
        <v>1</v>
      </c>
      <c r="BJ21" t="s">
        <v>248</v>
      </c>
    </row>
    <row r="22" spans="1:68">
      <c r="A22">
        <v>1</v>
      </c>
      <c r="B22" t="s">
        <v>234</v>
      </c>
      <c r="D22" t="s">
        <v>30</v>
      </c>
      <c r="E22" t="str">
        <f t="shared" si="7"/>
        <v>NZ10_2050A_09EESSNXCTSC</v>
      </c>
      <c r="F22">
        <v>1</v>
      </c>
      <c r="G22">
        <v>1</v>
      </c>
      <c r="H22" t="s">
        <v>188</v>
      </c>
      <c r="I22">
        <v>1</v>
      </c>
      <c r="J22">
        <v>1</v>
      </c>
      <c r="K22">
        <f t="shared" si="8"/>
        <v>1</v>
      </c>
      <c r="L22">
        <v>-1</v>
      </c>
      <c r="M22">
        <f t="shared" si="9"/>
        <v>1</v>
      </c>
      <c r="N22">
        <f t="shared" si="10"/>
        <v>1</v>
      </c>
      <c r="O22">
        <v>1</v>
      </c>
      <c r="P22">
        <v>-1</v>
      </c>
      <c r="Q22">
        <v>100</v>
      </c>
      <c r="AZ22">
        <f t="shared" si="11"/>
        <v>0</v>
      </c>
      <c r="BA22">
        <v>1</v>
      </c>
      <c r="BJ22" t="s">
        <v>249</v>
      </c>
    </row>
    <row r="23" spans="1:68">
      <c r="A23">
        <v>1</v>
      </c>
      <c r="B23" t="s">
        <v>235</v>
      </c>
      <c r="D23" t="s">
        <v>30</v>
      </c>
      <c r="E23" t="str">
        <f t="shared" si="7"/>
        <v>NZ10_2050A_09EESSEXCTSC</v>
      </c>
      <c r="F23">
        <v>1</v>
      </c>
      <c r="G23">
        <v>1</v>
      </c>
      <c r="H23" t="s">
        <v>188</v>
      </c>
      <c r="I23">
        <v>1</v>
      </c>
      <c r="J23">
        <v>1</v>
      </c>
      <c r="K23">
        <f t="shared" si="8"/>
        <v>1</v>
      </c>
      <c r="L23">
        <v>-1</v>
      </c>
      <c r="M23">
        <f t="shared" si="9"/>
        <v>1</v>
      </c>
      <c r="N23">
        <f t="shared" si="10"/>
        <v>1</v>
      </c>
      <c r="O23">
        <v>1</v>
      </c>
      <c r="P23">
        <v>-1</v>
      </c>
      <c r="Q23">
        <v>100</v>
      </c>
      <c r="AZ23">
        <f t="shared" si="11"/>
        <v>0</v>
      </c>
      <c r="BA23">
        <v>1</v>
      </c>
      <c r="BJ23" t="s">
        <v>251</v>
      </c>
    </row>
    <row r="24" spans="1:68" s="18" customFormat="1" ht="16.5" customHeight="1">
      <c r="A24">
        <v>1</v>
      </c>
      <c r="B24" t="s">
        <v>236</v>
      </c>
      <c r="C24"/>
      <c r="D24" t="s">
        <v>30</v>
      </c>
      <c r="E24" t="str">
        <f t="shared" si="7"/>
        <v>NZ10_2050A_09NESSNXCTSC</v>
      </c>
      <c r="F24">
        <v>1</v>
      </c>
      <c r="G24">
        <v>1</v>
      </c>
      <c r="H24" t="s">
        <v>188</v>
      </c>
      <c r="I24">
        <v>1</v>
      </c>
      <c r="J24">
        <v>1</v>
      </c>
      <c r="K24">
        <f t="shared" si="8"/>
        <v>1</v>
      </c>
      <c r="L24" s="18">
        <v>-1</v>
      </c>
      <c r="M24">
        <f t="shared" si="9"/>
        <v>-1</v>
      </c>
      <c r="N24">
        <f t="shared" si="10"/>
        <v>-1</v>
      </c>
      <c r="O24" s="18">
        <v>1</v>
      </c>
      <c r="P24" s="18">
        <v>-1</v>
      </c>
      <c r="Q24">
        <v>100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>
        <f t="shared" si="11"/>
        <v>0</v>
      </c>
      <c r="BA24">
        <v>1</v>
      </c>
      <c r="BB24"/>
      <c r="BC24"/>
      <c r="BD24"/>
      <c r="BE24"/>
      <c r="BF24"/>
      <c r="BG24"/>
      <c r="BH24"/>
      <c r="BI24"/>
      <c r="BJ24" t="s">
        <v>250</v>
      </c>
      <c r="BK24"/>
      <c r="BL24"/>
      <c r="BM24"/>
      <c r="BN24"/>
      <c r="BO24"/>
      <c r="BP24"/>
    </row>
    <row r="25" spans="1:68" s="18" customFormat="1" ht="17.25" customHeight="1">
      <c r="A25">
        <v>1</v>
      </c>
      <c r="B25" t="s">
        <v>237</v>
      </c>
      <c r="C25"/>
      <c r="D25" t="s">
        <v>30</v>
      </c>
      <c r="E25" t="str">
        <f t="shared" si="7"/>
        <v>NZ10_2050A_09EESSNXCTCL</v>
      </c>
      <c r="F25">
        <v>1</v>
      </c>
      <c r="G25">
        <v>1</v>
      </c>
      <c r="H25" t="s">
        <v>188</v>
      </c>
      <c r="I25">
        <v>1</v>
      </c>
      <c r="J25">
        <v>1</v>
      </c>
      <c r="K25">
        <f t="shared" si="8"/>
        <v>1</v>
      </c>
      <c r="L25" s="18">
        <v>-1</v>
      </c>
      <c r="M25">
        <f t="shared" si="9"/>
        <v>1</v>
      </c>
      <c r="N25">
        <f t="shared" si="10"/>
        <v>1</v>
      </c>
      <c r="O25" s="18">
        <v>1</v>
      </c>
      <c r="P25" s="18">
        <v>-1</v>
      </c>
      <c r="Q25">
        <v>100</v>
      </c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>
        <f t="shared" si="11"/>
        <v>0</v>
      </c>
      <c r="BA25">
        <v>1</v>
      </c>
      <c r="BB25"/>
      <c r="BC25"/>
      <c r="BD25"/>
      <c r="BE25"/>
      <c r="BF25"/>
      <c r="BG25"/>
      <c r="BH25"/>
      <c r="BI25"/>
      <c r="BJ25" t="s">
        <v>252</v>
      </c>
      <c r="BK25"/>
      <c r="BL25"/>
      <c r="BM25"/>
      <c r="BN25"/>
      <c r="BO25"/>
      <c r="BP25"/>
    </row>
    <row r="26" spans="1:68" s="18" customFormat="1" ht="17.25" customHeight="1">
      <c r="A26">
        <v>1</v>
      </c>
      <c r="B26" t="s">
        <v>238</v>
      </c>
      <c r="C26"/>
      <c r="D26" t="s">
        <v>30</v>
      </c>
      <c r="E26" t="str">
        <f t="shared" si="7"/>
        <v>NZ10_2050A_09EESFNXCTSC</v>
      </c>
      <c r="F26">
        <v>1</v>
      </c>
      <c r="G26">
        <v>1</v>
      </c>
      <c r="H26" t="s">
        <v>188</v>
      </c>
      <c r="I26">
        <v>1</v>
      </c>
      <c r="J26">
        <v>1</v>
      </c>
      <c r="K26">
        <f t="shared" si="8"/>
        <v>1</v>
      </c>
      <c r="L26" s="18">
        <v>-1</v>
      </c>
      <c r="M26">
        <f t="shared" si="9"/>
        <v>1</v>
      </c>
      <c r="N26">
        <f t="shared" si="10"/>
        <v>1</v>
      </c>
      <c r="O26" s="18">
        <v>1</v>
      </c>
      <c r="P26" s="18">
        <v>-1</v>
      </c>
      <c r="Q26">
        <v>100</v>
      </c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>
        <f t="shared" si="11"/>
        <v>0</v>
      </c>
      <c r="BA26">
        <v>1</v>
      </c>
      <c r="BB26"/>
      <c r="BC26"/>
      <c r="BD26"/>
      <c r="BE26"/>
      <c r="BF26"/>
      <c r="BG26"/>
      <c r="BH26"/>
      <c r="BI26"/>
      <c r="BJ26" t="s">
        <v>253</v>
      </c>
      <c r="BK26"/>
      <c r="BL26"/>
      <c r="BM26"/>
      <c r="BN26"/>
      <c r="BO26"/>
      <c r="BP26"/>
    </row>
    <row r="27" spans="1:68" s="18" customFormat="1" ht="17.25" customHeight="1">
      <c r="A27">
        <v>1</v>
      </c>
      <c r="B27" t="s">
        <v>251</v>
      </c>
      <c r="C27"/>
      <c r="D27" t="s">
        <v>30</v>
      </c>
      <c r="E27" t="str">
        <f t="shared" si="7"/>
        <v>NZ10_2050A_09EESENXCTSC</v>
      </c>
      <c r="F27">
        <v>1</v>
      </c>
      <c r="G27">
        <v>1</v>
      </c>
      <c r="H27" t="s">
        <v>188</v>
      </c>
      <c r="I27">
        <v>1</v>
      </c>
      <c r="J27">
        <v>1</v>
      </c>
      <c r="K27">
        <f t="shared" si="8"/>
        <v>1</v>
      </c>
      <c r="L27" s="18">
        <v>-1</v>
      </c>
      <c r="M27">
        <f t="shared" si="9"/>
        <v>1</v>
      </c>
      <c r="N27">
        <f t="shared" si="10"/>
        <v>1</v>
      </c>
      <c r="O27" s="18">
        <v>1</v>
      </c>
      <c r="P27" s="18">
        <v>-1</v>
      </c>
      <c r="Q27">
        <v>100</v>
      </c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>
        <f t="shared" si="11"/>
        <v>0</v>
      </c>
      <c r="BA27">
        <v>1</v>
      </c>
      <c r="BB27"/>
      <c r="BC27"/>
      <c r="BD27"/>
      <c r="BE27"/>
      <c r="BF27"/>
      <c r="BG27"/>
      <c r="BH27"/>
      <c r="BI27"/>
      <c r="BJ27" t="s">
        <v>254</v>
      </c>
      <c r="BK27"/>
      <c r="BL27"/>
      <c r="BM27"/>
      <c r="BN27"/>
      <c r="BO27"/>
      <c r="BP27"/>
    </row>
    <row r="28" spans="1:68" ht="17.25" customHeight="1">
      <c r="A28">
        <v>0</v>
      </c>
      <c r="B28" s="21" t="s">
        <v>239</v>
      </c>
      <c r="C28" t="s">
        <v>264</v>
      </c>
      <c r="D28" t="s">
        <v>30</v>
      </c>
      <c r="E28" t="str">
        <f t="shared" si="7"/>
        <v>NZ10_2050A_10EESSNXCTSC</v>
      </c>
      <c r="F28">
        <v>1</v>
      </c>
      <c r="G28">
        <v>1</v>
      </c>
      <c r="H28" t="s">
        <v>188</v>
      </c>
      <c r="I28">
        <v>1</v>
      </c>
      <c r="J28">
        <v>1</v>
      </c>
      <c r="K28">
        <f t="shared" si="8"/>
        <v>1</v>
      </c>
      <c r="L28">
        <v>-1</v>
      </c>
      <c r="M28">
        <f t="shared" si="9"/>
        <v>1</v>
      </c>
      <c r="N28">
        <f t="shared" si="10"/>
        <v>1</v>
      </c>
      <c r="O28">
        <v>1</v>
      </c>
      <c r="P28">
        <v>-1</v>
      </c>
      <c r="Q28">
        <v>100</v>
      </c>
      <c r="AZ28">
        <f t="shared" si="11"/>
        <v>0</v>
      </c>
      <c r="BA28">
        <v>1</v>
      </c>
      <c r="BJ28" t="s">
        <v>255</v>
      </c>
    </row>
    <row r="29" spans="1:68" ht="17.25" customHeight="1">
      <c r="A29">
        <v>1</v>
      </c>
      <c r="B29" t="s">
        <v>240</v>
      </c>
      <c r="D29" t="s">
        <v>30</v>
      </c>
      <c r="E29" t="str">
        <f t="shared" si="7"/>
        <v>NZ10_2050A_11EESSNXCTSC</v>
      </c>
      <c r="F29">
        <v>1</v>
      </c>
      <c r="G29">
        <v>1</v>
      </c>
      <c r="H29" t="s">
        <v>188</v>
      </c>
      <c r="I29">
        <v>1</v>
      </c>
      <c r="J29">
        <v>1</v>
      </c>
      <c r="K29">
        <f t="shared" si="8"/>
        <v>1</v>
      </c>
      <c r="L29">
        <v>-1</v>
      </c>
      <c r="M29">
        <f t="shared" si="9"/>
        <v>1</v>
      </c>
      <c r="N29">
        <f t="shared" si="10"/>
        <v>1</v>
      </c>
      <c r="O29">
        <v>1</v>
      </c>
      <c r="P29">
        <v>-1</v>
      </c>
      <c r="Q29">
        <v>100</v>
      </c>
      <c r="AZ29">
        <f t="shared" ref="AZ29" si="12">IF(LEN(B29)&gt;=30,1,0)</f>
        <v>0</v>
      </c>
      <c r="BA29">
        <v>1</v>
      </c>
      <c r="BJ29" t="s">
        <v>256</v>
      </c>
    </row>
    <row r="30" spans="1:68" ht="17.25" customHeight="1">
      <c r="A30">
        <v>1</v>
      </c>
      <c r="B30" t="s">
        <v>241</v>
      </c>
      <c r="D30" t="s">
        <v>30</v>
      </c>
      <c r="E30" t="str">
        <f t="shared" si="7"/>
        <v>NZ10_2050A_99EESSNXCTSC</v>
      </c>
      <c r="F30">
        <v>1</v>
      </c>
      <c r="G30">
        <v>1</v>
      </c>
      <c r="H30" t="s">
        <v>188</v>
      </c>
      <c r="I30">
        <v>1</v>
      </c>
      <c r="J30">
        <v>1</v>
      </c>
      <c r="K30">
        <f t="shared" si="8"/>
        <v>1</v>
      </c>
      <c r="L30">
        <v>-1</v>
      </c>
      <c r="M30">
        <f t="shared" si="9"/>
        <v>1</v>
      </c>
      <c r="N30">
        <f t="shared" si="10"/>
        <v>1</v>
      </c>
      <c r="O30">
        <v>1</v>
      </c>
      <c r="P30">
        <v>-1</v>
      </c>
      <c r="Q30">
        <v>100</v>
      </c>
      <c r="AZ30">
        <f t="shared" si="11"/>
        <v>0</v>
      </c>
      <c r="BA30">
        <v>1</v>
      </c>
    </row>
    <row r="31" spans="1:68" ht="17.25" customHeight="1">
      <c r="A31">
        <v>1</v>
      </c>
      <c r="B31" t="s">
        <v>242</v>
      </c>
      <c r="D31" t="s">
        <v>30</v>
      </c>
      <c r="E31" t="str">
        <f t="shared" si="7"/>
        <v>NZ10_2055A_99EESSNXCTSC</v>
      </c>
      <c r="F31">
        <v>1</v>
      </c>
      <c r="G31">
        <v>1</v>
      </c>
      <c r="H31" t="s">
        <v>188</v>
      </c>
      <c r="I31">
        <v>1</v>
      </c>
      <c r="J31">
        <v>1</v>
      </c>
      <c r="K31">
        <f t="shared" si="8"/>
        <v>1</v>
      </c>
      <c r="L31">
        <v>-1</v>
      </c>
      <c r="M31">
        <f t="shared" si="9"/>
        <v>1</v>
      </c>
      <c r="N31">
        <f t="shared" si="10"/>
        <v>1</v>
      </c>
      <c r="O31">
        <v>1</v>
      </c>
      <c r="P31">
        <v>-1</v>
      </c>
      <c r="Q31">
        <v>100</v>
      </c>
      <c r="AZ31">
        <f t="shared" si="11"/>
        <v>0</v>
      </c>
      <c r="BA31">
        <v>1</v>
      </c>
    </row>
    <row r="32" spans="1:68" ht="17.25" customHeight="1">
      <c r="A32">
        <v>1</v>
      </c>
      <c r="B32" t="s">
        <v>243</v>
      </c>
      <c r="D32" t="s">
        <v>30</v>
      </c>
      <c r="E32" t="str">
        <f t="shared" si="7"/>
        <v>NZ10_2055A_09EESSNXCTSC</v>
      </c>
      <c r="F32">
        <v>1</v>
      </c>
      <c r="G32">
        <v>1</v>
      </c>
      <c r="H32" t="s">
        <v>188</v>
      </c>
      <c r="I32">
        <v>1</v>
      </c>
      <c r="J32">
        <v>1</v>
      </c>
      <c r="K32">
        <f t="shared" si="8"/>
        <v>1</v>
      </c>
      <c r="L32">
        <v>-1</v>
      </c>
      <c r="M32">
        <f t="shared" si="9"/>
        <v>1</v>
      </c>
      <c r="N32">
        <f t="shared" si="10"/>
        <v>1</v>
      </c>
      <c r="O32">
        <v>1</v>
      </c>
      <c r="P32">
        <v>-1</v>
      </c>
      <c r="Q32">
        <v>100</v>
      </c>
      <c r="AZ32">
        <f t="shared" si="11"/>
        <v>0</v>
      </c>
      <c r="BA32">
        <v>1</v>
      </c>
    </row>
    <row r="33" spans="1:53" ht="17.25" customHeight="1">
      <c r="A33">
        <v>1</v>
      </c>
      <c r="B33" t="s">
        <v>244</v>
      </c>
      <c r="D33" t="s">
        <v>30</v>
      </c>
      <c r="E33" t="str">
        <f t="shared" si="7"/>
        <v>NZ10_2055A_10EESSEXCTSC</v>
      </c>
      <c r="F33">
        <v>1</v>
      </c>
      <c r="G33">
        <v>1</v>
      </c>
      <c r="H33" t="s">
        <v>188</v>
      </c>
      <c r="I33">
        <v>1</v>
      </c>
      <c r="J33">
        <v>1</v>
      </c>
      <c r="K33">
        <f t="shared" si="8"/>
        <v>1</v>
      </c>
      <c r="L33">
        <v>-1</v>
      </c>
      <c r="M33">
        <f t="shared" si="9"/>
        <v>1</v>
      </c>
      <c r="N33">
        <f t="shared" si="10"/>
        <v>1</v>
      </c>
      <c r="O33">
        <v>1</v>
      </c>
      <c r="P33">
        <v>-1</v>
      </c>
      <c r="Q33">
        <v>100</v>
      </c>
      <c r="AZ33">
        <f t="shared" si="11"/>
        <v>0</v>
      </c>
      <c r="BA33">
        <v>1</v>
      </c>
    </row>
    <row r="34" spans="1:53" ht="17.25" customHeight="1">
      <c r="A34">
        <v>1</v>
      </c>
      <c r="B34" t="s">
        <v>245</v>
      </c>
      <c r="D34" t="s">
        <v>30</v>
      </c>
      <c r="E34" t="str">
        <f t="shared" si="7"/>
        <v>NZ10_2055A_10EESSNXCTSC</v>
      </c>
      <c r="F34">
        <v>1</v>
      </c>
      <c r="G34">
        <v>1</v>
      </c>
      <c r="H34" t="s">
        <v>188</v>
      </c>
      <c r="I34">
        <v>1</v>
      </c>
      <c r="J34">
        <v>1</v>
      </c>
      <c r="K34">
        <f t="shared" si="8"/>
        <v>1</v>
      </c>
      <c r="L34">
        <v>-1</v>
      </c>
      <c r="M34">
        <f t="shared" si="9"/>
        <v>1</v>
      </c>
      <c r="N34">
        <f t="shared" si="10"/>
        <v>1</v>
      </c>
      <c r="O34">
        <v>1</v>
      </c>
      <c r="P34">
        <v>-1</v>
      </c>
      <c r="Q34">
        <v>100</v>
      </c>
      <c r="AZ34">
        <f t="shared" si="11"/>
        <v>0</v>
      </c>
      <c r="BA34">
        <v>1</v>
      </c>
    </row>
    <row r="35" spans="1:53">
      <c r="A35">
        <v>1</v>
      </c>
      <c r="B35" t="s">
        <v>246</v>
      </c>
      <c r="D35" t="s">
        <v>30</v>
      </c>
      <c r="E35" t="str">
        <f t="shared" si="7"/>
        <v>NZ10_2055A_11EESSNXCTSC</v>
      </c>
      <c r="F35">
        <v>1</v>
      </c>
      <c r="G35">
        <v>1</v>
      </c>
      <c r="H35" t="s">
        <v>188</v>
      </c>
      <c r="I35">
        <v>1</v>
      </c>
      <c r="J35">
        <v>1</v>
      </c>
      <c r="K35">
        <f t="shared" si="8"/>
        <v>1</v>
      </c>
      <c r="L35">
        <v>-1</v>
      </c>
      <c r="M35">
        <f t="shared" si="9"/>
        <v>1</v>
      </c>
      <c r="N35">
        <f t="shared" si="10"/>
        <v>1</v>
      </c>
      <c r="O35">
        <v>1</v>
      </c>
      <c r="P35">
        <v>-1</v>
      </c>
      <c r="Q35">
        <v>100</v>
      </c>
      <c r="AZ35">
        <f t="shared" si="11"/>
        <v>0</v>
      </c>
      <c r="BA35">
        <v>1</v>
      </c>
    </row>
    <row r="36" spans="1:53">
      <c r="A36">
        <v>1</v>
      </c>
      <c r="B36" t="s">
        <v>247</v>
      </c>
      <c r="D36" t="s">
        <v>30</v>
      </c>
      <c r="E36" t="str">
        <f t="shared" si="7"/>
        <v>NZ10_2055B_99EESSNXCTSC</v>
      </c>
      <c r="F36">
        <v>1</v>
      </c>
      <c r="G36">
        <v>1</v>
      </c>
      <c r="H36" t="s">
        <v>188</v>
      </c>
      <c r="I36">
        <v>1</v>
      </c>
      <c r="J36">
        <v>1</v>
      </c>
      <c r="K36">
        <f t="shared" si="8"/>
        <v>2</v>
      </c>
      <c r="L36">
        <v>-1</v>
      </c>
      <c r="M36">
        <f t="shared" si="9"/>
        <v>1</v>
      </c>
      <c r="N36">
        <f t="shared" si="10"/>
        <v>1</v>
      </c>
      <c r="O36">
        <v>1</v>
      </c>
      <c r="P36">
        <v>-1</v>
      </c>
      <c r="Q36">
        <v>100</v>
      </c>
      <c r="AZ36">
        <f t="shared" si="11"/>
        <v>0</v>
      </c>
      <c r="BA36">
        <v>1</v>
      </c>
    </row>
    <row r="37" spans="1:53">
      <c r="A37">
        <v>1</v>
      </c>
      <c r="B37" t="s">
        <v>248</v>
      </c>
      <c r="D37" t="s">
        <v>30</v>
      </c>
      <c r="E37" t="str">
        <f t="shared" si="7"/>
        <v>NZ10_2050B_09EESSNXCNSC</v>
      </c>
      <c r="F37">
        <v>1</v>
      </c>
      <c r="G37">
        <v>1</v>
      </c>
      <c r="H37" t="s">
        <v>188</v>
      </c>
      <c r="I37">
        <v>1</v>
      </c>
      <c r="J37">
        <v>1</v>
      </c>
      <c r="K37">
        <f t="shared" si="8"/>
        <v>2</v>
      </c>
      <c r="L37">
        <v>-1</v>
      </c>
      <c r="M37">
        <f t="shared" si="9"/>
        <v>1</v>
      </c>
      <c r="N37">
        <f t="shared" si="10"/>
        <v>1</v>
      </c>
      <c r="O37">
        <v>1</v>
      </c>
      <c r="P37">
        <v>-1</v>
      </c>
      <c r="Q37">
        <v>100</v>
      </c>
      <c r="AZ37">
        <f t="shared" si="11"/>
        <v>0</v>
      </c>
      <c r="BA37">
        <v>1</v>
      </c>
    </row>
    <row r="38" spans="1:53">
      <c r="A38">
        <v>1</v>
      </c>
      <c r="B38" t="s">
        <v>249</v>
      </c>
      <c r="D38" t="s">
        <v>30</v>
      </c>
      <c r="E38" t="str">
        <f t="shared" si="7"/>
        <v>NZ10_2050B_09EESSEXCNSC</v>
      </c>
      <c r="F38">
        <v>1</v>
      </c>
      <c r="G38">
        <v>1</v>
      </c>
      <c r="H38" t="s">
        <v>188</v>
      </c>
      <c r="I38">
        <v>1</v>
      </c>
      <c r="J38">
        <v>1</v>
      </c>
      <c r="K38">
        <f t="shared" si="8"/>
        <v>2</v>
      </c>
      <c r="L38">
        <v>-1</v>
      </c>
      <c r="M38">
        <f t="shared" si="9"/>
        <v>1</v>
      </c>
      <c r="N38">
        <f t="shared" si="10"/>
        <v>1</v>
      </c>
      <c r="O38">
        <v>1</v>
      </c>
      <c r="P38">
        <v>-1</v>
      </c>
      <c r="Q38">
        <v>100</v>
      </c>
      <c r="AZ38">
        <f t="shared" si="11"/>
        <v>0</v>
      </c>
      <c r="BA38">
        <v>1</v>
      </c>
    </row>
    <row r="39" spans="1:53">
      <c r="A39">
        <v>1</v>
      </c>
      <c r="B39" t="s">
        <v>250</v>
      </c>
      <c r="D39" t="s">
        <v>30</v>
      </c>
      <c r="E39" t="str">
        <f t="shared" ref="E39" si="13">B39</f>
        <v>NZ10_2050B_11EESSNXCNSC</v>
      </c>
      <c r="F39">
        <v>1</v>
      </c>
      <c r="G39">
        <v>1</v>
      </c>
      <c r="H39" t="s">
        <v>188</v>
      </c>
      <c r="I39">
        <v>1</v>
      </c>
      <c r="J39">
        <v>1</v>
      </c>
      <c r="K39">
        <f t="shared" ref="K39" si="14">IF(MID(B39,10,1) = "B",2,1)</f>
        <v>2</v>
      </c>
      <c r="L39">
        <v>-1</v>
      </c>
      <c r="M39">
        <f t="shared" ref="M39" si="15">IF(MID(B39,14,2)="EE",1,-1)</f>
        <v>1</v>
      </c>
      <c r="N39">
        <f t="shared" ref="N39" si="16">IF(MID(B39,14,2)="EE",1,-1)</f>
        <v>1</v>
      </c>
      <c r="O39">
        <v>1</v>
      </c>
      <c r="P39">
        <v>-1</v>
      </c>
      <c r="Q39">
        <v>100</v>
      </c>
      <c r="AZ39">
        <f t="shared" ref="AZ39" si="17">IF(LEN(B39)&gt;=30,1,0)</f>
        <v>0</v>
      </c>
      <c r="BA39">
        <v>2</v>
      </c>
    </row>
    <row r="40" spans="1:53">
      <c r="A40">
        <v>1</v>
      </c>
      <c r="B40" t="s">
        <v>254</v>
      </c>
      <c r="D40" t="s">
        <v>30</v>
      </c>
      <c r="E40" t="str">
        <f t="shared" ref="E40:E48" si="18">B40</f>
        <v>NZ10_2099B_99NESSNXCTCLNR</v>
      </c>
      <c r="F40">
        <v>1</v>
      </c>
      <c r="G40">
        <v>1</v>
      </c>
      <c r="H40" t="s">
        <v>188</v>
      </c>
      <c r="I40">
        <v>1</v>
      </c>
      <c r="J40">
        <v>1</v>
      </c>
      <c r="K40">
        <f t="shared" ref="K40:K56" si="19">IF(MID(B40,10,1) = "B",2,1)</f>
        <v>2</v>
      </c>
      <c r="L40">
        <v>-1</v>
      </c>
      <c r="M40">
        <f t="shared" ref="M40:M48" si="20">IF(MID(B40,14,2)="EE",1,-1)</f>
        <v>-1</v>
      </c>
      <c r="N40">
        <f t="shared" ref="N40:N48" si="21">IF(MID(B40,14,2)="EE",1,-1)</f>
        <v>-1</v>
      </c>
      <c r="O40">
        <v>1</v>
      </c>
      <c r="P40">
        <v>-1</v>
      </c>
      <c r="Q40">
        <v>100</v>
      </c>
      <c r="AZ40">
        <f t="shared" ref="AZ40:AZ48" si="22">IF(LEN(B40)&gt;=30,1,0)</f>
        <v>0</v>
      </c>
      <c r="BA40">
        <v>3</v>
      </c>
    </row>
    <row r="41" spans="1:53">
      <c r="A41">
        <v>1</v>
      </c>
      <c r="B41" s="20" t="s">
        <v>265</v>
      </c>
      <c r="D41" t="s">
        <v>30</v>
      </c>
      <c r="E41" t="str">
        <f t="shared" si="18"/>
        <v>NZ10_2099A_99EESSNXCTSCFR</v>
      </c>
      <c r="F41">
        <v>1</v>
      </c>
      <c r="G41">
        <v>1</v>
      </c>
      <c r="H41" t="s">
        <v>188</v>
      </c>
      <c r="I41">
        <v>1</v>
      </c>
      <c r="J41">
        <v>1</v>
      </c>
      <c r="K41">
        <f t="shared" si="19"/>
        <v>1</v>
      </c>
      <c r="L41">
        <v>-1</v>
      </c>
      <c r="M41">
        <f t="shared" si="20"/>
        <v>1</v>
      </c>
      <c r="N41">
        <f t="shared" si="21"/>
        <v>1</v>
      </c>
      <c r="O41">
        <v>1</v>
      </c>
      <c r="P41">
        <v>-1</v>
      </c>
      <c r="Q41">
        <v>100</v>
      </c>
      <c r="AZ41">
        <f t="shared" si="22"/>
        <v>0</v>
      </c>
      <c r="BA41">
        <v>4</v>
      </c>
    </row>
    <row r="42" spans="1:53">
      <c r="A42">
        <v>1</v>
      </c>
      <c r="B42" s="18" t="s">
        <v>256</v>
      </c>
      <c r="C42" t="s">
        <v>107</v>
      </c>
      <c r="D42" t="s">
        <v>30</v>
      </c>
      <c r="E42" t="str">
        <f t="shared" si="18"/>
        <v>NZ10_2050A_09EESSNXCTSCERNC</v>
      </c>
      <c r="F42">
        <v>1</v>
      </c>
      <c r="G42">
        <v>1</v>
      </c>
      <c r="H42" t="s">
        <v>188</v>
      </c>
      <c r="I42">
        <v>1</v>
      </c>
      <c r="J42">
        <v>1</v>
      </c>
      <c r="K42">
        <f t="shared" si="19"/>
        <v>1</v>
      </c>
      <c r="L42">
        <v>-1</v>
      </c>
      <c r="M42">
        <f t="shared" si="20"/>
        <v>1</v>
      </c>
      <c r="N42">
        <f t="shared" si="21"/>
        <v>1</v>
      </c>
      <c r="O42">
        <v>1</v>
      </c>
      <c r="P42">
        <v>-1</v>
      </c>
      <c r="Q42">
        <v>100</v>
      </c>
      <c r="AZ42">
        <f t="shared" si="22"/>
        <v>0</v>
      </c>
      <c r="BA42">
        <v>5</v>
      </c>
    </row>
    <row r="43" spans="1:53">
      <c r="A43">
        <v>1</v>
      </c>
      <c r="B43" t="s">
        <v>266</v>
      </c>
      <c r="D43" t="s">
        <v>30</v>
      </c>
      <c r="E43" t="str">
        <f>B43</f>
        <v>NZ10_2099A_10EESSNXCTSC</v>
      </c>
      <c r="F43">
        <v>1</v>
      </c>
      <c r="G43">
        <v>1</v>
      </c>
      <c r="H43" t="s">
        <v>188</v>
      </c>
      <c r="I43">
        <v>1</v>
      </c>
      <c r="J43">
        <v>1</v>
      </c>
      <c r="K43">
        <f>IF(MID(B43,10,1) = "B",2,1)</f>
        <v>1</v>
      </c>
      <c r="L43">
        <v>-1</v>
      </c>
      <c r="M43">
        <f>IF(MID(B43,14,2)="EE",1,-1)</f>
        <v>1</v>
      </c>
      <c r="N43">
        <f>IF(MID(B43,14,2)="EE",1,-1)</f>
        <v>1</v>
      </c>
      <c r="O43">
        <v>1</v>
      </c>
      <c r="P43">
        <v>-1</v>
      </c>
      <c r="Q43">
        <v>100</v>
      </c>
      <c r="AZ43">
        <f>IF(LEN(B43)&gt;=30,1,0)</f>
        <v>0</v>
      </c>
      <c r="BA43">
        <v>7</v>
      </c>
    </row>
    <row r="44" spans="1:53">
      <c r="A44">
        <v>1</v>
      </c>
      <c r="B44" t="s">
        <v>267</v>
      </c>
      <c r="D44" t="s">
        <v>30</v>
      </c>
      <c r="E44" t="str">
        <f t="shared" ref="E44" si="23">B44</f>
        <v>NZ10_2099A_10EESSEXCTSC</v>
      </c>
      <c r="F44">
        <v>1</v>
      </c>
      <c r="G44">
        <v>1</v>
      </c>
      <c r="H44" t="s">
        <v>188</v>
      </c>
      <c r="I44">
        <v>1</v>
      </c>
      <c r="J44">
        <v>1</v>
      </c>
      <c r="K44">
        <f t="shared" ref="K44" si="24">IF(MID(B44,10,1) = "B",2,1)</f>
        <v>1</v>
      </c>
      <c r="L44">
        <v>-1</v>
      </c>
      <c r="M44">
        <f t="shared" ref="M44" si="25">IF(MID(B44,14,2)="EE",1,-1)</f>
        <v>1</v>
      </c>
      <c r="N44">
        <f t="shared" ref="N44" si="26">IF(MID(B44,14,2)="EE",1,-1)</f>
        <v>1</v>
      </c>
      <c r="O44">
        <v>1</v>
      </c>
      <c r="P44">
        <v>-1</v>
      </c>
      <c r="Q44">
        <v>100</v>
      </c>
      <c r="AZ44">
        <f t="shared" ref="AZ44" si="27">IF(LEN(B44)&gt;=30,1,0)</f>
        <v>0</v>
      </c>
      <c r="BA44">
        <v>7</v>
      </c>
    </row>
    <row r="45" spans="1:53">
      <c r="A45">
        <v>1</v>
      </c>
      <c r="B45" t="s">
        <v>268</v>
      </c>
      <c r="D45" t="s">
        <v>30</v>
      </c>
      <c r="E45" t="str">
        <f>B45</f>
        <v>NZ10_2099B_10EESSNXCTSC</v>
      </c>
      <c r="F45">
        <v>1</v>
      </c>
      <c r="G45">
        <v>1</v>
      </c>
      <c r="H45" t="s">
        <v>188</v>
      </c>
      <c r="I45">
        <v>1</v>
      </c>
      <c r="J45">
        <v>1</v>
      </c>
      <c r="K45">
        <f>IF(MID(B45,10,1) = "B",2,1)</f>
        <v>2</v>
      </c>
      <c r="L45">
        <v>-1</v>
      </c>
      <c r="M45">
        <f>IF(MID(B45,14,2)="EE",1,-1)</f>
        <v>1</v>
      </c>
      <c r="N45">
        <f>IF(MID(B45,14,2)="EE",1,-1)</f>
        <v>1</v>
      </c>
      <c r="O45">
        <v>1</v>
      </c>
      <c r="P45">
        <v>-1</v>
      </c>
      <c r="Q45">
        <v>100</v>
      </c>
      <c r="AZ45">
        <f>IF(LEN(B45)&gt;=30,1,0)</f>
        <v>0</v>
      </c>
      <c r="BA45">
        <v>7</v>
      </c>
    </row>
    <row r="46" spans="1:53">
      <c r="A46">
        <v>1</v>
      </c>
      <c r="B46" t="s">
        <v>269</v>
      </c>
      <c r="D46" t="s">
        <v>30</v>
      </c>
      <c r="E46" t="str">
        <f>B46</f>
        <v>NZ10_2050A_08EESSNXCTCL</v>
      </c>
      <c r="F46">
        <v>1</v>
      </c>
      <c r="G46">
        <v>1</v>
      </c>
      <c r="H46" t="s">
        <v>188</v>
      </c>
      <c r="I46">
        <v>1</v>
      </c>
      <c r="J46">
        <v>1</v>
      </c>
      <c r="K46">
        <f>IF(MID(B46,10,1) = "B",2,1)</f>
        <v>1</v>
      </c>
      <c r="L46">
        <v>-1</v>
      </c>
      <c r="M46">
        <f>IF(MID(B46,14,2)="EE",1,-1)</f>
        <v>1</v>
      </c>
      <c r="N46">
        <f>IF(MID(B46,14,2)="EE",1,-1)</f>
        <v>1</v>
      </c>
      <c r="O46">
        <v>1</v>
      </c>
      <c r="P46">
        <v>-1</v>
      </c>
      <c r="Q46">
        <v>100</v>
      </c>
      <c r="AZ46">
        <f>IF(LEN(B46)&gt;=30,1,0)</f>
        <v>0</v>
      </c>
      <c r="BA46">
        <v>7</v>
      </c>
    </row>
    <row r="47" spans="1:53">
      <c r="A47">
        <v>0</v>
      </c>
      <c r="B47" t="s">
        <v>259</v>
      </c>
      <c r="D47" t="s">
        <v>30</v>
      </c>
      <c r="E47" t="str">
        <f t="shared" si="18"/>
        <v>NZ10_2099B_99NESSNXCTCLER_IRP</v>
      </c>
      <c r="F47">
        <v>0</v>
      </c>
      <c r="G47">
        <v>0</v>
      </c>
      <c r="H47" t="s">
        <v>188</v>
      </c>
      <c r="I47">
        <v>1</v>
      </c>
      <c r="J47">
        <v>1</v>
      </c>
      <c r="K47">
        <f t="shared" si="19"/>
        <v>2</v>
      </c>
      <c r="L47">
        <v>-1</v>
      </c>
      <c r="M47">
        <f t="shared" si="20"/>
        <v>-1</v>
      </c>
      <c r="N47">
        <f t="shared" si="21"/>
        <v>-1</v>
      </c>
      <c r="O47">
        <v>1</v>
      </c>
      <c r="P47">
        <v>-1</v>
      </c>
      <c r="Q47">
        <v>100</v>
      </c>
      <c r="AZ47">
        <f t="shared" si="22"/>
        <v>0</v>
      </c>
      <c r="BA47">
        <v>6</v>
      </c>
    </row>
    <row r="48" spans="1:53">
      <c r="A48">
        <v>0</v>
      </c>
      <c r="B48" t="s">
        <v>260</v>
      </c>
      <c r="D48" t="s">
        <v>30</v>
      </c>
      <c r="E48" t="str">
        <f t="shared" si="18"/>
        <v>NZ10_2099B_99NESSNXCTCLNR_IRP</v>
      </c>
      <c r="F48">
        <v>0</v>
      </c>
      <c r="G48">
        <v>0</v>
      </c>
      <c r="H48" t="s">
        <v>188</v>
      </c>
      <c r="I48">
        <v>1</v>
      </c>
      <c r="J48">
        <v>1</v>
      </c>
      <c r="K48">
        <f t="shared" si="19"/>
        <v>2</v>
      </c>
      <c r="L48">
        <v>-1</v>
      </c>
      <c r="M48">
        <f t="shared" si="20"/>
        <v>-1</v>
      </c>
      <c r="N48">
        <f t="shared" si="21"/>
        <v>-1</v>
      </c>
      <c r="O48">
        <v>1</v>
      </c>
      <c r="P48">
        <v>-1</v>
      </c>
      <c r="Q48">
        <v>100</v>
      </c>
      <c r="AZ48">
        <f t="shared" si="22"/>
        <v>0</v>
      </c>
      <c r="BA48">
        <v>7</v>
      </c>
    </row>
    <row r="49" spans="1:53">
      <c r="A49">
        <v>0</v>
      </c>
      <c r="B49" t="s">
        <v>257</v>
      </c>
      <c r="D49" t="s">
        <v>30</v>
      </c>
      <c r="E49" t="str">
        <f t="shared" ref="E49:E50" si="28">B49</f>
        <v>NZ10_2099B_99NESSNXCTCL_HiR</v>
      </c>
      <c r="F49">
        <v>0</v>
      </c>
      <c r="G49">
        <v>0</v>
      </c>
      <c r="H49" t="s">
        <v>188</v>
      </c>
      <c r="I49">
        <v>1</v>
      </c>
      <c r="J49">
        <v>1</v>
      </c>
      <c r="K49">
        <f t="shared" si="19"/>
        <v>2</v>
      </c>
      <c r="L49">
        <v>-1</v>
      </c>
      <c r="M49">
        <f t="shared" ref="M49:M50" si="29">IF(MID(B49,14,2)="EE",1,-1)</f>
        <v>-1</v>
      </c>
      <c r="N49">
        <f t="shared" ref="N49:N50" si="30">IF(MID(B49,14,2)="EE",1,-1)</f>
        <v>-1</v>
      </c>
      <c r="O49">
        <v>1</v>
      </c>
      <c r="P49">
        <v>-1</v>
      </c>
      <c r="Q49">
        <v>100</v>
      </c>
      <c r="AZ49">
        <f t="shared" ref="AZ49:AZ50" si="31">IF(LEN(B49)&gt;=30,1,0)</f>
        <v>0</v>
      </c>
      <c r="BA49">
        <v>6</v>
      </c>
    </row>
    <row r="50" spans="1:53">
      <c r="A50">
        <v>0</v>
      </c>
      <c r="B50" t="s">
        <v>258</v>
      </c>
      <c r="D50" t="s">
        <v>30</v>
      </c>
      <c r="E50" t="str">
        <f t="shared" si="28"/>
        <v>NZ10_2099B_99NESSNXCTCLNR_HiR</v>
      </c>
      <c r="F50">
        <v>0</v>
      </c>
      <c r="G50">
        <v>0</v>
      </c>
      <c r="H50" t="s">
        <v>188</v>
      </c>
      <c r="I50">
        <v>1</v>
      </c>
      <c r="J50">
        <v>1</v>
      </c>
      <c r="K50">
        <f t="shared" si="19"/>
        <v>2</v>
      </c>
      <c r="L50">
        <v>-1</v>
      </c>
      <c r="M50">
        <f t="shared" si="29"/>
        <v>-1</v>
      </c>
      <c r="N50">
        <f t="shared" si="30"/>
        <v>-1</v>
      </c>
      <c r="O50">
        <v>1</v>
      </c>
      <c r="P50">
        <v>-1</v>
      </c>
      <c r="Q50">
        <v>100</v>
      </c>
      <c r="AZ50">
        <f t="shared" si="31"/>
        <v>0</v>
      </c>
      <c r="BA50">
        <v>7</v>
      </c>
    </row>
    <row r="51" spans="1:53">
      <c r="A51">
        <v>1</v>
      </c>
      <c r="B51" s="22" t="s">
        <v>270</v>
      </c>
      <c r="D51" t="s">
        <v>30</v>
      </c>
      <c r="E51" t="str">
        <f t="shared" ref="E51" si="32">B51</f>
        <v>NZ10_2050B_09NESSNXCTCL</v>
      </c>
      <c r="F51">
        <v>1</v>
      </c>
      <c r="G51">
        <v>1</v>
      </c>
      <c r="H51" t="s">
        <v>188</v>
      </c>
      <c r="I51">
        <v>1</v>
      </c>
      <c r="J51">
        <v>1</v>
      </c>
      <c r="K51">
        <f t="shared" si="19"/>
        <v>2</v>
      </c>
      <c r="L51">
        <v>-1</v>
      </c>
      <c r="M51">
        <v>1</v>
      </c>
      <c r="N51">
        <v>1</v>
      </c>
      <c r="O51">
        <v>1</v>
      </c>
      <c r="P51">
        <v>-1</v>
      </c>
      <c r="Q51">
        <v>100</v>
      </c>
      <c r="AZ51">
        <f t="shared" ref="AZ51" si="33">IF(LEN(B51)&gt;=30,1,0)</f>
        <v>0</v>
      </c>
      <c r="BA51">
        <v>8</v>
      </c>
    </row>
    <row r="52" spans="1:53">
      <c r="A52">
        <v>1</v>
      </c>
      <c r="B52" s="22" t="s">
        <v>271</v>
      </c>
      <c r="D52" t="s">
        <v>30</v>
      </c>
      <c r="E52" t="str">
        <f t="shared" ref="E52:E53" si="34">B52</f>
        <v>NZ10_2050B_09EESSNXCTSC</v>
      </c>
      <c r="F52">
        <v>1</v>
      </c>
      <c r="G52">
        <v>1</v>
      </c>
      <c r="H52" t="s">
        <v>188</v>
      </c>
      <c r="I52">
        <v>1</v>
      </c>
      <c r="J52">
        <v>1</v>
      </c>
      <c r="K52">
        <f t="shared" si="19"/>
        <v>2</v>
      </c>
      <c r="L52">
        <v>-1</v>
      </c>
      <c r="M52">
        <f t="shared" ref="M52" si="35">IF(MID(B52,14,2)="EE",1,-1)</f>
        <v>1</v>
      </c>
      <c r="N52">
        <f t="shared" ref="N52" si="36">IF(MID(B52,14,2)="EE",1,-1)</f>
        <v>1</v>
      </c>
      <c r="O52">
        <v>1</v>
      </c>
      <c r="P52">
        <v>-1</v>
      </c>
      <c r="Q52">
        <v>100</v>
      </c>
      <c r="AZ52">
        <f t="shared" ref="AZ52:AZ53" si="37">IF(LEN(B52)&gt;=30,1,0)</f>
        <v>0</v>
      </c>
      <c r="BA52">
        <v>9</v>
      </c>
    </row>
    <row r="53" spans="1:53">
      <c r="A53">
        <v>1</v>
      </c>
      <c r="B53" s="22" t="s">
        <v>272</v>
      </c>
      <c r="D53" t="s">
        <v>30</v>
      </c>
      <c r="E53" t="str">
        <f t="shared" si="34"/>
        <v>NZ10_2055B_09EESSNXCTSC</v>
      </c>
      <c r="F53">
        <v>1</v>
      </c>
      <c r="G53">
        <v>1</v>
      </c>
      <c r="H53" t="s">
        <v>188</v>
      </c>
      <c r="I53">
        <v>1</v>
      </c>
      <c r="J53">
        <v>1</v>
      </c>
      <c r="K53">
        <f t="shared" si="19"/>
        <v>2</v>
      </c>
      <c r="L53">
        <v>-1</v>
      </c>
      <c r="M53">
        <v>1</v>
      </c>
      <c r="N53">
        <v>1</v>
      </c>
      <c r="O53">
        <v>1</v>
      </c>
      <c r="P53">
        <v>-1</v>
      </c>
      <c r="Q53">
        <v>100</v>
      </c>
      <c r="AZ53">
        <f t="shared" si="37"/>
        <v>0</v>
      </c>
      <c r="BA53">
        <v>10</v>
      </c>
    </row>
    <row r="54" spans="1:53">
      <c r="A54">
        <v>1</v>
      </c>
      <c r="B54" s="22" t="s">
        <v>273</v>
      </c>
      <c r="D54" t="s">
        <v>30</v>
      </c>
      <c r="E54" t="str">
        <f t="shared" ref="E54" si="38">B54</f>
        <v>NZ10_2055B_10EESSNXCTSC</v>
      </c>
      <c r="F54">
        <v>1</v>
      </c>
      <c r="G54">
        <v>1</v>
      </c>
      <c r="H54" t="s">
        <v>188</v>
      </c>
      <c r="I54">
        <v>1</v>
      </c>
      <c r="J54">
        <v>1</v>
      </c>
      <c r="K54">
        <f t="shared" si="19"/>
        <v>2</v>
      </c>
      <c r="L54">
        <v>-1</v>
      </c>
      <c r="M54">
        <v>1</v>
      </c>
      <c r="N54">
        <v>1</v>
      </c>
      <c r="O54">
        <v>1</v>
      </c>
      <c r="P54">
        <v>-1</v>
      </c>
      <c r="Q54">
        <v>100</v>
      </c>
      <c r="AZ54">
        <f t="shared" ref="AZ54" si="39">IF(LEN(B54)&gt;=30,1,0)</f>
        <v>0</v>
      </c>
      <c r="BA54">
        <v>10</v>
      </c>
    </row>
    <row r="55" spans="1:53">
      <c r="A55">
        <v>1</v>
      </c>
      <c r="B55" s="22" t="s">
        <v>274</v>
      </c>
      <c r="D55" t="s">
        <v>30</v>
      </c>
      <c r="E55" t="str">
        <f t="shared" ref="E55" si="40">B55</f>
        <v>NZ10_2050A_09NESSEXCNCL</v>
      </c>
      <c r="F55">
        <v>1</v>
      </c>
      <c r="G55">
        <v>1</v>
      </c>
      <c r="H55" t="s">
        <v>188</v>
      </c>
      <c r="I55">
        <v>1</v>
      </c>
      <c r="J55">
        <v>1</v>
      </c>
      <c r="K55">
        <f t="shared" si="19"/>
        <v>1</v>
      </c>
      <c r="L55">
        <v>-1</v>
      </c>
      <c r="M55">
        <v>1</v>
      </c>
      <c r="N55">
        <v>1</v>
      </c>
      <c r="O55">
        <v>1</v>
      </c>
      <c r="P55">
        <v>-1</v>
      </c>
      <c r="Q55">
        <v>100</v>
      </c>
      <c r="AZ55">
        <f t="shared" ref="AZ55" si="41">IF(LEN(B55)&gt;=30,1,0)</f>
        <v>0</v>
      </c>
      <c r="BA55">
        <v>11</v>
      </c>
    </row>
    <row r="56" spans="1:53">
      <c r="A56">
        <v>1</v>
      </c>
      <c r="B56" s="22" t="s">
        <v>275</v>
      </c>
      <c r="D56" t="s">
        <v>30</v>
      </c>
      <c r="E56" t="str">
        <f t="shared" ref="E56:E57" si="42">B56</f>
        <v>NZ10_2050A_09EESSEXCNSC</v>
      </c>
      <c r="F56">
        <v>1</v>
      </c>
      <c r="G56">
        <v>1</v>
      </c>
      <c r="H56" t="s">
        <v>188</v>
      </c>
      <c r="I56">
        <v>1</v>
      </c>
      <c r="J56">
        <v>1</v>
      </c>
      <c r="K56">
        <f t="shared" si="19"/>
        <v>1</v>
      </c>
      <c r="L56">
        <v>-1</v>
      </c>
      <c r="M56">
        <v>1</v>
      </c>
      <c r="N56">
        <v>1</v>
      </c>
      <c r="O56">
        <v>1</v>
      </c>
      <c r="P56">
        <v>-1</v>
      </c>
      <c r="Q56">
        <v>100</v>
      </c>
      <c r="AZ56">
        <f t="shared" ref="AZ56:AZ57" si="43">IF(LEN(B56)&gt;=30,1,0)</f>
        <v>0</v>
      </c>
      <c r="BA56">
        <v>12</v>
      </c>
    </row>
    <row r="57" spans="1:53">
      <c r="A57">
        <v>1</v>
      </c>
      <c r="B57" s="22" t="s">
        <v>276</v>
      </c>
      <c r="D57" t="s">
        <v>30</v>
      </c>
      <c r="E57" t="str">
        <f t="shared" si="42"/>
        <v>NZ10_2050B_09EESENXCTSC</v>
      </c>
      <c r="F57">
        <v>1</v>
      </c>
      <c r="G57">
        <v>1</v>
      </c>
      <c r="H57" t="s">
        <v>188</v>
      </c>
      <c r="I57">
        <v>1</v>
      </c>
      <c r="J57">
        <v>1</v>
      </c>
      <c r="K57">
        <f t="shared" ref="K57:K58" si="44">IF(MID(B57,10,1) = "B",2,1)</f>
        <v>2</v>
      </c>
      <c r="L57">
        <v>-1</v>
      </c>
      <c r="M57">
        <v>1</v>
      </c>
      <c r="N57">
        <v>1</v>
      </c>
      <c r="O57">
        <v>1</v>
      </c>
      <c r="P57">
        <v>-1</v>
      </c>
      <c r="Q57">
        <v>100</v>
      </c>
      <c r="AZ57">
        <f t="shared" si="43"/>
        <v>0</v>
      </c>
      <c r="BA57">
        <v>11</v>
      </c>
    </row>
    <row r="58" spans="1:53">
      <c r="A58">
        <v>1</v>
      </c>
      <c r="B58" s="22" t="s">
        <v>277</v>
      </c>
      <c r="D58" t="s">
        <v>30</v>
      </c>
      <c r="E58" t="str">
        <f t="shared" ref="E58" si="45">B58</f>
        <v>NZ10_2050B_09EESFNXCTSC</v>
      </c>
      <c r="F58">
        <v>1</v>
      </c>
      <c r="G58">
        <v>1</v>
      </c>
      <c r="H58" t="s">
        <v>188</v>
      </c>
      <c r="I58">
        <v>1</v>
      </c>
      <c r="J58">
        <v>1</v>
      </c>
      <c r="K58">
        <f t="shared" si="44"/>
        <v>2</v>
      </c>
      <c r="L58">
        <v>-1</v>
      </c>
      <c r="M58">
        <v>1</v>
      </c>
      <c r="N58">
        <v>1</v>
      </c>
      <c r="O58">
        <v>1</v>
      </c>
      <c r="P58">
        <v>-1</v>
      </c>
      <c r="Q58">
        <v>100</v>
      </c>
      <c r="AZ58">
        <f t="shared" ref="AZ58" si="46">IF(LEN(B58)&gt;=30,1,0)</f>
        <v>0</v>
      </c>
      <c r="BA58">
        <v>12</v>
      </c>
    </row>
    <row r="59" spans="1:53">
      <c r="A59" s="17"/>
      <c r="K59">
        <f t="shared" si="8"/>
        <v>1</v>
      </c>
      <c r="Q59" s="19"/>
      <c r="AZ59">
        <f t="shared" si="11"/>
        <v>0</v>
      </c>
    </row>
    <row r="60" spans="1:53">
      <c r="A60" s="17"/>
      <c r="K60">
        <f t="shared" si="8"/>
        <v>1</v>
      </c>
      <c r="Q60" s="19"/>
      <c r="AZ60">
        <f t="shared" si="11"/>
        <v>0</v>
      </c>
    </row>
    <row r="61" spans="1:53">
      <c r="A61" s="17"/>
      <c r="K61">
        <f t="shared" si="8"/>
        <v>1</v>
      </c>
      <c r="Q61" s="19"/>
      <c r="AZ61">
        <f t="shared" si="11"/>
        <v>0</v>
      </c>
    </row>
    <row r="62" spans="1:53">
      <c r="A62" s="17"/>
      <c r="K62">
        <f t="shared" si="8"/>
        <v>1</v>
      </c>
      <c r="Q62" s="19"/>
      <c r="AZ62">
        <f t="shared" si="11"/>
        <v>0</v>
      </c>
    </row>
    <row r="63" spans="1:53">
      <c r="A63" s="17"/>
      <c r="K63">
        <f t="shared" si="8"/>
        <v>1</v>
      </c>
      <c r="M63" s="13"/>
      <c r="N63" s="13"/>
      <c r="Q63" s="19"/>
      <c r="AZ63">
        <f t="shared" si="11"/>
        <v>0</v>
      </c>
    </row>
    <row r="64" spans="1:53">
      <c r="A64" s="17"/>
      <c r="K64">
        <f t="shared" si="8"/>
        <v>1</v>
      </c>
      <c r="M64" s="13"/>
      <c r="N64" s="13"/>
      <c r="Q64" s="19"/>
      <c r="AZ64">
        <f t="shared" si="11"/>
        <v>0</v>
      </c>
    </row>
    <row r="65" spans="1:52">
      <c r="A65" s="17"/>
      <c r="K65">
        <f t="shared" si="8"/>
        <v>1</v>
      </c>
      <c r="M65" s="13"/>
      <c r="N65" s="13"/>
      <c r="Q65" s="19"/>
      <c r="AZ65">
        <f t="shared" si="11"/>
        <v>0</v>
      </c>
    </row>
    <row r="66" spans="1:52">
      <c r="A66" s="17"/>
      <c r="K66">
        <f t="shared" si="8"/>
        <v>1</v>
      </c>
      <c r="Q66" s="19"/>
      <c r="AZ66">
        <f t="shared" si="11"/>
        <v>0</v>
      </c>
    </row>
    <row r="67" spans="1:52">
      <c r="A67" s="17"/>
      <c r="K67">
        <f t="shared" si="8"/>
        <v>1</v>
      </c>
      <c r="M67" s="13"/>
      <c r="N67" s="13"/>
      <c r="Q67" s="19"/>
    </row>
    <row r="68" spans="1:52">
      <c r="A68" s="17"/>
      <c r="K68">
        <f t="shared" si="8"/>
        <v>1</v>
      </c>
      <c r="Q68" s="19"/>
    </row>
    <row r="69" spans="1:52">
      <c r="A69" s="17"/>
      <c r="K69">
        <f t="shared" si="8"/>
        <v>1</v>
      </c>
      <c r="Q69" s="19"/>
    </row>
    <row r="70" spans="1:52">
      <c r="A70" s="17"/>
      <c r="K70">
        <f t="shared" si="8"/>
        <v>1</v>
      </c>
      <c r="Q70" s="19"/>
    </row>
    <row r="71" spans="1:52">
      <c r="A71" s="17"/>
      <c r="K71">
        <f t="shared" si="8"/>
        <v>1</v>
      </c>
      <c r="M71" s="13"/>
      <c r="N71" s="13"/>
      <c r="Q71" s="19"/>
    </row>
    <row r="72" spans="1:52">
      <c r="A72" s="17"/>
      <c r="K72">
        <f t="shared" si="8"/>
        <v>1</v>
      </c>
      <c r="M72" s="13"/>
      <c r="N72" s="13"/>
      <c r="Q72" s="19"/>
    </row>
    <row r="73" spans="1:52">
      <c r="A73" s="17"/>
      <c r="K73">
        <f t="shared" si="8"/>
        <v>1</v>
      </c>
      <c r="M73" s="13"/>
      <c r="N73" s="13"/>
      <c r="Q73" s="19"/>
    </row>
    <row r="74" spans="1:52">
      <c r="A74" s="17"/>
      <c r="K74">
        <f t="shared" si="8"/>
        <v>1</v>
      </c>
      <c r="Q74" s="19"/>
    </row>
    <row r="75" spans="1:52">
      <c r="A75" s="17"/>
      <c r="K75">
        <f t="shared" si="8"/>
        <v>1</v>
      </c>
      <c r="Q75" s="19"/>
    </row>
    <row r="76" spans="1:52">
      <c r="A76" s="17"/>
      <c r="K76">
        <f t="shared" si="8"/>
        <v>1</v>
      </c>
      <c r="Q76" s="19"/>
    </row>
    <row r="77" spans="1:52">
      <c r="A77" s="17"/>
      <c r="K77">
        <f t="shared" si="8"/>
        <v>1</v>
      </c>
      <c r="Q77" s="19"/>
    </row>
    <row r="78" spans="1:52">
      <c r="A78" s="17"/>
      <c r="K78">
        <f t="shared" si="8"/>
        <v>1</v>
      </c>
      <c r="Q78" s="19"/>
    </row>
    <row r="79" spans="1:52">
      <c r="A79" s="17"/>
      <c r="K79">
        <f t="shared" si="8"/>
        <v>1</v>
      </c>
      <c r="Q79" s="19"/>
    </row>
    <row r="80" spans="1:52">
      <c r="A80" s="17"/>
      <c r="K80">
        <f t="shared" si="8"/>
        <v>1</v>
      </c>
      <c r="Q80" s="19"/>
    </row>
    <row r="81" spans="1:17">
      <c r="A81" s="17"/>
      <c r="K81">
        <f t="shared" si="8"/>
        <v>1</v>
      </c>
      <c r="M81" s="13"/>
      <c r="N81" s="13"/>
      <c r="Q81" s="19"/>
    </row>
    <row r="82" spans="1:17">
      <c r="A82" s="17"/>
      <c r="K82">
        <f t="shared" si="8"/>
        <v>1</v>
      </c>
      <c r="M82" s="13"/>
      <c r="N82" s="13"/>
      <c r="Q82" s="19"/>
    </row>
    <row r="83" spans="1:17">
      <c r="A83" s="17"/>
      <c r="K83">
        <f t="shared" si="8"/>
        <v>1</v>
      </c>
      <c r="M83" s="13"/>
      <c r="N83" s="13"/>
      <c r="Q83" s="19"/>
    </row>
    <row r="84" spans="1:17">
      <c r="A84" s="17"/>
      <c r="K84">
        <f t="shared" si="8"/>
        <v>1</v>
      </c>
      <c r="Q84" s="19"/>
    </row>
    <row r="85" spans="1:17">
      <c r="A85" s="17"/>
      <c r="K85">
        <f t="shared" si="8"/>
        <v>1</v>
      </c>
      <c r="M85" s="13"/>
      <c r="N85" s="13"/>
      <c r="Q85" s="19"/>
    </row>
    <row r="86" spans="1:17">
      <c r="A86" s="17"/>
      <c r="K86">
        <f t="shared" ref="K86:K96" si="47">IF(MID(B86,10,1) = "B",2,1)</f>
        <v>1</v>
      </c>
      <c r="Q86" s="19"/>
    </row>
    <row r="87" spans="1:17">
      <c r="A87" s="17"/>
      <c r="K87">
        <f t="shared" si="47"/>
        <v>1</v>
      </c>
      <c r="Q87" s="19"/>
    </row>
    <row r="88" spans="1:17">
      <c r="A88" s="17"/>
      <c r="K88">
        <f t="shared" si="47"/>
        <v>1</v>
      </c>
      <c r="Q88" s="19"/>
    </row>
    <row r="89" spans="1:17">
      <c r="A89" s="17"/>
      <c r="K89">
        <f t="shared" si="47"/>
        <v>1</v>
      </c>
      <c r="M89" s="13"/>
      <c r="N89" s="13"/>
      <c r="Q89" s="19"/>
    </row>
    <row r="90" spans="1:17">
      <c r="A90" s="17"/>
      <c r="K90">
        <f t="shared" si="47"/>
        <v>1</v>
      </c>
      <c r="M90" s="13"/>
      <c r="N90" s="13"/>
      <c r="Q90" s="19"/>
    </row>
    <row r="91" spans="1:17">
      <c r="A91" s="17"/>
      <c r="K91">
        <f t="shared" si="47"/>
        <v>1</v>
      </c>
      <c r="M91" s="13"/>
      <c r="N91" s="13"/>
      <c r="Q91" s="19"/>
    </row>
    <row r="92" spans="1:17">
      <c r="A92" s="17"/>
      <c r="K92">
        <f t="shared" si="47"/>
        <v>1</v>
      </c>
      <c r="Q92" s="19"/>
    </row>
    <row r="93" spans="1:17">
      <c r="A93" s="17"/>
      <c r="K93">
        <f t="shared" si="47"/>
        <v>1</v>
      </c>
      <c r="Q93" s="19"/>
    </row>
    <row r="94" spans="1:17">
      <c r="A94" s="17"/>
      <c r="K94">
        <f t="shared" si="47"/>
        <v>1</v>
      </c>
      <c r="Q94" s="19"/>
    </row>
    <row r="95" spans="1:17">
      <c r="A95" s="17"/>
      <c r="K95">
        <f t="shared" si="47"/>
        <v>1</v>
      </c>
    </row>
    <row r="96" spans="1:17">
      <c r="A96" s="17"/>
      <c r="K96">
        <f t="shared" si="47"/>
        <v>1</v>
      </c>
      <c r="M96" s="13"/>
      <c r="N96" s="13"/>
      <c r="Q96" s="19"/>
    </row>
    <row r="97" spans="1:1">
      <c r="A97" s="17"/>
    </row>
  </sheetData>
  <autoFilter ref="A9:BI96" xr:uid="{00000000-0001-0000-0E00-000000000000}"/>
  <sortState xmlns:xlrd2="http://schemas.microsoft.com/office/spreadsheetml/2017/richdata2" ref="A16:BI58">
    <sortCondition ref="B16:B58"/>
  </sortState>
  <mergeCells count="1">
    <mergeCell ref="S6:AF6"/>
  </mergeCells>
  <phoneticPr fontId="34" type="noConversion"/>
  <conditionalFormatting sqref="A98:A1048576 A1:A9">
    <cfRule type="iconSet" priority="781">
      <iconSet>
        <cfvo type="percent" val="0"/>
        <cfvo type="percent" val="33"/>
        <cfvo type="percent" val="67"/>
      </iconSet>
    </cfRule>
  </conditionalFormatting>
  <conditionalFormatting sqref="A59:A97">
    <cfRule type="iconSet" priority="952">
      <iconSet>
        <cfvo type="percent" val="0"/>
        <cfvo type="percent" val="33"/>
        <cfvo type="percent" val="67"/>
      </iconSet>
    </cfRule>
  </conditionalFormatting>
  <conditionalFormatting sqref="A59:A97">
    <cfRule type="iconSet" priority="953">
      <iconSet>
        <cfvo type="percent" val="0"/>
        <cfvo type="percent" val="33"/>
        <cfvo type="percent" val="67"/>
      </iconSet>
    </cfRule>
  </conditionalFormatting>
  <conditionalFormatting sqref="A59:A97">
    <cfRule type="iconSet" priority="955">
      <iconSet>
        <cfvo type="percent" val="0"/>
        <cfvo type="percent" val="33"/>
        <cfvo type="percent" val="67"/>
      </iconSet>
    </cfRule>
  </conditionalFormatting>
  <conditionalFormatting sqref="A59:A96">
    <cfRule type="iconSet" priority="957">
      <iconSet>
        <cfvo type="percent" val="0"/>
        <cfvo type="percent" val="33"/>
        <cfvo type="percent" val="67"/>
      </iconSet>
    </cfRule>
  </conditionalFormatting>
  <conditionalFormatting sqref="L10:P42 L47:P48">
    <cfRule type="colorScale" priority="9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0:A58">
    <cfRule type="colorScale" priority="9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43:P46 L49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46:J5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0:J4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9:K58">
    <cfRule type="cellIs" dxfId="0" priority="3" operator="equal">
      <formula>2</formula>
    </cfRule>
  </conditionalFormatting>
  <conditionalFormatting sqref="L57:P58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7:J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H10:H97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D10:D97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F44" sqref="F44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 Merven</cp:lastModifiedBy>
  <dcterms:created xsi:type="dcterms:W3CDTF">2014-09-01T09:42:43Z</dcterms:created>
  <dcterms:modified xsi:type="dcterms:W3CDTF">2024-02-14T07:05:13Z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