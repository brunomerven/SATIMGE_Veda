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200DE0E3-15A9-4EB9-B492-9594824E897D}" xr6:coauthVersionLast="47" xr6:coauthVersionMax="47" xr10:uidLastSave="{00000000-0000-0000-0000-000000000000}"/>
  <bookViews>
    <workbookView xWindow="2910" yWindow="765" windowWidth="25890" windowHeight="1543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3" r:id="rId9"/>
    <pivotCache cacheId="4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9" i="33" l="1"/>
  <c r="K59" i="33"/>
  <c r="M59" i="33"/>
  <c r="N59" i="33"/>
  <c r="AZ59" i="33"/>
  <c r="M51" i="33"/>
  <c r="N51" i="33"/>
  <c r="M52" i="33"/>
  <c r="N52" i="33"/>
  <c r="M53" i="33"/>
  <c r="N53" i="33"/>
  <c r="M54" i="33"/>
  <c r="N54" i="33"/>
  <c r="M55" i="33"/>
  <c r="N55" i="33"/>
  <c r="M56" i="33"/>
  <c r="N56" i="33"/>
  <c r="M57" i="33"/>
  <c r="N57" i="33"/>
  <c r="M58" i="33"/>
  <c r="N58" i="33"/>
  <c r="AZ58" i="33"/>
  <c r="K58" i="33"/>
  <c r="E58" i="33"/>
  <c r="AZ57" i="33"/>
  <c r="K57" i="33"/>
  <c r="E57" i="33"/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<sst xmlns="http://schemas.openxmlformats.org/spreadsheetml/2006/main" count="1185" uniqueCount="279">
  <si>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</si>
  <si>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</si>
  <si>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</si>
  <si>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</si>
  <si>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</si>
  <si>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</si>
  <si>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</si>
  <si>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</si>
  <si>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</si>
  <si>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</si>
  <si>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</si>
  <si>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</si>
  <si>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</si>
  <si>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</si>
  <si>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</si>
  <si>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</si>
  <si>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</si>
  <si>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</si>
  <si>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</si>
  <si>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</si>
  <si>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</si>
  <si>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</si>
  <si>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</si>
  <si>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</si>
  <si>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</si>
  <si>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</si>
  <si>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</si>
  <si>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</si>
  <si>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</si>
  <si>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</si>
  <si>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</si>
  <si>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</si>
  <si>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</si>
  <si>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</si>
  <si>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</si>
  <si>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</si>
  <si>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</si>
  <si>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</si>
  <si>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</si>
  <si>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</si>
  <si>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</si>
  <si>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</si>
  <si>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</si>
  <si>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</si>
  <si>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</si>
  <si>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</si>
  <si>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</si>
  <si>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</si>
  <si>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</si>
  <si>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</si>
  <si>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</si>
  <si>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</si>
  <si>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</si>
  <si>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</si>
  <si>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</si>
  <si>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</si>
  <si>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</si>
  <si>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</si>
  <si>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</si>
  <si>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</si>
  <si>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</si>
  <si>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</si>
  <si>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</si>
  <si>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</si>
  <si>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</si>
  <si>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</si>
  <si>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</si>
  <si>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</si>
  <si>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</si>
  <si>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</si>
  <si>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</si>
  <si>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</si>
  <si>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</si>
  <si>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</si>
  <si>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</si>
  <si>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</si>
  <si>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</si>
  <si>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</si>
  <si>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</si>
  <si>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</si>
  <si>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</si>
  <si>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</si>
  <si>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</si>
  <si>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</si>
  <si>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</si>
  <si>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</si>
  <si>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</si>
  <si>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</si>
  <si>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</si>
  <si>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</si>
  <si>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</si>
  <si>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</si>
  <si>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</si>
  <si>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</si>
  <si>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</si>
  <si>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</si>
  <si>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</si>
  <si>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</si>
  <si>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</si>
  <si>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</si>
  <si>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</si>
  <si>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</si>
  <si>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</si>
  <si>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</si>
  <si>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</si>
  <si>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</si>
  <si>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</si>
  <si>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</si>
  <si>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</si>
  <si>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</si>
  <si>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</si>
  <si>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</si>
  <si>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</si>
  <si>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</si>
  <si>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</si>
  <si>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</si>
  <si>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</si>
  <si>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</si>
  <si>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</si>
  <si>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</si>
  <si>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</si>
  <si>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</si>
  <si>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</si>
  <si>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</si>
  <si>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</si>
  <si>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</si>
  <si>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</si>
  <si>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</si>
  <si>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</si>
  <si>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</si>
  <si>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</si>
  <si>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</si>
  <si>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</si>
  <si>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</si>
  <si>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</si>
  <si>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</si>
  <si>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</si>
  <si>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</si>
  <si>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</si>
  <si>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</si>
  <si>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</si>
  <si>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</si>
  <si>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</si>
  <si>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</si>
  <si>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</si>
  <si>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</si>
  <si>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</si>
  <si>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</si>
  <si>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</si>
  <si>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</si>
  <si>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</si>
  <si>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</si>
  <si>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</si>
  <si>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</si>
  <si>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</si>
  <si>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</si>
  <si>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</si>
  <si>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</si>
  <si>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</si>
  <si>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</si>
  <si>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</si>
  <si>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</si>
  <si>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</si>
  <si>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</si>
  <si>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</si>
  <si>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</si>
  <si>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</si>
  <si>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</si>
  <si>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</si>
  <si>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</si>
  <si>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</si>
  <si>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</si>
  <si>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</si>
  <si>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</si>
  <si>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</si>
  <si>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</si>
  <si>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</si>
  <si>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</si>
  <si>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</si>
  <si>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</si>
  <si>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</si>
  <si>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</si>
  <si>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</si>
  <si>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</si>
  <si>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</si>
  <si>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</si>
  <si>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</si>
  <si>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</si>
  <si>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</si>
  <si>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</si>
  <si>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</si>
  <si>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</si>
  <si>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</si>
  <si>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</si>
  <si>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</si>
  <si>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</si>
  <si>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</si>
  <si>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</si>
  <si>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</si>
  <si>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</si>
  <si>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</si>
  <si>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</si>
  <si>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</si>
  <si>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</si>
  <si>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</si>
  <si>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</si>
  <si>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</si>
  <si>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</si>
  <si>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</si>
  <si>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</si>
  <si>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</si>
  <si>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</si>
  <si>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</si>
  <si>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</si>
  <si>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</si>
  <si>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</si>
  <si>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</si>
  <si>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</si>
  <si>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</si>
  <si>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</si>
  <si>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</si>
  <si>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</si>
  <si>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</si>
  <si>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</si>
  <si>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</si>
  <si>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</si>
  <si>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</si>
  <si>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</si>
  <si>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</si>
  <si>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</si>
  <si>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</si>
  <si>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</si>
  <si>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</si>
  <si>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</si>
  <si>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</si>
  <si>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</si>
  <si>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</si>
  <si>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</si>
  <si>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</si>
  <si>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</si>
  <si>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</si>
  <si>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</si>
  <si>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</si>
  <si>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</si>
  <si>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</si>
  <si>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</si>
  <si>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</si>
  <si>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</si>
  <si>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</si>
  <si>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</si>
  <si>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</si>
  <si>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</si>
  <si>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</si>
  <si>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</si>
  <si>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</si>
  <si>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</si>
  <si>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</si>
  <si>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</si>
  <si>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</si>
  <si>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</si>
  <si>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</si>
  <si>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</si>
  <si>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</si>
  <si>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</si>
  <si>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</si>
  <si>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</si>
  <si>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</si>
  <si>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</si>
  <si>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</si>
  <si>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</si>
  <si>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</si>
  <si>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</si>
  <si>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</si>
  <si>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</si>
  <si>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</si>
  <si>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</si>
  <si>
    <t>NZ10_2050B_09EESENXCTSC</t>
  </si>
  <si>
    <t>NZ10_2050B_09EESFNXCTSC</t>
  </si>
  <si>
    <t>CGECalibScenario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</si>
</sst>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0" fillId="15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66.664611111111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66.664611805558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54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0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0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0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0"/>
    <x v="9"/>
    <m/>
    <s v="base"/>
    <s v="NZ10_2099B_99EESSNXCNSC"/>
    <n v="0"/>
    <n v="1"/>
    <s v="No Pams"/>
    <n v="1"/>
    <n v="1"/>
    <n v="2"/>
    <n v="-1"/>
    <n v="1"/>
    <n v="1"/>
    <n v="1"/>
    <n v="-1"/>
    <n v="100"/>
  </r>
  <r>
    <n v="0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0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0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1"/>
    <n v="12"/>
    <s v="base"/>
    <s v="NZ10_2050B_09NESSNXCTCL"/>
    <n v="1"/>
    <n v="1"/>
    <s v="No Pams"/>
    <n v="1"/>
    <n v="1"/>
    <n v="2"/>
    <n v="-1"/>
    <n v="-1"/>
    <n v="-1"/>
    <n v="1"/>
    <n v="-1"/>
    <n v="100"/>
  </r>
  <r>
    <n v="0"/>
    <x v="42"/>
    <n v="12"/>
    <s v="base"/>
    <s v="NZ10_2050B_09EESSNXCTSC"/>
    <n v="1"/>
    <n v="1"/>
    <s v="No Pams"/>
    <n v="1"/>
    <n v="1"/>
    <n v="2"/>
    <n v="-1"/>
    <n v="1"/>
    <n v="1"/>
    <n v="1"/>
    <n v="-1"/>
    <n v="100"/>
  </r>
  <r>
    <n v="0"/>
    <x v="43"/>
    <n v="12"/>
    <s v="base"/>
    <s v="NZ10_2055B_09EESSNXCTSC"/>
    <n v="1"/>
    <n v="1"/>
    <s v="No Pams"/>
    <n v="1"/>
    <n v="1"/>
    <n v="2"/>
    <n v="-1"/>
    <n v="1"/>
    <n v="1"/>
    <n v="1"/>
    <n v="-1"/>
    <n v="100"/>
  </r>
  <r>
    <n v="0"/>
    <x v="44"/>
    <n v="12"/>
    <s v="base"/>
    <s v="NZ10_2055B_10EESSNXCTSC"/>
    <n v="1"/>
    <n v="1"/>
    <s v="No Pams"/>
    <n v="1"/>
    <n v="1"/>
    <n v="2"/>
    <n v="-1"/>
    <n v="1"/>
    <n v="1"/>
    <n v="1"/>
    <n v="-1"/>
    <n v="100"/>
  </r>
  <r>
    <n v="0"/>
    <x v="45"/>
    <n v="12"/>
    <s v="base"/>
    <s v="NZ10_2050A_09NESSEXCNCL"/>
    <n v="1"/>
    <n v="1"/>
    <s v="No Pams"/>
    <n v="1"/>
    <n v="1"/>
    <n v="1"/>
    <n v="-1"/>
    <n v="-1"/>
    <n v="-1"/>
    <n v="1"/>
    <n v="-1"/>
    <n v="100"/>
  </r>
  <r>
    <n v="0"/>
    <x v="46"/>
    <n v="12"/>
    <s v="base"/>
    <s v="NZ10_2050A_09EESSEXCNSC"/>
    <n v="1"/>
    <n v="1"/>
    <s v="No Pams"/>
    <n v="1"/>
    <n v="1"/>
    <n v="1"/>
    <n v="-1"/>
    <n v="1"/>
    <n v="1"/>
    <n v="1"/>
    <n v="-1"/>
    <n v="100"/>
  </r>
  <r>
    <n v="0"/>
    <x v="47"/>
    <n v="12"/>
    <s v="base"/>
    <s v="NZ10_2050B_09EESENXCTSC"/>
    <n v="1"/>
    <n v="1"/>
    <s v="No Pams"/>
    <n v="1"/>
    <n v="1"/>
    <n v="2"/>
    <n v="-1"/>
    <n v="1"/>
    <n v="1"/>
    <n v="1"/>
    <n v="-1"/>
    <n v="100"/>
  </r>
  <r>
    <n v="0"/>
    <x v="48"/>
    <n v="12"/>
    <s v="base"/>
    <s v="NZ10_2050B_09EESFNXCTSC"/>
    <n v="1"/>
    <n v="1"/>
    <s v="No Pams"/>
    <n v="1"/>
    <n v="1"/>
    <n v="2"/>
    <n v="-1"/>
    <n v="1"/>
    <n v="1"/>
    <n v="1"/>
    <n v="-1"/>
    <n v="100"/>
  </r>
  <r>
    <n v="1"/>
    <x v="49"/>
    <n v="13"/>
    <s v="base"/>
    <s v="CGECalibScenario"/>
    <n v="1"/>
    <n v="1"/>
    <s v="No Pams"/>
    <n v="1"/>
    <n v="1"/>
    <n v="1"/>
    <n v="-1"/>
    <n v="-1"/>
    <n v="-1"/>
    <n v="1"/>
    <n v="-1"/>
    <n v="100"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m/>
    <m/>
    <m/>
    <m/>
    <m/>
    <m/>
    <m/>
  </r>
  <r>
    <m/>
    <x v="5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1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1"/>
    <n v="-1"/>
    <n v="1"/>
    <n v="1"/>
    <n v="1"/>
    <n v="-1"/>
    <n v="100"/>
  </r>
  <r>
    <n v="0"/>
    <x v="9"/>
    <m/>
    <x v="0"/>
    <x v="9"/>
    <n v="0"/>
    <n v="1"/>
    <s v="No Pams"/>
    <n v="1"/>
    <n v="1"/>
    <n v="2"/>
    <n v="-1"/>
    <n v="1"/>
    <n v="1"/>
    <n v="1"/>
    <n v="-1"/>
    <n v="100"/>
  </r>
  <r>
    <n v="0"/>
    <x v="10"/>
    <m/>
    <x v="0"/>
    <x v="10"/>
    <n v="1"/>
    <n v="1"/>
    <s v="No Pams"/>
    <n v="1"/>
    <n v="1"/>
    <n v="1"/>
    <n v="-1"/>
    <n v="-1"/>
    <n v="-1"/>
    <n v="1"/>
    <n v="-1"/>
    <n v="100"/>
  </r>
  <r>
    <n v="0"/>
    <x v="11"/>
    <m/>
    <x v="0"/>
    <x v="11"/>
    <n v="1"/>
    <n v="1"/>
    <s v="No Pams"/>
    <n v="1"/>
    <n v="1"/>
    <n v="1"/>
    <n v="-1"/>
    <n v="1"/>
    <n v="1"/>
    <n v="1"/>
    <n v="-1"/>
    <n v="100"/>
  </r>
  <r>
    <n v="0"/>
    <x v="12"/>
    <m/>
    <x v="0"/>
    <x v="12"/>
    <n v="1"/>
    <n v="1"/>
    <s v="No Pams"/>
    <n v="1"/>
    <n v="1"/>
    <n v="1"/>
    <n v="-1"/>
    <n v="1"/>
    <n v="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0"/>
    <x v="41"/>
    <n v="12"/>
    <x v="0"/>
    <x v="41"/>
    <n v="1"/>
    <n v="1"/>
    <s v="No Pams"/>
    <n v="1"/>
    <n v="1"/>
    <n v="2"/>
    <n v="-1"/>
    <n v="-1"/>
    <n v="-1"/>
    <n v="1"/>
    <n v="-1"/>
    <n v="100"/>
  </r>
  <r>
    <n v="0"/>
    <x v="42"/>
    <n v="12"/>
    <x v="0"/>
    <x v="42"/>
    <n v="1"/>
    <n v="1"/>
    <s v="No Pams"/>
    <n v="1"/>
    <n v="1"/>
    <n v="2"/>
    <n v="-1"/>
    <n v="1"/>
    <n v="1"/>
    <n v="1"/>
    <n v="-1"/>
    <n v="100"/>
  </r>
  <r>
    <n v="0"/>
    <x v="43"/>
    <n v="12"/>
    <x v="0"/>
    <x v="43"/>
    <n v="1"/>
    <n v="1"/>
    <s v="No Pams"/>
    <n v="1"/>
    <n v="1"/>
    <n v="2"/>
    <n v="-1"/>
    <n v="1"/>
    <n v="1"/>
    <n v="1"/>
    <n v="-1"/>
    <n v="100"/>
  </r>
  <r>
    <n v="0"/>
    <x v="44"/>
    <n v="12"/>
    <x v="0"/>
    <x v="44"/>
    <n v="1"/>
    <n v="1"/>
    <s v="No Pams"/>
    <n v="1"/>
    <n v="1"/>
    <n v="2"/>
    <n v="-1"/>
    <n v="1"/>
    <n v="1"/>
    <n v="1"/>
    <n v="-1"/>
    <n v="100"/>
  </r>
  <r>
    <n v="0"/>
    <x v="45"/>
    <n v="12"/>
    <x v="0"/>
    <x v="45"/>
    <n v="1"/>
    <n v="1"/>
    <s v="No Pams"/>
    <n v="1"/>
    <n v="1"/>
    <n v="1"/>
    <n v="-1"/>
    <n v="-1"/>
    <n v="-1"/>
    <n v="1"/>
    <n v="-1"/>
    <n v="100"/>
  </r>
  <r>
    <n v="0"/>
    <x v="46"/>
    <n v="12"/>
    <x v="0"/>
    <x v="46"/>
    <n v="1"/>
    <n v="1"/>
    <s v="No Pams"/>
    <n v="1"/>
    <n v="1"/>
    <n v="1"/>
    <n v="-1"/>
    <n v="1"/>
    <n v="1"/>
    <n v="1"/>
    <n v="-1"/>
    <n v="100"/>
  </r>
  <r>
    <n v="0"/>
    <x v="47"/>
    <n v="12"/>
    <x v="0"/>
    <x v="47"/>
    <n v="1"/>
    <n v="1"/>
    <s v="No Pams"/>
    <n v="1"/>
    <n v="1"/>
    <n v="2"/>
    <n v="-1"/>
    <n v="1"/>
    <n v="1"/>
    <n v="1"/>
    <n v="-1"/>
    <n v="100"/>
  </r>
  <r>
    <n v="0"/>
    <x v="48"/>
    <n v="12"/>
    <x v="0"/>
    <x v="48"/>
    <n v="1"/>
    <n v="1"/>
    <s v="No Pams"/>
    <n v="1"/>
    <n v="1"/>
    <n v="2"/>
    <n v="-1"/>
    <n v="1"/>
    <n v="1"/>
    <n v="1"/>
    <n v="-1"/>
    <n v="100"/>
  </r>
  <r>
    <n v="1"/>
    <x v="49"/>
    <n v="13"/>
    <x v="0"/>
    <x v="49"/>
    <n v="1"/>
    <n v="1"/>
    <s v="No Pams"/>
    <n v="1"/>
    <n v="1"/>
    <n v="1"/>
    <n v="-1"/>
    <n v="-1"/>
    <n v="-1"/>
    <n v="1"/>
    <n v="-1"/>
    <n v="100"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m/>
    <m/>
    <m/>
    <m/>
    <m/>
    <m/>
    <m/>
  </r>
  <r>
    <m/>
    <x v="50"/>
    <m/>
    <x v="1"/>
    <x v="5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4">
        <item m="1" x="280"/>
        <item m="1" x="247"/>
        <item m="1" x="237"/>
        <item x="50"/>
        <item m="1" x="246"/>
        <item m="1" x="190"/>
        <item m="1" x="266"/>
        <item m="1" x="287"/>
        <item m="1" x="240"/>
        <item m="1" x="248"/>
        <item m="1" x="241"/>
        <item m="1" x="218"/>
        <item m="1" x="165"/>
        <item m="1" x="262"/>
        <item m="1" x="163"/>
        <item m="1" x="329"/>
        <item m="1" x="209"/>
        <item m="1" x="310"/>
        <item m="1" x="323"/>
        <item m="1" x="219"/>
        <item m="1" x="212"/>
        <item m="1" x="316"/>
        <item m="1" x="273"/>
        <item m="1" x="274"/>
        <item m="1" x="312"/>
        <item m="1" x="232"/>
        <item m="1" x="305"/>
        <item m="1" x="179"/>
        <item m="1" x="200"/>
        <item m="1" x="350"/>
        <item m="1" x="282"/>
        <item m="1" x="324"/>
        <item m="1" x="251"/>
        <item m="1" x="326"/>
        <item m="1" x="337"/>
        <item m="1" x="259"/>
        <item m="1" x="284"/>
        <item m="1" x="278"/>
        <item m="1" x="321"/>
        <item m="1" x="319"/>
        <item m="1" x="205"/>
        <item m="1" x="342"/>
        <item m="1" x="276"/>
        <item m="1" x="301"/>
        <item m="1" x="318"/>
        <item m="1" x="346"/>
        <item m="1" x="353"/>
        <item m="1" x="255"/>
        <item m="1" x="239"/>
        <item m="1" x="238"/>
        <item m="1" x="289"/>
        <item m="1" x="243"/>
        <item m="1" x="298"/>
        <item m="1" x="193"/>
        <item m="1" x="261"/>
        <item m="1" x="296"/>
        <item m="1" x="320"/>
        <item m="1" x="258"/>
        <item m="1" x="249"/>
        <item m="1" x="187"/>
        <item m="1" x="328"/>
        <item m="1" x="207"/>
        <item m="1" x="227"/>
        <item m="1" x="270"/>
        <item m="1" x="281"/>
        <item m="1" x="228"/>
        <item m="1" x="177"/>
        <item m="1" x="275"/>
        <item m="1" x="286"/>
        <item m="1" x="214"/>
        <item m="1" x="309"/>
        <item m="1" x="325"/>
        <item m="1" x="263"/>
        <item m="1" x="217"/>
        <item m="1" x="229"/>
        <item m="1" x="206"/>
        <item m="1" x="291"/>
        <item m="1" x="174"/>
        <item m="1" x="300"/>
        <item m="1" x="317"/>
        <item m="1" x="338"/>
        <item m="1" x="313"/>
        <item m="1" x="331"/>
        <item m="1" x="351"/>
        <item m="1" x="230"/>
        <item m="1" x="308"/>
        <item m="1" x="348"/>
        <item m="1" x="188"/>
        <item m="1" x="202"/>
        <item m="1" x="235"/>
        <item m="1" x="277"/>
        <item m="1" x="180"/>
        <item m="1" x="185"/>
        <item m="1" x="160"/>
        <item m="1" x="171"/>
        <item m="1" x="330"/>
        <item m="1" x="242"/>
        <item m="1" x="327"/>
        <item m="1" x="203"/>
        <item m="1" x="332"/>
        <item m="1" x="295"/>
        <item m="1" x="268"/>
        <item m="1" x="216"/>
        <item m="1" x="294"/>
        <item m="1" x="164"/>
        <item m="1" x="315"/>
        <item m="1" x="245"/>
        <item m="1" x="168"/>
        <item m="1" x="293"/>
        <item m="1" x="176"/>
        <item m="1" x="197"/>
        <item m="1" x="254"/>
        <item m="1" x="220"/>
        <item m="1" x="210"/>
        <item m="1" x="201"/>
        <item m="1" x="347"/>
        <item m="1" x="352"/>
        <item m="1" x="339"/>
        <item m="1" x="345"/>
        <item m="1" x="256"/>
        <item m="1" x="189"/>
        <item m="1" x="178"/>
        <item m="1" x="272"/>
        <item m="1" x="343"/>
        <item m="1" x="236"/>
        <item m="1" x="311"/>
        <item m="1" x="304"/>
        <item m="1" x="303"/>
        <item m="1" x="183"/>
        <item m="1" x="290"/>
        <item m="1" x="222"/>
        <item m="1" x="271"/>
        <item m="1" x="195"/>
        <item m="1" x="170"/>
        <item m="1" x="333"/>
        <item m="1" x="335"/>
        <item m="1" x="234"/>
        <item m="1" x="192"/>
        <item m="1" x="213"/>
        <item m="1" x="208"/>
        <item m="1" x="204"/>
        <item m="1" x="334"/>
        <item m="1" x="175"/>
        <item m="1" x="344"/>
        <item m="1" x="250"/>
        <item m="1" x="299"/>
        <item m="1" x="223"/>
        <item m="1" x="215"/>
        <item m="1" x="224"/>
        <item m="1" x="191"/>
        <item m="1" x="349"/>
        <item m="1" x="269"/>
        <item m="1" x="264"/>
        <item m="1" x="182"/>
        <item m="1" x="314"/>
        <item m="1" x="184"/>
        <item m="1" x="283"/>
        <item m="1" x="260"/>
        <item m="1" x="252"/>
        <item m="1" x="231"/>
        <item m="1" x="211"/>
        <item m="1" x="196"/>
        <item m="1" x="172"/>
        <item m="1" x="166"/>
        <item m="1" x="340"/>
        <item m="1" x="322"/>
        <item m="1" x="181"/>
        <item m="1" x="225"/>
        <item m="1" x="194"/>
        <item m="1" x="167"/>
        <item m="1" x="341"/>
        <item m="1" x="306"/>
        <item m="1" x="288"/>
        <item m="1" x="265"/>
        <item m="1" x="199"/>
        <item m="1" x="169"/>
        <item m="1" x="162"/>
        <item m="1" x="173"/>
        <item m="1" x="186"/>
        <item m="1" x="307"/>
        <item m="1" x="267"/>
        <item m="1" x="226"/>
        <item x="2"/>
        <item m="1" x="244"/>
        <item m="1" x="221"/>
        <item m="1" x="302"/>
        <item m="1" x="198"/>
        <item m="1" x="257"/>
        <item m="1" x="285"/>
        <item m="1" x="233"/>
        <item m="1" x="297"/>
        <item m="1" x="292"/>
        <item m="1" x="161"/>
        <item m="1" x="279"/>
        <item m="1" x="253"/>
        <item m="1" x="153"/>
        <item m="1" x="336"/>
        <item m="1" x="159"/>
        <item m="1" x="155"/>
        <item m="1" x="158"/>
        <item m="1" x="154"/>
        <item m="1" x="157"/>
        <item m="1" x="156"/>
        <item m="1" x="149"/>
        <item m="1" x="139"/>
        <item m="1" x="140"/>
        <item m="1" x="141"/>
        <item m="1" x="142"/>
        <item m="1" x="143"/>
        <item m="1" x="144"/>
        <item m="1" x="145"/>
        <item m="1" x="152"/>
        <item m="1" x="146"/>
        <item m="1" x="151"/>
        <item m="1" x="150"/>
        <item m="1" x="147"/>
        <item m="1" x="148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95"/>
        <item m="1" x="96"/>
        <item m="1" x="72"/>
        <item m="1" x="73"/>
        <item m="1" x="97"/>
        <item m="1" x="75"/>
        <item m="1" x="76"/>
        <item m="1" x="77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78"/>
        <item m="1" x="121"/>
        <item m="1" x="122"/>
        <item m="1" x="117"/>
        <item m="1" x="119"/>
        <item m="1" x="120"/>
        <item m="1" x="118"/>
        <item m="1" x="116"/>
        <item m="1" x="93"/>
        <item m="1" x="94"/>
        <item m="1" x="107"/>
        <item m="1" x="113"/>
        <item m="1" x="114"/>
        <item m="1" x="115"/>
        <item x="0"/>
        <item x="1"/>
        <item m="1" x="101"/>
        <item m="1" x="102"/>
        <item m="1" x="103"/>
        <item m="1" x="104"/>
        <item m="1" x="105"/>
        <item m="1" x="106"/>
        <item m="1" x="98"/>
        <item m="1" x="99"/>
        <item m="1" x="71"/>
        <item m="1" x="109"/>
        <item m="1" x="112"/>
        <item m="1" x="111"/>
        <item m="1" x="110"/>
        <item m="1" x="108"/>
        <item m="1" x="100"/>
        <item x="3"/>
        <item m="1" x="70"/>
        <item m="1" x="74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4"/>
        <item x="32"/>
        <item m="1" x="69"/>
        <item m="1" x="68"/>
        <item m="1" x="67"/>
        <item m="1" x="66"/>
        <item x="39"/>
        <item x="40"/>
        <item x="37"/>
        <item m="1" x="65"/>
        <item x="38"/>
        <item m="1" x="63"/>
        <item x="31"/>
        <item m="1" x="54"/>
        <item m="1" x="60"/>
        <item m="1" x="62"/>
        <item m="1" x="56"/>
        <item x="33"/>
        <item x="34"/>
        <item x="35"/>
        <item m="1" x="61"/>
        <item m="1" x="58"/>
        <item m="1" x="55"/>
        <item x="36"/>
        <item m="1" x="59"/>
        <item m="1" x="57"/>
        <item m="1" x="51"/>
        <item m="1" x="52"/>
        <item m="1" x="53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33"/>
    </i>
    <i>
      <x v="40"/>
      <x v="334"/>
    </i>
    <i>
      <x v="41"/>
      <x v="335"/>
    </i>
    <i>
      <x v="42"/>
      <x v="339"/>
    </i>
    <i>
      <x v="43"/>
      <x v="345"/>
    </i>
    <i>
      <x v="44"/>
      <x v="346"/>
    </i>
    <i>
      <x v="45"/>
      <x v="347"/>
    </i>
    <i>
      <x v="46"/>
      <x v="348"/>
    </i>
    <i>
      <x v="47"/>
      <x v="349"/>
    </i>
    <i>
      <x v="48"/>
      <x v="350"/>
    </i>
    <i>
      <x v="49"/>
      <x v="351"/>
    </i>
    <i>
      <x v="50"/>
      <x v="352"/>
    </i>
    <i>
      <x v="51"/>
      <x v="3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7" firstHeaderRow="0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7" firstHeaderRow="1" firstDataRow="1" firstDataCol="1"/>
  <pivotFields count="17">
    <pivotField showAll="0"/>
    <pivotField showAll="0"/>
    <pivotField showAll="0"/>
    <pivotField showAll="0"/>
    <pivotField axis="axisRow" showAll="0">
      <items count="355">
        <item m="1" x="280"/>
        <item m="1" x="247"/>
        <item m="1" x="237"/>
        <item x="50"/>
        <item m="1" x="246"/>
        <item m="1" x="190"/>
        <item m="1" x="266"/>
        <item m="1" x="287"/>
        <item m="1" x="240"/>
        <item m="1" x="248"/>
        <item m="1" x="241"/>
        <item m="1" x="218"/>
        <item m="1" x="165"/>
        <item m="1" x="262"/>
        <item m="1" x="163"/>
        <item m="1" x="329"/>
        <item m="1" x="209"/>
        <item m="1" x="310"/>
        <item m="1" x="323"/>
        <item m="1" x="219"/>
        <item m="1" x="212"/>
        <item m="1" x="316"/>
        <item m="1" x="273"/>
        <item m="1" x="274"/>
        <item m="1" x="312"/>
        <item m="1" x="232"/>
        <item m="1" x="305"/>
        <item m="1" x="179"/>
        <item m="1" x="200"/>
        <item m="1" x="350"/>
        <item m="1" x="282"/>
        <item m="1" x="324"/>
        <item m="1" x="251"/>
        <item m="1" x="326"/>
        <item m="1" x="337"/>
        <item m="1" x="259"/>
        <item m="1" x="284"/>
        <item m="1" x="278"/>
        <item m="1" x="321"/>
        <item m="1" x="319"/>
        <item m="1" x="205"/>
        <item m="1" x="342"/>
        <item m="1" x="276"/>
        <item m="1" x="301"/>
        <item m="1" x="318"/>
        <item m="1" x="346"/>
        <item m="1" x="353"/>
        <item m="1" x="255"/>
        <item m="1" x="239"/>
        <item m="1" x="238"/>
        <item m="1" x="289"/>
        <item m="1" x="243"/>
        <item m="1" x="298"/>
        <item m="1" x="193"/>
        <item m="1" x="261"/>
        <item m="1" x="296"/>
        <item m="1" x="320"/>
        <item m="1" x="258"/>
        <item m="1" x="249"/>
        <item m="1" x="187"/>
        <item m="1" x="328"/>
        <item m="1" x="207"/>
        <item m="1" x="227"/>
        <item m="1" x="270"/>
        <item m="1" x="281"/>
        <item m="1" x="228"/>
        <item m="1" x="177"/>
        <item m="1" x="275"/>
        <item m="1" x="286"/>
        <item m="1" x="214"/>
        <item m="1" x="309"/>
        <item m="1" x="325"/>
        <item m="1" x="263"/>
        <item m="1" x="217"/>
        <item m="1" x="229"/>
        <item m="1" x="206"/>
        <item m="1" x="291"/>
        <item m="1" x="174"/>
        <item m="1" x="300"/>
        <item m="1" x="317"/>
        <item m="1" x="338"/>
        <item m="1" x="313"/>
        <item m="1" x="331"/>
        <item m="1" x="351"/>
        <item m="1" x="230"/>
        <item m="1" x="308"/>
        <item m="1" x="348"/>
        <item m="1" x="188"/>
        <item m="1" x="202"/>
        <item m="1" x="235"/>
        <item m="1" x="277"/>
        <item m="1" x="180"/>
        <item m="1" x="185"/>
        <item m="1" x="160"/>
        <item m="1" x="171"/>
        <item m="1" x="330"/>
        <item m="1" x="242"/>
        <item m="1" x="327"/>
        <item m="1" x="203"/>
        <item m="1" x="332"/>
        <item m="1" x="295"/>
        <item m="1" x="268"/>
        <item m="1" x="216"/>
        <item m="1" x="294"/>
        <item m="1" x="164"/>
        <item m="1" x="315"/>
        <item m="1" x="245"/>
        <item m="1" x="168"/>
        <item m="1" x="293"/>
        <item m="1" x="176"/>
        <item m="1" x="197"/>
        <item m="1" x="254"/>
        <item m="1" x="220"/>
        <item m="1" x="210"/>
        <item m="1" x="201"/>
        <item m="1" x="347"/>
        <item m="1" x="352"/>
        <item m="1" x="339"/>
        <item m="1" x="345"/>
        <item m="1" x="256"/>
        <item m="1" x="189"/>
        <item m="1" x="178"/>
        <item m="1" x="272"/>
        <item m="1" x="343"/>
        <item m="1" x="236"/>
        <item m="1" x="311"/>
        <item m="1" x="304"/>
        <item m="1" x="303"/>
        <item m="1" x="183"/>
        <item m="1" x="290"/>
        <item m="1" x="222"/>
        <item m="1" x="271"/>
        <item m="1" x="195"/>
        <item m="1" x="170"/>
        <item m="1" x="333"/>
        <item m="1" x="335"/>
        <item m="1" x="234"/>
        <item m="1" x="192"/>
        <item m="1" x="213"/>
        <item m="1" x="208"/>
        <item m="1" x="204"/>
        <item m="1" x="334"/>
        <item m="1" x="175"/>
        <item m="1" x="344"/>
        <item m="1" x="250"/>
        <item m="1" x="299"/>
        <item m="1" x="223"/>
        <item m="1" x="215"/>
        <item m="1" x="224"/>
        <item m="1" x="191"/>
        <item m="1" x="349"/>
        <item m="1" x="269"/>
        <item m="1" x="264"/>
        <item m="1" x="182"/>
        <item m="1" x="314"/>
        <item m="1" x="184"/>
        <item m="1" x="283"/>
        <item m="1" x="260"/>
        <item m="1" x="252"/>
        <item m="1" x="231"/>
        <item m="1" x="211"/>
        <item m="1" x="196"/>
        <item m="1" x="172"/>
        <item m="1" x="166"/>
        <item m="1" x="340"/>
        <item m="1" x="322"/>
        <item m="1" x="181"/>
        <item m="1" x="225"/>
        <item m="1" x="194"/>
        <item m="1" x="167"/>
        <item m="1" x="341"/>
        <item m="1" x="306"/>
        <item m="1" x="288"/>
        <item m="1" x="265"/>
        <item m="1" x="199"/>
        <item m="1" x="169"/>
        <item m="1" x="162"/>
        <item m="1" x="173"/>
        <item m="1" x="186"/>
        <item m="1" x="307"/>
        <item m="1" x="267"/>
        <item m="1" x="226"/>
        <item x="2"/>
        <item m="1" x="244"/>
        <item m="1" x="221"/>
        <item m="1" x="302"/>
        <item m="1" x="198"/>
        <item m="1" x="257"/>
        <item m="1" x="285"/>
        <item m="1" x="233"/>
        <item m="1" x="297"/>
        <item m="1" x="292"/>
        <item m="1" x="161"/>
        <item m="1" x="279"/>
        <item m="1" x="253"/>
        <item m="1" x="153"/>
        <item m="1" x="336"/>
        <item m="1" x="159"/>
        <item m="1" x="155"/>
        <item m="1" x="158"/>
        <item m="1" x="154"/>
        <item m="1" x="157"/>
        <item m="1" x="156"/>
        <item m="1" x="149"/>
        <item m="1" x="139"/>
        <item m="1" x="140"/>
        <item m="1" x="141"/>
        <item m="1" x="142"/>
        <item m="1" x="143"/>
        <item m="1" x="144"/>
        <item m="1" x="145"/>
        <item m="1" x="152"/>
        <item m="1" x="146"/>
        <item m="1" x="151"/>
        <item m="1" x="150"/>
        <item m="1" x="147"/>
        <item m="1" x="148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95"/>
        <item m="1" x="96"/>
        <item m="1" x="72"/>
        <item m="1" x="73"/>
        <item m="1" x="97"/>
        <item m="1" x="75"/>
        <item m="1" x="76"/>
        <item m="1" x="77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78"/>
        <item m="1" x="121"/>
        <item m="1" x="122"/>
        <item m="1" x="117"/>
        <item m="1" x="119"/>
        <item m="1" x="120"/>
        <item m="1" x="118"/>
        <item m="1" x="116"/>
        <item m="1" x="93"/>
        <item m="1" x="94"/>
        <item m="1" x="107"/>
        <item m="1" x="113"/>
        <item m="1" x="114"/>
        <item m="1" x="115"/>
        <item x="0"/>
        <item x="1"/>
        <item m="1" x="101"/>
        <item m="1" x="102"/>
        <item m="1" x="103"/>
        <item m="1" x="104"/>
        <item m="1" x="105"/>
        <item m="1" x="106"/>
        <item m="1" x="98"/>
        <item m="1" x="99"/>
        <item m="1" x="71"/>
        <item m="1" x="109"/>
        <item m="1" x="112"/>
        <item m="1" x="111"/>
        <item m="1" x="110"/>
        <item m="1" x="108"/>
        <item m="1" x="100"/>
        <item x="3"/>
        <item m="1" x="70"/>
        <item m="1" x="74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4"/>
        <item x="32"/>
        <item m="1" x="69"/>
        <item m="1" x="68"/>
        <item m="1" x="67"/>
        <item m="1" x="66"/>
        <item x="39"/>
        <item x="40"/>
        <item x="37"/>
        <item m="1" x="65"/>
        <item x="38"/>
        <item m="1" x="63"/>
        <item x="31"/>
        <item m="1" x="54"/>
        <item m="1" x="60"/>
        <item m="1" x="62"/>
        <item m="1" x="56"/>
        <item x="33"/>
        <item x="34"/>
        <item x="35"/>
        <item m="1" x="61"/>
        <item m="1" x="58"/>
        <item m="1" x="55"/>
        <item x="36"/>
        <item m="1" x="59"/>
        <item m="1" x="57"/>
        <item m="1" x="51"/>
        <item m="1" x="52"/>
        <item m="1" x="53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1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3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7" firstHeaderRow="1" firstDataRow="1" firstDataCol="1"/>
  <pivotFields count="17">
    <pivotField showAll="0"/>
    <pivotField axis="axisRow" showAll="0">
      <items count="53">
        <item m="1" x="51"/>
        <item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7" firstHeaderRow="1" firstDataRow="1" firstDataCol="1"/>
  <pivotFields count="17">
    <pivotField dataField="1"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37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1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0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-1</v>
      </c>
      <c r="V12" s="24">
        <v>-1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0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0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0</v>
      </c>
      <c r="G15" s="9" t="s">
        <v>231</v>
      </c>
      <c r="H15" s="24">
        <v>0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0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0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0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0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0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0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0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0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0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4">
        <v>0</v>
      </c>
      <c r="G27" s="9" t="s">
        <v>243</v>
      </c>
      <c r="H27" s="24">
        <v>1</v>
      </c>
      <c r="I27" s="9" t="s">
        <v>243</v>
      </c>
      <c r="J27" s="24">
        <v>1</v>
      </c>
      <c r="K27" s="9" t="s">
        <v>243</v>
      </c>
      <c r="L27" s="24">
        <v>1</v>
      </c>
      <c r="M27" s="9" t="s">
        <v>243</v>
      </c>
      <c r="N27" s="24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243</v>
      </c>
      <c r="AB27" s="24">
        <v>100</v>
      </c>
      <c r="AD27" s="9" t="s">
        <v>243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4">
        <v>0</v>
      </c>
      <c r="G28" s="9" t="s">
        <v>244</v>
      </c>
      <c r="H28" s="24">
        <v>1</v>
      </c>
      <c r="I28" s="9" t="s">
        <v>244</v>
      </c>
      <c r="J28" s="24">
        <v>1</v>
      </c>
      <c r="K28" s="9" t="s">
        <v>244</v>
      </c>
      <c r="L28" s="24">
        <v>1</v>
      </c>
      <c r="M28" s="9" t="s">
        <v>244</v>
      </c>
      <c r="N28" s="24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244</v>
      </c>
      <c r="AB28" s="24">
        <v>100</v>
      </c>
      <c r="AD28" s="9" t="s">
        <v>244</v>
      </c>
      <c r="AE28" s="24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4">
        <v>0</v>
      </c>
      <c r="G29" s="9" t="s">
        <v>245</v>
      </c>
      <c r="H29" s="24">
        <v>1</v>
      </c>
      <c r="I29" s="9" t="s">
        <v>245</v>
      </c>
      <c r="J29" s="24">
        <v>1</v>
      </c>
      <c r="K29" s="9" t="s">
        <v>245</v>
      </c>
      <c r="L29" s="24">
        <v>1</v>
      </c>
      <c r="M29" s="9" t="s">
        <v>245</v>
      </c>
      <c r="N29" s="24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245</v>
      </c>
      <c r="AB29" s="24">
        <v>100</v>
      </c>
      <c r="AD29" s="9" t="s">
        <v>245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4">
        <v>0</v>
      </c>
      <c r="G30" s="9" t="s">
        <v>246</v>
      </c>
      <c r="H30" s="24">
        <v>1</v>
      </c>
      <c r="I30" s="9" t="s">
        <v>246</v>
      </c>
      <c r="J30" s="24">
        <v>1</v>
      </c>
      <c r="K30" s="9" t="s">
        <v>246</v>
      </c>
      <c r="L30" s="24">
        <v>1</v>
      </c>
      <c r="M30" s="9" t="s">
        <v>246</v>
      </c>
      <c r="N30" s="24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4">
        <v>-1</v>
      </c>
      <c r="U30" s="24">
        <v>1</v>
      </c>
      <c r="V30" s="24">
        <v>1</v>
      </c>
      <c r="W30" s="24">
        <v>1</v>
      </c>
      <c r="X30" s="24">
        <v>-1</v>
      </c>
      <c r="AA30" s="9" t="s">
        <v>246</v>
      </c>
      <c r="AB30" s="24">
        <v>100</v>
      </c>
      <c r="AD30" s="9" t="s">
        <v>246</v>
      </c>
      <c r="AE30" s="24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4">
        <v>0</v>
      </c>
      <c r="G31" s="9" t="s">
        <v>247</v>
      </c>
      <c r="H31" s="24">
        <v>1</v>
      </c>
      <c r="I31" s="9" t="s">
        <v>247</v>
      </c>
      <c r="J31" s="24">
        <v>1</v>
      </c>
      <c r="K31" s="9" t="s">
        <v>247</v>
      </c>
      <c r="L31" s="24">
        <v>1</v>
      </c>
      <c r="M31" s="9" t="s">
        <v>247</v>
      </c>
      <c r="N31" s="24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247</v>
      </c>
      <c r="AB31" s="24">
        <v>100</v>
      </c>
      <c r="AD31" s="9" t="s">
        <v>247</v>
      </c>
      <c r="AE31" s="24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4">
        <v>0</v>
      </c>
      <c r="G32" s="9" t="s">
        <v>248</v>
      </c>
      <c r="H32" s="24">
        <v>1</v>
      </c>
      <c r="I32" s="9" t="s">
        <v>248</v>
      </c>
      <c r="J32" s="24">
        <v>1</v>
      </c>
      <c r="K32" s="9" t="s">
        <v>248</v>
      </c>
      <c r="L32" s="24">
        <v>1</v>
      </c>
      <c r="M32" s="9" t="s">
        <v>248</v>
      </c>
      <c r="N32" s="24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4">
        <v>-1</v>
      </c>
      <c r="U32" s="24">
        <v>1</v>
      </c>
      <c r="V32" s="24">
        <v>1</v>
      </c>
      <c r="W32" s="24">
        <v>1</v>
      </c>
      <c r="X32" s="24">
        <v>-1</v>
      </c>
      <c r="AA32" s="9" t="s">
        <v>248</v>
      </c>
      <c r="AB32" s="24">
        <v>100</v>
      </c>
      <c r="AD32" s="9" t="s">
        <v>248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4">
        <v>0</v>
      </c>
      <c r="G33" s="9" t="s">
        <v>249</v>
      </c>
      <c r="H33" s="24">
        <v>1</v>
      </c>
      <c r="I33" s="9" t="s">
        <v>249</v>
      </c>
      <c r="J33" s="24">
        <v>1</v>
      </c>
      <c r="K33" s="9" t="s">
        <v>249</v>
      </c>
      <c r="L33" s="24">
        <v>1</v>
      </c>
      <c r="M33" s="9" t="s">
        <v>249</v>
      </c>
      <c r="N33" s="24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4">
        <v>-1</v>
      </c>
      <c r="U33" s="24">
        <v>1</v>
      </c>
      <c r="V33" s="24">
        <v>1</v>
      </c>
      <c r="W33" s="24">
        <v>1</v>
      </c>
      <c r="X33" s="24">
        <v>-1</v>
      </c>
      <c r="AA33" s="9" t="s">
        <v>249</v>
      </c>
      <c r="AB33" s="24">
        <v>100</v>
      </c>
      <c r="AD33" s="9" t="s">
        <v>249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4">
        <v>0</v>
      </c>
      <c r="G34" s="9" t="s">
        <v>251</v>
      </c>
      <c r="H34" s="24">
        <v>1</v>
      </c>
      <c r="I34" s="9" t="s">
        <v>251</v>
      </c>
      <c r="J34" s="24">
        <v>1</v>
      </c>
      <c r="K34" s="9" t="s">
        <v>251</v>
      </c>
      <c r="L34" s="24">
        <v>1</v>
      </c>
      <c r="M34" s="9" t="s">
        <v>251</v>
      </c>
      <c r="N34" s="24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251</v>
      </c>
      <c r="AB34" s="24">
        <v>100</v>
      </c>
      <c r="AD34" s="9" t="s">
        <v>251</v>
      </c>
      <c r="AE34" s="24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4">
        <v>0</v>
      </c>
      <c r="G35" s="9" t="s">
        <v>250</v>
      </c>
      <c r="H35" s="24">
        <v>1</v>
      </c>
      <c r="I35" s="9" t="s">
        <v>250</v>
      </c>
      <c r="J35" s="24">
        <v>1</v>
      </c>
      <c r="K35" s="9" t="s">
        <v>250</v>
      </c>
      <c r="L35" s="24">
        <v>1</v>
      </c>
      <c r="M35" s="9" t="s">
        <v>250</v>
      </c>
      <c r="N35" s="24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250</v>
      </c>
      <c r="AB35" s="24">
        <v>100</v>
      </c>
      <c r="AD35" s="9" t="s">
        <v>250</v>
      </c>
      <c r="AE35" s="24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4">
        <v>0</v>
      </c>
      <c r="G36" s="9" t="s">
        <v>252</v>
      </c>
      <c r="H36" s="24">
        <v>1</v>
      </c>
      <c r="I36" s="9" t="s">
        <v>252</v>
      </c>
      <c r="J36" s="24">
        <v>1</v>
      </c>
      <c r="K36" s="9" t="s">
        <v>252</v>
      </c>
      <c r="L36" s="24">
        <v>1</v>
      </c>
      <c r="M36" s="9" t="s">
        <v>252</v>
      </c>
      <c r="N36" s="24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252</v>
      </c>
      <c r="AB36" s="24">
        <v>100</v>
      </c>
      <c r="AD36" s="9" t="s">
        <v>252</v>
      </c>
      <c r="AE36" s="24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4">
        <v>0</v>
      </c>
      <c r="G37" s="9" t="s">
        <v>253</v>
      </c>
      <c r="H37" s="24">
        <v>1</v>
      </c>
      <c r="I37" s="9" t="s">
        <v>253</v>
      </c>
      <c r="J37" s="24">
        <v>1</v>
      </c>
      <c r="K37" s="9" t="s">
        <v>253</v>
      </c>
      <c r="L37" s="24">
        <v>1</v>
      </c>
      <c r="M37" s="9" t="s">
        <v>253</v>
      </c>
      <c r="N37" s="24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253</v>
      </c>
      <c r="AB37" s="24">
        <v>100</v>
      </c>
      <c r="AD37" s="9" t="s">
        <v>253</v>
      </c>
      <c r="AE37" s="24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4">
        <v>0</v>
      </c>
      <c r="G38" s="9" t="s">
        <v>254</v>
      </c>
      <c r="H38" s="24">
        <v>1</v>
      </c>
      <c r="I38" s="9" t="s">
        <v>254</v>
      </c>
      <c r="J38" s="24">
        <v>1</v>
      </c>
      <c r="K38" s="9" t="s">
        <v>254</v>
      </c>
      <c r="L38" s="24">
        <v>1</v>
      </c>
      <c r="M38" s="9" t="s">
        <v>254</v>
      </c>
      <c r="N38" s="24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254</v>
      </c>
      <c r="AB38" s="24">
        <v>100</v>
      </c>
      <c r="AD38" s="9" t="s">
        <v>254</v>
      </c>
      <c r="AE38" s="24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4">
        <v>0</v>
      </c>
      <c r="G39" s="9" t="s">
        <v>256</v>
      </c>
      <c r="H39" s="24">
        <v>1</v>
      </c>
      <c r="I39" s="9" t="s">
        <v>256</v>
      </c>
      <c r="J39" s="24">
        <v>1</v>
      </c>
      <c r="K39" s="9" t="s">
        <v>256</v>
      </c>
      <c r="L39" s="24">
        <v>1</v>
      </c>
      <c r="M39" s="9" t="s">
        <v>256</v>
      </c>
      <c r="N39" s="24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256</v>
      </c>
      <c r="AB39" s="24">
        <v>100</v>
      </c>
      <c r="AD39" s="9" t="s">
        <v>256</v>
      </c>
      <c r="AE39" s="24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4">
        <v>0</v>
      </c>
      <c r="G40" s="9" t="s">
        <v>257</v>
      </c>
      <c r="H40" s="24">
        <v>0</v>
      </c>
      <c r="I40" s="9" t="s">
        <v>257</v>
      </c>
      <c r="J40" s="24">
        <v>0</v>
      </c>
      <c r="K40" s="9" t="s">
        <v>257</v>
      </c>
      <c r="L40" s="24">
        <v>1</v>
      </c>
      <c r="M40" s="9" t="s">
        <v>257</v>
      </c>
      <c r="N40" s="24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257</v>
      </c>
      <c r="AB40" s="24">
        <v>100</v>
      </c>
      <c r="AD40" s="9" t="s">
        <v>257</v>
      </c>
      <c r="AE40" s="24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4">
        <v>0</v>
      </c>
      <c r="G41" s="9" t="s">
        <v>258</v>
      </c>
      <c r="H41" s="24">
        <v>0</v>
      </c>
      <c r="I41" s="9" t="s">
        <v>258</v>
      </c>
      <c r="J41" s="24">
        <v>0</v>
      </c>
      <c r="K41" s="9" t="s">
        <v>258</v>
      </c>
      <c r="L41" s="24">
        <v>1</v>
      </c>
      <c r="M41" s="9" t="s">
        <v>258</v>
      </c>
      <c r="N41" s="24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258</v>
      </c>
      <c r="AB41" s="24">
        <v>100</v>
      </c>
      <c r="AD41" s="9" t="s">
        <v>258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4">
        <v>0</v>
      </c>
      <c r="G42" s="9" t="s">
        <v>259</v>
      </c>
      <c r="H42" s="24">
        <v>0</v>
      </c>
      <c r="I42" s="9" t="s">
        <v>259</v>
      </c>
      <c r="J42" s="24">
        <v>0</v>
      </c>
      <c r="K42" s="9" t="s">
        <v>259</v>
      </c>
      <c r="L42" s="24">
        <v>1</v>
      </c>
      <c r="M42" s="9" t="s">
        <v>259</v>
      </c>
      <c r="N42" s="24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259</v>
      </c>
      <c r="AB42" s="24">
        <v>100</v>
      </c>
      <c r="AD42" s="9" t="s">
        <v>259</v>
      </c>
      <c r="AE42" s="24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4">
        <v>0</v>
      </c>
      <c r="G43" s="9" t="s">
        <v>260</v>
      </c>
      <c r="H43" s="24">
        <v>0</v>
      </c>
      <c r="I43" s="9" t="s">
        <v>260</v>
      </c>
      <c r="J43" s="24">
        <v>0</v>
      </c>
      <c r="K43" s="9" t="s">
        <v>260</v>
      </c>
      <c r="L43" s="24">
        <v>1</v>
      </c>
      <c r="M43" s="9" t="s">
        <v>260</v>
      </c>
      <c r="N43" s="24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4">
        <v>-1</v>
      </c>
      <c r="U43" s="24">
        <v>-1</v>
      </c>
      <c r="V43" s="24">
        <v>-1</v>
      </c>
      <c r="W43" s="24">
        <v>1</v>
      </c>
      <c r="X43" s="24">
        <v>-1</v>
      </c>
      <c r="AA43" s="9" t="s">
        <v>260</v>
      </c>
      <c r="AB43" s="24">
        <v>100</v>
      </c>
      <c r="AD43" s="9" t="s">
        <v>260</v>
      </c>
      <c r="AE43" s="24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4">
        <v>0</v>
      </c>
      <c r="G44" s="9" t="s">
        <v>265</v>
      </c>
      <c r="H44" s="24">
        <v>1</v>
      </c>
      <c r="I44" s="9" t="s">
        <v>265</v>
      </c>
      <c r="J44" s="24">
        <v>1</v>
      </c>
      <c r="K44" s="9" t="s">
        <v>265</v>
      </c>
      <c r="L44" s="24">
        <v>1</v>
      </c>
      <c r="M44" s="9" t="s">
        <v>265</v>
      </c>
      <c r="N44" s="24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265</v>
      </c>
      <c r="AB44" s="24">
        <v>100</v>
      </c>
      <c r="AD44" s="9" t="s">
        <v>265</v>
      </c>
      <c r="AE44" s="24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4">
        <v>0</v>
      </c>
      <c r="G45" s="9" t="s">
        <v>266</v>
      </c>
      <c r="H45" s="24">
        <v>1</v>
      </c>
      <c r="I45" s="9" t="s">
        <v>266</v>
      </c>
      <c r="J45" s="24">
        <v>1</v>
      </c>
      <c r="K45" s="9" t="s">
        <v>266</v>
      </c>
      <c r="L45" s="24">
        <v>1</v>
      </c>
      <c r="M45" s="9" t="s">
        <v>266</v>
      </c>
      <c r="N45" s="24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266</v>
      </c>
      <c r="AB45" s="24">
        <v>100</v>
      </c>
      <c r="AD45" s="9" t="s">
        <v>266</v>
      </c>
      <c r="AE45" s="24">
        <v>1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4">
        <v>0</v>
      </c>
      <c r="G46" s="9" t="s">
        <v>267</v>
      </c>
      <c r="H46" s="24">
        <v>1</v>
      </c>
      <c r="I46" s="9" t="s">
        <v>267</v>
      </c>
      <c r="J46" s="24">
        <v>1</v>
      </c>
      <c r="K46" s="9" t="s">
        <v>267</v>
      </c>
      <c r="L46" s="24">
        <v>1</v>
      </c>
      <c r="M46" s="9" t="s">
        <v>267</v>
      </c>
      <c r="N46" s="24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267</v>
      </c>
      <c r="AB46" s="24">
        <v>100</v>
      </c>
      <c r="AD46" s="9" t="s">
        <v>267</v>
      </c>
      <c r="AE46" s="24">
        <v>1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4">
        <v>0</v>
      </c>
      <c r="G47" s="9" t="s">
        <v>268</v>
      </c>
      <c r="H47" s="24">
        <v>1</v>
      </c>
      <c r="I47" s="9" t="s">
        <v>268</v>
      </c>
      <c r="J47" s="24">
        <v>1</v>
      </c>
      <c r="K47" s="9" t="s">
        <v>268</v>
      </c>
      <c r="L47" s="24">
        <v>1</v>
      </c>
      <c r="M47" s="9" t="s">
        <v>268</v>
      </c>
      <c r="N47" s="24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268</v>
      </c>
      <c r="AB47" s="24">
        <v>100</v>
      </c>
      <c r="AD47" s="9" t="s">
        <v>268</v>
      </c>
      <c r="AE47" s="24">
        <v>2</v>
      </c>
      <c r="AI47" s="10">
        <v>2063</v>
      </c>
      <c r="AL47" s="10"/>
    </row>
    <row r="48" spans="1:39">
      <c r="A48" s="9" t="s">
        <v>269</v>
      </c>
      <c r="B48" s="9" t="s">
        <v>269</v>
      </c>
      <c r="E48" s="9" t="s">
        <v>269</v>
      </c>
      <c r="F48" s="24">
        <v>0</v>
      </c>
      <c r="G48" s="9" t="s">
        <v>269</v>
      </c>
      <c r="H48" s="24">
        <v>1</v>
      </c>
      <c r="I48" s="9" t="s">
        <v>269</v>
      </c>
      <c r="J48" s="24">
        <v>1</v>
      </c>
      <c r="K48" s="9" t="s">
        <v>269</v>
      </c>
      <c r="L48" s="24">
        <v>1</v>
      </c>
      <c r="M48" s="9" t="s">
        <v>269</v>
      </c>
      <c r="N48" s="24">
        <v>1</v>
      </c>
      <c r="O48" t="s">
        <v>269</v>
      </c>
      <c r="P48" t="s">
        <v>269</v>
      </c>
      <c r="Q48" t="s">
        <v>269</v>
      </c>
      <c r="R48" t="s">
        <v>30</v>
      </c>
      <c r="S48" s="9" t="s">
        <v>269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269</v>
      </c>
      <c r="AB48" s="24">
        <v>100</v>
      </c>
      <c r="AD48" s="9" t="s">
        <v>269</v>
      </c>
      <c r="AE48" s="24">
        <v>1</v>
      </c>
      <c r="AI48" s="10">
        <v>2068</v>
      </c>
      <c r="AL48" s="10"/>
    </row>
    <row r="49" spans="1:38">
      <c r="A49" s="9" t="s">
        <v>270</v>
      </c>
      <c r="B49" s="9" t="s">
        <v>270</v>
      </c>
      <c r="E49" s="9" t="s">
        <v>270</v>
      </c>
      <c r="F49" s="24">
        <v>0</v>
      </c>
      <c r="G49" s="9" t="s">
        <v>270</v>
      </c>
      <c r="H49" s="24">
        <v>1</v>
      </c>
      <c r="I49" s="9" t="s">
        <v>270</v>
      </c>
      <c r="J49" s="24">
        <v>1</v>
      </c>
      <c r="K49" s="9" t="s">
        <v>270</v>
      </c>
      <c r="L49" s="24">
        <v>1</v>
      </c>
      <c r="M49" s="9" t="s">
        <v>270</v>
      </c>
      <c r="N49" s="24">
        <v>1</v>
      </c>
      <c r="O49" t="s">
        <v>270</v>
      </c>
      <c r="P49" t="s">
        <v>270</v>
      </c>
      <c r="Q49" t="s">
        <v>270</v>
      </c>
      <c r="R49" t="s">
        <v>30</v>
      </c>
      <c r="S49" s="9" t="s">
        <v>270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270</v>
      </c>
      <c r="AB49" s="24">
        <v>100</v>
      </c>
      <c r="AD49" s="9" t="s">
        <v>270</v>
      </c>
      <c r="AE49" s="24">
        <v>2</v>
      </c>
      <c r="AL49" s="10"/>
    </row>
    <row r="50" spans="1:38">
      <c r="A50" s="9" t="s">
        <v>271</v>
      </c>
      <c r="B50" s="9" t="s">
        <v>271</v>
      </c>
      <c r="E50" s="9" t="s">
        <v>271</v>
      </c>
      <c r="F50" s="24">
        <v>0</v>
      </c>
      <c r="G50" s="9" t="s">
        <v>271</v>
      </c>
      <c r="H50" s="24">
        <v>1</v>
      </c>
      <c r="I50" s="9" t="s">
        <v>271</v>
      </c>
      <c r="J50" s="24">
        <v>1</v>
      </c>
      <c r="K50" s="9" t="s">
        <v>271</v>
      </c>
      <c r="L50" s="24">
        <v>1</v>
      </c>
      <c r="M50" s="9" t="s">
        <v>271</v>
      </c>
      <c r="N50" s="24">
        <v>1</v>
      </c>
      <c r="O50" t="s">
        <v>271</v>
      </c>
      <c r="P50" t="s">
        <v>271</v>
      </c>
      <c r="Q50" t="s">
        <v>271</v>
      </c>
      <c r="R50" t="s">
        <v>30</v>
      </c>
      <c r="S50" s="9" t="s">
        <v>271</v>
      </c>
      <c r="T50" s="24">
        <v>-1</v>
      </c>
      <c r="U50" s="24">
        <v>1</v>
      </c>
      <c r="V50" s="24">
        <v>1</v>
      </c>
      <c r="W50" s="24">
        <v>1</v>
      </c>
      <c r="X50" s="24">
        <v>-1</v>
      </c>
      <c r="AA50" s="9" t="s">
        <v>271</v>
      </c>
      <c r="AB50" s="24">
        <v>100</v>
      </c>
      <c r="AD50" s="9" t="s">
        <v>271</v>
      </c>
      <c r="AE50" s="24">
        <v>2</v>
      </c>
      <c r="AL50" s="10"/>
    </row>
    <row r="51" spans="1:38">
      <c r="A51" s="9" t="s">
        <v>272</v>
      </c>
      <c r="B51" s="9" t="s">
        <v>272</v>
      </c>
      <c r="E51" s="9" t="s">
        <v>272</v>
      </c>
      <c r="F51" s="24">
        <v>0</v>
      </c>
      <c r="G51" s="9" t="s">
        <v>272</v>
      </c>
      <c r="H51" s="24">
        <v>1</v>
      </c>
      <c r="I51" s="9" t="s">
        <v>272</v>
      </c>
      <c r="J51" s="24">
        <v>1</v>
      </c>
      <c r="K51" s="9" t="s">
        <v>272</v>
      </c>
      <c r="L51" s="24">
        <v>1</v>
      </c>
      <c r="M51" s="9" t="s">
        <v>272</v>
      </c>
      <c r="N51" s="24">
        <v>1</v>
      </c>
      <c r="O51" t="s">
        <v>272</v>
      </c>
      <c r="P51" t="s">
        <v>272</v>
      </c>
      <c r="Q51" t="s">
        <v>272</v>
      </c>
      <c r="R51" t="s">
        <v>30</v>
      </c>
      <c r="S51" s="9" t="s">
        <v>272</v>
      </c>
      <c r="T51" s="24">
        <v>-1</v>
      </c>
      <c r="U51" s="24">
        <v>1</v>
      </c>
      <c r="V51" s="24">
        <v>1</v>
      </c>
      <c r="W51" s="24">
        <v>1</v>
      </c>
      <c r="X51" s="24">
        <v>-1</v>
      </c>
      <c r="AA51" s="9" t="s">
        <v>272</v>
      </c>
      <c r="AB51" s="24">
        <v>100</v>
      </c>
      <c r="AD51" s="9" t="s">
        <v>272</v>
      </c>
      <c r="AE51" s="24">
        <v>2</v>
      </c>
      <c r="AL51" s="10"/>
    </row>
    <row r="52" spans="1:38">
      <c r="A52" s="9" t="s">
        <v>273</v>
      </c>
      <c r="B52" s="9" t="s">
        <v>273</v>
      </c>
      <c r="E52" s="9" t="s">
        <v>273</v>
      </c>
      <c r="F52" s="24">
        <v>0</v>
      </c>
      <c r="G52" s="9" t="s">
        <v>273</v>
      </c>
      <c r="H52" s="24">
        <v>1</v>
      </c>
      <c r="I52" s="9" t="s">
        <v>273</v>
      </c>
      <c r="J52" s="24">
        <v>1</v>
      </c>
      <c r="K52" s="9" t="s">
        <v>273</v>
      </c>
      <c r="L52" s="24">
        <v>1</v>
      </c>
      <c r="M52" s="9" t="s">
        <v>273</v>
      </c>
      <c r="N52" s="24">
        <v>1</v>
      </c>
      <c r="O52" t="s">
        <v>273</v>
      </c>
      <c r="P52" t="s">
        <v>273</v>
      </c>
      <c r="Q52" t="s">
        <v>273</v>
      </c>
      <c r="R52" t="s">
        <v>30</v>
      </c>
      <c r="S52" s="9" t="s">
        <v>273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273</v>
      </c>
      <c r="AB52" s="24">
        <v>100</v>
      </c>
      <c r="AD52" s="9" t="s">
        <v>273</v>
      </c>
      <c r="AE52" s="24">
        <v>2</v>
      </c>
      <c r="AL52" s="10"/>
    </row>
    <row r="53" spans="1:38">
      <c r="A53" s="9" t="s">
        <v>274</v>
      </c>
      <c r="B53" s="9" t="s">
        <v>274</v>
      </c>
      <c r="E53" s="9" t="s">
        <v>274</v>
      </c>
      <c r="F53" s="24">
        <v>0</v>
      </c>
      <c r="G53" s="9" t="s">
        <v>274</v>
      </c>
      <c r="H53" s="24">
        <v>1</v>
      </c>
      <c r="I53" s="9" t="s">
        <v>274</v>
      </c>
      <c r="J53" s="24">
        <v>1</v>
      </c>
      <c r="K53" s="9" t="s">
        <v>274</v>
      </c>
      <c r="L53" s="24">
        <v>1</v>
      </c>
      <c r="M53" s="9" t="s">
        <v>274</v>
      </c>
      <c r="N53" s="24">
        <v>1</v>
      </c>
      <c r="O53" t="s">
        <v>274</v>
      </c>
      <c r="P53" t="s">
        <v>274</v>
      </c>
      <c r="Q53" t="s">
        <v>274</v>
      </c>
      <c r="R53" t="s">
        <v>30</v>
      </c>
      <c r="S53" s="9" t="s">
        <v>274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9" t="s">
        <v>274</v>
      </c>
      <c r="AB53" s="24">
        <v>100</v>
      </c>
      <c r="AD53" s="9" t="s">
        <v>274</v>
      </c>
      <c r="AE53" s="24">
        <v>1</v>
      </c>
      <c r="AL53" s="10"/>
    </row>
    <row r="54" spans="1:38">
      <c r="A54" s="9" t="s">
        <v>275</v>
      </c>
      <c r="B54" s="9" t="s">
        <v>275</v>
      </c>
      <c r="E54" s="9" t="s">
        <v>275</v>
      </c>
      <c r="F54" s="24">
        <v>0</v>
      </c>
      <c r="G54" s="9" t="s">
        <v>275</v>
      </c>
      <c r="H54" s="24">
        <v>1</v>
      </c>
      <c r="I54" s="9" t="s">
        <v>275</v>
      </c>
      <c r="J54" s="24">
        <v>1</v>
      </c>
      <c r="K54" s="9" t="s">
        <v>275</v>
      </c>
      <c r="L54" s="24">
        <v>1</v>
      </c>
      <c r="M54" s="9" t="s">
        <v>275</v>
      </c>
      <c r="N54" s="24">
        <v>1</v>
      </c>
      <c r="O54" t="s">
        <v>275</v>
      </c>
      <c r="P54" t="s">
        <v>275</v>
      </c>
      <c r="Q54" t="s">
        <v>275</v>
      </c>
      <c r="R54" t="s">
        <v>30</v>
      </c>
      <c r="S54" s="9" t="s">
        <v>275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275</v>
      </c>
      <c r="AB54" s="24">
        <v>100</v>
      </c>
      <c r="AD54" s="9" t="s">
        <v>275</v>
      </c>
      <c r="AE54" s="24">
        <v>1</v>
      </c>
      <c r="AL54" s="10"/>
    </row>
    <row r="55" spans="1:38">
      <c r="A55" s="9" t="s">
        <v>276</v>
      </c>
      <c r="B55" s="9" t="s">
        <v>276</v>
      </c>
      <c r="E55" s="9" t="s">
        <v>276</v>
      </c>
      <c r="F55" s="24">
        <v>0</v>
      </c>
      <c r="G55" s="9" t="s">
        <v>276</v>
      </c>
      <c r="H55" s="24">
        <v>1</v>
      </c>
      <c r="I55" s="9" t="s">
        <v>276</v>
      </c>
      <c r="J55" s="24">
        <v>1</v>
      </c>
      <c r="K55" s="9" t="s">
        <v>276</v>
      </c>
      <c r="L55" s="24">
        <v>1</v>
      </c>
      <c r="M55" s="9" t="s">
        <v>276</v>
      </c>
      <c r="N55" s="24">
        <v>1</v>
      </c>
      <c r="O55" t="s">
        <v>276</v>
      </c>
      <c r="P55" t="s">
        <v>276</v>
      </c>
      <c r="Q55" t="s">
        <v>276</v>
      </c>
      <c r="R55" t="s">
        <v>30</v>
      </c>
      <c r="S55" s="9" t="s">
        <v>276</v>
      </c>
      <c r="T55" s="24">
        <v>-1</v>
      </c>
      <c r="U55" s="24">
        <v>1</v>
      </c>
      <c r="V55" s="24">
        <v>1</v>
      </c>
      <c r="W55" s="24">
        <v>1</v>
      </c>
      <c r="X55" s="24">
        <v>-1</v>
      </c>
      <c r="AA55" s="9" t="s">
        <v>276</v>
      </c>
      <c r="AB55" s="24">
        <v>100</v>
      </c>
      <c r="AD55" s="9" t="s">
        <v>276</v>
      </c>
      <c r="AE55" s="24">
        <v>2</v>
      </c>
      <c r="AL55" s="10"/>
    </row>
    <row r="56" spans="1:38">
      <c r="A56" s="9" t="s">
        <v>277</v>
      </c>
      <c r="B56" s="9" t="s">
        <v>277</v>
      </c>
      <c r="E56" s="9" t="s">
        <v>277</v>
      </c>
      <c r="F56" s="24">
        <v>0</v>
      </c>
      <c r="G56" s="9" t="s">
        <v>277</v>
      </c>
      <c r="H56" s="24">
        <v>1</v>
      </c>
      <c r="I56" s="9" t="s">
        <v>277</v>
      </c>
      <c r="J56" s="24">
        <v>1</v>
      </c>
      <c r="K56" s="9" t="s">
        <v>277</v>
      </c>
      <c r="L56" s="24">
        <v>1</v>
      </c>
      <c r="M56" s="9" t="s">
        <v>277</v>
      </c>
      <c r="N56" s="24">
        <v>1</v>
      </c>
      <c r="O56" t="s">
        <v>277</v>
      </c>
      <c r="P56" t="s">
        <v>277</v>
      </c>
      <c r="Q56" t="s">
        <v>277</v>
      </c>
      <c r="R56" t="s">
        <v>30</v>
      </c>
      <c r="S56" s="9" t="s">
        <v>277</v>
      </c>
      <c r="T56" s="24">
        <v>-1</v>
      </c>
      <c r="U56" s="24">
        <v>1</v>
      </c>
      <c r="V56" s="24">
        <v>1</v>
      </c>
      <c r="W56" s="24">
        <v>1</v>
      </c>
      <c r="X56" s="24">
        <v>-1</v>
      </c>
      <c r="AA56" s="9" t="s">
        <v>277</v>
      </c>
      <c r="AB56" s="24">
        <v>100</v>
      </c>
      <c r="AD56" s="9" t="s">
        <v>277</v>
      </c>
      <c r="AE56" s="24">
        <v>2</v>
      </c>
      <c r="AL56" s="10"/>
    </row>
    <row r="57" spans="1:38">
      <c r="A57" s="9" t="s">
        <v>278</v>
      </c>
      <c r="B57" s="9" t="s">
        <v>278</v>
      </c>
      <c r="E57" s="9" t="s">
        <v>278</v>
      </c>
      <c r="F57" s="24">
        <v>1</v>
      </c>
      <c r="G57" s="9" t="s">
        <v>278</v>
      </c>
      <c r="H57" s="24">
        <v>1</v>
      </c>
      <c r="I57" s="9" t="s">
        <v>278</v>
      </c>
      <c r="J57" s="24">
        <v>1</v>
      </c>
      <c r="K57" s="9" t="s">
        <v>278</v>
      </c>
      <c r="L57" s="24">
        <v>1</v>
      </c>
      <c r="M57" s="9" t="s">
        <v>278</v>
      </c>
      <c r="N57" s="24">
        <v>1</v>
      </c>
      <c r="O57" t="s">
        <v>278</v>
      </c>
      <c r="P57" t="s">
        <v>278</v>
      </c>
      <c r="Q57" t="s">
        <v>278</v>
      </c>
      <c r="R57" t="s">
        <v>30</v>
      </c>
      <c r="S57" s="9" t="s">
        <v>278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278</v>
      </c>
      <c r="AB57" s="24">
        <v>100</v>
      </c>
      <c r="AD57" s="9" t="s">
        <v>278</v>
      </c>
      <c r="AE57" s="24">
        <v>1</v>
      </c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C48" activePane="bottomRight" state="frozen"/>
      <selection pane="topRight" activeCell="C1" sqref="C1"/>
      <selection pane="bottomLeft" activeCell="A8" sqref="A8"/>
      <selection pane="bottomRight" activeCell="A58" sqref="A5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1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3" t="s">
        <v>26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0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0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0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0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5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6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0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0</v>
      </c>
      <c r="B19" t="s">
        <v>231</v>
      </c>
      <c r="C19"/>
      <c r="D19" t="s">
        <v>30</v>
      </c>
      <c r="E19" t="str">
        <f t="shared" si="7"/>
        <v>NZ10_2099B_99EESSNXCNSC</v>
      </c>
      <c r="F19">
        <v>0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0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0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0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0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0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0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0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0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0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0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0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0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0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0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0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0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0</v>
      </c>
      <c r="B40" t="s">
        <v>254</v>
      </c>
      <c r="D40" t="s">
        <v>30</v>
      </c>
      <c r="E40" t="str">
        <f t="shared" ref="E40:E48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19">IF(MID(B40,10,1) = "B",2,1)</f>
        <v>2</v>
      </c>
      <c r="L40">
        <v>-1</v>
      </c>
      <c r="M40">
        <f t="shared" ref="M40:M48" si="20">IF(MID(B40,14,2)="EE",1,-1)</f>
        <v>-1</v>
      </c>
      <c r="N40">
        <f t="shared" ref="N40:N48" si="21">IF(MID(B40,14,2)="EE",1,-1)</f>
        <v>-1</v>
      </c>
      <c r="O40">
        <v>1</v>
      </c>
      <c r="P40">
        <v>-1</v>
      </c>
      <c r="Q40">
        <v>100</v>
      </c>
      <c r="AZ40">
        <f t="shared" ref="AZ40:AZ48" si="22">IF(LEN(B40)&gt;=30,1,0)</f>
        <v>0</v>
      </c>
      <c r="BA40">
        <v>3</v>
      </c>
    </row>
    <row r="41" spans="1:53">
      <c r="A41">
        <v>0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0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0</v>
      </c>
      <c r="B43" t="s">
        <v>266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267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0</v>
      </c>
      <c r="B45" t="s">
        <v>268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269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259</v>
      </c>
      <c r="D47" t="s">
        <v>30</v>
      </c>
      <c r="E47" t="str">
        <f t="shared" si="18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6</v>
      </c>
    </row>
    <row r="48" spans="1:53">
      <c r="A48">
        <v>0</v>
      </c>
      <c r="B48" t="s">
        <v>260</v>
      </c>
      <c r="D48" t="s">
        <v>30</v>
      </c>
      <c r="E48" t="str">
        <f t="shared" si="18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19"/>
        <v>2</v>
      </c>
      <c r="L48">
        <v>-1</v>
      </c>
      <c r="M48">
        <f t="shared" si="20"/>
        <v>-1</v>
      </c>
      <c r="N48">
        <f t="shared" si="21"/>
        <v>-1</v>
      </c>
      <c r="O48">
        <v>1</v>
      </c>
      <c r="P48">
        <v>-1</v>
      </c>
      <c r="Q48">
        <v>100</v>
      </c>
      <c r="AZ48">
        <f t="shared" si="22"/>
        <v>0</v>
      </c>
      <c r="BA48">
        <v>7</v>
      </c>
    </row>
    <row r="49" spans="1:53">
      <c r="A49">
        <v>0</v>
      </c>
      <c r="B49" t="s">
        <v>257</v>
      </c>
      <c r="D49" t="s">
        <v>30</v>
      </c>
      <c r="E49" t="str">
        <f t="shared" ref="E49:E50" si="28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19"/>
        <v>2</v>
      </c>
      <c r="L49">
        <v>-1</v>
      </c>
      <c r="M49">
        <f t="shared" ref="M49:M50" si="29">IF(MID(B49,14,2)="EE",1,-1)</f>
        <v>-1</v>
      </c>
      <c r="N49">
        <f t="shared" ref="N49:N50" si="30">IF(MID(B49,14,2)="EE",1,-1)</f>
        <v>-1</v>
      </c>
      <c r="O49">
        <v>1</v>
      </c>
      <c r="P49">
        <v>-1</v>
      </c>
      <c r="Q49">
        <v>100</v>
      </c>
      <c r="AZ49">
        <f t="shared" ref="AZ49:AZ50" si="31">IF(LEN(B49)&gt;=30,1,0)</f>
        <v>0</v>
      </c>
      <c r="BA49">
        <v>6</v>
      </c>
    </row>
    <row r="50" spans="1:53">
      <c r="A50">
        <v>0</v>
      </c>
      <c r="B50" t="s">
        <v>258</v>
      </c>
      <c r="D50" t="s">
        <v>30</v>
      </c>
      <c r="E50" t="str">
        <f t="shared" si="28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19"/>
        <v>2</v>
      </c>
      <c r="L50">
        <v>-1</v>
      </c>
      <c r="M50">
        <f t="shared" si="29"/>
        <v>-1</v>
      </c>
      <c r="N50">
        <f t="shared" si="30"/>
        <v>-1</v>
      </c>
      <c r="O50">
        <v>1</v>
      </c>
      <c r="P50">
        <v>-1</v>
      </c>
      <c r="Q50">
        <v>100</v>
      </c>
      <c r="AZ50">
        <f t="shared" si="31"/>
        <v>0</v>
      </c>
      <c r="BA50">
        <v>7</v>
      </c>
    </row>
    <row r="51" spans="1:53">
      <c r="A51">
        <v>0</v>
      </c>
      <c r="B51" s="22" t="s">
        <v>270</v>
      </c>
      <c r="C51">
        <v>12</v>
      </c>
      <c r="D51" t="s">
        <v>30</v>
      </c>
      <c r="E51" t="str">
        <f t="shared" ref="E51" si="32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19"/>
        <v>2</v>
      </c>
      <c r="L51">
        <v>-1</v>
      </c>
      <c r="M51">
        <f t="shared" ref="M51:M58" si="33">IF(MID(B51,14,2)="EE",1,-1)</f>
        <v>-1</v>
      </c>
      <c r="N51">
        <f t="shared" ref="N51:N58" si="34">IF(MID(B51,14,2)="EE",1,-1)</f>
        <v>-1</v>
      </c>
      <c r="O51">
        <v>1</v>
      </c>
      <c r="P51">
        <v>-1</v>
      </c>
      <c r="Q51">
        <v>100</v>
      </c>
      <c r="AZ51">
        <f t="shared" ref="AZ51" si="35">IF(LEN(B51)&gt;=30,1,0)</f>
        <v>0</v>
      </c>
      <c r="BA51">
        <v>8</v>
      </c>
    </row>
    <row r="52" spans="1:53">
      <c r="A52">
        <v>0</v>
      </c>
      <c r="B52" s="22" t="s">
        <v>271</v>
      </c>
      <c r="C52">
        <v>12</v>
      </c>
      <c r="D52" t="s">
        <v>30</v>
      </c>
      <c r="E52" t="str">
        <f t="shared" ref="E52:E53" si="36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19"/>
        <v>2</v>
      </c>
      <c r="L52">
        <v>-1</v>
      </c>
      <c r="M52">
        <f t="shared" si="33"/>
        <v>1</v>
      </c>
      <c r="N52">
        <f t="shared" si="34"/>
        <v>1</v>
      </c>
      <c r="O52">
        <v>1</v>
      </c>
      <c r="P52">
        <v>-1</v>
      </c>
      <c r="Q52">
        <v>100</v>
      </c>
      <c r="AZ52">
        <f t="shared" ref="AZ52:AZ53" si="37">IF(LEN(B52)&gt;=30,1,0)</f>
        <v>0</v>
      </c>
      <c r="BA52">
        <v>9</v>
      </c>
    </row>
    <row r="53" spans="1:53">
      <c r="A53">
        <v>0</v>
      </c>
      <c r="B53" s="22" t="s">
        <v>272</v>
      </c>
      <c r="C53">
        <v>12</v>
      </c>
      <c r="D53" t="s">
        <v>30</v>
      </c>
      <c r="E53" t="str">
        <f t="shared" si="36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19"/>
        <v>2</v>
      </c>
      <c r="L53">
        <v>-1</v>
      </c>
      <c r="M53">
        <f t="shared" si="33"/>
        <v>1</v>
      </c>
      <c r="N53">
        <f t="shared" si="34"/>
        <v>1</v>
      </c>
      <c r="O53">
        <v>1</v>
      </c>
      <c r="P53">
        <v>-1</v>
      </c>
      <c r="Q53">
        <v>100</v>
      </c>
      <c r="AZ53">
        <f t="shared" si="37"/>
        <v>0</v>
      </c>
      <c r="BA53">
        <v>10</v>
      </c>
    </row>
    <row r="54" spans="1:53">
      <c r="A54">
        <v>0</v>
      </c>
      <c r="B54" s="22" t="s">
        <v>273</v>
      </c>
      <c r="C54">
        <v>12</v>
      </c>
      <c r="D54" t="s">
        <v>30</v>
      </c>
      <c r="E54" t="str">
        <f t="shared" ref="E54" si="38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19"/>
        <v>2</v>
      </c>
      <c r="L54">
        <v>-1</v>
      </c>
      <c r="M54">
        <f t="shared" si="33"/>
        <v>1</v>
      </c>
      <c r="N54">
        <f t="shared" si="34"/>
        <v>1</v>
      </c>
      <c r="O54">
        <v>1</v>
      </c>
      <c r="P54">
        <v>-1</v>
      </c>
      <c r="Q54">
        <v>100</v>
      </c>
      <c r="AZ54">
        <f t="shared" ref="AZ54" si="39">IF(LEN(B54)&gt;=30,1,0)</f>
        <v>0</v>
      </c>
      <c r="BA54">
        <v>10</v>
      </c>
    </row>
    <row r="55" spans="1:53">
      <c r="A55">
        <v>0</v>
      </c>
      <c r="B55" s="22" t="s">
        <v>274</v>
      </c>
      <c r="C55">
        <v>12</v>
      </c>
      <c r="D55" t="s">
        <v>30</v>
      </c>
      <c r="E55" t="str">
        <f t="shared" ref="E55" si="40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19"/>
        <v>1</v>
      </c>
      <c r="L55">
        <v>-1</v>
      </c>
      <c r="M55">
        <f t="shared" si="33"/>
        <v>-1</v>
      </c>
      <c r="N55">
        <f t="shared" si="34"/>
        <v>-1</v>
      </c>
      <c r="O55">
        <v>1</v>
      </c>
      <c r="P55">
        <v>-1</v>
      </c>
      <c r="Q55">
        <v>100</v>
      </c>
      <c r="AZ55">
        <f t="shared" ref="AZ55" si="41">IF(LEN(B55)&gt;=30,1,0)</f>
        <v>0</v>
      </c>
      <c r="BA55">
        <v>11</v>
      </c>
    </row>
    <row r="56" spans="1:53">
      <c r="A56">
        <v>0</v>
      </c>
      <c r="B56" s="22" t="s">
        <v>275</v>
      </c>
      <c r="C56">
        <v>12</v>
      </c>
      <c r="D56" t="s">
        <v>30</v>
      </c>
      <c r="E56" t="str">
        <f t="shared" ref="E56:E57" si="42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19"/>
        <v>1</v>
      </c>
      <c r="L56">
        <v>-1</v>
      </c>
      <c r="M56">
        <f t="shared" si="33"/>
        <v>1</v>
      </c>
      <c r="N56">
        <f t="shared" si="34"/>
        <v>1</v>
      </c>
      <c r="O56">
        <v>1</v>
      </c>
      <c r="P56">
        <v>-1</v>
      </c>
      <c r="Q56">
        <v>100</v>
      </c>
      <c r="AZ56">
        <f t="shared" ref="AZ56:AZ57" si="43">IF(LEN(B56)&gt;=30,1,0)</f>
        <v>0</v>
      </c>
      <c r="BA56">
        <v>12</v>
      </c>
    </row>
    <row r="57" spans="1:53">
      <c r="A57">
        <v>0</v>
      </c>
      <c r="B57" s="22" t="s">
        <v>276</v>
      </c>
      <c r="C57">
        <v>12</v>
      </c>
      <c r="D57" t="s">
        <v>30</v>
      </c>
      <c r="E57" t="str">
        <f t="shared" si="42"/>
        <v>NZ10_2050B_09EESENXCTSC</v>
      </c>
      <c r="F57">
        <v>1</v>
      </c>
      <c r="G57">
        <v>1</v>
      </c>
      <c r="H57" t="s">
        <v>188</v>
      </c>
      <c r="I57">
        <v>1</v>
      </c>
      <c r="J57">
        <v>1</v>
      </c>
      <c r="K57">
        <f t="shared" ref="K57:K58" si="44">IF(MID(B57,10,1) = "B",2,1)</f>
        <v>2</v>
      </c>
      <c r="L57">
        <v>-1</v>
      </c>
      <c r="M57">
        <f t="shared" si="33"/>
        <v>1</v>
      </c>
      <c r="N57">
        <f t="shared" si="34"/>
        <v>1</v>
      </c>
      <c r="O57">
        <v>1</v>
      </c>
      <c r="P57">
        <v>-1</v>
      </c>
      <c r="Q57">
        <v>100</v>
      </c>
      <c r="AZ57">
        <f t="shared" si="43"/>
        <v>0</v>
      </c>
      <c r="BA57">
        <v>11</v>
      </c>
    </row>
    <row r="58" spans="1:53">
      <c r="A58">
        <v>0</v>
      </c>
      <c r="B58" s="22" t="s">
        <v>277</v>
      </c>
      <c r="C58">
        <v>12</v>
      </c>
      <c r="D58" t="s">
        <v>30</v>
      </c>
      <c r="E58" t="str">
        <f t="shared" ref="E58" si="45">B58</f>
        <v>NZ10_2050B_09EESFNXCTSC</v>
      </c>
      <c r="F58">
        <v>1</v>
      </c>
      <c r="G58">
        <v>1</v>
      </c>
      <c r="H58" t="s">
        <v>188</v>
      </c>
      <c r="I58">
        <v>1</v>
      </c>
      <c r="J58">
        <v>1</v>
      </c>
      <c r="K58">
        <f t="shared" si="44"/>
        <v>2</v>
      </c>
      <c r="L58">
        <v>-1</v>
      </c>
      <c r="M58">
        <f t="shared" si="33"/>
        <v>1</v>
      </c>
      <c r="N58">
        <f t="shared" si="34"/>
        <v>1</v>
      </c>
      <c r="O58">
        <v>1</v>
      </c>
      <c r="P58">
        <v>-1</v>
      </c>
      <c r="Q58">
        <v>100</v>
      </c>
      <c r="AZ58">
        <f t="shared" ref="AZ58" si="46">IF(LEN(B58)&gt;=30,1,0)</f>
        <v>0</v>
      </c>
      <c r="BA58">
        <v>12</v>
      </c>
    </row>
    <row r="59" spans="1:53">
      <c r="A59">
        <v>1</v>
      </c>
      <c r="B59" s="22" t="s">
        <v>278</v>
      </c>
      <c r="C59">
        <v>13</v>
      </c>
      <c r="D59" t="s">
        <v>30</v>
      </c>
      <c r="E59" t="str">
        <f t="shared" ref="E59" si="47">B59</f>
        <v>CGECalibScenario</v>
      </c>
      <c r="F59">
        <v>1</v>
      </c>
      <c r="G59">
        <v>1</v>
      </c>
      <c r="H59" t="s">
        <v>188</v>
      </c>
      <c r="I59">
        <v>1</v>
      </c>
      <c r="J59">
        <v>1</v>
      </c>
      <c r="K59">
        <f t="shared" ref="K59" si="48">IF(MID(B59,10,1) = "B",2,1)</f>
        <v>1</v>
      </c>
      <c r="L59">
        <v>-1</v>
      </c>
      <c r="M59">
        <f t="shared" ref="M59" si="49">IF(MID(B59,14,2)="EE",1,-1)</f>
        <v>-1</v>
      </c>
      <c r="N59">
        <f t="shared" ref="N59" si="50">IF(MID(B59,14,2)="EE",1,-1)</f>
        <v>-1</v>
      </c>
      <c r="O59">
        <v>1</v>
      </c>
      <c r="P59">
        <v>-1</v>
      </c>
      <c r="Q59">
        <v>100</v>
      </c>
      <c r="AZ59">
        <f t="shared" ref="AZ59" si="51">IF(LEN(B59)&gt;=30,1,0)</f>
        <v>0</v>
      </c>
      <c r="BA59">
        <v>13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M64" s="13"/>
      <c r="N64" s="13"/>
      <c r="Q64" s="19"/>
      <c r="AZ64">
        <f t="shared" si="11"/>
        <v>0</v>
      </c>
    </row>
    <row r="65" spans="1:52">
      <c r="A65" s="17"/>
      <c r="K65">
        <f t="shared" si="8"/>
        <v>1</v>
      </c>
      <c r="M65" s="13"/>
      <c r="N65" s="13"/>
      <c r="Q65" s="19"/>
      <c r="AZ65">
        <f t="shared" si="11"/>
        <v>0</v>
      </c>
    </row>
    <row r="66" spans="1:52">
      <c r="A66" s="17"/>
      <c r="K66">
        <f t="shared" si="8"/>
        <v>1</v>
      </c>
      <c r="Q66" s="19"/>
      <c r="AZ66">
        <f t="shared" si="11"/>
        <v>0</v>
      </c>
    </row>
    <row r="67" spans="1:52">
      <c r="A67" s="17"/>
      <c r="K67">
        <f t="shared" si="8"/>
        <v>1</v>
      </c>
      <c r="M67" s="13"/>
      <c r="N67" s="13"/>
      <c r="Q67" s="19"/>
    </row>
    <row r="68" spans="1:52">
      <c r="A68" s="17"/>
      <c r="K68">
        <f t="shared" si="8"/>
        <v>1</v>
      </c>
      <c r="Q68" s="19"/>
    </row>
    <row r="69" spans="1:52">
      <c r="A69" s="17"/>
      <c r="K69">
        <f t="shared" si="8"/>
        <v>1</v>
      </c>
      <c r="Q69" s="19"/>
    </row>
    <row r="70" spans="1:52">
      <c r="A70" s="17"/>
      <c r="K70">
        <f t="shared" si="8"/>
        <v>1</v>
      </c>
      <c r="Q70" s="19"/>
    </row>
    <row r="71" spans="1:52">
      <c r="A71" s="17"/>
      <c r="K71">
        <f t="shared" si="8"/>
        <v>1</v>
      </c>
      <c r="M71" s="13"/>
      <c r="N71" s="13"/>
      <c r="Q71" s="19"/>
    </row>
    <row r="72" spans="1:52">
      <c r="A72" s="17"/>
      <c r="K72">
        <f t="shared" si="8"/>
        <v>1</v>
      </c>
      <c r="M72" s="13"/>
      <c r="N72" s="13"/>
      <c r="Q72" s="19"/>
    </row>
    <row r="73" spans="1:52">
      <c r="A73" s="17"/>
      <c r="K73">
        <f t="shared" si="8"/>
        <v>1</v>
      </c>
      <c r="M73" s="13"/>
      <c r="N73" s="13"/>
      <c r="Q73" s="19"/>
    </row>
    <row r="74" spans="1:52">
      <c r="A74" s="17"/>
      <c r="K74">
        <f t="shared" si="8"/>
        <v>1</v>
      </c>
      <c r="Q74" s="19"/>
    </row>
    <row r="75" spans="1:52">
      <c r="A75" s="17"/>
      <c r="K75">
        <f t="shared" si="8"/>
        <v>1</v>
      </c>
      <c r="Q75" s="19"/>
    </row>
    <row r="76" spans="1:52">
      <c r="A76" s="17"/>
      <c r="K76">
        <f t="shared" si="8"/>
        <v>1</v>
      </c>
      <c r="Q76" s="19"/>
    </row>
    <row r="77" spans="1:52">
      <c r="A77" s="17"/>
      <c r="K77">
        <f t="shared" si="8"/>
        <v>1</v>
      </c>
      <c r="Q77" s="19"/>
    </row>
    <row r="78" spans="1:52">
      <c r="A78" s="17"/>
      <c r="K78">
        <f t="shared" si="8"/>
        <v>1</v>
      </c>
      <c r="Q78" s="19"/>
    </row>
    <row r="79" spans="1:52">
      <c r="A79" s="17"/>
      <c r="K79">
        <f t="shared" si="8"/>
        <v>1</v>
      </c>
      <c r="Q79" s="19"/>
    </row>
    <row r="80" spans="1:52">
      <c r="A80" s="17"/>
      <c r="K80">
        <f t="shared" si="8"/>
        <v>1</v>
      </c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M82" s="13"/>
      <c r="N82" s="13"/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si="8"/>
        <v>1</v>
      </c>
      <c r="Q84" s="19"/>
    </row>
    <row r="85" spans="1:17">
      <c r="A85" s="17"/>
      <c r="K85">
        <f t="shared" si="8"/>
        <v>1</v>
      </c>
      <c r="M85" s="13"/>
      <c r="N85" s="13"/>
      <c r="Q85" s="19"/>
    </row>
    <row r="86" spans="1:17">
      <c r="A86" s="17"/>
      <c r="K86">
        <f t="shared" ref="K86:K96" si="52">IF(MID(B86,10,1) = "B",2,1)</f>
        <v>1</v>
      </c>
      <c r="Q86" s="19"/>
    </row>
    <row r="87" spans="1:17">
      <c r="A87" s="17"/>
      <c r="K87">
        <f t="shared" si="52"/>
        <v>1</v>
      </c>
      <c r="Q87" s="19"/>
    </row>
    <row r="88" spans="1:17">
      <c r="A88" s="17"/>
      <c r="K88">
        <f t="shared" si="52"/>
        <v>1</v>
      </c>
      <c r="Q88" s="19"/>
    </row>
    <row r="89" spans="1:17">
      <c r="A89" s="17"/>
      <c r="K89">
        <f t="shared" si="52"/>
        <v>1</v>
      </c>
      <c r="M89" s="13"/>
      <c r="N89" s="13"/>
      <c r="Q89" s="19"/>
    </row>
    <row r="90" spans="1:17">
      <c r="A90" s="17"/>
      <c r="K90">
        <f t="shared" si="52"/>
        <v>1</v>
      </c>
      <c r="M90" s="13"/>
      <c r="N90" s="13"/>
      <c r="Q90" s="19"/>
    </row>
    <row r="91" spans="1:17">
      <c r="A91" s="17"/>
      <c r="K91">
        <f t="shared" si="52"/>
        <v>1</v>
      </c>
      <c r="M91" s="13"/>
      <c r="N91" s="13"/>
      <c r="Q91" s="19"/>
    </row>
    <row r="92" spans="1:17">
      <c r="A92" s="17"/>
      <c r="K92">
        <f t="shared" si="52"/>
        <v>1</v>
      </c>
      <c r="Q92" s="19"/>
    </row>
    <row r="93" spans="1:17">
      <c r="A93" s="17"/>
      <c r="K93">
        <f t="shared" si="52"/>
        <v>1</v>
      </c>
      <c r="Q93" s="19"/>
    </row>
    <row r="94" spans="1:17">
      <c r="A94" s="17"/>
      <c r="K94">
        <f t="shared" si="52"/>
        <v>1</v>
      </c>
      <c r="Q94" s="19"/>
    </row>
    <row r="95" spans="1:17">
      <c r="A95" s="17"/>
      <c r="K95">
        <f t="shared" si="52"/>
        <v>1</v>
      </c>
    </row>
    <row r="96" spans="1:17">
      <c r="A96" s="17"/>
      <c r="K96">
        <f t="shared" si="52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81">
      <iconSet>
        <cfvo type="percent" val="0"/>
        <cfvo type="percent" val="33"/>
        <cfvo type="percent" val="67"/>
      </iconSet>
    </cfRule>
  </conditionalFormatting>
  <conditionalFormatting sqref="A60:A97">
    <cfRule type="iconSet" priority="952">
      <iconSet>
        <cfvo type="percent" val="0"/>
        <cfvo type="percent" val="33"/>
        <cfvo type="percent" val="67"/>
      </iconSet>
    </cfRule>
  </conditionalFormatting>
  <conditionalFormatting sqref="A60:A97">
    <cfRule type="iconSet" priority="953">
      <iconSet>
        <cfvo type="percent" val="0"/>
        <cfvo type="percent" val="33"/>
        <cfvo type="percent" val="67"/>
      </iconSet>
    </cfRule>
  </conditionalFormatting>
  <conditionalFormatting sqref="A60:A97">
    <cfRule type="iconSet" priority="955">
      <iconSet>
        <cfvo type="percent" val="0"/>
        <cfvo type="percent" val="33"/>
        <cfvo type="percent" val="67"/>
      </iconSet>
    </cfRule>
  </conditionalFormatting>
  <conditionalFormatting sqref="A60:A96">
    <cfRule type="iconSet" priority="957">
      <iconSet>
        <cfvo type="percent" val="0"/>
        <cfvo type="percent" val="33"/>
        <cfvo type="percent" val="67"/>
      </iconSet>
    </cfRule>
  </conditionalFormatting>
  <conditionalFormatting sqref="L10:P42 L47:P48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9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0 L51:L56 O51:P56 M51:N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ellIs" dxfId="0" priority="3" operator="equal">
      <formula>2</formula>
    </cfRule>
  </conditionalFormatting>
  <conditionalFormatting sqref="O57:P59 L57:L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2024-03-15T13:57:17Z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