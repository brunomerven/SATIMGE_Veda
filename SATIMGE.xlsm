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DF815B7A-BF4F-431E-ACB9-77761FEF9A3A}" xr6:coauthVersionLast="47" xr6:coauthVersionMax="47" xr10:uidLastSave="{00000000-0000-0000-0000-000000000000}"/>
  <bookViews>
    <workbookView xWindow="30" yWindow="3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21" r:id="rId9"/>
    <pivotCache cacheId="62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4" l="1"/>
  <c r="E40" i="33" l="1"/>
  <c r="E41" i="33" s="1"/>
  <c r="E42" i="33"/>
  <c r="E43" i="33" s="1"/>
  <c r="E39" i="33" l="1"/>
  <c r="E38" i="33" l="1"/>
  <c r="E37" i="33"/>
  <c r="E36" i="33"/>
  <c r="E35" i="33"/>
  <c r="C21" i="4"/>
  <c r="AG7" i="5" l="1"/>
  <c r="AG8" i="5" s="1"/>
  <c r="AG9" i="5" s="1"/>
  <c r="AG10" i="5" s="1"/>
  <c r="AG11" i="5" s="1"/>
  <c r="AG12" i="5" s="1"/>
  <c r="AG13" i="5" s="1"/>
  <c r="AG14" i="5" s="1"/>
  <c r="AG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<sst xmlns="http://schemas.openxmlformats.org/spreadsheetml/2006/main" count="914" uniqueCount="277">
  <si>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</si>
  <si>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</si>
  <si>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</si>
  <si>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</si>
  <si>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</si>
  <si>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</si>
  <si>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</si>
  <si>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</si>
  <si>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</si>
  <si>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</si>
  <si>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</si>
  <si>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</si>
  <si>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</si>
  <si>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</si>
  <si>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</si>
  <si>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</si>
  <si>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</si>
  <si>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</si>
  <si>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</si>
  <si>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</si>
  <si>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</si>
  <si>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</si>
  <si>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</si>
  <si>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</si>
  <si>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</si>
  <si>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</si>
  <si>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</si>
  <si>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</si>
  <si>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</si>
  <si>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</si>
  <si>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</si>
  <si>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</si>
  <si>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</si>
  <si>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</si>
  <si>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</si>
  <si>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</si>
  <si>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</si>
  <si>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</si>
  <si>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</si>
  <si>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</si>
  <si>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</si>
  <si>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</si>
  <si>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</si>
  <si>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</si>
  <si>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</si>
  <si>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</si>
  <si>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</si>
  <si>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</si>
  <si>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</si>
  <si>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</si>
  <si>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</si>
  <si>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</si>
  <si>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</si>
  <si>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</si>
  <si>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</si>
  <si>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</si>
  <si>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</si>
  <si>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</si>
  <si>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</si>
  <si>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</si>
  <si>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</si>
  <si>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</si>
  <si>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</si>
  <si>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</si>
  <si>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</si>
  <si>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</si>
  <si>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</si>
  <si>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</si>
  <si>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</si>
  <si>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</si>
  <si>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</si>
  <si>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</si>
  <si>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</si>
  <si>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</si>
  <si>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</si>
  <si>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</si>
  <si>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</si>
  <si>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</si>
  <si>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</si>
  <si>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</si>
  <si>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</si>
  <si>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</si>
  <si>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</si>
  <si>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</si>
  <si>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</si>
  <si>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</si>
  <si>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</si>
  <si>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</si>
  <si>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</si>
  <si>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</si>
  <si>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</si>
  <si>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</si>
  <si>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</si>
  <si>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</si>
  <si>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</si>
  <si>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</si>
  <si>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</si>
  <si>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</si>
  <si>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</si>
  <si>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</si>
  <si>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</si>
  <si>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</si>
  <si>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</si>
  <si>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</si>
  <si>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</si>
  <si>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</si>
  <si>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</si>
  <si>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</si>
  <si>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</si>
  <si>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</si>
  <si>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</si>
  <si>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</si>
  <si>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</si>
  <si>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</si>
  <si>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</si>
  <si>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</si>
  <si>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</si>
  <si>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</si>
  <si>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</si>
  <si>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</si>
  <si>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</si>
  <si>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</si>
  <si>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</si>
  <si>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</si>
  <si>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</si>
  <si>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</si>
  <si>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</si>
  <si>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</si>
  <si>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</si>
  <si>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</si>
  <si>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</si>
  <si>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</si>
  <si>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</si>
  <si>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</si>
  <si>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</si>
  <si>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</si>
  <si>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</si>
  <si>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</si>
  <si>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</si>
  <si>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</si>
  <si>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</si>
  <si>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</si>
  <si>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</si>
  <si>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</si>
  <si>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</si>
  <si>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</si>
  <si>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</si>
  <si>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</si>
  <si>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</si>
  <si>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</si>
  <si>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</si>
  <si>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</si>
  <si>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</si>
  <si>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</si>
  <si>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</si>
  <si>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</si>
  <si>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</si>
  <si>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</si>
  <si>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</si>
  <si>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</si>
  <si>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</si>
  <si>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</si>
  <si>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</si>
  <si>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</si>
  <si>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</si>
  <si>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</si>
  <si>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</si>
  <si>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</si>
  <si>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</si>
  <si>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</si>
  <si>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</si>
  <si>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</si>
  <si>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</si>
  <si>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</si>
  <si>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</si>
  <si>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</si>
  <si>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</si>
  <si>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</si>
  <si>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</si>
  <si>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</si>
  <si>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</si>
  <si>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</si>
  <si>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</si>
  <si>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</si>
  <si>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</si>
  <si>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</si>
  <si>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</si>
  <si>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</si>
  <si>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</si>
  <si>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</si>
  <si>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</si>
  <si>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</si>
  <si>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</si>
  <si>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</si>
  <si>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</si>
  <si>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</si>
  <si>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</si>
  <si>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</si>
  <si>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</si>
  <si>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</si>
  <si>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</si>
  <si>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</si>
  <si>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</si>
  <si>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</si>
  <si>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</si>
  <si>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</si>
  <si>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</si>
  <si>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</si>
  <si>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</si>
  <si>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</si>
  <si>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</si>
  <si>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</si>
  <si>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</si>
  <si>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</si>
  <si>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</si>
  <si>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</si>
  <si>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</si>
  <si>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</si>
  <si>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</si>
  <si>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</si>
  <si>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</si>
  <si>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</si>
  <si>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</si>
  <si>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</si>
  <si>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</si>
  <si>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</si>
  <si>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</si>
  <si>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</si>
  <si>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</si>
  <si>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</si>
  <si>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</si>
  <si>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</si>
  <si>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</si>
  <si>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</si>
  <si>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</si>
  <si>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</si>
  <si>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</si>
  <si>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</si>
  <si>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</si>
  <si>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</si>
  <si>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</si>
  <si>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</si>
  <si>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</si>
  <si>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</si>
  <si>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</si>
  <si>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</si>
  <si>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</si>
  <si>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</si>
  <si>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</si>
  <si>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</si>
  <si>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</si>
  <si>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</si>
  <si>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</si>
  <si>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</si>
  <si>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</si>
  <si>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</si>
  <si>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</si>
  <si>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</si>
  <si>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</si>
  <si>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NZ10_2099B_99NESSNXCT-IMG</t>
  </si>
  <si>
    <t>NZ10_2050A_09EESSNXCT-IMG</t>
  </si>
  <si>
    <t>NZ10_2050A_08EESSNXCT_IMG</t>
  </si>
  <si>
    <t>NZ10_2050A_09EESSNXCT_Local</t>
  </si>
  <si>
    <t>NZ_NDCLO</t>
  </si>
  <si>
    <t>NZ_NDCUP</t>
  </si>
  <si>
    <t>REF</t>
  </si>
  <si>
    <t>78T0E1S0P0G2</t>
  </si>
  <si>
    <t>LEAF</t>
  </si>
  <si>
    <t>78T0E1S0P0G3</t>
  </si>
  <si>
    <t>78T0E1S0P0G4</t>
  </si>
  <si>
    <t>LEAF-RF</t>
  </si>
  <si>
    <t>LEAF-RF-NZNDCUP</t>
  </si>
  <si>
    <t>LEAF-RF-CBAM</t>
  </si>
  <si>
    <t>LEAF-RF-NZNDCUP-CBAM</t>
  </si>
  <si>
    <t>CBAM</t>
  </si>
  <si>
    <t>SIM_CBAM</t>
  </si>
  <si>
    <t>Sum of CBAM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</si>
</sst>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5.475797800929" createdVersion="6" refreshedVersion="8" minRefreshableVersion="3" recordCount="88" xr:uid="{D229C3DF-142A-4D15-BB2C-2EA205AB0203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CBAM"/>
        <s v="LEAF-RF-NZNDCUP"/>
        <s v="LEAF-RF-NZNDCUP-CBAM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5.475798148145" createdVersion="6" refreshedVersion="8" minRefreshableVersion="3" recordCount="88" xr:uid="{C0EB43E8-6CC6-4DE4-B7F1-02B09F7BA69A}">
  <cacheSource type="worksheet">
    <worksheetSource ref="A9:Q110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CBAM"/>
        <s v="LEAF-RF-NZNDCUP"/>
        <s v="LEAF-RF-NZNDCUP-CBAM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NZNDCUP"/>
        <m/>
        <s v="LEAF-RF-NZNDCUP-CBAM" u="1"/>
        <s v="LEAF-RF-CBAM" u="1"/>
        <s v="NZ10_2050B_09EESSEXCN" u="1"/>
        <s v="NZ10_2050B_11EESSNXCN" u="1"/>
        <s v="TestLinked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s v="base"/>
    <s v="NZ10_2099A_99EESSNXCT"/>
    <n v="0"/>
    <n v="0"/>
    <s v="No Pams"/>
    <n v="1"/>
    <n v="1"/>
    <n v="0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0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0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0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0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0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0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0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0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0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0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0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0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0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0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0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0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0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0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0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0"/>
    <n v="-1"/>
    <n v="-1"/>
    <n v="-1"/>
    <n v="1"/>
    <n v="-1"/>
    <n v="100"/>
  </r>
  <r>
    <n v="0"/>
    <x v="22"/>
    <m/>
    <s v="base"/>
    <s v="NZ10_2050A_08EESSNXCT_IMG"/>
    <n v="1"/>
    <n v="1"/>
    <s v="No Pams"/>
    <n v="1"/>
    <n v="1"/>
    <n v="0"/>
    <n v="-1"/>
    <n v="1"/>
    <n v="1"/>
    <n v="1"/>
    <n v="-1"/>
    <n v="100"/>
  </r>
  <r>
    <n v="0"/>
    <x v="23"/>
    <m/>
    <s v="base"/>
    <s v="NZ10_2050A_09EESSNXCT-IMG"/>
    <n v="1"/>
    <n v="1"/>
    <s v="No Pams"/>
    <n v="1"/>
    <n v="1"/>
    <n v="0"/>
    <n v="-1"/>
    <n v="1"/>
    <n v="1"/>
    <n v="1"/>
    <n v="-1"/>
    <n v="100"/>
  </r>
  <r>
    <n v="0"/>
    <x v="24"/>
    <m/>
    <s v="base"/>
    <s v="NZ10_2099B_99NESSNXCT-IMG"/>
    <n v="1"/>
    <n v="1"/>
    <s v="No Pams"/>
    <n v="1"/>
    <n v="1"/>
    <n v="0"/>
    <n v="-1"/>
    <n v="-1"/>
    <n v="-1"/>
    <n v="1"/>
    <n v="-1"/>
    <n v="100"/>
  </r>
  <r>
    <n v="0"/>
    <x v="25"/>
    <m/>
    <s v="base"/>
    <s v="NZ10_2050A_09EESSNXCT_Local"/>
    <n v="0"/>
    <n v="1"/>
    <s v="No Pams"/>
    <n v="0"/>
    <n v="0"/>
    <n v="0"/>
    <n v="-1"/>
    <n v="1"/>
    <n v="1"/>
    <n v="1"/>
    <n v="-1"/>
    <n v="100"/>
  </r>
  <r>
    <n v="0"/>
    <x v="26"/>
    <m/>
    <s v="base"/>
    <s v="NZ_NDCLO"/>
    <n v="0"/>
    <n v="1"/>
    <s v="No Pams"/>
    <n v="1"/>
    <n v="1"/>
    <n v="0"/>
    <n v="-1"/>
    <n v="1"/>
    <n v="1"/>
    <n v="1"/>
    <n v="-1"/>
    <n v="100"/>
  </r>
  <r>
    <n v="0"/>
    <x v="27"/>
    <m/>
    <s v="base"/>
    <s v="NZ_NDCUP"/>
    <n v="0"/>
    <n v="1"/>
    <s v="No Pams"/>
    <n v="1"/>
    <n v="1"/>
    <n v="0"/>
    <n v="-1"/>
    <n v="1"/>
    <n v="1"/>
    <n v="1"/>
    <n v="-1"/>
    <n v="100"/>
  </r>
  <r>
    <n v="0"/>
    <x v="28"/>
    <m/>
    <s v="base"/>
    <s v="REF"/>
    <n v="0"/>
    <n v="1"/>
    <s v="No Pams"/>
    <n v="0"/>
    <n v="0"/>
    <n v="0"/>
    <n v="-1"/>
    <n v="-1"/>
    <n v="-1"/>
    <n v="1"/>
    <n v="-1"/>
    <n v="100"/>
  </r>
  <r>
    <n v="1"/>
    <x v="29"/>
    <m/>
    <s v="base"/>
    <s v="LEAF"/>
    <n v="1"/>
    <n v="1"/>
    <s v="No Pams"/>
    <n v="1"/>
    <n v="1"/>
    <n v="0"/>
    <n v="-1"/>
    <n v="-1"/>
    <n v="-1"/>
    <n v="1"/>
    <n v="-1"/>
    <n v="100"/>
  </r>
  <r>
    <n v="1"/>
    <x v="30"/>
    <m/>
    <s v="base"/>
    <s v="LEAF-RF"/>
    <n v="1"/>
    <n v="1"/>
    <s v="No Pams"/>
    <n v="1"/>
    <n v="1"/>
    <n v="0"/>
    <n v="-1"/>
    <n v="-1"/>
    <n v="-1"/>
    <n v="1"/>
    <n v="-1"/>
    <n v="100"/>
  </r>
  <r>
    <n v="1"/>
    <x v="31"/>
    <m/>
    <s v="base"/>
    <s v="LEAF-RF"/>
    <n v="1"/>
    <n v="1"/>
    <s v="No Pams"/>
    <n v="1"/>
    <n v="1"/>
    <n v="1"/>
    <n v="-1"/>
    <n v="-1"/>
    <n v="-1"/>
    <n v="1"/>
    <n v="-1"/>
    <n v="100"/>
  </r>
  <r>
    <n v="0"/>
    <x v="32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3"/>
    <m/>
    <s v="base"/>
    <s v="LEAF-RF-NZNDCUP"/>
    <n v="0"/>
    <n v="1"/>
    <s v="No Pams"/>
    <n v="0"/>
    <n v="0"/>
    <n v="0"/>
    <n v="-1"/>
    <n v="-1"/>
    <n v="-1"/>
    <n v="1"/>
    <n v="-1"/>
    <n v="100"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x v="0"/>
    <x v="0"/>
    <n v="0"/>
    <n v="0"/>
    <s v="No Pams"/>
    <n v="1"/>
    <n v="1"/>
    <n v="0"/>
    <n v="-1"/>
    <n v="-1"/>
    <n v="-1"/>
    <n v="1"/>
    <n v="-1"/>
    <n v="100"/>
  </r>
  <r>
    <n v="0"/>
    <x v="1"/>
    <m/>
    <x v="0"/>
    <x v="1"/>
    <n v="1"/>
    <n v="1"/>
    <s v="No Pams"/>
    <n v="1"/>
    <n v="1"/>
    <n v="0"/>
    <n v="-1"/>
    <n v="1"/>
    <n v="1"/>
    <n v="1"/>
    <n v="-1"/>
    <n v="100"/>
  </r>
  <r>
    <n v="0"/>
    <x v="2"/>
    <m/>
    <x v="0"/>
    <x v="2"/>
    <n v="0"/>
    <n v="0"/>
    <s v="No Pams"/>
    <n v="1"/>
    <n v="1"/>
    <n v="0"/>
    <n v="-1"/>
    <n v="-1"/>
    <n v="-1"/>
    <n v="1"/>
    <n v="-1"/>
    <n v="100"/>
  </r>
  <r>
    <n v="0"/>
    <x v="3"/>
    <m/>
    <x v="0"/>
    <x v="3"/>
    <n v="0"/>
    <n v="0"/>
    <s v="No Pams"/>
    <n v="0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0"/>
    <n v="-1"/>
    <n v="-1"/>
    <n v="-1"/>
    <n v="1"/>
    <n v="-1"/>
    <n v="100"/>
  </r>
  <r>
    <n v="0"/>
    <x v="5"/>
    <m/>
    <x v="0"/>
    <x v="5"/>
    <n v="0"/>
    <n v="0"/>
    <s v="No Pams"/>
    <n v="1"/>
    <n v="1"/>
    <n v="0"/>
    <n v="-1"/>
    <n v="-1"/>
    <n v="-1"/>
    <n v="1"/>
    <n v="-1"/>
    <n v="100"/>
  </r>
  <r>
    <n v="0"/>
    <x v="6"/>
    <m/>
    <x v="0"/>
    <x v="6"/>
    <n v="0"/>
    <n v="0"/>
    <s v="No Pams"/>
    <n v="1"/>
    <n v="1"/>
    <n v="0"/>
    <n v="-1"/>
    <n v="-1"/>
    <n v="-1"/>
    <n v="1"/>
    <n v="-1"/>
    <n v="100"/>
  </r>
  <r>
    <n v="0"/>
    <x v="7"/>
    <m/>
    <x v="0"/>
    <x v="7"/>
    <n v="0"/>
    <n v="0"/>
    <s v="No Pams"/>
    <n v="1"/>
    <n v="1"/>
    <n v="0"/>
    <n v="-1"/>
    <n v="-1"/>
    <n v="-1"/>
    <n v="1"/>
    <n v="-1"/>
    <n v="100"/>
  </r>
  <r>
    <n v="0"/>
    <x v="8"/>
    <m/>
    <x v="0"/>
    <x v="8"/>
    <n v="0"/>
    <n v="0"/>
    <s v="No Pams"/>
    <n v="1"/>
    <n v="1"/>
    <n v="0"/>
    <n v="-1"/>
    <n v="-1"/>
    <n v="-1"/>
    <n v="1"/>
    <n v="-1"/>
    <n v="100"/>
  </r>
  <r>
    <n v="0"/>
    <x v="9"/>
    <m/>
    <x v="0"/>
    <x v="9"/>
    <n v="0"/>
    <n v="0"/>
    <s v="No Pams"/>
    <n v="1"/>
    <n v="1"/>
    <n v="0"/>
    <n v="-1"/>
    <n v="-1"/>
    <n v="-1"/>
    <n v="1"/>
    <n v="-1"/>
    <n v="100"/>
  </r>
  <r>
    <n v="0"/>
    <x v="10"/>
    <m/>
    <x v="0"/>
    <x v="10"/>
    <n v="0"/>
    <n v="0"/>
    <s v="No Pams"/>
    <n v="1"/>
    <n v="1"/>
    <n v="0"/>
    <n v="-1"/>
    <n v="-1"/>
    <n v="-1"/>
    <n v="1"/>
    <n v="-1"/>
    <n v="100"/>
  </r>
  <r>
    <n v="0"/>
    <x v="11"/>
    <m/>
    <x v="0"/>
    <x v="11"/>
    <n v="0"/>
    <n v="0"/>
    <s v="No Pams"/>
    <n v="1"/>
    <n v="1"/>
    <n v="0"/>
    <n v="-1"/>
    <n v="-1"/>
    <n v="-1"/>
    <n v="1"/>
    <n v="-1"/>
    <n v="100"/>
  </r>
  <r>
    <n v="0"/>
    <x v="12"/>
    <m/>
    <x v="0"/>
    <x v="12"/>
    <n v="0"/>
    <n v="0"/>
    <s v="No Pams"/>
    <n v="1"/>
    <n v="1"/>
    <n v="0"/>
    <n v="-1"/>
    <n v="-1"/>
    <n v="-1"/>
    <n v="1"/>
    <n v="-1"/>
    <n v="100"/>
  </r>
  <r>
    <n v="0"/>
    <x v="13"/>
    <m/>
    <x v="0"/>
    <x v="13"/>
    <n v="0"/>
    <n v="0"/>
    <s v="No Pams"/>
    <n v="1"/>
    <n v="1"/>
    <n v="0"/>
    <n v="-1"/>
    <n v="-1"/>
    <n v="-1"/>
    <n v="1"/>
    <n v="-1"/>
    <n v="100"/>
  </r>
  <r>
    <n v="0"/>
    <x v="14"/>
    <m/>
    <x v="0"/>
    <x v="14"/>
    <n v="0"/>
    <n v="0"/>
    <s v="No Pams"/>
    <n v="1"/>
    <n v="1"/>
    <n v="0"/>
    <n v="-1"/>
    <n v="-1"/>
    <n v="-1"/>
    <n v="1"/>
    <n v="-1"/>
    <n v="100"/>
  </r>
  <r>
    <n v="0"/>
    <x v="15"/>
    <m/>
    <x v="0"/>
    <x v="15"/>
    <n v="0"/>
    <n v="0"/>
    <s v="No Pams"/>
    <n v="1"/>
    <n v="1"/>
    <n v="0"/>
    <n v="-1"/>
    <n v="-1"/>
    <n v="-1"/>
    <n v="1"/>
    <n v="-1"/>
    <n v="100"/>
  </r>
  <r>
    <n v="0"/>
    <x v="16"/>
    <m/>
    <x v="0"/>
    <x v="16"/>
    <n v="0"/>
    <n v="0"/>
    <s v="No Pams"/>
    <n v="1"/>
    <n v="1"/>
    <n v="0"/>
    <n v="-1"/>
    <n v="-1"/>
    <n v="-1"/>
    <n v="1"/>
    <n v="-1"/>
    <n v="100"/>
  </r>
  <r>
    <n v="0"/>
    <x v="17"/>
    <m/>
    <x v="0"/>
    <x v="17"/>
    <n v="0"/>
    <n v="0"/>
    <s v="No Pams"/>
    <n v="1"/>
    <n v="1"/>
    <n v="0"/>
    <n v="-1"/>
    <n v="-1"/>
    <n v="-1"/>
    <n v="1"/>
    <n v="-1"/>
    <n v="100"/>
  </r>
  <r>
    <n v="0"/>
    <x v="18"/>
    <m/>
    <x v="0"/>
    <x v="18"/>
    <n v="0"/>
    <n v="0"/>
    <s v="No Pams"/>
    <n v="1"/>
    <n v="1"/>
    <n v="0"/>
    <n v="-1"/>
    <n v="-1"/>
    <n v="-1"/>
    <n v="1"/>
    <n v="-1"/>
    <n v="100"/>
  </r>
  <r>
    <n v="0"/>
    <x v="19"/>
    <m/>
    <x v="0"/>
    <x v="19"/>
    <n v="0"/>
    <n v="0"/>
    <s v="No Pams"/>
    <n v="1"/>
    <n v="1"/>
    <n v="0"/>
    <n v="-1"/>
    <n v="-1"/>
    <n v="-1"/>
    <n v="1"/>
    <n v="-1"/>
    <n v="100"/>
  </r>
  <r>
    <n v="0"/>
    <x v="20"/>
    <m/>
    <x v="0"/>
    <x v="20"/>
    <n v="0"/>
    <n v="0"/>
    <s v="No Pams"/>
    <n v="1"/>
    <n v="1"/>
    <n v="0"/>
    <n v="-1"/>
    <n v="-1"/>
    <n v="-1"/>
    <n v="1"/>
    <n v="-1"/>
    <n v="100"/>
  </r>
  <r>
    <n v="0"/>
    <x v="21"/>
    <m/>
    <x v="0"/>
    <x v="21"/>
    <n v="0"/>
    <n v="0"/>
    <s v="No Pams"/>
    <n v="1"/>
    <n v="1"/>
    <n v="0"/>
    <n v="-1"/>
    <n v="-1"/>
    <n v="-1"/>
    <n v="1"/>
    <n v="-1"/>
    <n v="100"/>
  </r>
  <r>
    <n v="0"/>
    <x v="22"/>
    <m/>
    <x v="0"/>
    <x v="22"/>
    <n v="1"/>
    <n v="1"/>
    <s v="No Pams"/>
    <n v="1"/>
    <n v="1"/>
    <n v="0"/>
    <n v="-1"/>
    <n v="1"/>
    <n v="1"/>
    <n v="1"/>
    <n v="-1"/>
    <n v="100"/>
  </r>
  <r>
    <n v="0"/>
    <x v="23"/>
    <m/>
    <x v="0"/>
    <x v="23"/>
    <n v="1"/>
    <n v="1"/>
    <s v="No Pams"/>
    <n v="1"/>
    <n v="1"/>
    <n v="0"/>
    <n v="-1"/>
    <n v="1"/>
    <n v="1"/>
    <n v="1"/>
    <n v="-1"/>
    <n v="100"/>
  </r>
  <r>
    <n v="0"/>
    <x v="24"/>
    <m/>
    <x v="0"/>
    <x v="24"/>
    <n v="1"/>
    <n v="1"/>
    <s v="No Pams"/>
    <n v="1"/>
    <n v="1"/>
    <n v="0"/>
    <n v="-1"/>
    <n v="-1"/>
    <n v="-1"/>
    <n v="1"/>
    <n v="-1"/>
    <n v="100"/>
  </r>
  <r>
    <n v="0"/>
    <x v="25"/>
    <m/>
    <x v="0"/>
    <x v="25"/>
    <n v="0"/>
    <n v="1"/>
    <s v="No Pams"/>
    <n v="0"/>
    <n v="0"/>
    <n v="0"/>
    <n v="-1"/>
    <n v="1"/>
    <n v="1"/>
    <n v="1"/>
    <n v="-1"/>
    <n v="100"/>
  </r>
  <r>
    <n v="0"/>
    <x v="26"/>
    <m/>
    <x v="0"/>
    <x v="26"/>
    <n v="0"/>
    <n v="1"/>
    <s v="No Pams"/>
    <n v="1"/>
    <n v="1"/>
    <n v="0"/>
    <n v="-1"/>
    <n v="1"/>
    <n v="1"/>
    <n v="1"/>
    <n v="-1"/>
    <n v="100"/>
  </r>
  <r>
    <n v="0"/>
    <x v="27"/>
    <m/>
    <x v="0"/>
    <x v="27"/>
    <n v="0"/>
    <n v="1"/>
    <s v="No Pams"/>
    <n v="1"/>
    <n v="1"/>
    <n v="0"/>
    <n v="-1"/>
    <n v="1"/>
    <n v="1"/>
    <n v="1"/>
    <n v="-1"/>
    <n v="100"/>
  </r>
  <r>
    <n v="0"/>
    <x v="28"/>
    <m/>
    <x v="0"/>
    <x v="28"/>
    <n v="0"/>
    <n v="1"/>
    <s v="No Pams"/>
    <n v="0"/>
    <n v="0"/>
    <n v="0"/>
    <n v="-1"/>
    <n v="-1"/>
    <n v="-1"/>
    <n v="1"/>
    <n v="-1"/>
    <n v="100"/>
  </r>
  <r>
    <n v="1"/>
    <x v="29"/>
    <m/>
    <x v="0"/>
    <x v="29"/>
    <n v="1"/>
    <n v="1"/>
    <s v="No Pams"/>
    <n v="1"/>
    <n v="1"/>
    <n v="0"/>
    <n v="-1"/>
    <n v="-1"/>
    <n v="-1"/>
    <n v="1"/>
    <n v="-1"/>
    <n v="100"/>
  </r>
  <r>
    <n v="1"/>
    <x v="30"/>
    <m/>
    <x v="0"/>
    <x v="30"/>
    <n v="1"/>
    <n v="1"/>
    <s v="No Pams"/>
    <n v="1"/>
    <n v="1"/>
    <n v="0"/>
    <n v="-1"/>
    <n v="-1"/>
    <n v="-1"/>
    <n v="1"/>
    <n v="-1"/>
    <n v="100"/>
  </r>
  <r>
    <n v="1"/>
    <x v="31"/>
    <m/>
    <x v="0"/>
    <x v="30"/>
    <n v="1"/>
    <n v="1"/>
    <s v="No Pams"/>
    <n v="1"/>
    <n v="1"/>
    <n v="1"/>
    <n v="-1"/>
    <n v="-1"/>
    <n v="-1"/>
    <n v="1"/>
    <n v="-1"/>
    <n v="100"/>
  </r>
  <r>
    <n v="0"/>
    <x v="32"/>
    <m/>
    <x v="0"/>
    <x v="31"/>
    <n v="0"/>
    <n v="1"/>
    <s v="No Pams"/>
    <n v="0"/>
    <n v="0"/>
    <n v="0"/>
    <n v="-1"/>
    <n v="-1"/>
    <n v="-1"/>
    <n v="1"/>
    <n v="-1"/>
    <n v="100"/>
  </r>
  <r>
    <n v="0"/>
    <x v="33"/>
    <m/>
    <x v="0"/>
    <x v="31"/>
    <n v="0"/>
    <n v="1"/>
    <s v="No Pams"/>
    <n v="0"/>
    <n v="0"/>
    <n v="0"/>
    <n v="-1"/>
    <n v="-1"/>
    <n v="-1"/>
    <n v="1"/>
    <n v="-1"/>
    <n v="100"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CD6160-F933-4CCB-A644-0E9BC9F83FBB}" name="PivotTable13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Z6:AA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C6:AD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2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1" firstHeaderRow="1" firstDataRow="1" firstDataCol="1"/>
  <pivotFields count="17">
    <pivotField dataField="1"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9" firstHeaderRow="1" firstDataRow="1" firstDataCol="1"/>
  <pivotFields count="17">
    <pivotField showAll="0"/>
    <pivotField showAll="0"/>
    <pivotField showAll="0"/>
    <pivotField showAll="0"/>
    <pivotField axis="axisRow" showAll="0">
      <items count="278">
        <item m="1" x="203"/>
        <item m="1" x="170"/>
        <item m="1" x="160"/>
        <item x="32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8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m="1" x="37"/>
        <item x="24"/>
        <item x="23"/>
        <item x="22"/>
        <item x="25"/>
        <item x="26"/>
        <item x="27"/>
        <item x="29"/>
        <item x="30"/>
        <item x="31"/>
        <item m="1" x="34"/>
        <item m="1"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3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2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1" firstHeaderRow="1" firstDataRow="1" firstDataCol="1"/>
  <pivotFields count="17">
    <pivotField showAll="0"/>
    <pivotField axis="axisRow" showAll="0">
      <items count="37">
        <item m="1" x="35"/>
        <item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6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7">
        <item m="1" x="203"/>
        <item m="1" x="170"/>
        <item m="1" x="160"/>
        <item x="32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8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m="1" x="37"/>
        <item x="24"/>
        <item x="23"/>
        <item x="22"/>
        <item x="25"/>
        <item x="26"/>
        <item x="27"/>
        <item x="29"/>
        <item x="30"/>
        <item x="31"/>
        <item m="1" x="34"/>
        <item m="1"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5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6"/>
    </i>
    <i>
      <x v="25"/>
      <x v="267"/>
    </i>
    <i>
      <x v="26"/>
      <x v="268"/>
    </i>
    <i>
      <x v="27"/>
      <x v="269"/>
    </i>
    <i>
      <x v="28"/>
      <x v="270"/>
    </i>
    <i>
      <x v="29"/>
      <x v="271"/>
    </i>
    <i>
      <x v="30"/>
      <x v="182"/>
    </i>
    <i>
      <x v="31"/>
      <x v="272"/>
    </i>
    <i>
      <x v="32"/>
      <x v="273"/>
    </i>
    <i>
      <x v="33"/>
      <x v="274"/>
    </i>
    <i>
      <x v="34"/>
      <x v="273"/>
    </i>
    <i>
      <x v="35"/>
      <x v="2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6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5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2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1" firstHeaderRow="0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D24" sqref="D24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"Sets!"&amp;ADDRESS(ROW(Sets!AF7),COLUMN(Sets!AF7),4)</f>
        <v>Sets!AF7</v>
      </c>
      <c r="D18">
        <v>1</v>
      </c>
    </row>
    <row r="19" spans="1:5">
      <c r="A19" t="s">
        <v>3</v>
      </c>
      <c r="B19" t="s">
        <v>55</v>
      </c>
      <c r="C19" t="str">
        <f>"Sets!"&amp;ADDRESS(ROW(Sets!AG7),COLUMN(Sets!AG7),4)</f>
        <v>Sets!AG7</v>
      </c>
      <c r="D19">
        <v>1</v>
      </c>
    </row>
    <row r="20" spans="1:5">
      <c r="A20" t="s">
        <v>3</v>
      </c>
      <c r="B20" t="s">
        <v>215</v>
      </c>
      <c r="C20" t="str">
        <f>"Sets!"&amp;ADDRESS(ROW(Sets!AH7),COLUMN(Sets!AH7),4)</f>
        <v>Sets!AH7</v>
      </c>
      <c r="D20">
        <v>1</v>
      </c>
    </row>
    <row r="21" spans="1:5">
      <c r="A21" t="s">
        <v>3</v>
      </c>
      <c r="B21" t="s">
        <v>258</v>
      </c>
      <c r="C21" t="str">
        <f>"Sets!"&amp;ADDRESS(ROW(Sets!AI7),COLUMN(Sets!AI7),4)</f>
        <v>Sets!AI7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275</v>
      </c>
      <c r="C23" t="str">
        <f>"Sets!"&amp;ADDRESS(ROW(Sets!Z6),COLUMN(Sets!Z6),4)</f>
        <v>Sets!Z6</v>
      </c>
      <c r="D23">
        <v>1</v>
      </c>
    </row>
    <row r="24" spans="1:5">
      <c r="A24" t="s">
        <v>2</v>
      </c>
      <c r="B24" t="s">
        <v>205</v>
      </c>
      <c r="C24" t="str">
        <f>"Sets!"&amp;ADDRESS(ROW(Sets!AC7),COLUMN(Sets!AC7),4)</f>
        <v>Sets!AC7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O84"/>
  <sheetViews>
    <sheetView topLeftCell="O11" workbookViewId="0">
      <selection activeCell="S32" sqref="S32"/>
    </sheetView>
  </sheetViews>
  <sheetFormatPr defaultRowHeight="15"/>
  <cols>
    <col min="1" max="2" width="29.42578125" bestFit="1" customWidth="1"/>
    <col min="3" max="3" width="13.140625" customWidth="1"/>
    <col min="4" max="4" width="13.140625" bestFit="1" customWidth="1"/>
    <col min="5" max="5" width="29.42578125" bestFit="1" customWidth="1"/>
    <col min="6" max="6" width="23" bestFit="1" customWidth="1"/>
    <col min="7" max="7" width="29.42578125" bestFit="1" customWidth="1"/>
    <col min="8" max="8" width="19.85546875" bestFit="1" customWidth="1"/>
    <col min="9" max="9" width="29.42578125" bestFit="1" customWidth="1"/>
    <col min="10" max="10" width="18.5703125" bestFit="1" customWidth="1"/>
    <col min="11" max="11" width="29.42578125" bestFit="1" customWidth="1"/>
    <col min="12" max="12" width="20.7109375" bestFit="1" customWidth="1"/>
    <col min="13" max="13" width="29.42578125" bestFit="1" customWidth="1"/>
    <col min="14" max="14" width="21" bestFit="1" customWidth="1"/>
    <col min="15" max="15" width="23.140625" customWidth="1"/>
    <col min="16" max="16" width="29.42578125" bestFit="1" customWidth="1"/>
    <col min="17" max="17" width="16.7109375" bestFit="1" customWidth="1"/>
    <col min="18" max="18" width="18" bestFit="1" customWidth="1"/>
    <col min="19" max="19" width="29.425781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5" width="6.85546875" customWidth="1"/>
    <col min="26" max="26" width="29.42578125" bestFit="1" customWidth="1"/>
    <col min="27" max="27" width="12.85546875" bestFit="1" customWidth="1"/>
    <col min="28" max="28" width="6.85546875" customWidth="1"/>
    <col min="29" max="29" width="29.42578125" bestFit="1" customWidth="1"/>
    <col min="30" max="30" width="19.140625" bestFit="1" customWidth="1"/>
    <col min="31" max="31" width="20.140625" customWidth="1"/>
    <col min="32" max="32" width="10" style="10" bestFit="1" customWidth="1"/>
    <col min="33" max="33" width="11.5703125" style="10" bestFit="1" customWidth="1"/>
    <col min="34" max="35" width="23.140625" customWidth="1"/>
    <col min="36" max="36" width="16.7109375" customWidth="1"/>
    <col min="37" max="37" width="19" customWidth="1"/>
  </cols>
  <sheetData>
    <row r="5" spans="1:41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Z5" s="1" t="s">
        <v>275</v>
      </c>
      <c r="AC5" s="1" t="s">
        <v>203</v>
      </c>
      <c r="AF5" s="1" t="s">
        <v>53</v>
      </c>
      <c r="AG5" s="1" t="s">
        <v>56</v>
      </c>
      <c r="AH5" s="1" t="s">
        <v>214</v>
      </c>
      <c r="AI5" s="1" t="s">
        <v>257</v>
      </c>
      <c r="AO5" s="1" t="s">
        <v>27</v>
      </c>
    </row>
    <row r="6" spans="1:41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Z6" s="8" t="s">
        <v>33</v>
      </c>
      <c r="AA6" t="s">
        <v>276</v>
      </c>
      <c r="AC6" s="8" t="s">
        <v>33</v>
      </c>
      <c r="AD6" t="s">
        <v>204</v>
      </c>
      <c r="AE6" s="8"/>
      <c r="AF6" s="12" t="s">
        <v>54</v>
      </c>
      <c r="AG6" s="12" t="s">
        <v>55</v>
      </c>
      <c r="AH6" t="s">
        <v>215</v>
      </c>
      <c r="AI6" t="s">
        <v>258</v>
      </c>
    </row>
    <row r="7" spans="1:41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Y7" s="22"/>
      <c r="Z7" s="9" t="s">
        <v>193</v>
      </c>
      <c r="AA7" s="22"/>
      <c r="AC7" s="9" t="s">
        <v>193</v>
      </c>
      <c r="AD7" s="22"/>
      <c r="AF7" s="10">
        <v>2019</v>
      </c>
      <c r="AG7" s="10">
        <f>2056-Scenarios!G6</f>
        <v>2053</v>
      </c>
      <c r="AH7" s="10">
        <v>2017</v>
      </c>
      <c r="AI7">
        <v>2018</v>
      </c>
      <c r="AL7" s="10">
        <v>2019</v>
      </c>
      <c r="AO7" t="s">
        <v>14</v>
      </c>
    </row>
    <row r="8" spans="1:41">
      <c r="A8" s="9" t="s">
        <v>232</v>
      </c>
      <c r="B8" s="9" t="s">
        <v>265</v>
      </c>
      <c r="C8" s="9" t="s">
        <v>31</v>
      </c>
      <c r="D8" s="9" t="s">
        <v>193</v>
      </c>
      <c r="E8" s="9" t="s">
        <v>232</v>
      </c>
      <c r="F8" s="22">
        <v>0</v>
      </c>
      <c r="G8" s="9" t="s">
        <v>232</v>
      </c>
      <c r="H8" s="22">
        <v>0</v>
      </c>
      <c r="I8" s="9" t="s">
        <v>232</v>
      </c>
      <c r="J8" s="22">
        <v>0</v>
      </c>
      <c r="K8" s="9" t="s">
        <v>232</v>
      </c>
      <c r="L8" s="22">
        <v>1</v>
      </c>
      <c r="M8" s="9" t="s">
        <v>232</v>
      </c>
      <c r="N8" s="22">
        <v>1</v>
      </c>
      <c r="O8" t="s">
        <v>232</v>
      </c>
      <c r="P8" t="s">
        <v>232</v>
      </c>
      <c r="Q8" t="s">
        <v>232</v>
      </c>
      <c r="R8" t="s">
        <v>30</v>
      </c>
      <c r="S8" s="9" t="s">
        <v>232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Y8" s="22"/>
      <c r="Z8" s="9" t="s">
        <v>232</v>
      </c>
      <c r="AA8" s="22">
        <v>0</v>
      </c>
      <c r="AC8" s="9" t="s">
        <v>232</v>
      </c>
      <c r="AD8" s="22">
        <v>100</v>
      </c>
      <c r="AF8" s="10">
        <v>2020</v>
      </c>
      <c r="AG8" s="10">
        <f>IF(OR(AG7=2055,AG7=""),"",AG7+1)</f>
        <v>2054</v>
      </c>
      <c r="AH8" s="10">
        <v>2018</v>
      </c>
      <c r="AI8">
        <v>2019</v>
      </c>
      <c r="AJ8" s="10">
        <v>2018</v>
      </c>
      <c r="AL8" s="10">
        <v>2020</v>
      </c>
      <c r="AO8" t="s">
        <v>15</v>
      </c>
    </row>
    <row r="9" spans="1:41">
      <c r="A9" s="9" t="s">
        <v>233</v>
      </c>
      <c r="B9" s="9" t="s">
        <v>232</v>
      </c>
      <c r="C9" s="9" t="s">
        <v>32</v>
      </c>
      <c r="E9" s="9" t="s">
        <v>233</v>
      </c>
      <c r="F9" s="22">
        <v>0</v>
      </c>
      <c r="G9" s="9" t="s">
        <v>233</v>
      </c>
      <c r="H9" s="22">
        <v>1</v>
      </c>
      <c r="I9" s="9" t="s">
        <v>233</v>
      </c>
      <c r="J9" s="22">
        <v>1</v>
      </c>
      <c r="K9" s="9" t="s">
        <v>233</v>
      </c>
      <c r="L9" s="22">
        <v>1</v>
      </c>
      <c r="M9" s="9" t="s">
        <v>233</v>
      </c>
      <c r="N9" s="22">
        <v>1</v>
      </c>
      <c r="O9" t="s">
        <v>233</v>
      </c>
      <c r="P9" t="s">
        <v>233</v>
      </c>
      <c r="Q9" t="s">
        <v>233</v>
      </c>
      <c r="R9" t="s">
        <v>30</v>
      </c>
      <c r="S9" s="9" t="s">
        <v>233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Y9" s="22"/>
      <c r="Z9" s="9" t="s">
        <v>233</v>
      </c>
      <c r="AA9" s="22">
        <v>0</v>
      </c>
      <c r="AC9" s="9" t="s">
        <v>233</v>
      </c>
      <c r="AD9" s="22">
        <v>100</v>
      </c>
      <c r="AF9" s="10">
        <v>2021</v>
      </c>
      <c r="AG9" s="10">
        <f t="shared" ref="AG9:AG15" si="0">IF(OR(AG8=2055,AG8=""),"",AG8+1)</f>
        <v>2055</v>
      </c>
      <c r="AH9" s="10">
        <v>2019</v>
      </c>
      <c r="AI9">
        <v>2020</v>
      </c>
      <c r="AL9" s="10">
        <v>2021</v>
      </c>
      <c r="AO9" t="s">
        <v>16</v>
      </c>
    </row>
    <row r="10" spans="1:41">
      <c r="A10" s="9" t="s">
        <v>234</v>
      </c>
      <c r="B10" s="9" t="s">
        <v>233</v>
      </c>
      <c r="C10" s="9" t="s">
        <v>46</v>
      </c>
      <c r="E10" s="9" t="s">
        <v>234</v>
      </c>
      <c r="F10" s="22">
        <v>0</v>
      </c>
      <c r="G10" s="9" t="s">
        <v>234</v>
      </c>
      <c r="H10" s="22">
        <v>0</v>
      </c>
      <c r="I10" s="9" t="s">
        <v>234</v>
      </c>
      <c r="J10" s="22">
        <v>0</v>
      </c>
      <c r="K10" s="9" t="s">
        <v>234</v>
      </c>
      <c r="L10" s="22">
        <v>1</v>
      </c>
      <c r="M10" s="9" t="s">
        <v>234</v>
      </c>
      <c r="N10" s="22">
        <v>1</v>
      </c>
      <c r="O10" t="s">
        <v>234</v>
      </c>
      <c r="P10" t="s">
        <v>234</v>
      </c>
      <c r="Q10" t="s">
        <v>234</v>
      </c>
      <c r="R10" t="s">
        <v>30</v>
      </c>
      <c r="S10" s="9" t="s">
        <v>234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Y10" s="22"/>
      <c r="Z10" s="9" t="s">
        <v>234</v>
      </c>
      <c r="AA10" s="22">
        <v>0</v>
      </c>
      <c r="AC10" s="9" t="s">
        <v>234</v>
      </c>
      <c r="AD10" s="22">
        <v>100</v>
      </c>
      <c r="AF10" s="10">
        <v>2022</v>
      </c>
      <c r="AG10" s="10" t="str">
        <f t="shared" si="0"/>
        <v/>
      </c>
      <c r="AH10" s="10">
        <v>2020</v>
      </c>
      <c r="AI10">
        <v>2021</v>
      </c>
      <c r="AL10" s="10">
        <v>2022</v>
      </c>
      <c r="AO10" t="s">
        <v>17</v>
      </c>
    </row>
    <row r="11" spans="1:41">
      <c r="A11" s="9" t="s">
        <v>235</v>
      </c>
      <c r="B11" s="9" t="s">
        <v>234</v>
      </c>
      <c r="C11" s="9" t="s">
        <v>47</v>
      </c>
      <c r="E11" s="9" t="s">
        <v>235</v>
      </c>
      <c r="F11" s="22">
        <v>0</v>
      </c>
      <c r="G11" s="9" t="s">
        <v>235</v>
      </c>
      <c r="H11" s="22">
        <v>0</v>
      </c>
      <c r="I11" s="9" t="s">
        <v>235</v>
      </c>
      <c r="J11" s="22">
        <v>0</v>
      </c>
      <c r="K11" s="9" t="s">
        <v>235</v>
      </c>
      <c r="L11" s="22">
        <v>0</v>
      </c>
      <c r="M11" s="9" t="s">
        <v>235</v>
      </c>
      <c r="N11" s="22">
        <v>0</v>
      </c>
      <c r="O11" t="s">
        <v>235</v>
      </c>
      <c r="P11" t="s">
        <v>235</v>
      </c>
      <c r="Q11" t="s">
        <v>235</v>
      </c>
      <c r="R11" t="s">
        <v>30</v>
      </c>
      <c r="S11" s="9" t="s">
        <v>235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Y11" s="22"/>
      <c r="Z11" s="9" t="s">
        <v>235</v>
      </c>
      <c r="AA11" s="22">
        <v>0</v>
      </c>
      <c r="AC11" s="9" t="s">
        <v>235</v>
      </c>
      <c r="AD11" s="22">
        <v>100</v>
      </c>
      <c r="AF11" s="10">
        <v>2023</v>
      </c>
      <c r="AG11" s="10" t="str">
        <f t="shared" si="0"/>
        <v/>
      </c>
      <c r="AH11" s="10">
        <v>2021</v>
      </c>
      <c r="AI11">
        <v>2022</v>
      </c>
      <c r="AL11" s="10">
        <v>2023</v>
      </c>
      <c r="AO11" t="s">
        <v>18</v>
      </c>
    </row>
    <row r="12" spans="1:41">
      <c r="A12" s="9" t="s">
        <v>236</v>
      </c>
      <c r="B12" s="9" t="s">
        <v>235</v>
      </c>
      <c r="C12" s="9" t="s">
        <v>48</v>
      </c>
      <c r="D12" s="9"/>
      <c r="E12" s="9" t="s">
        <v>236</v>
      </c>
      <c r="F12" s="22">
        <v>0</v>
      </c>
      <c r="G12" s="9" t="s">
        <v>236</v>
      </c>
      <c r="H12" s="22">
        <v>0</v>
      </c>
      <c r="I12" s="9" t="s">
        <v>236</v>
      </c>
      <c r="J12" s="22">
        <v>0</v>
      </c>
      <c r="K12" s="9" t="s">
        <v>236</v>
      </c>
      <c r="L12" s="22">
        <v>1</v>
      </c>
      <c r="M12" s="9" t="s">
        <v>236</v>
      </c>
      <c r="N12" s="22">
        <v>1</v>
      </c>
      <c r="O12" t="s">
        <v>236</v>
      </c>
      <c r="P12" t="s">
        <v>236</v>
      </c>
      <c r="Q12" t="s">
        <v>236</v>
      </c>
      <c r="R12" t="s">
        <v>30</v>
      </c>
      <c r="S12" s="9" t="s">
        <v>236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Y12" s="22"/>
      <c r="Z12" s="9" t="s">
        <v>236</v>
      </c>
      <c r="AA12" s="22">
        <v>0</v>
      </c>
      <c r="AC12" s="9" t="s">
        <v>236</v>
      </c>
      <c r="AD12" s="22">
        <v>100</v>
      </c>
      <c r="AF12" s="10">
        <v>2024</v>
      </c>
      <c r="AG12" s="10" t="str">
        <f t="shared" si="0"/>
        <v/>
      </c>
      <c r="AH12" s="10">
        <v>2022</v>
      </c>
      <c r="AI12">
        <v>2023</v>
      </c>
      <c r="AL12" s="10">
        <v>2024</v>
      </c>
      <c r="AO12" t="s">
        <v>19</v>
      </c>
    </row>
    <row r="13" spans="1:41">
      <c r="A13" s="9" t="s">
        <v>237</v>
      </c>
      <c r="B13" s="9" t="s">
        <v>236</v>
      </c>
      <c r="C13" s="9" t="s">
        <v>49</v>
      </c>
      <c r="D13" s="9"/>
      <c r="E13" s="9" t="s">
        <v>237</v>
      </c>
      <c r="F13" s="22">
        <v>0</v>
      </c>
      <c r="G13" s="9" t="s">
        <v>237</v>
      </c>
      <c r="H13" s="22">
        <v>0</v>
      </c>
      <c r="I13" s="9" t="s">
        <v>237</v>
      </c>
      <c r="J13" s="22">
        <v>0</v>
      </c>
      <c r="K13" s="9" t="s">
        <v>237</v>
      </c>
      <c r="L13" s="22">
        <v>1</v>
      </c>
      <c r="M13" s="9" t="s">
        <v>237</v>
      </c>
      <c r="N13" s="22">
        <v>1</v>
      </c>
      <c r="O13" t="s">
        <v>237</v>
      </c>
      <c r="P13" t="s">
        <v>237</v>
      </c>
      <c r="Q13" t="s">
        <v>237</v>
      </c>
      <c r="R13" t="s">
        <v>30</v>
      </c>
      <c r="S13" s="9" t="s">
        <v>237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Y13" s="22"/>
      <c r="Z13" s="9" t="s">
        <v>237</v>
      </c>
      <c r="AA13" s="22">
        <v>0</v>
      </c>
      <c r="AC13" s="9" t="s">
        <v>237</v>
      </c>
      <c r="AD13" s="22">
        <v>100</v>
      </c>
      <c r="AF13" s="10">
        <v>2025</v>
      </c>
      <c r="AG13" s="10" t="str">
        <f t="shared" si="0"/>
        <v/>
      </c>
      <c r="AH13" s="10">
        <v>2023</v>
      </c>
      <c r="AI13">
        <v>2024</v>
      </c>
      <c r="AL13" s="10">
        <v>2025</v>
      </c>
      <c r="AO13" t="s">
        <v>20</v>
      </c>
    </row>
    <row r="14" spans="1:41">
      <c r="A14" s="9" t="s">
        <v>238</v>
      </c>
      <c r="B14" s="9" t="s">
        <v>237</v>
      </c>
      <c r="C14" s="9" t="s">
        <v>50</v>
      </c>
      <c r="D14" s="9"/>
      <c r="E14" s="9" t="s">
        <v>238</v>
      </c>
      <c r="F14" s="22">
        <v>0</v>
      </c>
      <c r="G14" s="9" t="s">
        <v>238</v>
      </c>
      <c r="H14" s="22">
        <v>0</v>
      </c>
      <c r="I14" s="9" t="s">
        <v>238</v>
      </c>
      <c r="J14" s="22">
        <v>0</v>
      </c>
      <c r="K14" s="9" t="s">
        <v>238</v>
      </c>
      <c r="L14" s="22">
        <v>1</v>
      </c>
      <c r="M14" s="9" t="s">
        <v>238</v>
      </c>
      <c r="N14" s="22">
        <v>1</v>
      </c>
      <c r="O14" t="s">
        <v>238</v>
      </c>
      <c r="P14" t="s">
        <v>238</v>
      </c>
      <c r="Q14" t="s">
        <v>238</v>
      </c>
      <c r="R14" t="s">
        <v>30</v>
      </c>
      <c r="S14" s="9" t="s">
        <v>238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Y14" s="22"/>
      <c r="Z14" s="9" t="s">
        <v>238</v>
      </c>
      <c r="AA14" s="22">
        <v>0</v>
      </c>
      <c r="AC14" s="9" t="s">
        <v>238</v>
      </c>
      <c r="AD14" s="22">
        <v>100</v>
      </c>
      <c r="AF14" s="10">
        <v>2026</v>
      </c>
      <c r="AG14" s="10" t="str">
        <f t="shared" si="0"/>
        <v/>
      </c>
      <c r="AH14" s="10">
        <v>2024</v>
      </c>
      <c r="AI14">
        <v>2025</v>
      </c>
      <c r="AL14" s="10">
        <v>2026</v>
      </c>
      <c r="AO14" t="s">
        <v>21</v>
      </c>
    </row>
    <row r="15" spans="1:41">
      <c r="A15" s="9" t="s">
        <v>239</v>
      </c>
      <c r="B15" s="9" t="s">
        <v>238</v>
      </c>
      <c r="C15" s="9" t="s">
        <v>51</v>
      </c>
      <c r="D15" s="9"/>
      <c r="E15" s="9" t="s">
        <v>239</v>
      </c>
      <c r="F15" s="22">
        <v>0</v>
      </c>
      <c r="G15" s="9" t="s">
        <v>239</v>
      </c>
      <c r="H15" s="22">
        <v>0</v>
      </c>
      <c r="I15" s="9" t="s">
        <v>239</v>
      </c>
      <c r="J15" s="22">
        <v>0</v>
      </c>
      <c r="K15" s="9" t="s">
        <v>239</v>
      </c>
      <c r="L15" s="22">
        <v>1</v>
      </c>
      <c r="M15" s="9" t="s">
        <v>239</v>
      </c>
      <c r="N15" s="22">
        <v>1</v>
      </c>
      <c r="O15" t="s">
        <v>239</v>
      </c>
      <c r="P15" t="s">
        <v>239</v>
      </c>
      <c r="Q15" t="s">
        <v>239</v>
      </c>
      <c r="R15" t="s">
        <v>30</v>
      </c>
      <c r="S15" s="9" t="s">
        <v>239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Y15" s="22"/>
      <c r="Z15" s="9" t="s">
        <v>239</v>
      </c>
      <c r="AA15" s="22">
        <v>0</v>
      </c>
      <c r="AC15" s="9" t="s">
        <v>239</v>
      </c>
      <c r="AD15" s="22">
        <v>100</v>
      </c>
      <c r="AF15" s="10">
        <v>2027</v>
      </c>
      <c r="AG15" s="10" t="str">
        <f t="shared" si="0"/>
        <v/>
      </c>
      <c r="AH15" s="10">
        <v>2025</v>
      </c>
      <c r="AI15">
        <v>2026</v>
      </c>
      <c r="AL15" s="10">
        <v>2027</v>
      </c>
      <c r="AO15" t="s">
        <v>22</v>
      </c>
    </row>
    <row r="16" spans="1:41">
      <c r="A16" s="9" t="s">
        <v>240</v>
      </c>
      <c r="B16" s="9" t="s">
        <v>239</v>
      </c>
      <c r="C16" s="9" t="s">
        <v>52</v>
      </c>
      <c r="D16" s="9"/>
      <c r="E16" s="9" t="s">
        <v>240</v>
      </c>
      <c r="F16" s="22">
        <v>0</v>
      </c>
      <c r="G16" s="9" t="s">
        <v>240</v>
      </c>
      <c r="H16" s="22">
        <v>0</v>
      </c>
      <c r="I16" s="9" t="s">
        <v>240</v>
      </c>
      <c r="J16" s="22">
        <v>0</v>
      </c>
      <c r="K16" s="9" t="s">
        <v>240</v>
      </c>
      <c r="L16" s="22">
        <v>1</v>
      </c>
      <c r="M16" s="9" t="s">
        <v>240</v>
      </c>
      <c r="N16" s="22">
        <v>1</v>
      </c>
      <c r="O16" t="s">
        <v>240</v>
      </c>
      <c r="P16" t="s">
        <v>240</v>
      </c>
      <c r="Q16" t="s">
        <v>240</v>
      </c>
      <c r="R16" t="s">
        <v>30</v>
      </c>
      <c r="S16" s="9" t="s">
        <v>240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Y16" s="22"/>
      <c r="Z16" s="9" t="s">
        <v>240</v>
      </c>
      <c r="AA16" s="22">
        <v>0</v>
      </c>
      <c r="AC16" s="9" t="s">
        <v>240</v>
      </c>
      <c r="AD16" s="22">
        <v>100</v>
      </c>
      <c r="AF16" s="10">
        <v>2028</v>
      </c>
      <c r="AH16" s="10">
        <v>2026</v>
      </c>
      <c r="AI16">
        <v>2027</v>
      </c>
      <c r="AL16" s="10">
        <v>2028</v>
      </c>
      <c r="AO16" t="s">
        <v>5</v>
      </c>
    </row>
    <row r="17" spans="1:41">
      <c r="A17" s="9" t="s">
        <v>241</v>
      </c>
      <c r="B17" s="9" t="s">
        <v>240</v>
      </c>
      <c r="E17" s="9" t="s">
        <v>241</v>
      </c>
      <c r="F17" s="22">
        <v>0</v>
      </c>
      <c r="G17" s="9" t="s">
        <v>241</v>
      </c>
      <c r="H17" s="22">
        <v>0</v>
      </c>
      <c r="I17" s="9" t="s">
        <v>241</v>
      </c>
      <c r="J17" s="22">
        <v>0</v>
      </c>
      <c r="K17" s="9" t="s">
        <v>241</v>
      </c>
      <c r="L17" s="22">
        <v>1</v>
      </c>
      <c r="M17" s="9" t="s">
        <v>241</v>
      </c>
      <c r="N17" s="22">
        <v>1</v>
      </c>
      <c r="O17" t="s">
        <v>241</v>
      </c>
      <c r="P17" t="s">
        <v>241</v>
      </c>
      <c r="Q17" t="s">
        <v>241</v>
      </c>
      <c r="R17" t="s">
        <v>30</v>
      </c>
      <c r="S17" s="9" t="s">
        <v>241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Y17" s="22"/>
      <c r="Z17" s="9" t="s">
        <v>241</v>
      </c>
      <c r="AA17" s="22">
        <v>0</v>
      </c>
      <c r="AC17" s="9" t="s">
        <v>241</v>
      </c>
      <c r="AD17" s="22">
        <v>100</v>
      </c>
      <c r="AF17" s="10">
        <v>2029</v>
      </c>
      <c r="AH17" s="10">
        <v>2027</v>
      </c>
      <c r="AI17">
        <v>2028</v>
      </c>
      <c r="AL17" s="10">
        <v>2029</v>
      </c>
      <c r="AO17" t="s">
        <v>23</v>
      </c>
    </row>
    <row r="18" spans="1:41">
      <c r="A18" s="9" t="s">
        <v>242</v>
      </c>
      <c r="B18" s="9" t="s">
        <v>241</v>
      </c>
      <c r="E18" s="9" t="s">
        <v>242</v>
      </c>
      <c r="F18" s="22">
        <v>0</v>
      </c>
      <c r="G18" s="9" t="s">
        <v>242</v>
      </c>
      <c r="H18" s="22">
        <v>0</v>
      </c>
      <c r="I18" s="9" t="s">
        <v>242</v>
      </c>
      <c r="J18" s="22">
        <v>0</v>
      </c>
      <c r="K18" s="9" t="s">
        <v>242</v>
      </c>
      <c r="L18" s="22">
        <v>1</v>
      </c>
      <c r="M18" s="9" t="s">
        <v>242</v>
      </c>
      <c r="N18" s="22">
        <v>1</v>
      </c>
      <c r="O18" t="s">
        <v>242</v>
      </c>
      <c r="P18" t="s">
        <v>242</v>
      </c>
      <c r="Q18" t="s">
        <v>242</v>
      </c>
      <c r="R18" t="s">
        <v>30</v>
      </c>
      <c r="S18" s="9" t="s">
        <v>242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Y18" s="22"/>
      <c r="Z18" s="9" t="s">
        <v>242</v>
      </c>
      <c r="AA18" s="22">
        <v>0</v>
      </c>
      <c r="AC18" s="9" t="s">
        <v>242</v>
      </c>
      <c r="AD18" s="22">
        <v>100</v>
      </c>
      <c r="AF18" s="10">
        <v>2030</v>
      </c>
      <c r="AH18" s="10">
        <v>2028</v>
      </c>
      <c r="AI18">
        <v>2029</v>
      </c>
      <c r="AL18" s="10">
        <v>2030</v>
      </c>
      <c r="AO18" t="s">
        <v>25</v>
      </c>
    </row>
    <row r="19" spans="1:41">
      <c r="A19" s="9" t="s">
        <v>243</v>
      </c>
      <c r="B19" s="9" t="s">
        <v>242</v>
      </c>
      <c r="E19" s="9" t="s">
        <v>243</v>
      </c>
      <c r="F19" s="22">
        <v>0</v>
      </c>
      <c r="G19" s="9" t="s">
        <v>243</v>
      </c>
      <c r="H19" s="22">
        <v>0</v>
      </c>
      <c r="I19" s="9" t="s">
        <v>243</v>
      </c>
      <c r="J19" s="22">
        <v>0</v>
      </c>
      <c r="K19" s="9" t="s">
        <v>243</v>
      </c>
      <c r="L19" s="22">
        <v>1</v>
      </c>
      <c r="M19" s="9" t="s">
        <v>243</v>
      </c>
      <c r="N19" s="22">
        <v>1</v>
      </c>
      <c r="O19" t="s">
        <v>243</v>
      </c>
      <c r="P19" t="s">
        <v>243</v>
      </c>
      <c r="Q19" t="s">
        <v>243</v>
      </c>
      <c r="R19" t="s">
        <v>30</v>
      </c>
      <c r="S19" s="9" t="s">
        <v>243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Y19" s="22"/>
      <c r="Z19" s="9" t="s">
        <v>243</v>
      </c>
      <c r="AA19" s="22">
        <v>0</v>
      </c>
      <c r="AC19" s="9" t="s">
        <v>243</v>
      </c>
      <c r="AD19" s="22">
        <v>100</v>
      </c>
      <c r="AF19" s="10">
        <v>2031</v>
      </c>
      <c r="AH19" s="10">
        <v>2029</v>
      </c>
      <c r="AI19">
        <v>2030</v>
      </c>
      <c r="AL19" s="10">
        <v>2031</v>
      </c>
      <c r="AO19" t="s">
        <v>24</v>
      </c>
    </row>
    <row r="20" spans="1:41">
      <c r="A20" s="9" t="s">
        <v>244</v>
      </c>
      <c r="B20" s="9" t="s">
        <v>243</v>
      </c>
      <c r="E20" s="9" t="s">
        <v>244</v>
      </c>
      <c r="F20" s="22">
        <v>0</v>
      </c>
      <c r="G20" s="9" t="s">
        <v>244</v>
      </c>
      <c r="H20" s="22">
        <v>0</v>
      </c>
      <c r="I20" s="9" t="s">
        <v>244</v>
      </c>
      <c r="J20" s="22">
        <v>0</v>
      </c>
      <c r="K20" s="9" t="s">
        <v>244</v>
      </c>
      <c r="L20" s="22">
        <v>1</v>
      </c>
      <c r="M20" s="9" t="s">
        <v>244</v>
      </c>
      <c r="N20" s="22">
        <v>1</v>
      </c>
      <c r="O20" t="s">
        <v>244</v>
      </c>
      <c r="P20" t="s">
        <v>244</v>
      </c>
      <c r="Q20" t="s">
        <v>244</v>
      </c>
      <c r="R20" t="s">
        <v>30</v>
      </c>
      <c r="S20" s="9" t="s">
        <v>244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Y20" s="22"/>
      <c r="Z20" s="9" t="s">
        <v>244</v>
      </c>
      <c r="AA20" s="22">
        <v>0</v>
      </c>
      <c r="AC20" s="9" t="s">
        <v>244</v>
      </c>
      <c r="AD20" s="22">
        <v>100</v>
      </c>
      <c r="AF20" s="10">
        <v>2032</v>
      </c>
      <c r="AH20" s="10">
        <v>2030</v>
      </c>
      <c r="AI20">
        <v>2031</v>
      </c>
      <c r="AL20" s="10">
        <v>2032</v>
      </c>
      <c r="AO20" t="s">
        <v>11</v>
      </c>
    </row>
    <row r="21" spans="1:41">
      <c r="A21" s="9" t="s">
        <v>245</v>
      </c>
      <c r="B21" s="9" t="s">
        <v>244</v>
      </c>
      <c r="E21" s="9" t="s">
        <v>245</v>
      </c>
      <c r="F21" s="22">
        <v>0</v>
      </c>
      <c r="G21" s="9" t="s">
        <v>245</v>
      </c>
      <c r="H21" s="22">
        <v>0</v>
      </c>
      <c r="I21" s="9" t="s">
        <v>245</v>
      </c>
      <c r="J21" s="22">
        <v>0</v>
      </c>
      <c r="K21" s="9" t="s">
        <v>245</v>
      </c>
      <c r="L21" s="22">
        <v>1</v>
      </c>
      <c r="M21" s="9" t="s">
        <v>245</v>
      </c>
      <c r="N21" s="22">
        <v>1</v>
      </c>
      <c r="O21" t="s">
        <v>245</v>
      </c>
      <c r="P21" t="s">
        <v>245</v>
      </c>
      <c r="Q21" t="s">
        <v>245</v>
      </c>
      <c r="R21" t="s">
        <v>30</v>
      </c>
      <c r="S21" s="9" t="s">
        <v>245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Y21" s="22"/>
      <c r="Z21" s="9" t="s">
        <v>245</v>
      </c>
      <c r="AA21" s="22">
        <v>0</v>
      </c>
      <c r="AC21" s="9" t="s">
        <v>245</v>
      </c>
      <c r="AD21" s="22">
        <v>100</v>
      </c>
      <c r="AF21" s="10">
        <v>2033</v>
      </c>
      <c r="AH21" s="10">
        <v>2031</v>
      </c>
      <c r="AI21">
        <v>2032</v>
      </c>
      <c r="AL21" s="10">
        <v>2033</v>
      </c>
      <c r="AO21" t="s">
        <v>11</v>
      </c>
    </row>
    <row r="22" spans="1:41">
      <c r="A22" s="9" t="s">
        <v>246</v>
      </c>
      <c r="B22" s="9" t="s">
        <v>245</v>
      </c>
      <c r="E22" s="9" t="s">
        <v>246</v>
      </c>
      <c r="F22" s="22">
        <v>0</v>
      </c>
      <c r="G22" s="9" t="s">
        <v>246</v>
      </c>
      <c r="H22" s="22">
        <v>0</v>
      </c>
      <c r="I22" s="9" t="s">
        <v>246</v>
      </c>
      <c r="J22" s="22">
        <v>0</v>
      </c>
      <c r="K22" s="9" t="s">
        <v>246</v>
      </c>
      <c r="L22" s="22">
        <v>1</v>
      </c>
      <c r="M22" s="9" t="s">
        <v>246</v>
      </c>
      <c r="N22" s="22">
        <v>1</v>
      </c>
      <c r="O22" t="s">
        <v>246</v>
      </c>
      <c r="P22" t="s">
        <v>246</v>
      </c>
      <c r="Q22" t="s">
        <v>246</v>
      </c>
      <c r="R22" t="s">
        <v>30</v>
      </c>
      <c r="S22" s="9" t="s">
        <v>246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Y22" s="22"/>
      <c r="Z22" s="9" t="s">
        <v>246</v>
      </c>
      <c r="AA22" s="22">
        <v>0</v>
      </c>
      <c r="AC22" s="9" t="s">
        <v>246</v>
      </c>
      <c r="AD22" s="22">
        <v>100</v>
      </c>
      <c r="AF22" s="10">
        <v>2034</v>
      </c>
      <c r="AH22" s="10">
        <v>2032</v>
      </c>
      <c r="AI22">
        <v>2033</v>
      </c>
      <c r="AL22" s="10">
        <v>2034</v>
      </c>
      <c r="AO22" t="s">
        <v>11</v>
      </c>
    </row>
    <row r="23" spans="1:41">
      <c r="A23" s="9" t="s">
        <v>247</v>
      </c>
      <c r="B23" s="9" t="s">
        <v>246</v>
      </c>
      <c r="E23" s="9" t="s">
        <v>247</v>
      </c>
      <c r="F23" s="22">
        <v>0</v>
      </c>
      <c r="G23" s="9" t="s">
        <v>247</v>
      </c>
      <c r="H23" s="22">
        <v>0</v>
      </c>
      <c r="I23" s="9" t="s">
        <v>247</v>
      </c>
      <c r="J23" s="22">
        <v>0</v>
      </c>
      <c r="K23" s="9" t="s">
        <v>247</v>
      </c>
      <c r="L23" s="22">
        <v>1</v>
      </c>
      <c r="M23" s="9" t="s">
        <v>247</v>
      </c>
      <c r="N23" s="22">
        <v>1</v>
      </c>
      <c r="O23" t="s">
        <v>247</v>
      </c>
      <c r="P23" t="s">
        <v>247</v>
      </c>
      <c r="Q23" t="s">
        <v>247</v>
      </c>
      <c r="R23" t="s">
        <v>30</v>
      </c>
      <c r="S23" s="9" t="s">
        <v>247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Y23" s="22"/>
      <c r="Z23" s="9" t="s">
        <v>247</v>
      </c>
      <c r="AA23" s="22">
        <v>0</v>
      </c>
      <c r="AC23" s="9" t="s">
        <v>247</v>
      </c>
      <c r="AD23" s="22">
        <v>100</v>
      </c>
      <c r="AF23" s="10">
        <v>2035</v>
      </c>
      <c r="AH23" s="10">
        <v>2033</v>
      </c>
      <c r="AI23">
        <v>2034</v>
      </c>
      <c r="AL23" s="10">
        <v>2035</v>
      </c>
      <c r="AO23" t="s">
        <v>11</v>
      </c>
    </row>
    <row r="24" spans="1:41">
      <c r="A24" s="9" t="s">
        <v>248</v>
      </c>
      <c r="B24" s="9" t="s">
        <v>247</v>
      </c>
      <c r="E24" s="9" t="s">
        <v>248</v>
      </c>
      <c r="F24" s="22">
        <v>0</v>
      </c>
      <c r="G24" s="9" t="s">
        <v>248</v>
      </c>
      <c r="H24" s="22">
        <v>0</v>
      </c>
      <c r="I24" s="9" t="s">
        <v>248</v>
      </c>
      <c r="J24" s="22">
        <v>0</v>
      </c>
      <c r="K24" s="9" t="s">
        <v>248</v>
      </c>
      <c r="L24" s="22">
        <v>1</v>
      </c>
      <c r="M24" s="9" t="s">
        <v>248</v>
      </c>
      <c r="N24" s="22">
        <v>1</v>
      </c>
      <c r="O24" t="s">
        <v>248</v>
      </c>
      <c r="P24" t="s">
        <v>248</v>
      </c>
      <c r="Q24" t="s">
        <v>248</v>
      </c>
      <c r="R24" t="s">
        <v>30</v>
      </c>
      <c r="S24" s="9" t="s">
        <v>248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Y24" s="22"/>
      <c r="Z24" s="9" t="s">
        <v>248</v>
      </c>
      <c r="AA24" s="22">
        <v>0</v>
      </c>
      <c r="AC24" s="9" t="s">
        <v>248</v>
      </c>
      <c r="AD24" s="22">
        <v>100</v>
      </c>
      <c r="AF24" s="10">
        <v>2036</v>
      </c>
      <c r="AH24" s="10">
        <v>2034</v>
      </c>
      <c r="AI24">
        <v>2035</v>
      </c>
      <c r="AL24" s="10">
        <v>2036</v>
      </c>
    </row>
    <row r="25" spans="1:41">
      <c r="A25" s="9" t="s">
        <v>249</v>
      </c>
      <c r="B25" s="9" t="s">
        <v>248</v>
      </c>
      <c r="E25" s="9" t="s">
        <v>249</v>
      </c>
      <c r="F25" s="22">
        <v>0</v>
      </c>
      <c r="G25" s="9" t="s">
        <v>249</v>
      </c>
      <c r="H25" s="22">
        <v>0</v>
      </c>
      <c r="I25" s="9" t="s">
        <v>249</v>
      </c>
      <c r="J25" s="22">
        <v>0</v>
      </c>
      <c r="K25" s="9" t="s">
        <v>249</v>
      </c>
      <c r="L25" s="22">
        <v>1</v>
      </c>
      <c r="M25" s="9" t="s">
        <v>249</v>
      </c>
      <c r="N25" s="22">
        <v>1</v>
      </c>
      <c r="O25" t="s">
        <v>249</v>
      </c>
      <c r="P25" t="s">
        <v>249</v>
      </c>
      <c r="Q25" t="s">
        <v>249</v>
      </c>
      <c r="R25" t="s">
        <v>30</v>
      </c>
      <c r="S25" s="9" t="s">
        <v>249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Y25" s="22"/>
      <c r="Z25" s="9" t="s">
        <v>249</v>
      </c>
      <c r="AA25" s="22">
        <v>0</v>
      </c>
      <c r="AC25" s="9" t="s">
        <v>249</v>
      </c>
      <c r="AD25" s="22">
        <v>100</v>
      </c>
      <c r="AF25" s="10">
        <v>2037</v>
      </c>
      <c r="AH25" s="10">
        <v>2035</v>
      </c>
      <c r="AI25">
        <v>2036</v>
      </c>
      <c r="AL25" s="10">
        <v>2037</v>
      </c>
    </row>
    <row r="26" spans="1:41">
      <c r="A26" s="9" t="s">
        <v>250</v>
      </c>
      <c r="B26" s="9" t="s">
        <v>249</v>
      </c>
      <c r="E26" s="9" t="s">
        <v>250</v>
      </c>
      <c r="F26" s="22">
        <v>0</v>
      </c>
      <c r="G26" s="9" t="s">
        <v>250</v>
      </c>
      <c r="H26" s="22">
        <v>0</v>
      </c>
      <c r="I26" s="9" t="s">
        <v>250</v>
      </c>
      <c r="J26" s="22">
        <v>0</v>
      </c>
      <c r="K26" s="9" t="s">
        <v>250</v>
      </c>
      <c r="L26" s="22">
        <v>1</v>
      </c>
      <c r="M26" s="9" t="s">
        <v>250</v>
      </c>
      <c r="N26" s="22">
        <v>1</v>
      </c>
      <c r="O26" t="s">
        <v>250</v>
      </c>
      <c r="P26" t="s">
        <v>250</v>
      </c>
      <c r="Q26" t="s">
        <v>250</v>
      </c>
      <c r="R26" t="s">
        <v>30</v>
      </c>
      <c r="S26" s="9" t="s">
        <v>250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Y26" s="22"/>
      <c r="Z26" s="9" t="s">
        <v>250</v>
      </c>
      <c r="AA26" s="22">
        <v>0</v>
      </c>
      <c r="AC26" s="9" t="s">
        <v>250</v>
      </c>
      <c r="AD26" s="22">
        <v>100</v>
      </c>
      <c r="AF26" s="10">
        <v>2038</v>
      </c>
      <c r="AH26" s="10">
        <v>2036</v>
      </c>
      <c r="AI26">
        <v>2037</v>
      </c>
      <c r="AL26" s="10">
        <v>2038</v>
      </c>
    </row>
    <row r="27" spans="1:41">
      <c r="A27" s="9" t="s">
        <v>252</v>
      </c>
      <c r="B27" s="9" t="s">
        <v>250</v>
      </c>
      <c r="E27" s="9" t="s">
        <v>252</v>
      </c>
      <c r="F27" s="22">
        <v>0</v>
      </c>
      <c r="G27" s="9" t="s">
        <v>252</v>
      </c>
      <c r="H27" s="22">
        <v>0</v>
      </c>
      <c r="I27" s="9" t="s">
        <v>252</v>
      </c>
      <c r="J27" s="22">
        <v>0</v>
      </c>
      <c r="K27" s="9" t="s">
        <v>252</v>
      </c>
      <c r="L27" s="22">
        <v>1</v>
      </c>
      <c r="M27" s="9" t="s">
        <v>252</v>
      </c>
      <c r="N27" s="22">
        <v>1</v>
      </c>
      <c r="O27" t="s">
        <v>252</v>
      </c>
      <c r="P27" t="s">
        <v>252</v>
      </c>
      <c r="Q27" t="s">
        <v>252</v>
      </c>
      <c r="R27" t="s">
        <v>30</v>
      </c>
      <c r="S27" s="9" t="s">
        <v>252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Y27" s="22"/>
      <c r="Z27" s="9" t="s">
        <v>252</v>
      </c>
      <c r="AA27" s="22">
        <v>0</v>
      </c>
      <c r="AC27" s="9" t="s">
        <v>252</v>
      </c>
      <c r="AD27" s="22">
        <v>100</v>
      </c>
      <c r="AF27" s="10">
        <v>2039</v>
      </c>
      <c r="AH27" s="10">
        <v>2037</v>
      </c>
      <c r="AI27">
        <v>2038</v>
      </c>
      <c r="AL27" s="10">
        <v>2039</v>
      </c>
    </row>
    <row r="28" spans="1:41">
      <c r="A28" s="9" t="s">
        <v>253</v>
      </c>
      <c r="B28" s="9" t="s">
        <v>252</v>
      </c>
      <c r="E28" s="9" t="s">
        <v>253</v>
      </c>
      <c r="F28" s="22">
        <v>0</v>
      </c>
      <c r="G28" s="9" t="s">
        <v>253</v>
      </c>
      <c r="H28" s="22">
        <v>0</v>
      </c>
      <c r="I28" s="9" t="s">
        <v>253</v>
      </c>
      <c r="J28" s="22">
        <v>0</v>
      </c>
      <c r="K28" s="9" t="s">
        <v>253</v>
      </c>
      <c r="L28" s="22">
        <v>1</v>
      </c>
      <c r="M28" s="9" t="s">
        <v>253</v>
      </c>
      <c r="N28" s="22">
        <v>1</v>
      </c>
      <c r="O28" t="s">
        <v>253</v>
      </c>
      <c r="P28" t="s">
        <v>256</v>
      </c>
      <c r="Q28" t="s">
        <v>253</v>
      </c>
      <c r="R28" t="s">
        <v>30</v>
      </c>
      <c r="S28" s="9" t="s">
        <v>253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Y28" s="22"/>
      <c r="Z28" s="9" t="s">
        <v>253</v>
      </c>
      <c r="AA28" s="22">
        <v>0</v>
      </c>
      <c r="AC28" s="9" t="s">
        <v>253</v>
      </c>
      <c r="AD28" s="22">
        <v>100</v>
      </c>
      <c r="AF28" s="10">
        <v>2040</v>
      </c>
      <c r="AH28" s="10">
        <v>2038</v>
      </c>
      <c r="AI28">
        <v>2039</v>
      </c>
      <c r="AL28" s="10">
        <v>2040</v>
      </c>
    </row>
    <row r="29" spans="1:41">
      <c r="A29" s="9" t="s">
        <v>254</v>
      </c>
      <c r="B29" s="9" t="s">
        <v>255</v>
      </c>
      <c r="E29" s="9" t="s">
        <v>254</v>
      </c>
      <c r="F29" s="22">
        <v>0</v>
      </c>
      <c r="G29" s="9" t="s">
        <v>254</v>
      </c>
      <c r="H29" s="22">
        <v>0</v>
      </c>
      <c r="I29" s="9" t="s">
        <v>254</v>
      </c>
      <c r="J29" s="22">
        <v>0</v>
      </c>
      <c r="K29" s="9" t="s">
        <v>254</v>
      </c>
      <c r="L29" s="22">
        <v>1</v>
      </c>
      <c r="M29" s="9" t="s">
        <v>254</v>
      </c>
      <c r="N29" s="22">
        <v>1</v>
      </c>
      <c r="O29" t="s">
        <v>254</v>
      </c>
      <c r="P29" t="s">
        <v>255</v>
      </c>
      <c r="Q29" t="s">
        <v>254</v>
      </c>
      <c r="R29" t="s">
        <v>30</v>
      </c>
      <c r="S29" s="9" t="s">
        <v>254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Y29" s="22"/>
      <c r="Z29" s="9" t="s">
        <v>254</v>
      </c>
      <c r="AA29" s="22">
        <v>0</v>
      </c>
      <c r="AC29" s="9" t="s">
        <v>254</v>
      </c>
      <c r="AD29" s="22">
        <v>100</v>
      </c>
      <c r="AF29" s="10">
        <v>2041</v>
      </c>
      <c r="AH29" s="10">
        <v>2039</v>
      </c>
      <c r="AI29">
        <v>2040</v>
      </c>
      <c r="AL29" s="10">
        <v>2041</v>
      </c>
    </row>
    <row r="30" spans="1:41">
      <c r="A30" s="9" t="s">
        <v>259</v>
      </c>
      <c r="B30" s="9" t="s">
        <v>256</v>
      </c>
      <c r="E30" s="9" t="s">
        <v>259</v>
      </c>
      <c r="F30" s="22">
        <v>0</v>
      </c>
      <c r="G30" s="9" t="s">
        <v>259</v>
      </c>
      <c r="H30" s="22">
        <v>1</v>
      </c>
      <c r="I30" s="9" t="s">
        <v>259</v>
      </c>
      <c r="J30" s="22">
        <v>1</v>
      </c>
      <c r="K30" s="9" t="s">
        <v>259</v>
      </c>
      <c r="L30" s="22">
        <v>1</v>
      </c>
      <c r="M30" s="9" t="s">
        <v>259</v>
      </c>
      <c r="N30" s="22">
        <v>1</v>
      </c>
      <c r="O30" t="s">
        <v>259</v>
      </c>
      <c r="P30" t="s">
        <v>259</v>
      </c>
      <c r="Q30" t="s">
        <v>259</v>
      </c>
      <c r="R30" t="s">
        <v>30</v>
      </c>
      <c r="S30" s="9" t="s">
        <v>259</v>
      </c>
      <c r="T30" s="22">
        <v>-1</v>
      </c>
      <c r="U30" s="22">
        <v>-1</v>
      </c>
      <c r="V30" s="22">
        <v>-1</v>
      </c>
      <c r="W30" s="22">
        <v>1</v>
      </c>
      <c r="X30" s="22">
        <v>-1</v>
      </c>
      <c r="Y30" s="22"/>
      <c r="Z30" s="9" t="s">
        <v>259</v>
      </c>
      <c r="AA30" s="22">
        <v>0</v>
      </c>
      <c r="AC30" s="9" t="s">
        <v>259</v>
      </c>
      <c r="AD30" s="22">
        <v>100</v>
      </c>
      <c r="AF30" s="10">
        <v>2042</v>
      </c>
      <c r="AH30" s="10">
        <v>2040</v>
      </c>
      <c r="AI30">
        <v>2045</v>
      </c>
      <c r="AL30" s="10">
        <v>2042</v>
      </c>
    </row>
    <row r="31" spans="1:41">
      <c r="A31" s="9" t="s">
        <v>260</v>
      </c>
      <c r="B31" s="9" t="s">
        <v>259</v>
      </c>
      <c r="E31" s="9" t="s">
        <v>260</v>
      </c>
      <c r="F31" s="22">
        <v>0</v>
      </c>
      <c r="G31" s="9" t="s">
        <v>260</v>
      </c>
      <c r="H31" s="22">
        <v>1</v>
      </c>
      <c r="I31" s="9" t="s">
        <v>260</v>
      </c>
      <c r="J31" s="22">
        <v>1</v>
      </c>
      <c r="K31" s="9" t="s">
        <v>260</v>
      </c>
      <c r="L31" s="22">
        <v>1</v>
      </c>
      <c r="M31" s="9" t="s">
        <v>260</v>
      </c>
      <c r="N31" s="22">
        <v>1</v>
      </c>
      <c r="O31" t="s">
        <v>260</v>
      </c>
      <c r="P31" t="s">
        <v>260</v>
      </c>
      <c r="Q31" t="s">
        <v>260</v>
      </c>
      <c r="R31" t="s">
        <v>30</v>
      </c>
      <c r="S31" s="9" t="s">
        <v>260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Y31" s="22"/>
      <c r="Z31" s="9" t="s">
        <v>260</v>
      </c>
      <c r="AA31" s="22">
        <v>0</v>
      </c>
      <c r="AC31" s="9" t="s">
        <v>260</v>
      </c>
      <c r="AD31" s="22">
        <v>100</v>
      </c>
      <c r="AF31" s="10">
        <v>2043</v>
      </c>
      <c r="AH31" s="10">
        <v>2041</v>
      </c>
      <c r="AI31" s="10">
        <v>2050</v>
      </c>
      <c r="AL31" s="10">
        <v>2043</v>
      </c>
    </row>
    <row r="32" spans="1:41">
      <c r="A32" s="9" t="s">
        <v>261</v>
      </c>
      <c r="B32" s="9" t="s">
        <v>260</v>
      </c>
      <c r="E32" s="9" t="s">
        <v>261</v>
      </c>
      <c r="F32" s="22">
        <v>0</v>
      </c>
      <c r="G32" s="9" t="s">
        <v>261</v>
      </c>
      <c r="H32" s="22">
        <v>1</v>
      </c>
      <c r="I32" s="9" t="s">
        <v>261</v>
      </c>
      <c r="J32" s="22">
        <v>1</v>
      </c>
      <c r="K32" s="9" t="s">
        <v>261</v>
      </c>
      <c r="L32" s="22">
        <v>1</v>
      </c>
      <c r="M32" s="9" t="s">
        <v>261</v>
      </c>
      <c r="N32" s="22">
        <v>1</v>
      </c>
      <c r="O32" t="s">
        <v>261</v>
      </c>
      <c r="P32" t="s">
        <v>261</v>
      </c>
      <c r="Q32" t="s">
        <v>261</v>
      </c>
      <c r="R32" t="s">
        <v>30</v>
      </c>
      <c r="S32" s="9" t="s">
        <v>261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Y32" s="22"/>
      <c r="Z32" s="9" t="s">
        <v>261</v>
      </c>
      <c r="AA32" s="22">
        <v>0</v>
      </c>
      <c r="AC32" s="9" t="s">
        <v>261</v>
      </c>
      <c r="AD32" s="22">
        <v>100</v>
      </c>
      <c r="AF32" s="10">
        <v>2044</v>
      </c>
      <c r="AH32" s="10">
        <v>2042</v>
      </c>
      <c r="AI32" s="10">
        <v>2060</v>
      </c>
      <c r="AL32" s="10">
        <v>2044</v>
      </c>
    </row>
    <row r="33" spans="1:38">
      <c r="A33" s="9" t="s">
        <v>262</v>
      </c>
      <c r="B33" s="9" t="s">
        <v>261</v>
      </c>
      <c r="E33" s="9" t="s">
        <v>262</v>
      </c>
      <c r="F33" s="22">
        <v>0</v>
      </c>
      <c r="G33" s="9" t="s">
        <v>262</v>
      </c>
      <c r="H33" s="22">
        <v>0</v>
      </c>
      <c r="I33" s="9" t="s">
        <v>262</v>
      </c>
      <c r="J33" s="22">
        <v>1</v>
      </c>
      <c r="K33" s="9" t="s">
        <v>262</v>
      </c>
      <c r="L33" s="22">
        <v>0</v>
      </c>
      <c r="M33" s="9" t="s">
        <v>262</v>
      </c>
      <c r="N33" s="22">
        <v>0</v>
      </c>
      <c r="O33" t="s">
        <v>262</v>
      </c>
      <c r="P33" t="s">
        <v>262</v>
      </c>
      <c r="Q33" t="s">
        <v>262</v>
      </c>
      <c r="R33" t="s">
        <v>30</v>
      </c>
      <c r="S33" s="9" t="s">
        <v>262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Y33" s="22"/>
      <c r="Z33" s="9" t="s">
        <v>262</v>
      </c>
      <c r="AA33" s="22">
        <v>0</v>
      </c>
      <c r="AC33" s="9" t="s">
        <v>262</v>
      </c>
      <c r="AD33" s="22">
        <v>100</v>
      </c>
      <c r="AF33" s="10">
        <v>2045</v>
      </c>
      <c r="AH33" s="10">
        <v>2043</v>
      </c>
      <c r="AI33">
        <v>2070</v>
      </c>
      <c r="AL33" s="10">
        <v>2045</v>
      </c>
    </row>
    <row r="34" spans="1:38">
      <c r="A34" s="9" t="s">
        <v>263</v>
      </c>
      <c r="B34" s="9" t="s">
        <v>262</v>
      </c>
      <c r="E34" s="9" t="s">
        <v>263</v>
      </c>
      <c r="F34" s="22">
        <v>0</v>
      </c>
      <c r="G34" s="9" t="s">
        <v>263</v>
      </c>
      <c r="H34" s="22">
        <v>0</v>
      </c>
      <c r="I34" s="9" t="s">
        <v>263</v>
      </c>
      <c r="J34" s="22">
        <v>1</v>
      </c>
      <c r="K34" s="9" t="s">
        <v>263</v>
      </c>
      <c r="L34" s="22">
        <v>1</v>
      </c>
      <c r="M34" s="9" t="s">
        <v>263</v>
      </c>
      <c r="N34" s="22">
        <v>1</v>
      </c>
      <c r="O34" t="s">
        <v>263</v>
      </c>
      <c r="P34" t="s">
        <v>263</v>
      </c>
      <c r="Q34" t="s">
        <v>263</v>
      </c>
      <c r="R34" t="s">
        <v>30</v>
      </c>
      <c r="S34" s="9" t="s">
        <v>263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Y34" s="22"/>
      <c r="Z34" s="9" t="s">
        <v>263</v>
      </c>
      <c r="AA34" s="22">
        <v>0</v>
      </c>
      <c r="AC34" s="9" t="s">
        <v>263</v>
      </c>
      <c r="AD34" s="22">
        <v>100</v>
      </c>
      <c r="AF34" s="10">
        <v>2046</v>
      </c>
      <c r="AH34" s="10">
        <v>2044</v>
      </c>
      <c r="AL34" s="10">
        <v>2046</v>
      </c>
    </row>
    <row r="35" spans="1:38">
      <c r="A35" s="9" t="s">
        <v>264</v>
      </c>
      <c r="B35" s="9" t="s">
        <v>263</v>
      </c>
      <c r="E35" s="9" t="s">
        <v>264</v>
      </c>
      <c r="F35" s="22">
        <v>0</v>
      </c>
      <c r="G35" s="9" t="s">
        <v>264</v>
      </c>
      <c r="H35" s="22">
        <v>0</v>
      </c>
      <c r="I35" s="9" t="s">
        <v>264</v>
      </c>
      <c r="J35" s="22">
        <v>1</v>
      </c>
      <c r="K35" s="9" t="s">
        <v>264</v>
      </c>
      <c r="L35" s="22">
        <v>1</v>
      </c>
      <c r="M35" s="9" t="s">
        <v>264</v>
      </c>
      <c r="N35" s="22">
        <v>1</v>
      </c>
      <c r="O35" t="s">
        <v>264</v>
      </c>
      <c r="P35" t="s">
        <v>264</v>
      </c>
      <c r="Q35" t="s">
        <v>264</v>
      </c>
      <c r="R35" t="s">
        <v>30</v>
      </c>
      <c r="S35" s="9" t="s">
        <v>264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Y35" s="22"/>
      <c r="Z35" s="9" t="s">
        <v>264</v>
      </c>
      <c r="AA35" s="22">
        <v>0</v>
      </c>
      <c r="AC35" s="9" t="s">
        <v>264</v>
      </c>
      <c r="AD35" s="22">
        <v>100</v>
      </c>
      <c r="AF35" s="10">
        <v>2047</v>
      </c>
      <c r="AH35" s="10">
        <v>2045</v>
      </c>
      <c r="AL35" s="10">
        <v>2047</v>
      </c>
    </row>
    <row r="36" spans="1:38">
      <c r="A36" s="9" t="s">
        <v>265</v>
      </c>
      <c r="B36" s="9" t="s">
        <v>264</v>
      </c>
      <c r="E36" s="9" t="s">
        <v>265</v>
      </c>
      <c r="F36" s="22">
        <v>0</v>
      </c>
      <c r="G36" s="9" t="s">
        <v>265</v>
      </c>
      <c r="H36" s="22">
        <v>0</v>
      </c>
      <c r="I36" s="9" t="s">
        <v>265</v>
      </c>
      <c r="J36" s="22">
        <v>1</v>
      </c>
      <c r="K36" s="9" t="s">
        <v>265</v>
      </c>
      <c r="L36" s="22">
        <v>0</v>
      </c>
      <c r="M36" s="9" t="s">
        <v>265</v>
      </c>
      <c r="N36" s="22">
        <v>0</v>
      </c>
      <c r="O36" t="s">
        <v>265</v>
      </c>
      <c r="P36" t="s">
        <v>265</v>
      </c>
      <c r="Q36" t="s">
        <v>265</v>
      </c>
      <c r="R36" t="s">
        <v>30</v>
      </c>
      <c r="S36" s="9" t="s">
        <v>265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Y36" s="22"/>
      <c r="Z36" s="9" t="s">
        <v>265</v>
      </c>
      <c r="AA36" s="22">
        <v>0</v>
      </c>
      <c r="AC36" s="9" t="s">
        <v>265</v>
      </c>
      <c r="AD36" s="22">
        <v>100</v>
      </c>
      <c r="AF36" s="10">
        <v>2048</v>
      </c>
      <c r="AH36" s="10">
        <v>2046</v>
      </c>
      <c r="AL36" s="10">
        <v>2048</v>
      </c>
    </row>
    <row r="37" spans="1:38">
      <c r="A37" s="9" t="s">
        <v>267</v>
      </c>
      <c r="B37" s="9" t="s">
        <v>267</v>
      </c>
      <c r="E37" s="9" t="s">
        <v>267</v>
      </c>
      <c r="F37" s="22">
        <v>1</v>
      </c>
      <c r="G37" s="9" t="s">
        <v>267</v>
      </c>
      <c r="H37" s="22">
        <v>1</v>
      </c>
      <c r="I37" s="9" t="s">
        <v>267</v>
      </c>
      <c r="J37" s="22">
        <v>1</v>
      </c>
      <c r="K37" s="9" t="s">
        <v>267</v>
      </c>
      <c r="L37" s="22">
        <v>1</v>
      </c>
      <c r="M37" s="9" t="s">
        <v>267</v>
      </c>
      <c r="N37" s="22">
        <v>1</v>
      </c>
      <c r="O37" t="s">
        <v>267</v>
      </c>
      <c r="P37" t="s">
        <v>267</v>
      </c>
      <c r="Q37" t="s">
        <v>267</v>
      </c>
      <c r="R37" t="s">
        <v>30</v>
      </c>
      <c r="S37" s="9" t="s">
        <v>267</v>
      </c>
      <c r="T37" s="22">
        <v>-1</v>
      </c>
      <c r="U37" s="22">
        <v>-1</v>
      </c>
      <c r="V37" s="22">
        <v>-1</v>
      </c>
      <c r="W37" s="22">
        <v>1</v>
      </c>
      <c r="X37" s="22">
        <v>-1</v>
      </c>
      <c r="Y37" s="22"/>
      <c r="Z37" s="9" t="s">
        <v>267</v>
      </c>
      <c r="AA37" s="22">
        <v>0</v>
      </c>
      <c r="AC37" s="9" t="s">
        <v>267</v>
      </c>
      <c r="AD37" s="22">
        <v>100</v>
      </c>
      <c r="AF37" s="10">
        <v>2049</v>
      </c>
      <c r="AH37" s="10">
        <v>2047</v>
      </c>
      <c r="AL37" s="10">
        <v>2049</v>
      </c>
    </row>
    <row r="38" spans="1:38">
      <c r="A38" s="9" t="s">
        <v>270</v>
      </c>
      <c r="B38" s="9" t="s">
        <v>270</v>
      </c>
      <c r="E38" s="9" t="s">
        <v>270</v>
      </c>
      <c r="F38" s="22">
        <v>1</v>
      </c>
      <c r="G38" s="9" t="s">
        <v>270</v>
      </c>
      <c r="H38" s="22">
        <v>1</v>
      </c>
      <c r="I38" s="9" t="s">
        <v>270</v>
      </c>
      <c r="J38" s="22">
        <v>1</v>
      </c>
      <c r="K38" s="9" t="s">
        <v>270</v>
      </c>
      <c r="L38" s="22">
        <v>1</v>
      </c>
      <c r="M38" s="9" t="s">
        <v>270</v>
      </c>
      <c r="N38" s="22">
        <v>1</v>
      </c>
      <c r="O38" t="s">
        <v>270</v>
      </c>
      <c r="P38" t="s">
        <v>270</v>
      </c>
      <c r="Q38" t="s">
        <v>270</v>
      </c>
      <c r="R38" t="s">
        <v>30</v>
      </c>
      <c r="S38" s="9" t="s">
        <v>270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Y38" s="22"/>
      <c r="Z38" s="9" t="s">
        <v>270</v>
      </c>
      <c r="AA38" s="22">
        <v>0</v>
      </c>
      <c r="AC38" s="9" t="s">
        <v>270</v>
      </c>
      <c r="AD38" s="22">
        <v>100</v>
      </c>
      <c r="AF38" s="10">
        <v>2050</v>
      </c>
      <c r="AH38" s="10">
        <v>2048</v>
      </c>
      <c r="AL38" s="10">
        <v>2050</v>
      </c>
    </row>
    <row r="39" spans="1:38">
      <c r="A39" s="9" t="s">
        <v>271</v>
      </c>
      <c r="B39" s="9" t="s">
        <v>271</v>
      </c>
      <c r="E39" s="9" t="s">
        <v>271</v>
      </c>
      <c r="F39" s="22">
        <v>0</v>
      </c>
      <c r="G39" s="9" t="s">
        <v>271</v>
      </c>
      <c r="H39" s="22">
        <v>0</v>
      </c>
      <c r="I39" s="9" t="s">
        <v>271</v>
      </c>
      <c r="J39" s="22">
        <v>1</v>
      </c>
      <c r="K39" s="9" t="s">
        <v>271</v>
      </c>
      <c r="L39" s="22">
        <v>0</v>
      </c>
      <c r="M39" s="9" t="s">
        <v>271</v>
      </c>
      <c r="N39" s="22">
        <v>0</v>
      </c>
      <c r="O39" t="s">
        <v>271</v>
      </c>
      <c r="P39" t="s">
        <v>271</v>
      </c>
      <c r="Q39" t="s">
        <v>271</v>
      </c>
      <c r="R39" t="s">
        <v>30</v>
      </c>
      <c r="S39" s="9" t="s">
        <v>271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Y39" s="22"/>
      <c r="Z39" s="9" t="s">
        <v>271</v>
      </c>
      <c r="AA39" s="22">
        <v>0</v>
      </c>
      <c r="AC39" s="9" t="s">
        <v>271</v>
      </c>
      <c r="AD39" s="22">
        <v>100</v>
      </c>
      <c r="AF39" s="10">
        <v>2051</v>
      </c>
      <c r="AH39" s="10">
        <v>2049</v>
      </c>
      <c r="AL39" s="10">
        <v>2051</v>
      </c>
    </row>
    <row r="40" spans="1:38">
      <c r="A40" s="9" t="s">
        <v>272</v>
      </c>
      <c r="E40" s="9" t="s">
        <v>272</v>
      </c>
      <c r="F40" s="22">
        <v>1</v>
      </c>
      <c r="G40" s="9" t="s">
        <v>272</v>
      </c>
      <c r="H40" s="22">
        <v>1</v>
      </c>
      <c r="I40" s="9" t="s">
        <v>272</v>
      </c>
      <c r="J40" s="22">
        <v>1</v>
      </c>
      <c r="K40" s="9" t="s">
        <v>272</v>
      </c>
      <c r="L40" s="22">
        <v>1</v>
      </c>
      <c r="M40" s="9" t="s">
        <v>272</v>
      </c>
      <c r="N40" s="22">
        <v>1</v>
      </c>
      <c r="O40" t="s">
        <v>272</v>
      </c>
      <c r="P40" t="s">
        <v>270</v>
      </c>
      <c r="Q40" t="s">
        <v>272</v>
      </c>
      <c r="R40" t="s">
        <v>30</v>
      </c>
      <c r="S40" s="9" t="s">
        <v>272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Y40" s="22"/>
      <c r="Z40" s="9" t="s">
        <v>272</v>
      </c>
      <c r="AA40" s="22">
        <v>1</v>
      </c>
      <c r="AC40" s="9" t="s">
        <v>272</v>
      </c>
      <c r="AD40" s="22">
        <v>100</v>
      </c>
      <c r="AF40" s="10">
        <v>2052</v>
      </c>
      <c r="AH40" s="10">
        <v>2050</v>
      </c>
      <c r="AL40" s="10">
        <v>2052</v>
      </c>
    </row>
    <row r="41" spans="1:38">
      <c r="A41" s="9" t="s">
        <v>273</v>
      </c>
      <c r="E41" s="9" t="s">
        <v>273</v>
      </c>
      <c r="F41" s="22">
        <v>0</v>
      </c>
      <c r="G41" s="9" t="s">
        <v>273</v>
      </c>
      <c r="H41" s="22">
        <v>0</v>
      </c>
      <c r="I41" s="9" t="s">
        <v>273</v>
      </c>
      <c r="J41" s="22">
        <v>1</v>
      </c>
      <c r="K41" s="9" t="s">
        <v>273</v>
      </c>
      <c r="L41" s="22">
        <v>0</v>
      </c>
      <c r="M41" s="9" t="s">
        <v>273</v>
      </c>
      <c r="N41" s="22">
        <v>0</v>
      </c>
      <c r="O41" t="s">
        <v>273</v>
      </c>
      <c r="P41" t="s">
        <v>271</v>
      </c>
      <c r="Q41" t="s">
        <v>273</v>
      </c>
      <c r="R41" t="s">
        <v>30</v>
      </c>
      <c r="S41" s="9" t="s">
        <v>273</v>
      </c>
      <c r="T41" s="22">
        <v>-1</v>
      </c>
      <c r="U41" s="22">
        <v>-1</v>
      </c>
      <c r="V41" s="22">
        <v>-1</v>
      </c>
      <c r="W41" s="22">
        <v>1</v>
      </c>
      <c r="X41" s="22">
        <v>-1</v>
      </c>
      <c r="Y41" s="22"/>
      <c r="Z41" s="9" t="s">
        <v>273</v>
      </c>
      <c r="AA41" s="22">
        <v>0</v>
      </c>
      <c r="AC41" s="9" t="s">
        <v>273</v>
      </c>
      <c r="AD41" s="22">
        <v>100</v>
      </c>
      <c r="AF41" s="10">
        <v>2053</v>
      </c>
      <c r="AH41" s="10">
        <v>2051</v>
      </c>
      <c r="AK41" s="10"/>
      <c r="AL41" s="10">
        <v>2053</v>
      </c>
    </row>
    <row r="42" spans="1:38">
      <c r="AF42" s="10">
        <v>2054</v>
      </c>
      <c r="AH42" s="10">
        <v>2052</v>
      </c>
      <c r="AK42" s="10"/>
      <c r="AL42" s="10">
        <v>2054</v>
      </c>
    </row>
    <row r="43" spans="1:38">
      <c r="AF43" s="10">
        <v>2055</v>
      </c>
      <c r="AH43" s="10">
        <v>2053</v>
      </c>
      <c r="AK43" s="10"/>
      <c r="AL43" s="10">
        <v>2055</v>
      </c>
    </row>
    <row r="44" spans="1:38">
      <c r="AH44" s="10">
        <v>2054</v>
      </c>
      <c r="AK44" s="10"/>
    </row>
    <row r="45" spans="1:38">
      <c r="AH45" s="10">
        <v>2055</v>
      </c>
      <c r="AK45" s="10"/>
    </row>
    <row r="46" spans="1:38">
      <c r="AH46" s="10">
        <v>2058</v>
      </c>
      <c r="AK46" s="10"/>
    </row>
    <row r="47" spans="1:38">
      <c r="AH47" s="10">
        <v>2063</v>
      </c>
      <c r="AK47" s="10"/>
    </row>
    <row r="48" spans="1:38">
      <c r="AH48" s="10">
        <v>2068</v>
      </c>
      <c r="AK48" s="10"/>
    </row>
    <row r="49" spans="37:37">
      <c r="AK49" s="10"/>
    </row>
    <row r="50" spans="37:37">
      <c r="AK50" s="10"/>
    </row>
    <row r="51" spans="37:37">
      <c r="AK51" s="10"/>
    </row>
    <row r="52" spans="37:37">
      <c r="AK52" s="10"/>
    </row>
    <row r="53" spans="37:37">
      <c r="AK53" s="10"/>
    </row>
    <row r="54" spans="37:37">
      <c r="AK54" s="10"/>
    </row>
    <row r="55" spans="37:37">
      <c r="AK55" s="10"/>
    </row>
    <row r="56" spans="37:37">
      <c r="AK56" s="10"/>
    </row>
    <row r="57" spans="37:37">
      <c r="AK57" s="10"/>
    </row>
    <row r="58" spans="37:37">
      <c r="AK58" s="10"/>
    </row>
    <row r="59" spans="37:37">
      <c r="AK59" s="10"/>
    </row>
    <row r="60" spans="37:37">
      <c r="AK60" s="10"/>
    </row>
    <row r="65" spans="34:34">
      <c r="AH65" s="10">
        <v>2051</v>
      </c>
    </row>
    <row r="66" spans="34:34">
      <c r="AH66" s="10">
        <v>2052</v>
      </c>
    </row>
    <row r="67" spans="34:34">
      <c r="AH67" s="10">
        <v>2053</v>
      </c>
    </row>
    <row r="68" spans="34:34">
      <c r="AH68" s="10">
        <v>2054</v>
      </c>
    </row>
    <row r="69" spans="34:34">
      <c r="AH69" s="10">
        <v>2055</v>
      </c>
    </row>
    <row r="70" spans="34:34">
      <c r="AH70" s="10">
        <v>2056</v>
      </c>
    </row>
    <row r="71" spans="34:34">
      <c r="AH71" s="10">
        <v>2057</v>
      </c>
    </row>
    <row r="72" spans="34:34">
      <c r="AH72" s="10">
        <v>2058</v>
      </c>
    </row>
    <row r="73" spans="34:34">
      <c r="AH73" s="10">
        <v>2059</v>
      </c>
    </row>
    <row r="74" spans="34:34">
      <c r="AH74" s="10">
        <v>2060</v>
      </c>
    </row>
    <row r="75" spans="34:34">
      <c r="AH75" s="10">
        <v>2061</v>
      </c>
    </row>
    <row r="76" spans="34:34">
      <c r="AH76" s="10">
        <v>2062</v>
      </c>
    </row>
    <row r="77" spans="34:34">
      <c r="AH77" s="10">
        <v>2063</v>
      </c>
    </row>
    <row r="78" spans="34:34">
      <c r="AH78" s="10">
        <v>2064</v>
      </c>
    </row>
    <row r="79" spans="34:34">
      <c r="AH79" s="10">
        <v>2065</v>
      </c>
    </row>
    <row r="80" spans="34:34">
      <c r="AH80" s="10">
        <v>2066</v>
      </c>
    </row>
    <row r="81" spans="34:34">
      <c r="AH81" s="10">
        <v>2067</v>
      </c>
    </row>
    <row r="82" spans="34:34">
      <c r="AH82" s="10">
        <v>2068</v>
      </c>
    </row>
    <row r="83" spans="34:34">
      <c r="AH83" s="10">
        <v>2069</v>
      </c>
    </row>
    <row r="84" spans="34:34">
      <c r="AH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N96"/>
  <sheetViews>
    <sheetView tabSelected="1" zoomScaleNormal="100" workbookViewId="0">
      <pane xSplit="2" ySplit="9" topLeftCell="C28" activePane="bottomRight" state="frozen"/>
      <selection pane="topRight" activeCell="C1" sqref="C1"/>
      <selection pane="bottomLeft" activeCell="A8" sqref="A8"/>
      <selection pane="bottomRight" activeCell="A39" sqref="A39:XFD4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RIGHT(B13,1)</f>
        <v>N</v>
      </c>
      <c r="V4">
        <v>4.4793989999999999</v>
      </c>
    </row>
    <row r="5" spans="1:5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8">
      <c r="A6" s="4">
        <f>SUM(A10:A95)</f>
        <v>3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SUM(AZ10:AZ57)</f>
        <v>0</v>
      </c>
    </row>
    <row r="7" spans="1:5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274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225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228</v>
      </c>
      <c r="BB9" t="s">
        <v>226</v>
      </c>
      <c r="BC9" t="s">
        <v>227</v>
      </c>
      <c r="BD9" t="s">
        <v>229</v>
      </c>
      <c r="BE9" t="s">
        <v>230</v>
      </c>
      <c r="BF9" t="s">
        <v>231</v>
      </c>
    </row>
    <row r="10" spans="1:58">
      <c r="A10">
        <v>0</v>
      </c>
      <c r="B10" t="s">
        <v>232</v>
      </c>
      <c r="C10" t="s">
        <v>251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0</v>
      </c>
      <c r="L10">
        <v>-1</v>
      </c>
      <c r="M10">
        <v>-1</v>
      </c>
      <c r="N10">
        <v>-1</v>
      </c>
      <c r="O10">
        <v>1</v>
      </c>
      <c r="P10">
        <v>-1</v>
      </c>
      <c r="Q10">
        <v>100</v>
      </c>
      <c r="AZ10">
        <v>0</v>
      </c>
    </row>
    <row r="11" spans="1:58">
      <c r="A11">
        <v>0</v>
      </c>
      <c r="B11" t="s">
        <v>233</v>
      </c>
      <c r="D11" t="s">
        <v>30</v>
      </c>
      <c r="E11" t="str">
        <f t="shared" ref="E11:E31" si="3">B11</f>
        <v>NZ10_2099B_99EESSNXCT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0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v>0</v>
      </c>
    </row>
    <row r="12" spans="1:58">
      <c r="A12">
        <v>0</v>
      </c>
      <c r="B12" t="s">
        <v>234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0</v>
      </c>
      <c r="L12">
        <v>-1</v>
      </c>
      <c r="M12">
        <v>-1</v>
      </c>
      <c r="N12">
        <v>-1</v>
      </c>
      <c r="O12">
        <v>1</v>
      </c>
      <c r="P12">
        <v>-1</v>
      </c>
      <c r="Q12">
        <v>100</v>
      </c>
      <c r="AZ12">
        <v>0</v>
      </c>
    </row>
    <row r="13" spans="1:58">
      <c r="A13">
        <v>0</v>
      </c>
      <c r="B13" t="s">
        <v>235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0</v>
      </c>
      <c r="L13">
        <v>-1</v>
      </c>
      <c r="M13">
        <v>-1</v>
      </c>
      <c r="N13">
        <v>-1</v>
      </c>
      <c r="O13">
        <v>1</v>
      </c>
      <c r="P13">
        <v>-1</v>
      </c>
      <c r="Q13">
        <v>100</v>
      </c>
      <c r="AZ13">
        <v>0</v>
      </c>
    </row>
    <row r="14" spans="1:58">
      <c r="A14">
        <v>0</v>
      </c>
      <c r="B14" t="s">
        <v>236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0</v>
      </c>
      <c r="L14">
        <v>-1</v>
      </c>
      <c r="M14">
        <v>-1</v>
      </c>
      <c r="N14">
        <v>-1</v>
      </c>
      <c r="O14">
        <v>1</v>
      </c>
      <c r="P14">
        <v>-1</v>
      </c>
      <c r="Q14">
        <v>100</v>
      </c>
      <c r="AZ14">
        <v>0</v>
      </c>
    </row>
    <row r="15" spans="1:58" ht="16.5" customHeight="1">
      <c r="A15">
        <v>0</v>
      </c>
      <c r="B15" t="s">
        <v>237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0</v>
      </c>
      <c r="L15">
        <v>-1</v>
      </c>
      <c r="M15">
        <v>-1</v>
      </c>
      <c r="N15">
        <v>-1</v>
      </c>
      <c r="O15">
        <v>1</v>
      </c>
      <c r="P15">
        <v>-1</v>
      </c>
      <c r="Q15">
        <v>100</v>
      </c>
      <c r="AZ15">
        <v>0</v>
      </c>
      <c r="BB15">
        <v>1</v>
      </c>
    </row>
    <row r="16" spans="1:58" ht="17.25" customHeight="1">
      <c r="A16">
        <v>0</v>
      </c>
      <c r="B16" t="s">
        <v>238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0</v>
      </c>
      <c r="L16">
        <v>-1</v>
      </c>
      <c r="M16">
        <v>-1</v>
      </c>
      <c r="N16">
        <v>-1</v>
      </c>
      <c r="O16">
        <v>1</v>
      </c>
      <c r="P16">
        <v>-1</v>
      </c>
      <c r="Q16">
        <v>100</v>
      </c>
      <c r="AZ16">
        <v>0</v>
      </c>
      <c r="BB16">
        <v>1</v>
      </c>
    </row>
    <row r="17" spans="1:66" ht="17.25" customHeight="1">
      <c r="A17">
        <v>0</v>
      </c>
      <c r="B17" t="s">
        <v>239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0</v>
      </c>
      <c r="L17">
        <v>-1</v>
      </c>
      <c r="M17">
        <v>-1</v>
      </c>
      <c r="N17">
        <v>-1</v>
      </c>
      <c r="O17">
        <v>1</v>
      </c>
      <c r="P17">
        <v>-1</v>
      </c>
      <c r="Q17">
        <v>100</v>
      </c>
      <c r="AZ17">
        <v>0</v>
      </c>
      <c r="BB17">
        <v>1</v>
      </c>
      <c r="BE17">
        <v>1</v>
      </c>
    </row>
    <row r="18" spans="1:66" ht="17.25" customHeight="1">
      <c r="A18">
        <v>0</v>
      </c>
      <c r="B18" t="s">
        <v>252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0</v>
      </c>
      <c r="L18">
        <v>-1</v>
      </c>
      <c r="M18">
        <v>-1</v>
      </c>
      <c r="N18">
        <v>-1</v>
      </c>
      <c r="O18">
        <v>1</v>
      </c>
      <c r="P18">
        <v>-1</v>
      </c>
      <c r="Q18">
        <v>100</v>
      </c>
      <c r="AZ18">
        <v>0</v>
      </c>
      <c r="BB18">
        <v>1</v>
      </c>
      <c r="BE18">
        <v>1</v>
      </c>
    </row>
    <row r="19" spans="1:66" ht="17.25" customHeight="1">
      <c r="A19">
        <v>0</v>
      </c>
      <c r="B19" t="s">
        <v>254</v>
      </c>
      <c r="D19" t="s">
        <v>30</v>
      </c>
      <c r="E19" s="18" t="s">
        <v>255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0</v>
      </c>
      <c r="L19">
        <v>-1</v>
      </c>
      <c r="M19">
        <v>-1</v>
      </c>
      <c r="N19">
        <v>-1</v>
      </c>
      <c r="O19">
        <v>1</v>
      </c>
      <c r="P19">
        <v>-1</v>
      </c>
      <c r="Q19">
        <v>100</v>
      </c>
      <c r="AZ19">
        <v>0</v>
      </c>
      <c r="BB19">
        <v>1</v>
      </c>
      <c r="BE19">
        <v>1</v>
      </c>
    </row>
    <row r="20" spans="1:66" ht="17.25" customHeight="1">
      <c r="A20">
        <v>0</v>
      </c>
      <c r="B20" t="s">
        <v>253</v>
      </c>
      <c r="D20" t="s">
        <v>30</v>
      </c>
      <c r="E20" s="18" t="s">
        <v>256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0</v>
      </c>
      <c r="L20">
        <v>-1</v>
      </c>
      <c r="M20">
        <v>-1</v>
      </c>
      <c r="N20">
        <v>-1</v>
      </c>
      <c r="O20">
        <v>1</v>
      </c>
      <c r="P20">
        <v>-1</v>
      </c>
      <c r="Q20">
        <v>100</v>
      </c>
      <c r="AZ20">
        <v>0</v>
      </c>
      <c r="BB20">
        <v>1</v>
      </c>
      <c r="BE20">
        <v>1</v>
      </c>
    </row>
    <row r="21" spans="1:66" ht="17.25" customHeight="1">
      <c r="A21">
        <v>0</v>
      </c>
      <c r="B21" t="s">
        <v>240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0</v>
      </c>
      <c r="L21">
        <v>-1</v>
      </c>
      <c r="M21">
        <v>-1</v>
      </c>
      <c r="N21">
        <v>-1</v>
      </c>
      <c r="O21">
        <v>1</v>
      </c>
      <c r="P21">
        <v>-1</v>
      </c>
      <c r="Q21">
        <v>100</v>
      </c>
      <c r="AZ21">
        <v>0</v>
      </c>
      <c r="BB21">
        <v>1</v>
      </c>
      <c r="BE21">
        <v>1</v>
      </c>
    </row>
    <row r="22" spans="1:66" ht="17.25" customHeight="1">
      <c r="A22">
        <v>0</v>
      </c>
      <c r="B22" t="s">
        <v>241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0</v>
      </c>
      <c r="L22">
        <v>-1</v>
      </c>
      <c r="M22">
        <v>-1</v>
      </c>
      <c r="N22">
        <v>-1</v>
      </c>
      <c r="O22">
        <v>1</v>
      </c>
      <c r="P22">
        <v>-1</v>
      </c>
      <c r="Q22">
        <v>100</v>
      </c>
      <c r="AZ22">
        <v>0</v>
      </c>
      <c r="BB22">
        <v>1</v>
      </c>
      <c r="BE22">
        <v>1</v>
      </c>
    </row>
    <row r="23" spans="1:66">
      <c r="A23">
        <v>0</v>
      </c>
      <c r="B23" t="s">
        <v>242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0</v>
      </c>
      <c r="L23">
        <v>-1</v>
      </c>
      <c r="M23">
        <v>-1</v>
      </c>
      <c r="N23">
        <v>-1</v>
      </c>
      <c r="O23">
        <v>1</v>
      </c>
      <c r="P23">
        <v>-1</v>
      </c>
      <c r="Q23">
        <v>100</v>
      </c>
      <c r="BC23">
        <v>1</v>
      </c>
    </row>
    <row r="24" spans="1:66">
      <c r="A24">
        <v>0</v>
      </c>
      <c r="B24" t="s">
        <v>243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0</v>
      </c>
      <c r="L24">
        <v>-1</v>
      </c>
      <c r="M24">
        <v>-1</v>
      </c>
      <c r="N24">
        <v>-1</v>
      </c>
      <c r="O24">
        <v>1</v>
      </c>
      <c r="P24">
        <v>-1</v>
      </c>
      <c r="Q24">
        <v>100</v>
      </c>
      <c r="BC24">
        <v>1</v>
      </c>
    </row>
    <row r="25" spans="1:66">
      <c r="A25">
        <v>0</v>
      </c>
      <c r="B25" t="s">
        <v>244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0</v>
      </c>
      <c r="L25">
        <v>-1</v>
      </c>
      <c r="M25">
        <v>-1</v>
      </c>
      <c r="N25">
        <v>-1</v>
      </c>
      <c r="O25">
        <v>1</v>
      </c>
      <c r="P25">
        <v>-1</v>
      </c>
      <c r="Q25">
        <v>100</v>
      </c>
      <c r="BC25">
        <v>1</v>
      </c>
    </row>
    <row r="26" spans="1:66">
      <c r="A26">
        <v>0</v>
      </c>
      <c r="B26" t="s">
        <v>245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0</v>
      </c>
      <c r="L26">
        <v>-1</v>
      </c>
      <c r="M26">
        <v>-1</v>
      </c>
      <c r="N26">
        <v>-1</v>
      </c>
      <c r="O26">
        <v>1</v>
      </c>
      <c r="P26">
        <v>-1</v>
      </c>
      <c r="Q26">
        <v>100</v>
      </c>
      <c r="BC26">
        <v>1</v>
      </c>
      <c r="BN26" t="s">
        <v>216</v>
      </c>
    </row>
    <row r="27" spans="1:66">
      <c r="A27">
        <v>0</v>
      </c>
      <c r="B27" t="s">
        <v>246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0</v>
      </c>
      <c r="L27">
        <v>-1</v>
      </c>
      <c r="M27">
        <v>-1</v>
      </c>
      <c r="N27">
        <v>-1</v>
      </c>
      <c r="O27">
        <v>1</v>
      </c>
      <c r="P27">
        <v>-1</v>
      </c>
      <c r="Q27">
        <v>100</v>
      </c>
      <c r="BC27">
        <v>1</v>
      </c>
      <c r="BN27" t="s">
        <v>217</v>
      </c>
    </row>
    <row r="28" spans="1:66">
      <c r="A28">
        <v>0</v>
      </c>
      <c r="B28" t="s">
        <v>247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0</v>
      </c>
      <c r="L28">
        <v>-1</v>
      </c>
      <c r="M28">
        <v>-1</v>
      </c>
      <c r="N28">
        <v>-1</v>
      </c>
      <c r="O28">
        <v>1</v>
      </c>
      <c r="P28">
        <v>-1</v>
      </c>
      <c r="Q28">
        <v>100</v>
      </c>
      <c r="BC28">
        <v>1</v>
      </c>
      <c r="BN28" t="s">
        <v>218</v>
      </c>
    </row>
    <row r="29" spans="1:66">
      <c r="A29">
        <v>0</v>
      </c>
      <c r="B29" t="s">
        <v>248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0</v>
      </c>
      <c r="L29">
        <v>-1</v>
      </c>
      <c r="M29">
        <v>-1</v>
      </c>
      <c r="N29">
        <v>-1</v>
      </c>
      <c r="O29">
        <v>1</v>
      </c>
      <c r="P29">
        <v>-1</v>
      </c>
      <c r="Q29">
        <v>100</v>
      </c>
      <c r="BC29">
        <v>1</v>
      </c>
      <c r="BN29" t="s">
        <v>219</v>
      </c>
    </row>
    <row r="30" spans="1:66">
      <c r="A30">
        <v>0</v>
      </c>
      <c r="B30" t="s">
        <v>249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0</v>
      </c>
      <c r="L30">
        <v>-1</v>
      </c>
      <c r="M30">
        <v>-1</v>
      </c>
      <c r="N30">
        <v>-1</v>
      </c>
      <c r="O30">
        <v>1</v>
      </c>
      <c r="P30">
        <v>-1</v>
      </c>
      <c r="Q30">
        <v>100</v>
      </c>
      <c r="BC30">
        <v>1</v>
      </c>
      <c r="BN30" t="s">
        <v>220</v>
      </c>
    </row>
    <row r="31" spans="1:66">
      <c r="A31">
        <v>0</v>
      </c>
      <c r="B31" t="s">
        <v>250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0</v>
      </c>
      <c r="L31">
        <v>-1</v>
      </c>
      <c r="M31">
        <v>-1</v>
      </c>
      <c r="N31">
        <v>-1</v>
      </c>
      <c r="O31">
        <v>1</v>
      </c>
      <c r="P31">
        <v>-1</v>
      </c>
      <c r="Q31">
        <v>100</v>
      </c>
      <c r="BC31">
        <v>1</v>
      </c>
      <c r="BN31" t="s">
        <v>221</v>
      </c>
    </row>
    <row r="32" spans="1:66">
      <c r="A32">
        <v>0</v>
      </c>
      <c r="B32" s="20" t="s">
        <v>261</v>
      </c>
      <c r="D32" t="s">
        <v>30</v>
      </c>
      <c r="E32" t="str">
        <f t="shared" ref="E32:E33" si="5">B32</f>
        <v>NZ10_2050A_08EESSNXCT_IMG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v>0</v>
      </c>
      <c r="L32">
        <v>-1</v>
      </c>
      <c r="M32">
        <v>1</v>
      </c>
      <c r="N32">
        <v>1</v>
      </c>
      <c r="O32">
        <v>1</v>
      </c>
      <c r="P32">
        <v>-1</v>
      </c>
      <c r="Q32">
        <v>100</v>
      </c>
      <c r="BC32">
        <v>1</v>
      </c>
      <c r="BN32" t="s">
        <v>222</v>
      </c>
    </row>
    <row r="33" spans="1:66">
      <c r="A33">
        <v>0</v>
      </c>
      <c r="B33" s="20" t="s">
        <v>260</v>
      </c>
      <c r="D33" t="s">
        <v>30</v>
      </c>
      <c r="E33" t="str">
        <f t="shared" si="5"/>
        <v>NZ10_2050A_09EESSNXCT-IMG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v>0</v>
      </c>
      <c r="L33">
        <v>-1</v>
      </c>
      <c r="M33">
        <v>1</v>
      </c>
      <c r="N33">
        <v>1</v>
      </c>
      <c r="O33">
        <v>1</v>
      </c>
      <c r="P33">
        <v>-1</v>
      </c>
      <c r="Q33">
        <v>100</v>
      </c>
      <c r="BC33">
        <v>1</v>
      </c>
      <c r="BN33" t="s">
        <v>223</v>
      </c>
    </row>
    <row r="34" spans="1:66">
      <c r="A34">
        <v>0</v>
      </c>
      <c r="B34" s="20" t="s">
        <v>259</v>
      </c>
      <c r="D34" t="s">
        <v>30</v>
      </c>
      <c r="E34" t="str">
        <f t="shared" ref="E34:E38" si="6">B34</f>
        <v>NZ10_2099B_99NESSNXCT-IMG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0</v>
      </c>
      <c r="L34">
        <v>-1</v>
      </c>
      <c r="M34">
        <v>-1</v>
      </c>
      <c r="N34">
        <v>-1</v>
      </c>
      <c r="O34">
        <v>1</v>
      </c>
      <c r="P34">
        <v>-1</v>
      </c>
      <c r="Q34">
        <v>100</v>
      </c>
      <c r="BC34">
        <v>1</v>
      </c>
      <c r="BN34" t="s">
        <v>224</v>
      </c>
    </row>
    <row r="35" spans="1:66">
      <c r="A35">
        <v>0</v>
      </c>
      <c r="B35" s="20" t="s">
        <v>262</v>
      </c>
      <c r="D35" t="s">
        <v>30</v>
      </c>
      <c r="E35" t="str">
        <f t="shared" si="6"/>
        <v>NZ10_2050A_09EESSNXCT_Local</v>
      </c>
      <c r="F35">
        <v>0</v>
      </c>
      <c r="G35">
        <v>1</v>
      </c>
      <c r="H35" t="s">
        <v>188</v>
      </c>
      <c r="I35">
        <v>0</v>
      </c>
      <c r="J35">
        <v>0</v>
      </c>
      <c r="K35">
        <v>0</v>
      </c>
      <c r="L35">
        <v>-1</v>
      </c>
      <c r="M35">
        <v>1</v>
      </c>
      <c r="N35">
        <v>1</v>
      </c>
      <c r="O35">
        <v>1</v>
      </c>
      <c r="P35">
        <v>-1</v>
      </c>
      <c r="Q35">
        <v>100</v>
      </c>
      <c r="BC35">
        <v>1</v>
      </c>
      <c r="BN35" t="s">
        <v>223</v>
      </c>
    </row>
    <row r="36" spans="1:66">
      <c r="A36">
        <v>0</v>
      </c>
      <c r="B36" s="20" t="s">
        <v>263</v>
      </c>
      <c r="D36" t="s">
        <v>30</v>
      </c>
      <c r="E36" t="str">
        <f t="shared" si="6"/>
        <v>NZ_NDCLO</v>
      </c>
      <c r="F36">
        <v>0</v>
      </c>
      <c r="G36">
        <v>1</v>
      </c>
      <c r="H36" t="s">
        <v>188</v>
      </c>
      <c r="I36">
        <v>1</v>
      </c>
      <c r="J36">
        <v>1</v>
      </c>
      <c r="K36">
        <v>0</v>
      </c>
      <c r="L36">
        <v>-1</v>
      </c>
      <c r="M36">
        <v>1</v>
      </c>
      <c r="N36">
        <v>1</v>
      </c>
      <c r="O36">
        <v>1</v>
      </c>
      <c r="P36">
        <v>-1</v>
      </c>
      <c r="Q36">
        <v>100</v>
      </c>
      <c r="BC36">
        <v>1</v>
      </c>
      <c r="BN36" t="s">
        <v>222</v>
      </c>
    </row>
    <row r="37" spans="1:66">
      <c r="A37">
        <v>0</v>
      </c>
      <c r="B37" s="20" t="s">
        <v>264</v>
      </c>
      <c r="D37" t="s">
        <v>30</v>
      </c>
      <c r="E37" t="str">
        <f t="shared" si="6"/>
        <v>NZ_NDCUP</v>
      </c>
      <c r="F37">
        <v>0</v>
      </c>
      <c r="G37">
        <v>1</v>
      </c>
      <c r="H37" t="s">
        <v>188</v>
      </c>
      <c r="I37">
        <v>1</v>
      </c>
      <c r="J37">
        <v>1</v>
      </c>
      <c r="K37">
        <v>0</v>
      </c>
      <c r="L37">
        <v>-1</v>
      </c>
      <c r="M37">
        <v>1</v>
      </c>
      <c r="N37">
        <v>1</v>
      </c>
      <c r="O37">
        <v>1</v>
      </c>
      <c r="P37">
        <v>-1</v>
      </c>
      <c r="Q37">
        <v>100</v>
      </c>
      <c r="BC37">
        <v>1</v>
      </c>
      <c r="BN37" t="s">
        <v>223</v>
      </c>
    </row>
    <row r="38" spans="1:66">
      <c r="A38">
        <v>0</v>
      </c>
      <c r="B38" s="20" t="s">
        <v>265</v>
      </c>
      <c r="D38" t="s">
        <v>30</v>
      </c>
      <c r="E38" t="str">
        <f t="shared" si="6"/>
        <v>REF</v>
      </c>
      <c r="F38">
        <v>0</v>
      </c>
      <c r="G38">
        <v>1</v>
      </c>
      <c r="H38" t="s">
        <v>188</v>
      </c>
      <c r="I38">
        <v>0</v>
      </c>
      <c r="J38">
        <v>0</v>
      </c>
      <c r="K38">
        <v>0</v>
      </c>
      <c r="L38">
        <v>-1</v>
      </c>
      <c r="M38">
        <v>-1</v>
      </c>
      <c r="N38">
        <v>-1</v>
      </c>
      <c r="O38">
        <v>1</v>
      </c>
      <c r="P38">
        <v>-1</v>
      </c>
      <c r="Q38">
        <v>100</v>
      </c>
      <c r="BC38">
        <v>1</v>
      </c>
      <c r="BN38" t="s">
        <v>224</v>
      </c>
    </row>
    <row r="39" spans="1:66">
      <c r="A39">
        <v>1</v>
      </c>
      <c r="B39" s="20" t="s">
        <v>267</v>
      </c>
      <c r="D39" t="s">
        <v>30</v>
      </c>
      <c r="E39" t="str">
        <f t="shared" ref="E39" si="7">B39</f>
        <v>LEAF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v>0</v>
      </c>
      <c r="L39">
        <v>-1</v>
      </c>
      <c r="M39">
        <v>-1</v>
      </c>
      <c r="N39">
        <v>-1</v>
      </c>
      <c r="O39">
        <v>1</v>
      </c>
      <c r="P39">
        <v>-1</v>
      </c>
      <c r="Q39">
        <v>100</v>
      </c>
      <c r="BC39">
        <v>1</v>
      </c>
      <c r="BN39" t="s">
        <v>266</v>
      </c>
    </row>
    <row r="40" spans="1:66">
      <c r="A40">
        <v>1</v>
      </c>
      <c r="B40" s="20" t="s">
        <v>270</v>
      </c>
      <c r="D40" t="s">
        <v>30</v>
      </c>
      <c r="E40" t="str">
        <f t="shared" ref="E40" si="8">B40</f>
        <v>LEAF-RF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v>0</v>
      </c>
      <c r="L40">
        <v>-1</v>
      </c>
      <c r="M40">
        <v>-1</v>
      </c>
      <c r="N40">
        <v>-1</v>
      </c>
      <c r="O40">
        <v>1</v>
      </c>
      <c r="P40">
        <v>-1</v>
      </c>
      <c r="Q40">
        <v>100</v>
      </c>
      <c r="BC40">
        <v>1</v>
      </c>
      <c r="BN40" t="s">
        <v>268</v>
      </c>
    </row>
    <row r="41" spans="1:66">
      <c r="A41">
        <v>1</v>
      </c>
      <c r="B41" s="20" t="s">
        <v>272</v>
      </c>
      <c r="D41" t="s">
        <v>30</v>
      </c>
      <c r="E41" t="str">
        <f>E40</f>
        <v>LEAF-RF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v>1</v>
      </c>
      <c r="L41">
        <v>-1</v>
      </c>
      <c r="M41">
        <v>-1</v>
      </c>
      <c r="N41">
        <v>-1</v>
      </c>
      <c r="O41">
        <v>1</v>
      </c>
      <c r="P41">
        <v>-1</v>
      </c>
      <c r="Q41">
        <v>100</v>
      </c>
      <c r="BC41">
        <v>1</v>
      </c>
      <c r="BN41" t="s">
        <v>268</v>
      </c>
    </row>
    <row r="42" spans="1:66">
      <c r="A42">
        <v>0</v>
      </c>
      <c r="B42" s="20" t="s">
        <v>271</v>
      </c>
      <c r="D42" t="s">
        <v>30</v>
      </c>
      <c r="E42" t="str">
        <f>B42</f>
        <v>LEAF-RF-NZNDCUP</v>
      </c>
      <c r="F42">
        <v>0</v>
      </c>
      <c r="G42">
        <v>1</v>
      </c>
      <c r="H42" t="s">
        <v>188</v>
      </c>
      <c r="I42">
        <v>0</v>
      </c>
      <c r="J42">
        <v>0</v>
      </c>
      <c r="K42">
        <v>0</v>
      </c>
      <c r="L42">
        <v>-1</v>
      </c>
      <c r="M42">
        <v>-1</v>
      </c>
      <c r="N42">
        <v>-1</v>
      </c>
      <c r="O42">
        <v>1</v>
      </c>
      <c r="P42">
        <v>-1</v>
      </c>
      <c r="Q42">
        <v>100</v>
      </c>
      <c r="BC42">
        <v>1</v>
      </c>
      <c r="BN42" t="s">
        <v>269</v>
      </c>
    </row>
    <row r="43" spans="1:66">
      <c r="A43">
        <v>0</v>
      </c>
      <c r="B43" s="20" t="s">
        <v>273</v>
      </c>
      <c r="D43" t="s">
        <v>30</v>
      </c>
      <c r="E43" t="str">
        <f>E42</f>
        <v>LEAF-RF-NZNDCUP</v>
      </c>
      <c r="F43">
        <v>0</v>
      </c>
      <c r="G43">
        <v>1</v>
      </c>
      <c r="H43" t="s">
        <v>188</v>
      </c>
      <c r="I43">
        <v>0</v>
      </c>
      <c r="J43">
        <v>0</v>
      </c>
      <c r="K43">
        <v>0</v>
      </c>
      <c r="L43">
        <v>-1</v>
      </c>
      <c r="M43">
        <v>-1</v>
      </c>
      <c r="N43">
        <v>-1</v>
      </c>
      <c r="O43">
        <v>1</v>
      </c>
      <c r="P43">
        <v>-1</v>
      </c>
      <c r="Q43">
        <v>100</v>
      </c>
      <c r="BC43">
        <v>1</v>
      </c>
      <c r="BN43" t="s">
        <v>269</v>
      </c>
    </row>
    <row r="44" spans="1:66">
      <c r="A44" s="17"/>
      <c r="M44" s="13"/>
      <c r="N44" s="13"/>
      <c r="Q44" s="19"/>
      <c r="BC44">
        <v>1</v>
      </c>
    </row>
    <row r="45" spans="1:66">
      <c r="A45" s="17"/>
      <c r="M45" s="13"/>
      <c r="N45" s="13"/>
      <c r="Q45" s="19"/>
      <c r="BC45">
        <v>1</v>
      </c>
    </row>
    <row r="46" spans="1:66">
      <c r="A46" s="17"/>
      <c r="M46" s="13"/>
      <c r="N46" s="13"/>
      <c r="Q46" s="19"/>
      <c r="BC46">
        <v>1</v>
      </c>
    </row>
    <row r="47" spans="1:66">
      <c r="A47" s="17"/>
      <c r="Q47" s="19"/>
      <c r="BC47">
        <v>1</v>
      </c>
    </row>
    <row r="48" spans="1:66">
      <c r="A48" s="17"/>
      <c r="M48" s="13"/>
      <c r="N48" s="13"/>
      <c r="Q48" s="19"/>
      <c r="BC48">
        <v>1</v>
      </c>
    </row>
    <row r="49" spans="1:55">
      <c r="A49" s="17"/>
      <c r="Q49" s="19"/>
      <c r="BC49">
        <v>1</v>
      </c>
    </row>
    <row r="50" spans="1:55">
      <c r="A50" s="17"/>
      <c r="Q50" s="19"/>
      <c r="BC50">
        <v>1</v>
      </c>
    </row>
    <row r="51" spans="1:55">
      <c r="A51" s="17"/>
      <c r="Q51" s="19"/>
      <c r="BC51">
        <v>1</v>
      </c>
    </row>
    <row r="52" spans="1:55">
      <c r="A52" s="17"/>
      <c r="M52" s="13"/>
      <c r="N52" s="13"/>
      <c r="Q52" s="19"/>
      <c r="BC52">
        <v>1</v>
      </c>
    </row>
    <row r="53" spans="1:55">
      <c r="A53" s="17"/>
      <c r="M53" s="13"/>
      <c r="N53" s="13"/>
      <c r="Q53" s="19"/>
      <c r="BC53">
        <v>1</v>
      </c>
    </row>
    <row r="54" spans="1:55">
      <c r="A54" s="17"/>
      <c r="M54" s="13"/>
      <c r="N54" s="13"/>
      <c r="Q54" s="19"/>
      <c r="BC54">
        <v>1</v>
      </c>
    </row>
    <row r="55" spans="1:55">
      <c r="A55" s="17"/>
      <c r="Q55" s="19"/>
      <c r="BC55">
        <v>1</v>
      </c>
    </row>
    <row r="56" spans="1:55">
      <c r="A56" s="17"/>
      <c r="Q56" s="19"/>
      <c r="BC56">
        <v>1</v>
      </c>
    </row>
    <row r="57" spans="1:55">
      <c r="A57" s="17"/>
      <c r="Q57" s="19"/>
      <c r="BC57">
        <v>1</v>
      </c>
    </row>
    <row r="58" spans="1:55">
      <c r="A58" s="17"/>
      <c r="Q58" s="19"/>
      <c r="BC58">
        <v>1</v>
      </c>
    </row>
    <row r="59" spans="1:55">
      <c r="A59" s="17"/>
      <c r="Q59" s="19"/>
      <c r="BC59">
        <v>1</v>
      </c>
    </row>
    <row r="60" spans="1:55">
      <c r="A60" s="17"/>
      <c r="Q60" s="19"/>
      <c r="BC60">
        <v>1</v>
      </c>
    </row>
    <row r="61" spans="1:55">
      <c r="A61" s="17"/>
      <c r="Q61" s="19"/>
      <c r="BC61">
        <v>1</v>
      </c>
    </row>
    <row r="62" spans="1:55">
      <c r="A62" s="17"/>
      <c r="M62" s="13"/>
      <c r="N62" s="13"/>
      <c r="Q62" s="19"/>
      <c r="BC62">
        <v>1</v>
      </c>
    </row>
    <row r="63" spans="1:55">
      <c r="A63" s="17"/>
      <c r="M63" s="13"/>
      <c r="N63" s="13"/>
      <c r="Q63" s="19"/>
      <c r="BC63">
        <v>1</v>
      </c>
    </row>
    <row r="64" spans="1:55">
      <c r="A64" s="17"/>
      <c r="M64" s="13"/>
      <c r="N64" s="13"/>
      <c r="Q64" s="19"/>
      <c r="BC64">
        <v>1</v>
      </c>
    </row>
    <row r="65" spans="1:55">
      <c r="A65" s="17"/>
      <c r="Q65" s="19"/>
      <c r="BC65">
        <v>1</v>
      </c>
    </row>
    <row r="66" spans="1:55">
      <c r="A66" s="17"/>
      <c r="M66" s="13"/>
      <c r="N66" s="13"/>
      <c r="Q66" s="19"/>
      <c r="BC66">
        <v>1</v>
      </c>
    </row>
    <row r="67" spans="1:55">
      <c r="A67" s="17"/>
      <c r="Q67" s="19"/>
      <c r="BC67">
        <v>1</v>
      </c>
    </row>
    <row r="68" spans="1:55">
      <c r="A68" s="17"/>
      <c r="Q68" s="19"/>
      <c r="BC68">
        <v>1</v>
      </c>
    </row>
    <row r="69" spans="1:55">
      <c r="A69" s="17"/>
      <c r="Q69" s="19"/>
      <c r="BC69">
        <v>1</v>
      </c>
    </row>
    <row r="70" spans="1:55">
      <c r="A70" s="17"/>
      <c r="M70" s="13"/>
      <c r="N70" s="13"/>
      <c r="Q70" s="19"/>
      <c r="BC70">
        <v>1</v>
      </c>
    </row>
    <row r="71" spans="1:55">
      <c r="A71" s="17"/>
      <c r="M71" s="13"/>
      <c r="N71" s="13"/>
      <c r="Q71" s="19"/>
      <c r="BC71">
        <v>1</v>
      </c>
    </row>
    <row r="72" spans="1:55">
      <c r="A72" s="17"/>
      <c r="M72" s="13"/>
      <c r="N72" s="13"/>
      <c r="Q72" s="19"/>
      <c r="BC72">
        <v>1</v>
      </c>
    </row>
    <row r="73" spans="1:55">
      <c r="A73" s="17"/>
      <c r="Q73" s="19"/>
      <c r="BC73">
        <v>1</v>
      </c>
    </row>
    <row r="74" spans="1:55">
      <c r="A74" s="17"/>
      <c r="Q74" s="19"/>
      <c r="BC74">
        <v>1</v>
      </c>
    </row>
    <row r="75" spans="1:55">
      <c r="A75" s="17"/>
      <c r="Q75" s="19"/>
      <c r="BC75">
        <v>1</v>
      </c>
    </row>
    <row r="76" spans="1:55">
      <c r="A76" s="17"/>
      <c r="Q76" s="19"/>
      <c r="BC76">
        <v>1</v>
      </c>
    </row>
    <row r="77" spans="1:55">
      <c r="A77" s="17"/>
      <c r="Q77" s="19"/>
      <c r="BC77">
        <v>1</v>
      </c>
    </row>
    <row r="78" spans="1:55">
      <c r="A78" s="17"/>
      <c r="Q78" s="19"/>
      <c r="BC78">
        <v>1</v>
      </c>
    </row>
    <row r="79" spans="1:55">
      <c r="A79" s="17"/>
      <c r="Q79" s="19"/>
      <c r="BC79">
        <v>1</v>
      </c>
    </row>
    <row r="80" spans="1:55">
      <c r="A80" s="17"/>
      <c r="M80" s="13"/>
      <c r="N80" s="13"/>
      <c r="Q80" s="19"/>
      <c r="BC80">
        <v>1</v>
      </c>
    </row>
    <row r="81" spans="1:58">
      <c r="A81" s="17"/>
      <c r="M81" s="13"/>
      <c r="N81" s="13"/>
      <c r="Q81" s="19"/>
      <c r="BC81">
        <v>1</v>
      </c>
    </row>
    <row r="82" spans="1:58">
      <c r="A82" s="17"/>
      <c r="M82" s="13"/>
      <c r="N82" s="13"/>
      <c r="Q82" s="19"/>
      <c r="BC82">
        <v>1</v>
      </c>
    </row>
    <row r="83" spans="1:58">
      <c r="A83" s="17"/>
      <c r="Q83" s="19"/>
      <c r="BC83">
        <v>1</v>
      </c>
    </row>
    <row r="84" spans="1:58">
      <c r="A84" s="17"/>
      <c r="M84" s="13"/>
      <c r="N84" s="13"/>
      <c r="Q84" s="19"/>
      <c r="BC84">
        <v>1</v>
      </c>
    </row>
    <row r="85" spans="1:58">
      <c r="A85" s="17"/>
      <c r="Q85" s="19"/>
      <c r="BC85">
        <v>1</v>
      </c>
    </row>
    <row r="86" spans="1:58">
      <c r="A86" s="17"/>
      <c r="Q86" s="19"/>
      <c r="BC86">
        <v>1</v>
      </c>
    </row>
    <row r="87" spans="1:58">
      <c r="A87" s="17"/>
      <c r="Q87" s="19"/>
      <c r="BC87">
        <v>1</v>
      </c>
    </row>
    <row r="88" spans="1:58">
      <c r="A88" s="17"/>
      <c r="M88" s="13"/>
      <c r="N88" s="13"/>
      <c r="Q88" s="19"/>
      <c r="BC88">
        <v>1</v>
      </c>
    </row>
    <row r="89" spans="1:58">
      <c r="A89" s="17"/>
      <c r="M89" s="13"/>
      <c r="N89" s="13"/>
      <c r="Q89" s="19"/>
      <c r="BC89">
        <v>1</v>
      </c>
    </row>
    <row r="90" spans="1:58">
      <c r="A90" s="17"/>
      <c r="M90" s="13"/>
      <c r="N90" s="13"/>
      <c r="Q90" s="19"/>
      <c r="BC90">
        <v>1</v>
      </c>
    </row>
    <row r="91" spans="1:58">
      <c r="A91" s="17"/>
      <c r="Q91" s="19"/>
      <c r="BC91">
        <v>1</v>
      </c>
      <c r="BF91">
        <v>1</v>
      </c>
    </row>
    <row r="92" spans="1:58">
      <c r="A92" s="17"/>
      <c r="Q92" s="19"/>
      <c r="BC92">
        <v>1</v>
      </c>
      <c r="BF92">
        <v>1</v>
      </c>
    </row>
    <row r="93" spans="1:58">
      <c r="A93" s="17"/>
      <c r="Q93" s="19"/>
      <c r="BC93">
        <v>1</v>
      </c>
      <c r="BF93">
        <v>1</v>
      </c>
    </row>
    <row r="94" spans="1:58">
      <c r="A94" s="17"/>
      <c r="BC94">
        <v>1</v>
      </c>
      <c r="BF94">
        <v>1</v>
      </c>
    </row>
    <row r="95" spans="1:58">
      <c r="A95" s="17"/>
      <c r="M95" s="13"/>
      <c r="N95" s="13"/>
      <c r="Q95" s="19"/>
      <c r="BC95">
        <v>1</v>
      </c>
      <c r="BF95">
        <v>1</v>
      </c>
    </row>
    <row r="96" spans="1:58">
      <c r="A96" s="17"/>
    </row>
  </sheetData>
  <autoFilter ref="A9:BI95" xr:uid="{00000000-0001-0000-0E00-000000000000}"/>
  <sortState xmlns:xlrd2="http://schemas.microsoft.com/office/spreadsheetml/2017/richdata2" ref="A10:BI57">
    <sortCondition ref="B10:B57"/>
  </sortState>
  <mergeCells count="1">
    <mergeCell ref="S6:AF6"/>
  </mergeCells>
  <phoneticPr fontId="34" type="noConversion"/>
  <conditionalFormatting sqref="A97:A1048576 A1:A9">
    <cfRule type="iconSet" priority="773">
      <iconSet>
        <cfvo type="percent" val="0"/>
        <cfvo type="percent" val="33"/>
        <cfvo type="percent" val="67"/>
      </iconSet>
    </cfRule>
  </conditionalFormatting>
  <conditionalFormatting sqref="A44:A96">
    <cfRule type="iconSet" priority="944">
      <iconSet>
        <cfvo type="percent" val="0"/>
        <cfvo type="percent" val="33"/>
        <cfvo type="percent" val="67"/>
      </iconSet>
    </cfRule>
  </conditionalFormatting>
  <conditionalFormatting sqref="A44:A96">
    <cfRule type="iconSet" priority="945">
      <iconSet>
        <cfvo type="percent" val="0"/>
        <cfvo type="percent" val="33"/>
        <cfvo type="percent" val="67"/>
      </iconSet>
    </cfRule>
  </conditionalFormatting>
  <conditionalFormatting sqref="A44:A96">
    <cfRule type="iconSet" priority="947">
      <iconSet>
        <cfvo type="percent" val="0"/>
        <cfvo type="percent" val="33"/>
        <cfvo type="percent" val="67"/>
      </iconSet>
    </cfRule>
  </conditionalFormatting>
  <conditionalFormatting sqref="A44:A95">
    <cfRule type="iconSet" priority="949">
      <iconSet>
        <cfvo type="percent" val="0"/>
        <cfvo type="percent" val="33"/>
        <cfvo type="percent" val="67"/>
      </iconSet>
    </cfRule>
  </conditionalFormatting>
  <conditionalFormatting sqref="L10:P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41:P41 L43:P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2:P42 L36:P40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40 H41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D10:D35 D44:D96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2023-12-05T09:38:35Z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