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63868C70-B3C0-4B3B-A496-D7AF2A36117F}" xr6:coauthVersionLast="47" xr6:coauthVersionMax="47" xr10:uidLastSave="{00000000-0000-0000-0000-000000000000}"/>
  <bookViews>
    <workbookView xWindow="-1350" yWindow="-18870" windowWidth="23460" windowHeight="1498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85" r:id="rId9"/>
    <pivotCache cacheId="8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2" i="33" l="1"/>
  <c r="C21" i="4" l="1"/>
  <c r="AE7" i="5" l="1"/>
  <c r="AE8" i="5" s="1"/>
  <c r="AE9" i="5" s="1"/>
  <c r="AE10" i="5" s="1"/>
  <c r="AE11" i="5" s="1"/>
  <c r="AE12" i="5" s="1"/>
  <c r="AE13" i="5" s="1"/>
  <c r="AE14" i="5" s="1"/>
  <c r="AE15" i="5" s="1"/>
  <c r="E35" i="33"/>
  <c r="E18" i="33"/>
  <c r="E33" i="33" l="1"/>
  <c r="E34" i="33"/>
  <c r="E11" i="33"/>
  <c r="E12" i="33"/>
  <c r="E13" i="33"/>
  <c r="E14" i="33"/>
  <c r="E15" i="33"/>
  <c r="E16" i="33"/>
  <c r="E17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3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7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<sst xmlns="http://schemas.openxmlformats.org/spreadsheetml/2006/main" count="743" uniqueCount="267">
  <si>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</si>
  <si>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</si>
  <si>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</si>
  <si>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</si>
  <si>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</si>
  <si>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</si>
  <si>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</si>
  <si>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</si>
  <si>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</si>
  <si>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</si>
  <si>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</si>
  <si>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</si>
  <si>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</si>
  <si>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</si>
  <si>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</si>
  <si>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</si>
  <si>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</si>
  <si>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</si>
  <si>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</si>
  <si>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</si>
  <si>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</si>
  <si>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</si>
  <si>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</si>
  <si>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</si>
  <si>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</si>
  <si>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</si>
  <si>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</si>
  <si>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</si>
  <si>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</si>
  <si>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</si>
  <si>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</si>
  <si>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</si>
  <si>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</si>
  <si>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</si>
  <si>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</si>
  <si>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</si>
  <si>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</si>
  <si>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</si>
  <si>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</si>
  <si>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</si>
  <si>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</si>
  <si>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</si>
  <si>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</si>
  <si>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</si>
  <si>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</si>
  <si>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</si>
  <si>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</si>
  <si>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</si>
  <si>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</si>
  <si>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</si>
  <si>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</si>
  <si>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</si>
  <si>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</si>
  <si>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</si>
  <si>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</si>
  <si>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</si>
  <si>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</si>
  <si>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</si>
  <si>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</si>
  <si>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</si>
  <si>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</si>
  <si>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</si>
  <si>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</si>
  <si>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</si>
  <si>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</si>
  <si>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</si>
  <si>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</si>
  <si>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</si>
  <si>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</si>
  <si>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</si>
  <si>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</si>
  <si>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</si>
  <si>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</si>
  <si>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</si>
  <si>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</si>
  <si>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</si>
  <si>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</si>
  <si>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</si>
  <si>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</si>
  <si>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</si>
  <si>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</si>
  <si>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</si>
  <si>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</si>
  <si>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</si>
  <si>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</si>
  <si>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</si>
  <si>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</si>
  <si>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</si>
  <si>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</si>
  <si>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</si>
  <si>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</si>
  <si>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</si>
  <si>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</si>
  <si>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</si>
  <si>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</si>
  <si>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</si>
  <si>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</si>
  <si>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</si>
  <si>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</si>
  <si>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</si>
  <si>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</si>
  <si>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</si>
  <si>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</si>
  <si>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</si>
  <si>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</si>
  <si>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</si>
  <si>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</si>
  <si>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</si>
  <si>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</si>
  <si>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</si>
  <si>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</si>
  <si>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</si>
  <si>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</si>
  <si>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</si>
  <si>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</si>
  <si>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</si>
  <si>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</si>
  <si>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</si>
  <si>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</si>
  <si>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</si>
  <si>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</si>
  <si>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</si>
  <si>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</si>
  <si>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</si>
  <si>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</si>
  <si>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</si>
  <si>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</si>
  <si>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</si>
  <si>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</si>
  <si>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</si>
  <si>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</si>
  <si>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</si>
  <si>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</si>
  <si>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</si>
  <si>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</si>
  <si>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</si>
  <si>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</si>
  <si>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</si>
  <si>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</si>
  <si>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</si>
  <si>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</si>
  <si>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</si>
  <si>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</si>
  <si>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</si>
  <si>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</si>
  <si>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</si>
  <si>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</si>
  <si>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</si>
  <si>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</si>
  <si>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</si>
  <si>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</si>
  <si>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</si>
  <si>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</si>
  <si>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</si>
  <si>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</si>
  <si>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</si>
  <si>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</si>
  <si>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</si>
  <si>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</si>
  <si>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</si>
  <si>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</si>
  <si>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</si>
  <si>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</si>
  <si>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</si>
  <si>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</si>
  <si>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</si>
  <si>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</si>
  <si>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</si>
  <si>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</si>
  <si>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</si>
  <si>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</si>
  <si>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</si>
  <si>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</si>
  <si>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</si>
  <si>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</si>
  <si>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</si>
  <si>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</si>
  <si>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</si>
  <si>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</si>
  <si>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</si>
  <si>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</si>
  <si>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</si>
  <si>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</si>
  <si>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</si>
  <si>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</si>
  <si>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</si>
  <si>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</si>
  <si>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</si>
  <si>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</si>
  <si>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</si>
  <si>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</si>
  <si>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</si>
  <si>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</si>
  <si>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</si>
  <si>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</si>
  <si>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</si>
  <si>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</si>
  <si>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</si>
  <si>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</si>
  <si>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</si>
  <si>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</si>
  <si>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</si>
  <si>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</si>
  <si>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</si>
  <si>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</si>
  <si>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</si>
  <si>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</si>
  <si>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</si>
  <si>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</si>
  <si>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</si>
  <si>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</si>
  <si>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</si>
  <si>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</si>
  <si>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</si>
  <si>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</si>
  <si>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</si>
  <si>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</si>
  <si>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</si>
  <si>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</si>
  <si>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</si>
  <si>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</si>
  <si>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</si>
  <si>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</si>
  <si>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</si>
  <si>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</si>
  <si>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</si>
  <si>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</si>
  <si>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</si>
  <si>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</si>
  <si>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</si>
  <si>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</si>
  <si>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</si>
  <si>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</si>
  <si>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</si>
  <si>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</si>
  <si>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</si>
  <si>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</si>
  <si>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</si>
  <si>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</si>
  <si>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</si>
  <si>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</si>
  <si>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</si>
  <si>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</si>
  <si>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</si>
  <si>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</si>
  <si>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</si>
  <si>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</si>
  <si>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</si>
  <si>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</si>
  <si>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</si>
  <si>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</si>
  <si>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</si>
  <si>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</si>
  <si>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</si>
  <si>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</si>
  <si>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yes but L0</t>
  </si>
  <si>
    <t>NZ10_2050A_09NESSNXCT</t>
  </si>
  <si>
    <t>NZ10_2050_09</t>
  </si>
  <si>
    <t>Unconstrained</t>
  </si>
  <si>
    <t>NZ10_2099B_99EESSNXCT_guy</t>
  </si>
  <si>
    <t>NZ10_2050A_09EESSNXCT_guy</t>
  </si>
  <si>
    <t>Demand years</t>
  </si>
  <si>
    <t>TDEM</t>
  </si>
  <si>
    <t>TestLinked</t>
  </si>
  <si>
    <t>NZ_NDCLO</t>
  </si>
  <si>
    <t>NZ_NDCUP</t>
  </si>
  <si>
    <t>REF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</si>
</sst>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3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24.378255671298" createdVersion="6" refreshedVersion="8" minRefreshableVersion="3" recordCount="88" xr:uid="{C0EB43E8-6CC6-4DE4-B7F1-02B09F7BA69A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8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REF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71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99B_99EESSNXCT_guy"/>
        <s v="NZ10_2050A_09EESSNXCT_guy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REF"/>
        <m/>
        <s v="NZ10_2099B_99NESSNXCT-IMG" u="1"/>
        <s v="NZ10_2050A_09EESSNXCT-IMG" u="1"/>
        <s v="NZ10_2050A_08EESSNXCT_IMG" u="1"/>
        <s v="NZ10_2050B_09EESSEXCN" u="1"/>
        <s v="NZ10_2050B_11EESSNXCN" u="1"/>
        <s v="NZ10_2099_99EESSNXCT_guy" u="1"/>
        <s v="NZ10_2050_09EESENXCT_guy" u="1"/>
        <s v="NZ10_2099_99EESSNXC_guy" u="1"/>
        <s v="NZ10_2099_99EESSNXC" u="1"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224.378256828706" createdVersion="6" refreshedVersion="8" minRefreshableVersion="3" recordCount="88" xr:uid="{D229C3DF-142A-4D15-BB2C-2EA205AB0203}">
  <cacheSource type="worksheet">
    <worksheetSource ref="A9:P11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8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Unconstrained"/>
        <s v="NZ10_2050_09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TestLinked"/>
        <s v="NZ_NDCLO"/>
        <s v="NZ_NDCUP"/>
        <s v="REF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but L0"/>
    <x v="0"/>
    <x v="0"/>
    <n v="0"/>
    <n v="0"/>
    <s v="No Pams"/>
    <n v="1"/>
    <n v="1"/>
    <n v="-1"/>
    <n v="-1"/>
    <n v="-1"/>
    <n v="1"/>
    <n v="-1"/>
    <n v="100"/>
  </r>
  <r>
    <n v="0"/>
    <x v="1"/>
    <m/>
    <x v="0"/>
    <x v="1"/>
    <n v="1"/>
    <n v="1"/>
    <s v="No Pams"/>
    <n v="1"/>
    <n v="1"/>
    <n v="-1"/>
    <n v="1"/>
    <n v="1"/>
    <n v="1"/>
    <n v="-1"/>
    <n v="100"/>
  </r>
  <r>
    <n v="0"/>
    <x v="2"/>
    <m/>
    <x v="0"/>
    <x v="2"/>
    <n v="0"/>
    <n v="0"/>
    <s v="No Pams"/>
    <n v="1"/>
    <n v="1"/>
    <n v="-1"/>
    <n v="-1"/>
    <n v="-1"/>
    <n v="1"/>
    <n v="-1"/>
    <n v="100"/>
  </r>
  <r>
    <n v="0"/>
    <x v="3"/>
    <m/>
    <x v="0"/>
    <x v="3"/>
    <n v="0"/>
    <n v="0"/>
    <s v="No Pams"/>
    <n v="0"/>
    <n v="0"/>
    <n v="-1"/>
    <n v="-1"/>
    <n v="-1"/>
    <n v="1"/>
    <n v="-1"/>
    <n v="100"/>
  </r>
  <r>
    <n v="0"/>
    <x v="4"/>
    <m/>
    <x v="0"/>
    <x v="4"/>
    <n v="0"/>
    <n v="0"/>
    <s v="No Pams"/>
    <n v="1"/>
    <n v="1"/>
    <n v="-1"/>
    <n v="-1"/>
    <n v="-1"/>
    <n v="1"/>
    <n v="-1"/>
    <n v="100"/>
  </r>
  <r>
    <n v="0"/>
    <x v="5"/>
    <m/>
    <x v="0"/>
    <x v="5"/>
    <n v="1"/>
    <n v="1"/>
    <s v="No Pams"/>
    <n v="1"/>
    <n v="1"/>
    <n v="-1"/>
    <n v="1"/>
    <n v="1"/>
    <n v="1"/>
    <n v="-1"/>
    <n v="100"/>
  </r>
  <r>
    <n v="0"/>
    <x v="6"/>
    <m/>
    <x v="0"/>
    <x v="6"/>
    <n v="1"/>
    <n v="1"/>
    <s v="No Pams"/>
    <n v="1"/>
    <n v="1"/>
    <n v="-1"/>
    <n v="1"/>
    <n v="1"/>
    <n v="1"/>
    <n v="-1"/>
    <n v="100"/>
  </r>
  <r>
    <n v="0"/>
    <x v="7"/>
    <m/>
    <x v="0"/>
    <x v="7"/>
    <n v="0"/>
    <n v="0"/>
    <s v="No Pams"/>
    <n v="1"/>
    <n v="1"/>
    <n v="-1"/>
    <n v="-1"/>
    <n v="-1"/>
    <n v="1"/>
    <n v="-1"/>
    <n v="100"/>
  </r>
  <r>
    <n v="0"/>
    <x v="8"/>
    <m/>
    <x v="0"/>
    <x v="8"/>
    <n v="0"/>
    <n v="0"/>
    <s v="No Pams"/>
    <n v="1"/>
    <n v="1"/>
    <n v="-1"/>
    <n v="-1"/>
    <n v="-1"/>
    <n v="1"/>
    <n v="-1"/>
    <n v="100"/>
  </r>
  <r>
    <n v="0"/>
    <x v="9"/>
    <m/>
    <x v="0"/>
    <x v="9"/>
    <n v="0"/>
    <n v="0"/>
    <s v="No Pams"/>
    <n v="1"/>
    <n v="1"/>
    <n v="-1"/>
    <n v="-1"/>
    <n v="-1"/>
    <n v="1"/>
    <n v="-1"/>
    <n v="100"/>
  </r>
  <r>
    <n v="0"/>
    <x v="10"/>
    <m/>
    <x v="0"/>
    <x v="10"/>
    <n v="0"/>
    <n v="0"/>
    <s v="No Pams"/>
    <n v="1"/>
    <n v="1"/>
    <n v="-1"/>
    <n v="-1"/>
    <n v="-1"/>
    <n v="1"/>
    <n v="-1"/>
    <n v="100"/>
  </r>
  <r>
    <n v="0"/>
    <x v="11"/>
    <m/>
    <x v="0"/>
    <x v="11"/>
    <n v="0"/>
    <n v="0"/>
    <s v="No Pams"/>
    <n v="1"/>
    <n v="1"/>
    <n v="-1"/>
    <n v="-1"/>
    <n v="-1"/>
    <n v="1"/>
    <n v="-1"/>
    <n v="100"/>
  </r>
  <r>
    <n v="0"/>
    <x v="12"/>
    <m/>
    <x v="0"/>
    <x v="12"/>
    <n v="1"/>
    <n v="0"/>
    <s v="No Pams"/>
    <n v="1"/>
    <n v="1"/>
    <n v="-1"/>
    <n v="-1"/>
    <n v="-1"/>
    <n v="1"/>
    <n v="-1"/>
    <n v="100"/>
  </r>
  <r>
    <n v="0"/>
    <x v="13"/>
    <m/>
    <x v="0"/>
    <x v="13"/>
    <n v="0"/>
    <n v="0"/>
    <s v="No Pams"/>
    <n v="1"/>
    <n v="1"/>
    <n v="-1"/>
    <n v="-1"/>
    <n v="-1"/>
    <n v="1"/>
    <n v="-1"/>
    <n v="100"/>
  </r>
  <r>
    <n v="0"/>
    <x v="14"/>
    <m/>
    <x v="0"/>
    <x v="14"/>
    <n v="0"/>
    <n v="0"/>
    <s v="No Pams"/>
    <n v="1"/>
    <n v="1"/>
    <n v="-1"/>
    <n v="-1"/>
    <n v="-1"/>
    <n v="1"/>
    <n v="-1"/>
    <n v="100"/>
  </r>
  <r>
    <n v="0"/>
    <x v="15"/>
    <m/>
    <x v="0"/>
    <x v="15"/>
    <n v="0"/>
    <n v="0"/>
    <s v="No Pams"/>
    <n v="1"/>
    <n v="1"/>
    <n v="-1"/>
    <n v="-1"/>
    <n v="-1"/>
    <n v="1"/>
    <n v="-1"/>
    <n v="100"/>
  </r>
  <r>
    <n v="0"/>
    <x v="16"/>
    <m/>
    <x v="0"/>
    <x v="16"/>
    <n v="0"/>
    <n v="0"/>
    <s v="No Pams"/>
    <n v="1"/>
    <n v="1"/>
    <n v="-1"/>
    <n v="-1"/>
    <n v="-1"/>
    <n v="1"/>
    <n v="-1"/>
    <n v="100"/>
  </r>
  <r>
    <n v="0"/>
    <x v="17"/>
    <m/>
    <x v="0"/>
    <x v="17"/>
    <n v="0"/>
    <n v="0"/>
    <s v="No Pams"/>
    <n v="1"/>
    <n v="1"/>
    <n v="-1"/>
    <n v="-1"/>
    <n v="-1"/>
    <n v="1"/>
    <n v="-1"/>
    <n v="100"/>
  </r>
  <r>
    <n v="0"/>
    <x v="18"/>
    <m/>
    <x v="0"/>
    <x v="18"/>
    <n v="0"/>
    <n v="0"/>
    <s v="No Pams"/>
    <n v="1"/>
    <n v="1"/>
    <n v="-1"/>
    <n v="-1"/>
    <n v="-1"/>
    <n v="1"/>
    <n v="-1"/>
    <n v="100"/>
  </r>
  <r>
    <n v="0"/>
    <x v="19"/>
    <m/>
    <x v="0"/>
    <x v="19"/>
    <n v="0"/>
    <n v="0"/>
    <s v="No Pams"/>
    <n v="1"/>
    <n v="1"/>
    <n v="-1"/>
    <n v="-1"/>
    <n v="-1"/>
    <n v="1"/>
    <n v="-1"/>
    <n v="100"/>
  </r>
  <r>
    <n v="0"/>
    <x v="20"/>
    <m/>
    <x v="0"/>
    <x v="20"/>
    <n v="0"/>
    <n v="0"/>
    <s v="No Pams"/>
    <n v="1"/>
    <n v="1"/>
    <n v="-1"/>
    <n v="-1"/>
    <n v="-1"/>
    <n v="1"/>
    <n v="-1"/>
    <n v="100"/>
  </r>
  <r>
    <n v="0"/>
    <x v="21"/>
    <m/>
    <x v="0"/>
    <x v="21"/>
    <n v="0"/>
    <n v="0"/>
    <s v="No Pams"/>
    <n v="1"/>
    <n v="1"/>
    <n v="-1"/>
    <n v="-1"/>
    <n v="-1"/>
    <n v="1"/>
    <n v="-1"/>
    <n v="100"/>
  </r>
  <r>
    <n v="0"/>
    <x v="22"/>
    <m/>
    <x v="0"/>
    <x v="22"/>
    <n v="0"/>
    <n v="0"/>
    <s v="No Pams"/>
    <n v="0"/>
    <n v="0"/>
    <n v="-1"/>
    <n v="1"/>
    <n v="1"/>
    <n v="1"/>
    <n v="-1"/>
    <n v="100"/>
  </r>
  <r>
    <n v="1"/>
    <x v="23"/>
    <m/>
    <x v="0"/>
    <x v="23"/>
    <n v="1"/>
    <n v="1"/>
    <s v="No Pams"/>
    <n v="1"/>
    <n v="1"/>
    <n v="-1"/>
    <n v="1"/>
    <n v="1"/>
    <n v="1"/>
    <n v="-1"/>
    <n v="100"/>
  </r>
  <r>
    <n v="1"/>
    <x v="24"/>
    <m/>
    <x v="0"/>
    <x v="24"/>
    <n v="1"/>
    <n v="1"/>
    <s v="No Pams"/>
    <n v="1"/>
    <n v="1"/>
    <n v="-1"/>
    <n v="1"/>
    <n v="1"/>
    <n v="1"/>
    <n v="-1"/>
    <n v="100"/>
  </r>
  <r>
    <n v="1"/>
    <x v="25"/>
    <m/>
    <x v="0"/>
    <x v="25"/>
    <n v="1"/>
    <n v="1"/>
    <s v="No Pams"/>
    <n v="1"/>
    <n v="1"/>
    <n v="-1"/>
    <n v="-1"/>
    <n v="-1"/>
    <n v="1"/>
    <n v="-1"/>
    <n v="100"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  <r>
    <m/>
    <x v="26"/>
    <m/>
    <x v="1"/>
    <x v="26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n v="0"/>
    <x v="0"/>
    <s v="yes but L0"/>
    <s v="base"/>
    <s v="NZ10_2099A_99EESSNXCT"/>
    <n v="0"/>
    <n v="0"/>
    <s v="No Pams"/>
    <n v="1"/>
    <n v="1"/>
    <n v="-1"/>
    <n v="-1"/>
    <n v="-1"/>
    <n v="1"/>
    <n v="-1"/>
    <n v="100"/>
  </r>
  <r>
    <n v="0"/>
    <x v="1"/>
    <m/>
    <s v="base"/>
    <s v="NZ10_2099B_99EESSNXCT"/>
    <n v="1"/>
    <n v="1"/>
    <s v="No Pams"/>
    <n v="1"/>
    <n v="1"/>
    <n v="-1"/>
    <n v="1"/>
    <n v="1"/>
    <n v="1"/>
    <n v="-1"/>
    <n v="100"/>
  </r>
  <r>
    <n v="0"/>
    <x v="2"/>
    <m/>
    <s v="base"/>
    <s v="NZ10_2099A_99EESSNXCN"/>
    <n v="0"/>
    <n v="0"/>
    <s v="No Pams"/>
    <n v="1"/>
    <n v="1"/>
    <n v="-1"/>
    <n v="-1"/>
    <n v="-1"/>
    <n v="1"/>
    <n v="-1"/>
    <n v="100"/>
  </r>
  <r>
    <n v="0"/>
    <x v="3"/>
    <m/>
    <s v="base"/>
    <s v="NZ10_2099B_99EESSNXCN"/>
    <n v="0"/>
    <n v="0"/>
    <s v="No Pams"/>
    <n v="0"/>
    <n v="0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-1"/>
    <n v="-1"/>
    <n v="-1"/>
    <n v="1"/>
    <n v="-1"/>
    <n v="100"/>
  </r>
  <r>
    <n v="0"/>
    <x v="5"/>
    <m/>
    <s v="base"/>
    <s v="NZ10_2050A_08EESSNXCT"/>
    <n v="1"/>
    <n v="1"/>
    <s v="No Pams"/>
    <n v="1"/>
    <n v="1"/>
    <n v="-1"/>
    <n v="1"/>
    <n v="1"/>
    <n v="1"/>
    <n v="-1"/>
    <n v="100"/>
  </r>
  <r>
    <n v="0"/>
    <x v="6"/>
    <m/>
    <s v="base"/>
    <s v="NZ10_2050A_09EESSNXCT"/>
    <n v="1"/>
    <n v="1"/>
    <s v="No Pams"/>
    <n v="1"/>
    <n v="1"/>
    <n v="-1"/>
    <n v="1"/>
    <n v="1"/>
    <n v="1"/>
    <n v="-1"/>
    <n v="100"/>
  </r>
  <r>
    <n v="0"/>
    <x v="7"/>
    <m/>
    <s v="base"/>
    <s v="NZ10_2050A_09EESSEXCT"/>
    <n v="0"/>
    <n v="0"/>
    <s v="No Pams"/>
    <n v="1"/>
    <n v="1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-1"/>
    <n v="-1"/>
    <n v="-1"/>
    <n v="1"/>
    <n v="-1"/>
    <n v="100"/>
  </r>
  <r>
    <n v="0"/>
    <x v="9"/>
    <m/>
    <s v="base"/>
    <s v="NZ10_2099B_99EESSNXCT_guy"/>
    <n v="0"/>
    <n v="0"/>
    <s v="No Pams"/>
    <n v="1"/>
    <n v="1"/>
    <n v="-1"/>
    <n v="-1"/>
    <n v="-1"/>
    <n v="1"/>
    <n v="-1"/>
    <n v="100"/>
  </r>
  <r>
    <n v="0"/>
    <x v="10"/>
    <m/>
    <s v="base"/>
    <s v="NZ10_2050A_09EESSNXCT_guy"/>
    <n v="0"/>
    <n v="0"/>
    <s v="No Pams"/>
    <n v="1"/>
    <n v="1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-1"/>
    <n v="-1"/>
    <n v="-1"/>
    <n v="1"/>
    <n v="-1"/>
    <n v="100"/>
  </r>
  <r>
    <n v="0"/>
    <x v="12"/>
    <m/>
    <s v="base"/>
    <s v="NZ10_2050A_10EESSNXCT"/>
    <n v="1"/>
    <n v="0"/>
    <s v="No Pams"/>
    <n v="1"/>
    <n v="1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-1"/>
    <n v="-1"/>
    <n v="-1"/>
    <n v="1"/>
    <n v="-1"/>
    <n v="100"/>
  </r>
  <r>
    <n v="0"/>
    <x v="22"/>
    <m/>
    <s v="base"/>
    <s v="TestLinked"/>
    <n v="0"/>
    <n v="0"/>
    <s v="No Pams"/>
    <n v="0"/>
    <n v="0"/>
    <n v="-1"/>
    <n v="1"/>
    <n v="1"/>
    <n v="1"/>
    <n v="-1"/>
    <n v="100"/>
  </r>
  <r>
    <n v="1"/>
    <x v="23"/>
    <m/>
    <s v="base"/>
    <s v="NZ_NDCLO"/>
    <n v="1"/>
    <n v="1"/>
    <s v="No Pams"/>
    <n v="1"/>
    <n v="1"/>
    <n v="-1"/>
    <n v="1"/>
    <n v="1"/>
    <n v="1"/>
    <n v="-1"/>
    <n v="100"/>
  </r>
  <r>
    <n v="1"/>
    <x v="24"/>
    <m/>
    <s v="base"/>
    <s v="NZ_NDCUP"/>
    <n v="1"/>
    <n v="1"/>
    <s v="No Pams"/>
    <n v="1"/>
    <n v="1"/>
    <n v="-1"/>
    <n v="1"/>
    <n v="1"/>
    <n v="1"/>
    <n v="-1"/>
    <n v="100"/>
  </r>
  <r>
    <n v="1"/>
    <x v="25"/>
    <m/>
    <s v="base"/>
    <s v="REF"/>
    <n v="1"/>
    <n v="1"/>
    <s v="No Pams"/>
    <n v="1"/>
    <n v="1"/>
    <n v="-1"/>
    <n v="-1"/>
    <n v="-1"/>
    <n v="1"/>
    <n v="-1"/>
    <n v="100"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  <r>
    <m/>
    <x v="26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3" firstHeaderRow="0" firstDataRow="1" firstDataCol="1"/>
  <pivotFields count="16">
    <pivotField showAll="0"/>
    <pivotField axis="axisRow" showAll="0">
      <items count="29">
        <item x="26"/>
        <item m="1" x="27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3" firstHeaderRow="1" firstDataRow="1" firstDataCol="1"/>
  <pivotFields count="16">
    <pivotField showAll="0"/>
    <pivotField axis="axisRow" showAll="0">
      <items count="29">
        <item x="26"/>
        <item m="1" x="27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3" firstHeaderRow="1" firstDataRow="1" firstDataCol="1"/>
  <pivotFields count="16">
    <pivotField showAll="0"/>
    <pivotField axis="axisRow" showAll="0">
      <items count="29">
        <item x="26"/>
        <item m="1" x="27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3" firstHeaderRow="1" firstDataRow="1" firstDataCol="1"/>
  <pivotFields count="16">
    <pivotField showAll="0"/>
    <pivotField axis="axisRow" showAll="0">
      <items count="29">
        <item x="26"/>
        <item m="1" x="27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88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3" firstHeaderRow="1" firstDataRow="1" firstDataCol="1"/>
  <pivotFields count="16">
    <pivotField showAll="0"/>
    <pivotField axis="axisRow" showAll="0">
      <items count="29">
        <item m="1" x="27"/>
        <item x="26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3" firstHeaderRow="1" firstDataRow="1" firstDataCol="1"/>
  <pivotFields count="16">
    <pivotField showAll="0"/>
    <pivotField axis="axisRow" showAll="0">
      <items count="29">
        <item x="26"/>
        <item m="1" x="27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8">
        <item x="26"/>
        <item m="1" x="27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7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3" firstHeaderRow="1" firstDataRow="1" firstDataCol="1"/>
  <pivotFields count="16">
    <pivotField showAll="0"/>
    <pivotField showAll="0"/>
    <pivotField showAll="0"/>
    <pivotField showAll="0"/>
    <pivotField axis="axisRow" showAll="0">
      <items count="272">
        <item m="1" x="197"/>
        <item m="1" x="164"/>
        <item m="1" x="154"/>
        <item x="26"/>
        <item m="1" x="163"/>
        <item m="1" x="107"/>
        <item m="1" x="183"/>
        <item m="1" x="204"/>
        <item m="1" x="157"/>
        <item m="1" x="165"/>
        <item m="1" x="158"/>
        <item m="1" x="135"/>
        <item m="1" x="82"/>
        <item m="1" x="179"/>
        <item m="1" x="80"/>
        <item m="1" x="246"/>
        <item m="1" x="126"/>
        <item m="1" x="227"/>
        <item m="1" x="240"/>
        <item m="1" x="136"/>
        <item m="1" x="129"/>
        <item m="1" x="233"/>
        <item m="1" x="190"/>
        <item m="1" x="191"/>
        <item m="1" x="229"/>
        <item m="1" x="149"/>
        <item m="1" x="222"/>
        <item m="1" x="96"/>
        <item m="1" x="117"/>
        <item m="1" x="267"/>
        <item m="1" x="199"/>
        <item m="1" x="241"/>
        <item m="1" x="168"/>
        <item m="1" x="243"/>
        <item m="1" x="254"/>
        <item m="1" x="176"/>
        <item m="1" x="201"/>
        <item m="1" x="195"/>
        <item m="1" x="238"/>
        <item m="1" x="236"/>
        <item m="1" x="122"/>
        <item m="1" x="259"/>
        <item m="1" x="193"/>
        <item m="1" x="218"/>
        <item m="1" x="235"/>
        <item m="1" x="263"/>
        <item m="1" x="270"/>
        <item m="1" x="172"/>
        <item m="1" x="156"/>
        <item m="1" x="155"/>
        <item m="1" x="206"/>
        <item m="1" x="160"/>
        <item m="1" x="215"/>
        <item m="1" x="110"/>
        <item m="1" x="178"/>
        <item m="1" x="213"/>
        <item m="1" x="237"/>
        <item m="1" x="175"/>
        <item m="1" x="166"/>
        <item m="1" x="104"/>
        <item m="1" x="245"/>
        <item m="1" x="124"/>
        <item m="1" x="144"/>
        <item m="1" x="187"/>
        <item m="1" x="198"/>
        <item m="1" x="145"/>
        <item m="1" x="94"/>
        <item m="1" x="192"/>
        <item m="1" x="203"/>
        <item m="1" x="131"/>
        <item m="1" x="226"/>
        <item m="1" x="242"/>
        <item m="1" x="180"/>
        <item m="1" x="134"/>
        <item m="1" x="146"/>
        <item m="1" x="123"/>
        <item m="1" x="208"/>
        <item m="1" x="91"/>
        <item m="1" x="217"/>
        <item m="1" x="234"/>
        <item m="1" x="255"/>
        <item m="1" x="230"/>
        <item m="1" x="248"/>
        <item m="1" x="268"/>
        <item m="1" x="147"/>
        <item m="1" x="225"/>
        <item m="1" x="265"/>
        <item m="1" x="105"/>
        <item m="1" x="119"/>
        <item m="1" x="152"/>
        <item m="1" x="194"/>
        <item m="1" x="97"/>
        <item m="1" x="102"/>
        <item m="1" x="77"/>
        <item m="1" x="88"/>
        <item m="1" x="247"/>
        <item m="1" x="159"/>
        <item m="1" x="244"/>
        <item m="1" x="120"/>
        <item m="1" x="249"/>
        <item m="1" x="212"/>
        <item m="1" x="185"/>
        <item m="1" x="133"/>
        <item m="1" x="211"/>
        <item m="1" x="81"/>
        <item m="1" x="232"/>
        <item m="1" x="162"/>
        <item m="1" x="85"/>
        <item m="1" x="210"/>
        <item m="1" x="93"/>
        <item m="1" x="114"/>
        <item m="1" x="171"/>
        <item m="1" x="137"/>
        <item m="1" x="127"/>
        <item m="1" x="118"/>
        <item m="1" x="264"/>
        <item m="1" x="269"/>
        <item m="1" x="256"/>
        <item m="1" x="262"/>
        <item m="1" x="173"/>
        <item m="1" x="106"/>
        <item m="1" x="95"/>
        <item m="1" x="189"/>
        <item m="1" x="260"/>
        <item m="1" x="153"/>
        <item m="1" x="228"/>
        <item m="1" x="221"/>
        <item m="1" x="220"/>
        <item m="1" x="100"/>
        <item m="1" x="207"/>
        <item m="1" x="139"/>
        <item m="1" x="188"/>
        <item m="1" x="112"/>
        <item m="1" x="87"/>
        <item m="1" x="250"/>
        <item m="1" x="252"/>
        <item m="1" x="151"/>
        <item m="1" x="109"/>
        <item m="1" x="130"/>
        <item m="1" x="125"/>
        <item m="1" x="121"/>
        <item m="1" x="251"/>
        <item m="1" x="92"/>
        <item m="1" x="261"/>
        <item m="1" x="167"/>
        <item m="1" x="216"/>
        <item m="1" x="140"/>
        <item m="1" x="132"/>
        <item m="1" x="141"/>
        <item m="1" x="108"/>
        <item m="1" x="266"/>
        <item m="1" x="186"/>
        <item m="1" x="181"/>
        <item m="1" x="99"/>
        <item m="1" x="231"/>
        <item m="1" x="101"/>
        <item m="1" x="200"/>
        <item m="1" x="177"/>
        <item m="1" x="169"/>
        <item m="1" x="148"/>
        <item m="1" x="128"/>
        <item m="1" x="113"/>
        <item m="1" x="89"/>
        <item m="1" x="83"/>
        <item m="1" x="257"/>
        <item m="1" x="239"/>
        <item m="1" x="98"/>
        <item m="1" x="142"/>
        <item m="1" x="111"/>
        <item m="1" x="84"/>
        <item m="1" x="258"/>
        <item m="1" x="223"/>
        <item m="1" x="205"/>
        <item m="1" x="182"/>
        <item m="1" x="116"/>
        <item m="1" x="86"/>
        <item m="1" x="79"/>
        <item m="1" x="90"/>
        <item m="1" x="103"/>
        <item m="1" x="224"/>
        <item m="1" x="184"/>
        <item m="1" x="143"/>
        <item x="25"/>
        <item m="1" x="161"/>
        <item m="1" x="138"/>
        <item m="1" x="219"/>
        <item m="1" x="115"/>
        <item m="1" x="174"/>
        <item m="1" x="202"/>
        <item m="1" x="150"/>
        <item m="1" x="214"/>
        <item m="1" x="209"/>
        <item m="1" x="78"/>
        <item m="1" x="196"/>
        <item m="1" x="170"/>
        <item m="1" x="70"/>
        <item m="1" x="253"/>
        <item m="1" x="76"/>
        <item m="1" x="72"/>
        <item m="1" x="75"/>
        <item m="1" x="71"/>
        <item m="1" x="74"/>
        <item m="1" x="73"/>
        <item m="1" x="66"/>
        <item m="1" x="56"/>
        <item m="1" x="57"/>
        <item m="1" x="58"/>
        <item m="1" x="59"/>
        <item m="1" x="60"/>
        <item m="1" x="61"/>
        <item m="1" x="62"/>
        <item m="1" x="69"/>
        <item m="1" x="63"/>
        <item m="1" x="68"/>
        <item m="1" x="67"/>
        <item m="1" x="64"/>
        <item m="1" x="65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x="0"/>
        <item x="1"/>
        <item x="2"/>
        <item x="3"/>
        <item x="4"/>
        <item x="5"/>
        <item x="6"/>
        <item x="7"/>
        <item m="1" x="37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0"/>
        <item m="1" x="31"/>
        <item x="8"/>
        <item m="1" x="38"/>
        <item m="1" x="39"/>
        <item m="1" x="33"/>
        <item m="1" x="35"/>
        <item m="1" x="36"/>
        <item m="1" x="34"/>
        <item m="1" x="32"/>
        <item x="9"/>
        <item x="10"/>
        <item x="22"/>
        <item m="1" x="27"/>
        <item m="1" x="28"/>
        <item m="1" x="29"/>
        <item x="23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7">
    <i>
      <x v="3"/>
    </i>
    <i>
      <x v="18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5"/>
    </i>
    <i>
      <x v="263"/>
    </i>
    <i>
      <x v="264"/>
    </i>
    <i>
      <x v="265"/>
    </i>
    <i>
      <x v="269"/>
    </i>
    <i>
      <x v="27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85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3" firstHeaderRow="1" firstDataRow="1" firstDataCol="1"/>
  <pivotFields count="16">
    <pivotField dataField="1" showAll="0"/>
    <pivotField axis="axisRow" showAll="0">
      <items count="29">
        <item x="26"/>
        <item m="1" x="27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3" firstHeaderRow="1" firstDataRow="1" firstDataCol="1"/>
  <pivotFields count="16">
    <pivotField showAll="0"/>
    <pivotField axis="axisRow" showAll="0">
      <items count="29">
        <item x="26"/>
        <item m="1" x="27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7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8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3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8">
        <item x="26"/>
        <item m="1" x="27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8"/>
        <item x="10"/>
        <item x="9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71">
        <item m="1" x="197"/>
        <item m="1" x="164"/>
        <item m="1" x="154"/>
        <item x="26"/>
        <item m="1" x="163"/>
        <item m="1" x="107"/>
        <item m="1" x="183"/>
        <item m="1" x="204"/>
        <item m="1" x="157"/>
        <item m="1" x="165"/>
        <item m="1" x="158"/>
        <item m="1" x="135"/>
        <item m="1" x="82"/>
        <item m="1" x="179"/>
        <item m="1" x="80"/>
        <item m="1" x="246"/>
        <item m="1" x="126"/>
        <item m="1" x="227"/>
        <item m="1" x="240"/>
        <item m="1" x="136"/>
        <item m="1" x="129"/>
        <item m="1" x="233"/>
        <item m="1" x="190"/>
        <item m="1" x="191"/>
        <item m="1" x="229"/>
        <item m="1" x="149"/>
        <item m="1" x="222"/>
        <item m="1" x="96"/>
        <item m="1" x="117"/>
        <item m="1" x="267"/>
        <item m="1" x="199"/>
        <item m="1" x="241"/>
        <item m="1" x="168"/>
        <item m="1" x="243"/>
        <item m="1" x="254"/>
        <item m="1" x="176"/>
        <item m="1" x="201"/>
        <item m="1" x="195"/>
        <item m="1" x="238"/>
        <item m="1" x="236"/>
        <item m="1" x="122"/>
        <item m="1" x="259"/>
        <item m="1" x="193"/>
        <item m="1" x="218"/>
        <item m="1" x="235"/>
        <item m="1" x="263"/>
        <item m="1" x="270"/>
        <item m="1" x="172"/>
        <item m="1" x="156"/>
        <item m="1" x="155"/>
        <item m="1" x="206"/>
        <item m="1" x="160"/>
        <item m="1" x="215"/>
        <item m="1" x="110"/>
        <item m="1" x="178"/>
        <item m="1" x="213"/>
        <item m="1" x="237"/>
        <item m="1" x="175"/>
        <item m="1" x="166"/>
        <item m="1" x="104"/>
        <item m="1" x="245"/>
        <item m="1" x="124"/>
        <item m="1" x="144"/>
        <item m="1" x="187"/>
        <item m="1" x="198"/>
        <item m="1" x="145"/>
        <item m="1" x="94"/>
        <item m="1" x="192"/>
        <item m="1" x="203"/>
        <item m="1" x="131"/>
        <item m="1" x="226"/>
        <item m="1" x="242"/>
        <item m="1" x="180"/>
        <item m="1" x="134"/>
        <item m="1" x="146"/>
        <item m="1" x="123"/>
        <item m="1" x="208"/>
        <item m="1" x="91"/>
        <item m="1" x="217"/>
        <item m="1" x="234"/>
        <item m="1" x="255"/>
        <item m="1" x="230"/>
        <item m="1" x="248"/>
        <item m="1" x="268"/>
        <item m="1" x="147"/>
        <item m="1" x="225"/>
        <item m="1" x="265"/>
        <item m="1" x="105"/>
        <item m="1" x="119"/>
        <item m="1" x="152"/>
        <item m="1" x="194"/>
        <item m="1" x="97"/>
        <item m="1" x="102"/>
        <item m="1" x="77"/>
        <item m="1" x="88"/>
        <item m="1" x="247"/>
        <item m="1" x="159"/>
        <item m="1" x="244"/>
        <item m="1" x="120"/>
        <item m="1" x="249"/>
        <item m="1" x="212"/>
        <item m="1" x="185"/>
        <item m="1" x="133"/>
        <item m="1" x="211"/>
        <item m="1" x="81"/>
        <item m="1" x="232"/>
        <item m="1" x="162"/>
        <item m="1" x="85"/>
        <item m="1" x="210"/>
        <item m="1" x="93"/>
        <item m="1" x="114"/>
        <item m="1" x="171"/>
        <item m="1" x="137"/>
        <item m="1" x="127"/>
        <item m="1" x="118"/>
        <item m="1" x="264"/>
        <item m="1" x="269"/>
        <item m="1" x="256"/>
        <item m="1" x="262"/>
        <item m="1" x="173"/>
        <item m="1" x="106"/>
        <item m="1" x="95"/>
        <item m="1" x="189"/>
        <item m="1" x="260"/>
        <item m="1" x="153"/>
        <item m="1" x="228"/>
        <item m="1" x="221"/>
        <item m="1" x="220"/>
        <item m="1" x="100"/>
        <item m="1" x="207"/>
        <item m="1" x="139"/>
        <item m="1" x="188"/>
        <item m="1" x="112"/>
        <item m="1" x="87"/>
        <item m="1" x="250"/>
        <item m="1" x="252"/>
        <item m="1" x="151"/>
        <item m="1" x="109"/>
        <item m="1" x="130"/>
        <item m="1" x="125"/>
        <item m="1" x="121"/>
        <item m="1" x="251"/>
        <item m="1" x="92"/>
        <item m="1" x="261"/>
        <item m="1" x="167"/>
        <item m="1" x="216"/>
        <item m="1" x="140"/>
        <item m="1" x="132"/>
        <item m="1" x="141"/>
        <item m="1" x="108"/>
        <item m="1" x="266"/>
        <item m="1" x="186"/>
        <item m="1" x="181"/>
        <item m="1" x="99"/>
        <item m="1" x="231"/>
        <item m="1" x="101"/>
        <item m="1" x="200"/>
        <item m="1" x="177"/>
        <item m="1" x="169"/>
        <item m="1" x="148"/>
        <item m="1" x="128"/>
        <item m="1" x="113"/>
        <item m="1" x="89"/>
        <item m="1" x="83"/>
        <item m="1" x="257"/>
        <item m="1" x="239"/>
        <item m="1" x="98"/>
        <item m="1" x="142"/>
        <item m="1" x="111"/>
        <item m="1" x="84"/>
        <item m="1" x="258"/>
        <item m="1" x="223"/>
        <item m="1" x="205"/>
        <item m="1" x="182"/>
        <item m="1" x="116"/>
        <item m="1" x="86"/>
        <item m="1" x="79"/>
        <item m="1" x="90"/>
        <item m="1" x="103"/>
        <item m="1" x="224"/>
        <item m="1" x="184"/>
        <item m="1" x="143"/>
        <item x="25"/>
        <item m="1" x="161"/>
        <item m="1" x="138"/>
        <item m="1" x="219"/>
        <item m="1" x="115"/>
        <item m="1" x="174"/>
        <item m="1" x="202"/>
        <item m="1" x="150"/>
        <item m="1" x="214"/>
        <item m="1" x="209"/>
        <item m="1" x="78"/>
        <item m="1" x="196"/>
        <item m="1" x="170"/>
        <item m="1" x="70"/>
        <item m="1" x="253"/>
        <item m="1" x="76"/>
        <item m="1" x="72"/>
        <item m="1" x="75"/>
        <item m="1" x="71"/>
        <item m="1" x="74"/>
        <item m="1" x="73"/>
        <item m="1" x="66"/>
        <item m="1" x="56"/>
        <item m="1" x="57"/>
        <item m="1" x="58"/>
        <item m="1" x="59"/>
        <item m="1" x="60"/>
        <item m="1" x="61"/>
        <item m="1" x="62"/>
        <item m="1" x="69"/>
        <item m="1" x="63"/>
        <item m="1" x="68"/>
        <item m="1" x="67"/>
        <item m="1" x="64"/>
        <item m="1" x="65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x="0"/>
        <item x="1"/>
        <item x="2"/>
        <item x="3"/>
        <item x="4"/>
        <item x="5"/>
        <item x="6"/>
        <item x="7"/>
        <item m="1" x="37"/>
        <item x="11"/>
        <item x="12"/>
        <item x="13"/>
        <item x="14"/>
        <item x="15"/>
        <item x="16"/>
        <item x="17"/>
        <item x="18"/>
        <item x="19"/>
        <item x="20"/>
        <item x="21"/>
        <item m="1" x="30"/>
        <item m="1" x="31"/>
        <item x="8"/>
        <item m="1" x="38"/>
        <item m="1" x="39"/>
        <item m="1" x="33"/>
        <item m="1" x="35"/>
        <item m="1" x="36"/>
        <item m="1" x="34"/>
        <item m="1" x="32"/>
        <item x="9"/>
        <item x="10"/>
        <item x="22"/>
        <item m="1" x="27"/>
        <item m="1" x="28"/>
        <item m="1" x="29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7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5"/>
    </i>
    <i>
      <x v="22"/>
      <x v="264"/>
    </i>
    <i>
      <x v="23"/>
      <x v="263"/>
    </i>
    <i>
      <x v="24"/>
      <x v="265"/>
    </i>
    <i>
      <x v="25"/>
      <x v="269"/>
    </i>
    <i>
      <x v="26"/>
      <x v="270"/>
    </i>
    <i>
      <x v="27"/>
      <x v="18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7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3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215</v>
      </c>
      <c r="C20" t="str">
        <f>"Sets!"&amp;ADDRESS(ROW(Sets!AF7),COLUMN(Sets!AF7),4)</f>
        <v>Sets!AF7</v>
      </c>
      <c r="D20">
        <v>1</v>
      </c>
    </row>
    <row r="21" spans="1:5">
      <c r="A21" t="s">
        <v>3</v>
      </c>
      <c r="B21" t="s">
        <v>262</v>
      </c>
      <c r="C21" t="str">
        <f>"Sets!"&amp;ADDRESS(ROW(Sets!AG7),COLUMN(Sets!AG7),4)</f>
        <v>Sets!AG7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205</v>
      </c>
      <c r="C23" t="str">
        <f>"Sets!"&amp;ADDRESS(ROW(Sets!AA7),COLUMN(Sets!AA7),4)</f>
        <v>Sets!AA7</v>
      </c>
      <c r="D23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84"/>
  <sheetViews>
    <sheetView topLeftCell="Q1" workbookViewId="0">
      <selection activeCell="AH48" sqref="AH48"/>
    </sheetView>
  </sheetViews>
  <sheetFormatPr defaultRowHeight="15"/>
  <cols>
    <col min="1" max="1" width="24.7109375" bestFit="1" customWidth="1"/>
    <col min="2" max="2" width="28.140625" bestFit="1" customWidth="1"/>
    <col min="3" max="3" width="13.140625" customWidth="1"/>
    <col min="4" max="4" width="13.140625" bestFit="1" customWidth="1"/>
    <col min="5" max="5" width="24.7109375" bestFit="1" customWidth="1"/>
    <col min="6" max="6" width="23" bestFit="1" customWidth="1"/>
    <col min="7" max="7" width="24.7109375" bestFit="1" customWidth="1"/>
    <col min="8" max="8" width="19.85546875" bestFit="1" customWidth="1"/>
    <col min="9" max="9" width="24.7109375" bestFit="1" customWidth="1"/>
    <col min="10" max="10" width="18.5703125" bestFit="1" customWidth="1"/>
    <col min="11" max="11" width="24.7109375" bestFit="1" customWidth="1"/>
    <col min="12" max="12" width="20.7109375" bestFit="1" customWidth="1"/>
    <col min="13" max="13" width="24.7109375" bestFit="1" customWidth="1"/>
    <col min="14" max="14" width="21" bestFit="1" customWidth="1"/>
    <col min="15" max="15" width="23.140625" customWidth="1"/>
    <col min="16" max="16" width="28.140625" bestFit="1" customWidth="1"/>
    <col min="17" max="17" width="16.7109375" bestFit="1" customWidth="1"/>
    <col min="18" max="18" width="18" bestFit="1" customWidth="1"/>
    <col min="19" max="19" width="24.71093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4.71093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53</v>
      </c>
      <c r="AE5" s="1" t="s">
        <v>56</v>
      </c>
      <c r="AF5" s="1" t="s">
        <v>214</v>
      </c>
      <c r="AG5" s="1" t="s">
        <v>261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12" t="s">
        <v>54</v>
      </c>
      <c r="AE6" s="12" t="s">
        <v>55</v>
      </c>
      <c r="AF6" t="s">
        <v>215</v>
      </c>
      <c r="AG6" t="s">
        <v>262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2">
        <v>0</v>
      </c>
      <c r="G7" s="9" t="s">
        <v>193</v>
      </c>
      <c r="H7" s="22"/>
      <c r="I7" s="9" t="s">
        <v>193</v>
      </c>
      <c r="J7" s="22"/>
      <c r="K7" s="9" t="s">
        <v>193</v>
      </c>
      <c r="L7" s="22"/>
      <c r="M7" s="9" t="s">
        <v>193</v>
      </c>
      <c r="N7" s="22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2"/>
      <c r="U7" s="22"/>
      <c r="V7" s="22"/>
      <c r="W7" s="22"/>
      <c r="X7" s="22"/>
      <c r="AA7" s="9" t="s">
        <v>193</v>
      </c>
      <c r="AB7" s="22"/>
      <c r="AD7" s="10">
        <v>2019</v>
      </c>
      <c r="AE7" s="10">
        <f>2056-Scenarios!G6</f>
        <v>2053</v>
      </c>
      <c r="AF7" s="10">
        <v>2017</v>
      </c>
      <c r="AG7">
        <v>2018</v>
      </c>
      <c r="AM7" t="s">
        <v>14</v>
      </c>
    </row>
    <row r="8" spans="1:39">
      <c r="A8" s="9" t="s">
        <v>236</v>
      </c>
      <c r="B8" s="9" t="s">
        <v>266</v>
      </c>
      <c r="C8" s="9" t="s">
        <v>31</v>
      </c>
      <c r="D8" s="9" t="s">
        <v>193</v>
      </c>
      <c r="E8" s="9" t="s">
        <v>236</v>
      </c>
      <c r="F8" s="22">
        <v>0</v>
      </c>
      <c r="G8" s="9" t="s">
        <v>236</v>
      </c>
      <c r="H8" s="22">
        <v>0</v>
      </c>
      <c r="I8" s="9" t="s">
        <v>236</v>
      </c>
      <c r="J8" s="22">
        <v>0</v>
      </c>
      <c r="K8" s="9" t="s">
        <v>236</v>
      </c>
      <c r="L8" s="22">
        <v>1</v>
      </c>
      <c r="M8" s="9" t="s">
        <v>236</v>
      </c>
      <c r="N8" s="22">
        <v>1</v>
      </c>
      <c r="O8" t="s">
        <v>236</v>
      </c>
      <c r="P8" t="s">
        <v>236</v>
      </c>
      <c r="Q8" t="s">
        <v>236</v>
      </c>
      <c r="R8" t="s">
        <v>30</v>
      </c>
      <c r="S8" s="9" t="s">
        <v>236</v>
      </c>
      <c r="T8" s="22">
        <v>-1</v>
      </c>
      <c r="U8" s="22">
        <v>-1</v>
      </c>
      <c r="V8" s="22">
        <v>-1</v>
      </c>
      <c r="W8" s="22">
        <v>1</v>
      </c>
      <c r="X8" s="22">
        <v>-1</v>
      </c>
      <c r="AA8" s="9" t="s">
        <v>236</v>
      </c>
      <c r="AB8" s="22">
        <v>100</v>
      </c>
      <c r="AD8" s="10">
        <v>2020</v>
      </c>
      <c r="AE8" s="10">
        <f>IF(OR(AE7=2055,AE7=""),"",AE7+1)</f>
        <v>2054</v>
      </c>
      <c r="AF8" s="10">
        <v>2018</v>
      </c>
      <c r="AG8">
        <v>2019</v>
      </c>
      <c r="AH8" s="10">
        <v>2018</v>
      </c>
      <c r="AM8" t="s">
        <v>15</v>
      </c>
    </row>
    <row r="9" spans="1:39">
      <c r="A9" s="9" t="s">
        <v>237</v>
      </c>
      <c r="B9" s="9" t="s">
        <v>236</v>
      </c>
      <c r="C9" s="9" t="s">
        <v>32</v>
      </c>
      <c r="E9" s="9" t="s">
        <v>237</v>
      </c>
      <c r="F9" s="22">
        <v>0</v>
      </c>
      <c r="G9" s="9" t="s">
        <v>237</v>
      </c>
      <c r="H9" s="22">
        <v>1</v>
      </c>
      <c r="I9" s="9" t="s">
        <v>237</v>
      </c>
      <c r="J9" s="22">
        <v>1</v>
      </c>
      <c r="K9" s="9" t="s">
        <v>237</v>
      </c>
      <c r="L9" s="22">
        <v>1</v>
      </c>
      <c r="M9" s="9" t="s">
        <v>237</v>
      </c>
      <c r="N9" s="22">
        <v>1</v>
      </c>
      <c r="O9" t="s">
        <v>237</v>
      </c>
      <c r="P9" t="s">
        <v>237</v>
      </c>
      <c r="Q9" t="s">
        <v>237</v>
      </c>
      <c r="R9" t="s">
        <v>30</v>
      </c>
      <c r="S9" s="9" t="s">
        <v>237</v>
      </c>
      <c r="T9" s="22">
        <v>-1</v>
      </c>
      <c r="U9" s="22">
        <v>1</v>
      </c>
      <c r="V9" s="22">
        <v>1</v>
      </c>
      <c r="W9" s="22">
        <v>1</v>
      </c>
      <c r="X9" s="22">
        <v>-1</v>
      </c>
      <c r="AA9" s="9" t="s">
        <v>237</v>
      </c>
      <c r="AB9" s="22">
        <v>100</v>
      </c>
      <c r="AD9" s="10">
        <v>2021</v>
      </c>
      <c r="AE9" s="10">
        <f t="shared" ref="AE9:AE15" si="0">IF(OR(AE8=2055,AE8=""),"",AE8+1)</f>
        <v>2055</v>
      </c>
      <c r="AF9" s="10">
        <v>2019</v>
      </c>
      <c r="AG9">
        <v>2020</v>
      </c>
      <c r="AM9" t="s">
        <v>16</v>
      </c>
    </row>
    <row r="10" spans="1:39">
      <c r="A10" s="9" t="s">
        <v>238</v>
      </c>
      <c r="B10" s="9" t="s">
        <v>237</v>
      </c>
      <c r="C10" s="9" t="s">
        <v>46</v>
      </c>
      <c r="E10" s="9" t="s">
        <v>238</v>
      </c>
      <c r="F10" s="22">
        <v>0</v>
      </c>
      <c r="G10" s="9" t="s">
        <v>238</v>
      </c>
      <c r="H10" s="22">
        <v>0</v>
      </c>
      <c r="I10" s="9" t="s">
        <v>238</v>
      </c>
      <c r="J10" s="22">
        <v>0</v>
      </c>
      <c r="K10" s="9" t="s">
        <v>238</v>
      </c>
      <c r="L10" s="22">
        <v>1</v>
      </c>
      <c r="M10" s="9" t="s">
        <v>238</v>
      </c>
      <c r="N10" s="22">
        <v>1</v>
      </c>
      <c r="O10" t="s">
        <v>238</v>
      </c>
      <c r="P10" t="s">
        <v>238</v>
      </c>
      <c r="Q10" t="s">
        <v>238</v>
      </c>
      <c r="R10" t="s">
        <v>30</v>
      </c>
      <c r="S10" s="9" t="s">
        <v>238</v>
      </c>
      <c r="T10" s="22">
        <v>-1</v>
      </c>
      <c r="U10" s="22">
        <v>-1</v>
      </c>
      <c r="V10" s="22">
        <v>-1</v>
      </c>
      <c r="W10" s="22">
        <v>1</v>
      </c>
      <c r="X10" s="22">
        <v>-1</v>
      </c>
      <c r="AA10" s="9" t="s">
        <v>238</v>
      </c>
      <c r="AB10" s="22">
        <v>100</v>
      </c>
      <c r="AD10" s="10">
        <v>2022</v>
      </c>
      <c r="AE10" s="10" t="str">
        <f t="shared" si="0"/>
        <v/>
      </c>
      <c r="AF10" s="10">
        <v>2020</v>
      </c>
      <c r="AG10">
        <v>2021</v>
      </c>
      <c r="AM10" t="s">
        <v>17</v>
      </c>
    </row>
    <row r="11" spans="1:39">
      <c r="A11" s="9" t="s">
        <v>239</v>
      </c>
      <c r="B11" s="9" t="s">
        <v>238</v>
      </c>
      <c r="C11" s="9" t="s">
        <v>47</v>
      </c>
      <c r="E11" s="9" t="s">
        <v>239</v>
      </c>
      <c r="F11" s="22">
        <v>0</v>
      </c>
      <c r="G11" s="9" t="s">
        <v>239</v>
      </c>
      <c r="H11" s="22">
        <v>0</v>
      </c>
      <c r="I11" s="9" t="s">
        <v>239</v>
      </c>
      <c r="J11" s="22">
        <v>0</v>
      </c>
      <c r="K11" s="9" t="s">
        <v>239</v>
      </c>
      <c r="L11" s="22">
        <v>0</v>
      </c>
      <c r="M11" s="9" t="s">
        <v>239</v>
      </c>
      <c r="N11" s="22">
        <v>0</v>
      </c>
      <c r="O11" t="s">
        <v>239</v>
      </c>
      <c r="P11" t="s">
        <v>239</v>
      </c>
      <c r="Q11" t="s">
        <v>239</v>
      </c>
      <c r="R11" t="s">
        <v>30</v>
      </c>
      <c r="S11" s="9" t="s">
        <v>239</v>
      </c>
      <c r="T11" s="22">
        <v>-1</v>
      </c>
      <c r="U11" s="22">
        <v>-1</v>
      </c>
      <c r="V11" s="22">
        <v>-1</v>
      </c>
      <c r="W11" s="22">
        <v>1</v>
      </c>
      <c r="X11" s="22">
        <v>-1</v>
      </c>
      <c r="AA11" s="9" t="s">
        <v>239</v>
      </c>
      <c r="AB11" s="22">
        <v>100</v>
      </c>
      <c r="AD11" s="10">
        <v>2023</v>
      </c>
      <c r="AE11" s="10" t="str">
        <f t="shared" si="0"/>
        <v/>
      </c>
      <c r="AF11" s="10">
        <v>2021</v>
      </c>
      <c r="AG11">
        <v>2022</v>
      </c>
      <c r="AM11" t="s">
        <v>18</v>
      </c>
    </row>
    <row r="12" spans="1:39">
      <c r="A12" s="9" t="s">
        <v>240</v>
      </c>
      <c r="B12" s="9" t="s">
        <v>239</v>
      </c>
      <c r="C12" s="9" t="s">
        <v>48</v>
      </c>
      <c r="D12" s="9"/>
      <c r="E12" s="9" t="s">
        <v>240</v>
      </c>
      <c r="F12" s="22">
        <v>0</v>
      </c>
      <c r="G12" s="9" t="s">
        <v>240</v>
      </c>
      <c r="H12" s="22">
        <v>0</v>
      </c>
      <c r="I12" s="9" t="s">
        <v>240</v>
      </c>
      <c r="J12" s="22">
        <v>0</v>
      </c>
      <c r="K12" s="9" t="s">
        <v>240</v>
      </c>
      <c r="L12" s="22">
        <v>1</v>
      </c>
      <c r="M12" s="9" t="s">
        <v>240</v>
      </c>
      <c r="N12" s="22">
        <v>1</v>
      </c>
      <c r="O12" t="s">
        <v>240</v>
      </c>
      <c r="P12" t="s">
        <v>240</v>
      </c>
      <c r="Q12" t="s">
        <v>240</v>
      </c>
      <c r="R12" t="s">
        <v>30</v>
      </c>
      <c r="S12" s="9" t="s">
        <v>240</v>
      </c>
      <c r="T12" s="22">
        <v>-1</v>
      </c>
      <c r="U12" s="22">
        <v>-1</v>
      </c>
      <c r="V12" s="22">
        <v>-1</v>
      </c>
      <c r="W12" s="22">
        <v>1</v>
      </c>
      <c r="X12" s="22">
        <v>-1</v>
      </c>
      <c r="AA12" s="9" t="s">
        <v>240</v>
      </c>
      <c r="AB12" s="22">
        <v>100</v>
      </c>
      <c r="AD12" s="10">
        <v>2024</v>
      </c>
      <c r="AE12" s="10" t="str">
        <f t="shared" si="0"/>
        <v/>
      </c>
      <c r="AF12" s="10">
        <v>2022</v>
      </c>
      <c r="AG12">
        <v>2023</v>
      </c>
      <c r="AM12" t="s">
        <v>19</v>
      </c>
    </row>
    <row r="13" spans="1:39">
      <c r="A13" s="9" t="s">
        <v>241</v>
      </c>
      <c r="B13" s="9" t="s">
        <v>240</v>
      </c>
      <c r="C13" s="9" t="s">
        <v>49</v>
      </c>
      <c r="D13" s="9"/>
      <c r="E13" s="9" t="s">
        <v>241</v>
      </c>
      <c r="F13" s="22">
        <v>0</v>
      </c>
      <c r="G13" s="9" t="s">
        <v>241</v>
      </c>
      <c r="H13" s="22">
        <v>1</v>
      </c>
      <c r="I13" s="9" t="s">
        <v>241</v>
      </c>
      <c r="J13" s="22">
        <v>1</v>
      </c>
      <c r="K13" s="9" t="s">
        <v>241</v>
      </c>
      <c r="L13" s="22">
        <v>1</v>
      </c>
      <c r="M13" s="9" t="s">
        <v>241</v>
      </c>
      <c r="N13" s="22">
        <v>1</v>
      </c>
      <c r="O13" t="s">
        <v>241</v>
      </c>
      <c r="P13" t="s">
        <v>241</v>
      </c>
      <c r="Q13" t="s">
        <v>241</v>
      </c>
      <c r="R13" t="s">
        <v>30</v>
      </c>
      <c r="S13" s="9" t="s">
        <v>241</v>
      </c>
      <c r="T13" s="22">
        <v>-1</v>
      </c>
      <c r="U13" s="22">
        <v>1</v>
      </c>
      <c r="V13" s="22">
        <v>1</v>
      </c>
      <c r="W13" s="22">
        <v>1</v>
      </c>
      <c r="X13" s="22">
        <v>-1</v>
      </c>
      <c r="AA13" s="9" t="s">
        <v>241</v>
      </c>
      <c r="AB13" s="22">
        <v>100</v>
      </c>
      <c r="AD13" s="10">
        <v>2025</v>
      </c>
      <c r="AE13" s="10" t="str">
        <f t="shared" si="0"/>
        <v/>
      </c>
      <c r="AF13" s="10">
        <v>2023</v>
      </c>
      <c r="AG13">
        <v>2024</v>
      </c>
      <c r="AM13" t="s">
        <v>20</v>
      </c>
    </row>
    <row r="14" spans="1:39">
      <c r="A14" s="9" t="s">
        <v>242</v>
      </c>
      <c r="B14" s="9" t="s">
        <v>241</v>
      </c>
      <c r="C14" s="9" t="s">
        <v>50</v>
      </c>
      <c r="D14" s="9"/>
      <c r="E14" s="9" t="s">
        <v>242</v>
      </c>
      <c r="F14" s="22">
        <v>0</v>
      </c>
      <c r="G14" s="9" t="s">
        <v>242</v>
      </c>
      <c r="H14" s="22">
        <v>1</v>
      </c>
      <c r="I14" s="9" t="s">
        <v>242</v>
      </c>
      <c r="J14" s="22">
        <v>1</v>
      </c>
      <c r="K14" s="9" t="s">
        <v>242</v>
      </c>
      <c r="L14" s="22">
        <v>1</v>
      </c>
      <c r="M14" s="9" t="s">
        <v>242</v>
      </c>
      <c r="N14" s="22">
        <v>1</v>
      </c>
      <c r="O14" t="s">
        <v>242</v>
      </c>
      <c r="P14" t="s">
        <v>242</v>
      </c>
      <c r="Q14" t="s">
        <v>242</v>
      </c>
      <c r="R14" t="s">
        <v>30</v>
      </c>
      <c r="S14" s="9" t="s">
        <v>242</v>
      </c>
      <c r="T14" s="22">
        <v>-1</v>
      </c>
      <c r="U14" s="22">
        <v>1</v>
      </c>
      <c r="V14" s="22">
        <v>1</v>
      </c>
      <c r="W14" s="22">
        <v>1</v>
      </c>
      <c r="X14" s="22">
        <v>-1</v>
      </c>
      <c r="AA14" s="9" t="s">
        <v>242</v>
      </c>
      <c r="AB14" s="22">
        <v>100</v>
      </c>
      <c r="AD14" s="10">
        <v>2026</v>
      </c>
      <c r="AE14" s="10" t="str">
        <f t="shared" si="0"/>
        <v/>
      </c>
      <c r="AF14" s="10">
        <v>2024</v>
      </c>
      <c r="AG14">
        <v>2025</v>
      </c>
      <c r="AM14" t="s">
        <v>21</v>
      </c>
    </row>
    <row r="15" spans="1:39">
      <c r="A15" s="9" t="s">
        <v>243</v>
      </c>
      <c r="B15" s="9" t="s">
        <v>242</v>
      </c>
      <c r="C15" s="9" t="s">
        <v>51</v>
      </c>
      <c r="D15" s="9"/>
      <c r="E15" s="9" t="s">
        <v>243</v>
      </c>
      <c r="F15" s="22">
        <v>0</v>
      </c>
      <c r="G15" s="9" t="s">
        <v>243</v>
      </c>
      <c r="H15" s="22">
        <v>0</v>
      </c>
      <c r="I15" s="9" t="s">
        <v>243</v>
      </c>
      <c r="J15" s="22">
        <v>0</v>
      </c>
      <c r="K15" s="9" t="s">
        <v>243</v>
      </c>
      <c r="L15" s="22">
        <v>1</v>
      </c>
      <c r="M15" s="9" t="s">
        <v>243</v>
      </c>
      <c r="N15" s="22">
        <v>1</v>
      </c>
      <c r="O15" t="s">
        <v>243</v>
      </c>
      <c r="P15" t="s">
        <v>243</v>
      </c>
      <c r="Q15" t="s">
        <v>243</v>
      </c>
      <c r="R15" t="s">
        <v>30</v>
      </c>
      <c r="S15" s="9" t="s">
        <v>243</v>
      </c>
      <c r="T15" s="22">
        <v>-1</v>
      </c>
      <c r="U15" s="22">
        <v>-1</v>
      </c>
      <c r="V15" s="22">
        <v>-1</v>
      </c>
      <c r="W15" s="22">
        <v>1</v>
      </c>
      <c r="X15" s="22">
        <v>-1</v>
      </c>
      <c r="AA15" s="9" t="s">
        <v>243</v>
      </c>
      <c r="AB15" s="22">
        <v>100</v>
      </c>
      <c r="AD15" s="10">
        <v>2027</v>
      </c>
      <c r="AE15" s="10" t="str">
        <f t="shared" si="0"/>
        <v/>
      </c>
      <c r="AF15" s="10">
        <v>2025</v>
      </c>
      <c r="AG15">
        <v>2026</v>
      </c>
      <c r="AM15" t="s">
        <v>22</v>
      </c>
    </row>
    <row r="16" spans="1:39">
      <c r="A16" s="9" t="s">
        <v>244</v>
      </c>
      <c r="B16" s="9" t="s">
        <v>243</v>
      </c>
      <c r="C16" s="9" t="s">
        <v>52</v>
      </c>
      <c r="D16" s="9"/>
      <c r="E16" s="9" t="s">
        <v>244</v>
      </c>
      <c r="F16" s="22">
        <v>0</v>
      </c>
      <c r="G16" s="9" t="s">
        <v>244</v>
      </c>
      <c r="H16" s="22">
        <v>0</v>
      </c>
      <c r="I16" s="9" t="s">
        <v>244</v>
      </c>
      <c r="J16" s="22">
        <v>0</v>
      </c>
      <c r="K16" s="9" t="s">
        <v>244</v>
      </c>
      <c r="L16" s="22">
        <v>1</v>
      </c>
      <c r="M16" s="9" t="s">
        <v>244</v>
      </c>
      <c r="N16" s="22">
        <v>1</v>
      </c>
      <c r="O16" t="s">
        <v>244</v>
      </c>
      <c r="P16" t="s">
        <v>244</v>
      </c>
      <c r="Q16" t="s">
        <v>244</v>
      </c>
      <c r="R16" t="s">
        <v>30</v>
      </c>
      <c r="S16" s="9" t="s">
        <v>244</v>
      </c>
      <c r="T16" s="22">
        <v>-1</v>
      </c>
      <c r="U16" s="22">
        <v>-1</v>
      </c>
      <c r="V16" s="22">
        <v>-1</v>
      </c>
      <c r="W16" s="22">
        <v>1</v>
      </c>
      <c r="X16" s="22">
        <v>-1</v>
      </c>
      <c r="AA16" s="9" t="s">
        <v>244</v>
      </c>
      <c r="AB16" s="22">
        <v>100</v>
      </c>
      <c r="AD16" s="10">
        <v>2028</v>
      </c>
      <c r="AF16" s="10">
        <v>2026</v>
      </c>
      <c r="AG16">
        <v>2027</v>
      </c>
      <c r="AM16" t="s">
        <v>5</v>
      </c>
    </row>
    <row r="17" spans="1:39">
      <c r="A17" s="9" t="s">
        <v>245</v>
      </c>
      <c r="B17" s="9" t="s">
        <v>244</v>
      </c>
      <c r="E17" s="9" t="s">
        <v>245</v>
      </c>
      <c r="F17" s="22">
        <v>0</v>
      </c>
      <c r="G17" s="9" t="s">
        <v>245</v>
      </c>
      <c r="H17" s="22">
        <v>1</v>
      </c>
      <c r="I17" s="9" t="s">
        <v>245</v>
      </c>
      <c r="J17" s="22">
        <v>0</v>
      </c>
      <c r="K17" s="9" t="s">
        <v>245</v>
      </c>
      <c r="L17" s="22">
        <v>1</v>
      </c>
      <c r="M17" s="9" t="s">
        <v>245</v>
      </c>
      <c r="N17" s="22">
        <v>1</v>
      </c>
      <c r="O17" t="s">
        <v>245</v>
      </c>
      <c r="P17" t="s">
        <v>245</v>
      </c>
      <c r="Q17" t="s">
        <v>245</v>
      </c>
      <c r="R17" t="s">
        <v>30</v>
      </c>
      <c r="S17" s="9" t="s">
        <v>245</v>
      </c>
      <c r="T17" s="22">
        <v>-1</v>
      </c>
      <c r="U17" s="22">
        <v>-1</v>
      </c>
      <c r="V17" s="22">
        <v>-1</v>
      </c>
      <c r="W17" s="22">
        <v>1</v>
      </c>
      <c r="X17" s="22">
        <v>-1</v>
      </c>
      <c r="AA17" s="9" t="s">
        <v>245</v>
      </c>
      <c r="AB17" s="22">
        <v>100</v>
      </c>
      <c r="AD17" s="10">
        <v>2029</v>
      </c>
      <c r="AF17" s="10">
        <v>2027</v>
      </c>
      <c r="AG17">
        <v>2028</v>
      </c>
      <c r="AM17" t="s">
        <v>23</v>
      </c>
    </row>
    <row r="18" spans="1:39">
      <c r="A18" s="9" t="s">
        <v>246</v>
      </c>
      <c r="B18" s="9" t="s">
        <v>245</v>
      </c>
      <c r="E18" s="9" t="s">
        <v>246</v>
      </c>
      <c r="F18" s="22">
        <v>0</v>
      </c>
      <c r="G18" s="9" t="s">
        <v>246</v>
      </c>
      <c r="H18" s="22">
        <v>0</v>
      </c>
      <c r="I18" s="9" t="s">
        <v>246</v>
      </c>
      <c r="J18" s="22">
        <v>0</v>
      </c>
      <c r="K18" s="9" t="s">
        <v>246</v>
      </c>
      <c r="L18" s="22">
        <v>1</v>
      </c>
      <c r="M18" s="9" t="s">
        <v>246</v>
      </c>
      <c r="N18" s="22">
        <v>1</v>
      </c>
      <c r="O18" t="s">
        <v>246</v>
      </c>
      <c r="P18" t="s">
        <v>246</v>
      </c>
      <c r="Q18" t="s">
        <v>246</v>
      </c>
      <c r="R18" t="s">
        <v>30</v>
      </c>
      <c r="S18" s="9" t="s">
        <v>246</v>
      </c>
      <c r="T18" s="22">
        <v>-1</v>
      </c>
      <c r="U18" s="22">
        <v>-1</v>
      </c>
      <c r="V18" s="22">
        <v>-1</v>
      </c>
      <c r="W18" s="22">
        <v>1</v>
      </c>
      <c r="X18" s="22">
        <v>-1</v>
      </c>
      <c r="AA18" s="9" t="s">
        <v>246</v>
      </c>
      <c r="AB18" s="22">
        <v>100</v>
      </c>
      <c r="AD18" s="10">
        <v>2030</v>
      </c>
      <c r="AF18" s="10">
        <v>2028</v>
      </c>
      <c r="AG18">
        <v>2029</v>
      </c>
      <c r="AM18" t="s">
        <v>25</v>
      </c>
    </row>
    <row r="19" spans="1:39">
      <c r="A19" s="9" t="s">
        <v>247</v>
      </c>
      <c r="B19" s="9" t="s">
        <v>246</v>
      </c>
      <c r="E19" s="9" t="s">
        <v>247</v>
      </c>
      <c r="F19" s="22">
        <v>0</v>
      </c>
      <c r="G19" s="9" t="s">
        <v>247</v>
      </c>
      <c r="H19" s="22">
        <v>0</v>
      </c>
      <c r="I19" s="9" t="s">
        <v>247</v>
      </c>
      <c r="J19" s="22">
        <v>0</v>
      </c>
      <c r="K19" s="9" t="s">
        <v>247</v>
      </c>
      <c r="L19" s="22">
        <v>1</v>
      </c>
      <c r="M19" s="9" t="s">
        <v>247</v>
      </c>
      <c r="N19" s="22">
        <v>1</v>
      </c>
      <c r="O19" t="s">
        <v>247</v>
      </c>
      <c r="P19" t="s">
        <v>247</v>
      </c>
      <c r="Q19" t="s">
        <v>247</v>
      </c>
      <c r="R19" t="s">
        <v>30</v>
      </c>
      <c r="S19" s="9" t="s">
        <v>247</v>
      </c>
      <c r="T19" s="22">
        <v>-1</v>
      </c>
      <c r="U19" s="22">
        <v>-1</v>
      </c>
      <c r="V19" s="22">
        <v>-1</v>
      </c>
      <c r="W19" s="22">
        <v>1</v>
      </c>
      <c r="X19" s="22">
        <v>-1</v>
      </c>
      <c r="AA19" s="9" t="s">
        <v>247</v>
      </c>
      <c r="AB19" s="22">
        <v>100</v>
      </c>
      <c r="AD19" s="10">
        <v>2031</v>
      </c>
      <c r="AF19" s="10">
        <v>2029</v>
      </c>
      <c r="AG19">
        <v>2030</v>
      </c>
      <c r="AM19" t="s">
        <v>24</v>
      </c>
    </row>
    <row r="20" spans="1:39">
      <c r="A20" s="9" t="s">
        <v>248</v>
      </c>
      <c r="B20" s="9" t="s">
        <v>247</v>
      </c>
      <c r="E20" s="9" t="s">
        <v>248</v>
      </c>
      <c r="F20" s="22">
        <v>0</v>
      </c>
      <c r="G20" s="9" t="s">
        <v>248</v>
      </c>
      <c r="H20" s="22">
        <v>0</v>
      </c>
      <c r="I20" s="9" t="s">
        <v>248</v>
      </c>
      <c r="J20" s="22">
        <v>0</v>
      </c>
      <c r="K20" s="9" t="s">
        <v>248</v>
      </c>
      <c r="L20" s="22">
        <v>1</v>
      </c>
      <c r="M20" s="9" t="s">
        <v>248</v>
      </c>
      <c r="N20" s="22">
        <v>1</v>
      </c>
      <c r="O20" t="s">
        <v>248</v>
      </c>
      <c r="P20" t="s">
        <v>248</v>
      </c>
      <c r="Q20" t="s">
        <v>248</v>
      </c>
      <c r="R20" t="s">
        <v>30</v>
      </c>
      <c r="S20" s="9" t="s">
        <v>248</v>
      </c>
      <c r="T20" s="22">
        <v>-1</v>
      </c>
      <c r="U20" s="22">
        <v>-1</v>
      </c>
      <c r="V20" s="22">
        <v>-1</v>
      </c>
      <c r="W20" s="22">
        <v>1</v>
      </c>
      <c r="X20" s="22">
        <v>-1</v>
      </c>
      <c r="AA20" s="9" t="s">
        <v>248</v>
      </c>
      <c r="AB20" s="22">
        <v>100</v>
      </c>
      <c r="AD20" s="10">
        <v>2032</v>
      </c>
      <c r="AF20" s="10">
        <v>2030</v>
      </c>
      <c r="AG20">
        <v>2031</v>
      </c>
      <c r="AM20" t="s">
        <v>11</v>
      </c>
    </row>
    <row r="21" spans="1:39">
      <c r="A21" s="9" t="s">
        <v>249</v>
      </c>
      <c r="B21" s="9" t="s">
        <v>248</v>
      </c>
      <c r="E21" s="9" t="s">
        <v>249</v>
      </c>
      <c r="F21" s="22">
        <v>0</v>
      </c>
      <c r="G21" s="9" t="s">
        <v>249</v>
      </c>
      <c r="H21" s="22">
        <v>0</v>
      </c>
      <c r="I21" s="9" t="s">
        <v>249</v>
      </c>
      <c r="J21" s="22">
        <v>0</v>
      </c>
      <c r="K21" s="9" t="s">
        <v>249</v>
      </c>
      <c r="L21" s="22">
        <v>1</v>
      </c>
      <c r="M21" s="9" t="s">
        <v>249</v>
      </c>
      <c r="N21" s="22">
        <v>1</v>
      </c>
      <c r="O21" t="s">
        <v>249</v>
      </c>
      <c r="P21" t="s">
        <v>249</v>
      </c>
      <c r="Q21" t="s">
        <v>249</v>
      </c>
      <c r="R21" t="s">
        <v>30</v>
      </c>
      <c r="S21" s="9" t="s">
        <v>249</v>
      </c>
      <c r="T21" s="22">
        <v>-1</v>
      </c>
      <c r="U21" s="22">
        <v>-1</v>
      </c>
      <c r="V21" s="22">
        <v>-1</v>
      </c>
      <c r="W21" s="22">
        <v>1</v>
      </c>
      <c r="X21" s="22">
        <v>-1</v>
      </c>
      <c r="AA21" s="9" t="s">
        <v>249</v>
      </c>
      <c r="AB21" s="22">
        <v>100</v>
      </c>
      <c r="AD21" s="10">
        <v>2033</v>
      </c>
      <c r="AF21" s="10">
        <v>2031</v>
      </c>
      <c r="AG21">
        <v>2032</v>
      </c>
      <c r="AM21" t="s">
        <v>11</v>
      </c>
    </row>
    <row r="22" spans="1:39">
      <c r="A22" s="9" t="s">
        <v>250</v>
      </c>
      <c r="B22" s="9" t="s">
        <v>249</v>
      </c>
      <c r="E22" s="9" t="s">
        <v>250</v>
      </c>
      <c r="F22" s="22">
        <v>0</v>
      </c>
      <c r="G22" s="9" t="s">
        <v>250</v>
      </c>
      <c r="H22" s="22">
        <v>0</v>
      </c>
      <c r="I22" s="9" t="s">
        <v>250</v>
      </c>
      <c r="J22" s="22">
        <v>0</v>
      </c>
      <c r="K22" s="9" t="s">
        <v>250</v>
      </c>
      <c r="L22" s="22">
        <v>1</v>
      </c>
      <c r="M22" s="9" t="s">
        <v>250</v>
      </c>
      <c r="N22" s="22">
        <v>1</v>
      </c>
      <c r="O22" t="s">
        <v>250</v>
      </c>
      <c r="P22" t="s">
        <v>250</v>
      </c>
      <c r="Q22" t="s">
        <v>250</v>
      </c>
      <c r="R22" t="s">
        <v>30</v>
      </c>
      <c r="S22" s="9" t="s">
        <v>250</v>
      </c>
      <c r="T22" s="22">
        <v>-1</v>
      </c>
      <c r="U22" s="22">
        <v>-1</v>
      </c>
      <c r="V22" s="22">
        <v>-1</v>
      </c>
      <c r="W22" s="22">
        <v>1</v>
      </c>
      <c r="X22" s="22">
        <v>-1</v>
      </c>
      <c r="AA22" s="9" t="s">
        <v>250</v>
      </c>
      <c r="AB22" s="22">
        <v>100</v>
      </c>
      <c r="AD22" s="10">
        <v>2034</v>
      </c>
      <c r="AF22" s="10">
        <v>2032</v>
      </c>
      <c r="AG22">
        <v>2033</v>
      </c>
      <c r="AM22" t="s">
        <v>11</v>
      </c>
    </row>
    <row r="23" spans="1:39">
      <c r="A23" s="9" t="s">
        <v>251</v>
      </c>
      <c r="B23" s="9" t="s">
        <v>250</v>
      </c>
      <c r="E23" s="9" t="s">
        <v>251</v>
      </c>
      <c r="F23" s="22">
        <v>0</v>
      </c>
      <c r="G23" s="9" t="s">
        <v>251</v>
      </c>
      <c r="H23" s="22">
        <v>0</v>
      </c>
      <c r="I23" s="9" t="s">
        <v>251</v>
      </c>
      <c r="J23" s="22">
        <v>0</v>
      </c>
      <c r="K23" s="9" t="s">
        <v>251</v>
      </c>
      <c r="L23" s="22">
        <v>1</v>
      </c>
      <c r="M23" s="9" t="s">
        <v>251</v>
      </c>
      <c r="N23" s="22">
        <v>1</v>
      </c>
      <c r="O23" t="s">
        <v>251</v>
      </c>
      <c r="P23" t="s">
        <v>251</v>
      </c>
      <c r="Q23" t="s">
        <v>251</v>
      </c>
      <c r="R23" t="s">
        <v>30</v>
      </c>
      <c r="S23" s="9" t="s">
        <v>251</v>
      </c>
      <c r="T23" s="22">
        <v>-1</v>
      </c>
      <c r="U23" s="22">
        <v>-1</v>
      </c>
      <c r="V23" s="22">
        <v>-1</v>
      </c>
      <c r="W23" s="22">
        <v>1</v>
      </c>
      <c r="X23" s="22">
        <v>-1</v>
      </c>
      <c r="AA23" s="9" t="s">
        <v>251</v>
      </c>
      <c r="AB23" s="22">
        <v>100</v>
      </c>
      <c r="AD23" s="10">
        <v>2035</v>
      </c>
      <c r="AF23" s="10">
        <v>2033</v>
      </c>
      <c r="AG23">
        <v>2034</v>
      </c>
      <c r="AM23" t="s">
        <v>11</v>
      </c>
    </row>
    <row r="24" spans="1:39">
      <c r="A24" s="9" t="s">
        <v>252</v>
      </c>
      <c r="B24" s="9" t="s">
        <v>251</v>
      </c>
      <c r="E24" s="9" t="s">
        <v>252</v>
      </c>
      <c r="F24" s="22">
        <v>0</v>
      </c>
      <c r="G24" s="9" t="s">
        <v>252</v>
      </c>
      <c r="H24" s="22">
        <v>0</v>
      </c>
      <c r="I24" s="9" t="s">
        <v>252</v>
      </c>
      <c r="J24" s="22">
        <v>0</v>
      </c>
      <c r="K24" s="9" t="s">
        <v>252</v>
      </c>
      <c r="L24" s="22">
        <v>1</v>
      </c>
      <c r="M24" s="9" t="s">
        <v>252</v>
      </c>
      <c r="N24" s="22">
        <v>1</v>
      </c>
      <c r="O24" t="s">
        <v>252</v>
      </c>
      <c r="P24" t="s">
        <v>252</v>
      </c>
      <c r="Q24" t="s">
        <v>252</v>
      </c>
      <c r="R24" t="s">
        <v>30</v>
      </c>
      <c r="S24" s="9" t="s">
        <v>252</v>
      </c>
      <c r="T24" s="22">
        <v>-1</v>
      </c>
      <c r="U24" s="22">
        <v>-1</v>
      </c>
      <c r="V24" s="22">
        <v>-1</v>
      </c>
      <c r="W24" s="22">
        <v>1</v>
      </c>
      <c r="X24" s="22">
        <v>-1</v>
      </c>
      <c r="AA24" s="9" t="s">
        <v>252</v>
      </c>
      <c r="AB24" s="22">
        <v>100</v>
      </c>
      <c r="AD24" s="10">
        <v>2036</v>
      </c>
      <c r="AF24" s="10">
        <v>2034</v>
      </c>
      <c r="AG24">
        <v>2035</v>
      </c>
    </row>
    <row r="25" spans="1:39">
      <c r="A25" s="9" t="s">
        <v>253</v>
      </c>
      <c r="B25" s="9" t="s">
        <v>252</v>
      </c>
      <c r="E25" s="9" t="s">
        <v>253</v>
      </c>
      <c r="F25" s="22">
        <v>0</v>
      </c>
      <c r="G25" s="9" t="s">
        <v>253</v>
      </c>
      <c r="H25" s="22">
        <v>0</v>
      </c>
      <c r="I25" s="9" t="s">
        <v>253</v>
      </c>
      <c r="J25" s="22">
        <v>0</v>
      </c>
      <c r="K25" s="9" t="s">
        <v>253</v>
      </c>
      <c r="L25" s="22">
        <v>1</v>
      </c>
      <c r="M25" s="9" t="s">
        <v>253</v>
      </c>
      <c r="N25" s="22">
        <v>1</v>
      </c>
      <c r="O25" t="s">
        <v>253</v>
      </c>
      <c r="P25" t="s">
        <v>253</v>
      </c>
      <c r="Q25" t="s">
        <v>253</v>
      </c>
      <c r="R25" t="s">
        <v>30</v>
      </c>
      <c r="S25" s="9" t="s">
        <v>253</v>
      </c>
      <c r="T25" s="22">
        <v>-1</v>
      </c>
      <c r="U25" s="22">
        <v>-1</v>
      </c>
      <c r="V25" s="22">
        <v>-1</v>
      </c>
      <c r="W25" s="22">
        <v>1</v>
      </c>
      <c r="X25" s="22">
        <v>-1</v>
      </c>
      <c r="AA25" s="9" t="s">
        <v>253</v>
      </c>
      <c r="AB25" s="22">
        <v>100</v>
      </c>
      <c r="AD25" s="10">
        <v>2037</v>
      </c>
      <c r="AF25" s="10">
        <v>2035</v>
      </c>
      <c r="AG25">
        <v>2036</v>
      </c>
    </row>
    <row r="26" spans="1:39">
      <c r="A26" s="9" t="s">
        <v>254</v>
      </c>
      <c r="B26" s="9" t="s">
        <v>253</v>
      </c>
      <c r="E26" s="9" t="s">
        <v>254</v>
      </c>
      <c r="F26" s="22">
        <v>0</v>
      </c>
      <c r="G26" s="9" t="s">
        <v>254</v>
      </c>
      <c r="H26" s="22">
        <v>0</v>
      </c>
      <c r="I26" s="9" t="s">
        <v>254</v>
      </c>
      <c r="J26" s="22">
        <v>0</v>
      </c>
      <c r="K26" s="9" t="s">
        <v>254</v>
      </c>
      <c r="L26" s="22">
        <v>1</v>
      </c>
      <c r="M26" s="9" t="s">
        <v>254</v>
      </c>
      <c r="N26" s="22">
        <v>1</v>
      </c>
      <c r="O26" t="s">
        <v>254</v>
      </c>
      <c r="P26" t="s">
        <v>254</v>
      </c>
      <c r="Q26" t="s">
        <v>254</v>
      </c>
      <c r="R26" t="s">
        <v>30</v>
      </c>
      <c r="S26" s="9" t="s">
        <v>254</v>
      </c>
      <c r="T26" s="22">
        <v>-1</v>
      </c>
      <c r="U26" s="22">
        <v>-1</v>
      </c>
      <c r="V26" s="22">
        <v>-1</v>
      </c>
      <c r="W26" s="22">
        <v>1</v>
      </c>
      <c r="X26" s="22">
        <v>-1</v>
      </c>
      <c r="AA26" s="9" t="s">
        <v>254</v>
      </c>
      <c r="AB26" s="22">
        <v>100</v>
      </c>
      <c r="AD26" s="10">
        <v>2038</v>
      </c>
      <c r="AF26" s="10">
        <v>2036</v>
      </c>
      <c r="AG26">
        <v>2037</v>
      </c>
    </row>
    <row r="27" spans="1:39">
      <c r="A27" s="9" t="s">
        <v>256</v>
      </c>
      <c r="B27" s="9" t="s">
        <v>254</v>
      </c>
      <c r="E27" s="9" t="s">
        <v>256</v>
      </c>
      <c r="F27" s="22">
        <v>0</v>
      </c>
      <c r="G27" s="9" t="s">
        <v>256</v>
      </c>
      <c r="H27" s="22">
        <v>0</v>
      </c>
      <c r="I27" s="9" t="s">
        <v>256</v>
      </c>
      <c r="J27" s="22">
        <v>0</v>
      </c>
      <c r="K27" s="9" t="s">
        <v>256</v>
      </c>
      <c r="L27" s="22">
        <v>1</v>
      </c>
      <c r="M27" s="9" t="s">
        <v>256</v>
      </c>
      <c r="N27" s="22">
        <v>1</v>
      </c>
      <c r="O27" t="s">
        <v>256</v>
      </c>
      <c r="P27" t="s">
        <v>256</v>
      </c>
      <c r="Q27" t="s">
        <v>256</v>
      </c>
      <c r="R27" t="s">
        <v>30</v>
      </c>
      <c r="S27" s="9" t="s">
        <v>256</v>
      </c>
      <c r="T27" s="22">
        <v>-1</v>
      </c>
      <c r="U27" s="22">
        <v>-1</v>
      </c>
      <c r="V27" s="22">
        <v>-1</v>
      </c>
      <c r="W27" s="22">
        <v>1</v>
      </c>
      <c r="X27" s="22">
        <v>-1</v>
      </c>
      <c r="AA27" s="9" t="s">
        <v>256</v>
      </c>
      <c r="AB27" s="22">
        <v>100</v>
      </c>
      <c r="AD27" s="10">
        <v>2039</v>
      </c>
      <c r="AF27" s="10">
        <v>2037</v>
      </c>
      <c r="AG27">
        <v>2038</v>
      </c>
    </row>
    <row r="28" spans="1:39">
      <c r="A28" s="9" t="s">
        <v>257</v>
      </c>
      <c r="B28" s="9" t="s">
        <v>256</v>
      </c>
      <c r="E28" s="9" t="s">
        <v>257</v>
      </c>
      <c r="F28" s="22">
        <v>0</v>
      </c>
      <c r="G28" s="9" t="s">
        <v>257</v>
      </c>
      <c r="H28" s="22">
        <v>0</v>
      </c>
      <c r="I28" s="9" t="s">
        <v>257</v>
      </c>
      <c r="J28" s="22">
        <v>0</v>
      </c>
      <c r="K28" s="9" t="s">
        <v>257</v>
      </c>
      <c r="L28" s="22">
        <v>1</v>
      </c>
      <c r="M28" s="9" t="s">
        <v>257</v>
      </c>
      <c r="N28" s="22">
        <v>1</v>
      </c>
      <c r="O28" t="s">
        <v>257</v>
      </c>
      <c r="P28" t="s">
        <v>260</v>
      </c>
      <c r="Q28" t="s">
        <v>257</v>
      </c>
      <c r="R28" t="s">
        <v>30</v>
      </c>
      <c r="S28" s="9" t="s">
        <v>257</v>
      </c>
      <c r="T28" s="22">
        <v>-1</v>
      </c>
      <c r="U28" s="22">
        <v>-1</v>
      </c>
      <c r="V28" s="22">
        <v>-1</v>
      </c>
      <c r="W28" s="22">
        <v>1</v>
      </c>
      <c r="X28" s="22">
        <v>-1</v>
      </c>
      <c r="AA28" s="9" t="s">
        <v>257</v>
      </c>
      <c r="AB28" s="22">
        <v>100</v>
      </c>
      <c r="AD28" s="10">
        <v>2040</v>
      </c>
      <c r="AF28" s="10">
        <v>2038</v>
      </c>
      <c r="AG28">
        <v>2039</v>
      </c>
    </row>
    <row r="29" spans="1:39">
      <c r="A29" s="9" t="s">
        <v>258</v>
      </c>
      <c r="B29" s="9" t="s">
        <v>259</v>
      </c>
      <c r="E29" s="9" t="s">
        <v>258</v>
      </c>
      <c r="F29" s="22">
        <v>0</v>
      </c>
      <c r="G29" s="9" t="s">
        <v>258</v>
      </c>
      <c r="H29" s="22">
        <v>0</v>
      </c>
      <c r="I29" s="9" t="s">
        <v>258</v>
      </c>
      <c r="J29" s="22">
        <v>0</v>
      </c>
      <c r="K29" s="9" t="s">
        <v>258</v>
      </c>
      <c r="L29" s="22">
        <v>1</v>
      </c>
      <c r="M29" s="9" t="s">
        <v>258</v>
      </c>
      <c r="N29" s="22">
        <v>1</v>
      </c>
      <c r="O29" t="s">
        <v>258</v>
      </c>
      <c r="P29" t="s">
        <v>259</v>
      </c>
      <c r="Q29" t="s">
        <v>258</v>
      </c>
      <c r="R29" t="s">
        <v>30</v>
      </c>
      <c r="S29" s="9" t="s">
        <v>258</v>
      </c>
      <c r="T29" s="22">
        <v>-1</v>
      </c>
      <c r="U29" s="22">
        <v>-1</v>
      </c>
      <c r="V29" s="22">
        <v>-1</v>
      </c>
      <c r="W29" s="22">
        <v>1</v>
      </c>
      <c r="X29" s="22">
        <v>-1</v>
      </c>
      <c r="AA29" s="9" t="s">
        <v>258</v>
      </c>
      <c r="AB29" s="22">
        <v>100</v>
      </c>
      <c r="AD29" s="10">
        <v>2041</v>
      </c>
      <c r="AF29" s="10">
        <v>2039</v>
      </c>
      <c r="AG29">
        <v>2040</v>
      </c>
    </row>
    <row r="30" spans="1:39">
      <c r="A30" s="9" t="s">
        <v>263</v>
      </c>
      <c r="B30" s="9" t="s">
        <v>260</v>
      </c>
      <c r="E30" s="9" t="s">
        <v>263</v>
      </c>
      <c r="F30" s="22">
        <v>0</v>
      </c>
      <c r="G30" s="9" t="s">
        <v>263</v>
      </c>
      <c r="H30" s="22">
        <v>0</v>
      </c>
      <c r="I30" s="9" t="s">
        <v>263</v>
      </c>
      <c r="J30" s="22">
        <v>0</v>
      </c>
      <c r="K30" s="9" t="s">
        <v>263</v>
      </c>
      <c r="L30" s="22">
        <v>0</v>
      </c>
      <c r="M30" s="9" t="s">
        <v>263</v>
      </c>
      <c r="N30" s="22">
        <v>0</v>
      </c>
      <c r="O30" t="s">
        <v>263</v>
      </c>
      <c r="P30" t="s">
        <v>263</v>
      </c>
      <c r="Q30" t="s">
        <v>263</v>
      </c>
      <c r="R30" t="s">
        <v>30</v>
      </c>
      <c r="S30" s="9" t="s">
        <v>263</v>
      </c>
      <c r="T30" s="22">
        <v>-1</v>
      </c>
      <c r="U30" s="22">
        <v>1</v>
      </c>
      <c r="V30" s="22">
        <v>1</v>
      </c>
      <c r="W30" s="22">
        <v>1</v>
      </c>
      <c r="X30" s="22">
        <v>-1</v>
      </c>
      <c r="AA30" s="9" t="s">
        <v>263</v>
      </c>
      <c r="AB30" s="22">
        <v>100</v>
      </c>
      <c r="AD30" s="10">
        <v>2042</v>
      </c>
      <c r="AF30" s="10">
        <v>2040</v>
      </c>
      <c r="AG30">
        <v>2045</v>
      </c>
    </row>
    <row r="31" spans="1:39">
      <c r="A31" s="9" t="s">
        <v>264</v>
      </c>
      <c r="B31" s="9" t="s">
        <v>263</v>
      </c>
      <c r="E31" s="9" t="s">
        <v>264</v>
      </c>
      <c r="F31" s="22">
        <v>1</v>
      </c>
      <c r="G31" s="9" t="s">
        <v>264</v>
      </c>
      <c r="H31" s="22">
        <v>1</v>
      </c>
      <c r="I31" s="9" t="s">
        <v>264</v>
      </c>
      <c r="J31" s="22">
        <v>1</v>
      </c>
      <c r="K31" s="9" t="s">
        <v>264</v>
      </c>
      <c r="L31" s="22">
        <v>1</v>
      </c>
      <c r="M31" s="9" t="s">
        <v>264</v>
      </c>
      <c r="N31" s="22">
        <v>1</v>
      </c>
      <c r="O31" t="s">
        <v>264</v>
      </c>
      <c r="P31" t="s">
        <v>264</v>
      </c>
      <c r="Q31" t="s">
        <v>264</v>
      </c>
      <c r="R31" t="s">
        <v>30</v>
      </c>
      <c r="S31" s="9" t="s">
        <v>264</v>
      </c>
      <c r="T31" s="22">
        <v>-1</v>
      </c>
      <c r="U31" s="22">
        <v>1</v>
      </c>
      <c r="V31" s="22">
        <v>1</v>
      </c>
      <c r="W31" s="22">
        <v>1</v>
      </c>
      <c r="X31" s="22">
        <v>-1</v>
      </c>
      <c r="AA31" s="9" t="s">
        <v>264</v>
      </c>
      <c r="AB31" s="22">
        <v>100</v>
      </c>
      <c r="AD31" s="10">
        <v>2043</v>
      </c>
      <c r="AF31" s="10">
        <v>2041</v>
      </c>
      <c r="AG31" s="10">
        <v>2050</v>
      </c>
    </row>
    <row r="32" spans="1:39">
      <c r="A32" s="9" t="s">
        <v>265</v>
      </c>
      <c r="B32" s="9" t="s">
        <v>264</v>
      </c>
      <c r="E32" s="9" t="s">
        <v>265</v>
      </c>
      <c r="F32" s="22">
        <v>1</v>
      </c>
      <c r="G32" s="9" t="s">
        <v>265</v>
      </c>
      <c r="H32" s="22">
        <v>1</v>
      </c>
      <c r="I32" s="9" t="s">
        <v>265</v>
      </c>
      <c r="J32" s="22">
        <v>1</v>
      </c>
      <c r="K32" s="9" t="s">
        <v>265</v>
      </c>
      <c r="L32" s="22">
        <v>1</v>
      </c>
      <c r="M32" s="9" t="s">
        <v>265</v>
      </c>
      <c r="N32" s="22">
        <v>1</v>
      </c>
      <c r="O32" t="s">
        <v>265</v>
      </c>
      <c r="P32" t="s">
        <v>265</v>
      </c>
      <c r="Q32" t="s">
        <v>265</v>
      </c>
      <c r="R32" t="s">
        <v>30</v>
      </c>
      <c r="S32" s="9" t="s">
        <v>265</v>
      </c>
      <c r="T32" s="22">
        <v>-1</v>
      </c>
      <c r="U32" s="22">
        <v>1</v>
      </c>
      <c r="V32" s="22">
        <v>1</v>
      </c>
      <c r="W32" s="22">
        <v>1</v>
      </c>
      <c r="X32" s="22">
        <v>-1</v>
      </c>
      <c r="AA32" s="9" t="s">
        <v>265</v>
      </c>
      <c r="AB32" s="22">
        <v>100</v>
      </c>
      <c r="AD32" s="10">
        <v>2044</v>
      </c>
      <c r="AF32" s="10">
        <v>2042</v>
      </c>
      <c r="AG32" s="10">
        <v>2060</v>
      </c>
    </row>
    <row r="33" spans="1:36">
      <c r="A33" s="9" t="s">
        <v>266</v>
      </c>
      <c r="B33" s="9" t="s">
        <v>265</v>
      </c>
      <c r="E33" s="9" t="s">
        <v>266</v>
      </c>
      <c r="F33" s="22">
        <v>1</v>
      </c>
      <c r="G33" s="9" t="s">
        <v>266</v>
      </c>
      <c r="H33" s="22">
        <v>1</v>
      </c>
      <c r="I33" s="9" t="s">
        <v>266</v>
      </c>
      <c r="J33" s="22">
        <v>1</v>
      </c>
      <c r="K33" s="9" t="s">
        <v>266</v>
      </c>
      <c r="L33" s="22">
        <v>1</v>
      </c>
      <c r="M33" s="9" t="s">
        <v>266</v>
      </c>
      <c r="N33" s="22">
        <v>1</v>
      </c>
      <c r="O33" t="s">
        <v>266</v>
      </c>
      <c r="P33" t="s">
        <v>266</v>
      </c>
      <c r="Q33" t="s">
        <v>266</v>
      </c>
      <c r="R33" t="s">
        <v>30</v>
      </c>
      <c r="S33" s="9" t="s">
        <v>266</v>
      </c>
      <c r="T33" s="22">
        <v>-1</v>
      </c>
      <c r="U33" s="22">
        <v>-1</v>
      </c>
      <c r="V33" s="22">
        <v>-1</v>
      </c>
      <c r="W33" s="22">
        <v>1</v>
      </c>
      <c r="X33" s="22">
        <v>-1</v>
      </c>
      <c r="AA33" s="9" t="s">
        <v>266</v>
      </c>
      <c r="AB33" s="22">
        <v>100</v>
      </c>
      <c r="AD33" s="10">
        <v>2045</v>
      </c>
      <c r="AF33" s="10">
        <v>2043</v>
      </c>
      <c r="AG33">
        <v>2070</v>
      </c>
    </row>
    <row r="34" spans="1:36">
      <c r="AD34" s="10">
        <v>2046</v>
      </c>
      <c r="AF34" s="10">
        <v>2044</v>
      </c>
    </row>
    <row r="35" spans="1:36">
      <c r="AD35" s="10">
        <v>2047</v>
      </c>
      <c r="AF35" s="10">
        <v>2045</v>
      </c>
    </row>
    <row r="36" spans="1:36">
      <c r="AD36" s="10">
        <v>2048</v>
      </c>
      <c r="AF36" s="10">
        <v>2046</v>
      </c>
    </row>
    <row r="37" spans="1:36">
      <c r="AD37" s="10">
        <v>2049</v>
      </c>
      <c r="AF37" s="10">
        <v>2047</v>
      </c>
    </row>
    <row r="38" spans="1:36">
      <c r="AD38" s="10">
        <v>2050</v>
      </c>
      <c r="AF38" s="10">
        <v>2048</v>
      </c>
    </row>
    <row r="39" spans="1:36">
      <c r="AD39" s="10">
        <v>2051</v>
      </c>
      <c r="AF39" s="10">
        <v>2049</v>
      </c>
    </row>
    <row r="40" spans="1:36">
      <c r="AD40" s="10">
        <v>2052</v>
      </c>
      <c r="AF40" s="10">
        <v>2050</v>
      </c>
    </row>
    <row r="41" spans="1:36">
      <c r="AD41" s="10">
        <v>2053</v>
      </c>
      <c r="AF41" s="10">
        <v>2051</v>
      </c>
      <c r="AI41" s="10"/>
      <c r="AJ41" s="10">
        <v>2051</v>
      </c>
    </row>
    <row r="42" spans="1:36">
      <c r="AD42" s="10">
        <v>2054</v>
      </c>
      <c r="AF42" s="10">
        <v>2052</v>
      </c>
      <c r="AI42" s="10"/>
      <c r="AJ42" s="10">
        <v>2056</v>
      </c>
    </row>
    <row r="43" spans="1:36">
      <c r="AD43" s="10">
        <v>2055</v>
      </c>
      <c r="AF43" s="10">
        <v>2053</v>
      </c>
      <c r="AI43" s="10"/>
      <c r="AJ43" s="10">
        <v>2065</v>
      </c>
    </row>
    <row r="44" spans="1:36">
      <c r="AF44" s="10">
        <v>2054</v>
      </c>
      <c r="AI44" s="10"/>
    </row>
    <row r="45" spans="1:36">
      <c r="AF45" s="10">
        <v>2055</v>
      </c>
      <c r="AI45" s="10"/>
    </row>
    <row r="46" spans="1:36">
      <c r="AF46" s="10">
        <v>2058</v>
      </c>
      <c r="AI46" s="10"/>
    </row>
    <row r="47" spans="1:36">
      <c r="AF47" s="10">
        <v>2063</v>
      </c>
      <c r="AI47" s="10"/>
    </row>
    <row r="48" spans="1:36">
      <c r="AF48" s="10">
        <v>2068</v>
      </c>
      <c r="AI48" s="10"/>
    </row>
    <row r="49" spans="35:35">
      <c r="AI49" s="10"/>
    </row>
    <row r="50" spans="35:35">
      <c r="AI50" s="10"/>
    </row>
    <row r="51" spans="35:35">
      <c r="AI51" s="10"/>
    </row>
    <row r="52" spans="35:35">
      <c r="AI52" s="10"/>
    </row>
    <row r="53" spans="35:35">
      <c r="AI53" s="10"/>
    </row>
    <row r="54" spans="35:35">
      <c r="AI54" s="10"/>
    </row>
    <row r="55" spans="35:35">
      <c r="AI55" s="10"/>
    </row>
    <row r="56" spans="35:35">
      <c r="AI56" s="10"/>
    </row>
    <row r="57" spans="35:35">
      <c r="AI57" s="10"/>
    </row>
    <row r="58" spans="35:35">
      <c r="AI58" s="10"/>
    </row>
    <row r="59" spans="35:35">
      <c r="AI59" s="10"/>
    </row>
    <row r="60" spans="35:35">
      <c r="AI60" s="10"/>
    </row>
    <row r="65" spans="32:32">
      <c r="AF65" s="10">
        <v>2051</v>
      </c>
    </row>
    <row r="66" spans="32:32">
      <c r="AF66" s="10">
        <v>2052</v>
      </c>
    </row>
    <row r="67" spans="32:32">
      <c r="AF67" s="10">
        <v>2053</v>
      </c>
    </row>
    <row r="68" spans="32:32">
      <c r="AF68" s="10">
        <v>2054</v>
      </c>
    </row>
    <row r="69" spans="32:32">
      <c r="AF69" s="10">
        <v>2055</v>
      </c>
    </row>
    <row r="70" spans="32:32">
      <c r="AF70" s="10">
        <v>2056</v>
      </c>
    </row>
    <row r="71" spans="32:32">
      <c r="AF71" s="10">
        <v>2057</v>
      </c>
    </row>
    <row r="72" spans="32:32">
      <c r="AF72" s="10">
        <v>2058</v>
      </c>
    </row>
    <row r="73" spans="32:32">
      <c r="AF73" s="10">
        <v>2059</v>
      </c>
    </row>
    <row r="74" spans="32:32">
      <c r="AF74" s="10">
        <v>2060</v>
      </c>
    </row>
    <row r="75" spans="32:32">
      <c r="AF75" s="10">
        <v>2061</v>
      </c>
    </row>
    <row r="76" spans="32:32">
      <c r="AF76" s="10">
        <v>2062</v>
      </c>
    </row>
    <row r="77" spans="32:32">
      <c r="AF77" s="10">
        <v>2063</v>
      </c>
    </row>
    <row r="78" spans="32:32">
      <c r="AF78" s="10">
        <v>2064</v>
      </c>
    </row>
    <row r="79" spans="32:32">
      <c r="AF79" s="10">
        <v>2065</v>
      </c>
    </row>
    <row r="80" spans="32:32">
      <c r="AF80" s="10">
        <v>2066</v>
      </c>
    </row>
    <row r="81" spans="32:32">
      <c r="AF81" s="10">
        <v>2067</v>
      </c>
    </row>
    <row r="82" spans="32:32">
      <c r="AF82" s="10">
        <v>2068</v>
      </c>
    </row>
    <row r="83" spans="32:32">
      <c r="AF83" s="10">
        <v>2069</v>
      </c>
    </row>
    <row r="84" spans="32:32">
      <c r="AF84" s="10">
        <v>2070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6"/>
  <sheetViews>
    <sheetView tabSelected="1" zoomScale="90" zoomScaleNormal="90" workbookViewId="0">
      <pane xSplit="2" ySplit="9" topLeftCell="C19" activePane="bottomRight" state="frozen"/>
      <selection pane="topRight" activeCell="C1" sqref="C1"/>
      <selection pane="bottomLeft" activeCell="A8" sqref="A8"/>
      <selection pane="bottomRight" activeCell="A33" sqref="A33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N</v>
      </c>
      <c r="U4">
        <v>4.4793989999999999</v>
      </c>
    </row>
    <row r="5" spans="1:57" ht="45">
      <c r="A5" t="s">
        <v>207</v>
      </c>
      <c r="G5" s="6" t="s">
        <v>62</v>
      </c>
      <c r="H5" s="7"/>
      <c r="I5" s="7"/>
      <c r="J5" s="14" t="s">
        <v>210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213</v>
      </c>
      <c r="U5">
        <v>100</v>
      </c>
      <c r="AZ5" t="s">
        <v>206</v>
      </c>
    </row>
    <row r="6" spans="1:57">
      <c r="A6" s="4">
        <f>SUM(A10:A95)</f>
        <v>3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1" t="s">
        <v>26</v>
      </c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Y6">
        <f>SUM(AY10:AY57)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212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209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229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208</v>
      </c>
      <c r="AZ9" s="19" t="s">
        <v>232</v>
      </c>
      <c r="BA9" t="s">
        <v>230</v>
      </c>
      <c r="BB9" t="s">
        <v>231</v>
      </c>
      <c r="BC9" t="s">
        <v>233</v>
      </c>
      <c r="BD9" t="s">
        <v>234</v>
      </c>
      <c r="BE9" t="s">
        <v>235</v>
      </c>
    </row>
    <row r="10" spans="1:57">
      <c r="A10">
        <v>0</v>
      </c>
      <c r="B10" t="s">
        <v>236</v>
      </c>
      <c r="C10" t="s">
        <v>255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 s="18" customFormat="1">
      <c r="A11" s="18">
        <v>0</v>
      </c>
      <c r="B11" s="18" t="s">
        <v>237</v>
      </c>
      <c r="D11" s="18" t="s">
        <v>30</v>
      </c>
      <c r="E11" s="18" t="str">
        <f t="shared" ref="E11:E31" si="3">B11</f>
        <v>NZ10_2099B_99EESSNXCT</v>
      </c>
      <c r="F11" s="18">
        <v>1</v>
      </c>
      <c r="G11" s="18">
        <v>1</v>
      </c>
      <c r="H11" s="18" t="s">
        <v>188</v>
      </c>
      <c r="I11" s="18">
        <v>1</v>
      </c>
      <c r="J11" s="18">
        <v>1</v>
      </c>
      <c r="K11" s="18">
        <v>-1</v>
      </c>
      <c r="L11" s="18">
        <v>1</v>
      </c>
      <c r="M11" s="18">
        <v>1</v>
      </c>
      <c r="N11" s="18">
        <v>1</v>
      </c>
      <c r="O11" s="18">
        <v>-1</v>
      </c>
      <c r="P11" s="18">
        <v>100</v>
      </c>
      <c r="AY11" s="18">
        <v>0</v>
      </c>
    </row>
    <row r="12" spans="1:57">
      <c r="A12">
        <v>0</v>
      </c>
      <c r="B12" t="s">
        <v>238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>
        <v>0</v>
      </c>
      <c r="B13" t="s">
        <v>239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0</v>
      </c>
      <c r="J13">
        <v>0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>
        <v>0</v>
      </c>
      <c r="B14" t="s">
        <v>240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s="18" customFormat="1" ht="16.5" customHeight="1">
      <c r="A15" s="18">
        <v>0</v>
      </c>
      <c r="B15" s="18" t="s">
        <v>241</v>
      </c>
      <c r="D15" s="18" t="s">
        <v>30</v>
      </c>
      <c r="E15" s="18" t="str">
        <f t="shared" si="3"/>
        <v>NZ10_2050A_08EESSNXCT</v>
      </c>
      <c r="F15" s="18">
        <v>1</v>
      </c>
      <c r="G15" s="18">
        <v>1</v>
      </c>
      <c r="H15" s="18" t="s">
        <v>188</v>
      </c>
      <c r="I15" s="18">
        <v>1</v>
      </c>
      <c r="J15" s="18">
        <v>1</v>
      </c>
      <c r="K15" s="18">
        <v>-1</v>
      </c>
      <c r="L15" s="18">
        <v>1</v>
      </c>
      <c r="M15" s="18">
        <v>1</v>
      </c>
      <c r="N15" s="18">
        <v>1</v>
      </c>
      <c r="O15" s="18">
        <v>-1</v>
      </c>
      <c r="P15" s="18">
        <v>100</v>
      </c>
      <c r="AY15" s="18">
        <v>0</v>
      </c>
      <c r="BA15" s="18">
        <v>1</v>
      </c>
    </row>
    <row r="16" spans="1:57" s="18" customFormat="1" ht="17.25" customHeight="1">
      <c r="A16" s="18">
        <v>0</v>
      </c>
      <c r="B16" s="18" t="s">
        <v>242</v>
      </c>
      <c r="D16" s="18" t="s">
        <v>30</v>
      </c>
      <c r="E16" s="18" t="str">
        <f t="shared" si="3"/>
        <v>NZ10_2050A_09EESSNXCT</v>
      </c>
      <c r="F16" s="18">
        <v>1</v>
      </c>
      <c r="G16" s="18">
        <v>1</v>
      </c>
      <c r="H16" s="18" t="s">
        <v>188</v>
      </c>
      <c r="I16" s="18">
        <v>1</v>
      </c>
      <c r="J16" s="18">
        <v>1</v>
      </c>
      <c r="K16" s="18">
        <v>-1</v>
      </c>
      <c r="L16" s="18">
        <v>1</v>
      </c>
      <c r="M16" s="18">
        <v>1</v>
      </c>
      <c r="N16" s="18">
        <v>1</v>
      </c>
      <c r="O16" s="18">
        <v>-1</v>
      </c>
      <c r="P16" s="18">
        <v>100</v>
      </c>
      <c r="AY16" s="18">
        <v>0</v>
      </c>
      <c r="BA16" s="18">
        <v>1</v>
      </c>
    </row>
    <row r="17" spans="1:65" ht="17.25" customHeight="1">
      <c r="A17">
        <v>0</v>
      </c>
      <c r="B17" t="s">
        <v>243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>
        <v>0</v>
      </c>
      <c r="B18" t="s">
        <v>256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v>100</v>
      </c>
      <c r="AY18">
        <v>0</v>
      </c>
      <c r="BA18">
        <v>1</v>
      </c>
      <c r="BD18">
        <v>1</v>
      </c>
    </row>
    <row r="19" spans="1:65" ht="17.25" customHeight="1">
      <c r="A19">
        <v>0</v>
      </c>
      <c r="B19" t="s">
        <v>258</v>
      </c>
      <c r="D19" t="s">
        <v>30</v>
      </c>
      <c r="E19" s="18" t="s">
        <v>259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v>100</v>
      </c>
      <c r="AY19">
        <v>0</v>
      </c>
      <c r="BA19">
        <v>1</v>
      </c>
      <c r="BD19">
        <v>1</v>
      </c>
    </row>
    <row r="20" spans="1:65" ht="17.25" customHeight="1">
      <c r="A20">
        <v>0</v>
      </c>
      <c r="B20" t="s">
        <v>257</v>
      </c>
      <c r="D20" t="s">
        <v>30</v>
      </c>
      <c r="E20" s="18" t="s">
        <v>260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100</v>
      </c>
      <c r="AY20">
        <v>0</v>
      </c>
      <c r="BA20">
        <v>1</v>
      </c>
      <c r="BD20">
        <v>1</v>
      </c>
    </row>
    <row r="21" spans="1:65" ht="17.25" customHeight="1">
      <c r="A21">
        <v>0</v>
      </c>
      <c r="B21" t="s">
        <v>244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100</v>
      </c>
      <c r="AY21">
        <v>0</v>
      </c>
      <c r="BA21">
        <v>1</v>
      </c>
      <c r="BD21">
        <v>1</v>
      </c>
    </row>
    <row r="22" spans="1:65" ht="17.25" customHeight="1">
      <c r="A22">
        <v>0</v>
      </c>
      <c r="B22" t="s">
        <v>245</v>
      </c>
      <c r="D22" t="s">
        <v>30</v>
      </c>
      <c r="E22" t="str">
        <f t="shared" si="3"/>
        <v>NZ10_2050A_10EESSNXCT</v>
      </c>
      <c r="F22">
        <v>1</v>
      </c>
      <c r="G22">
        <v>0</v>
      </c>
      <c r="H22" t="s">
        <v>188</v>
      </c>
      <c r="I22">
        <v>1</v>
      </c>
      <c r="J22">
        <v>1</v>
      </c>
      <c r="K22">
        <v>-1</v>
      </c>
      <c r="L22">
        <v>-1</v>
      </c>
      <c r="M22">
        <v>-1</v>
      </c>
      <c r="N22">
        <v>1</v>
      </c>
      <c r="O22">
        <v>-1</v>
      </c>
      <c r="P22">
        <v>100</v>
      </c>
      <c r="AY22">
        <v>0</v>
      </c>
      <c r="BA22">
        <v>1</v>
      </c>
      <c r="BD22">
        <v>1</v>
      </c>
    </row>
    <row r="23" spans="1:65">
      <c r="A23">
        <v>0</v>
      </c>
      <c r="B23" t="s">
        <v>246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100</v>
      </c>
      <c r="BB23">
        <v>1</v>
      </c>
    </row>
    <row r="24" spans="1:65">
      <c r="A24">
        <v>0</v>
      </c>
      <c r="B24" t="s">
        <v>247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100</v>
      </c>
      <c r="BB24">
        <v>1</v>
      </c>
    </row>
    <row r="25" spans="1:65">
      <c r="A25">
        <v>0</v>
      </c>
      <c r="B25" t="s">
        <v>248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v>100</v>
      </c>
      <c r="BB25">
        <v>1</v>
      </c>
    </row>
    <row r="26" spans="1:65">
      <c r="A26">
        <v>0</v>
      </c>
      <c r="B26" t="s">
        <v>249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100</v>
      </c>
      <c r="BB26">
        <v>1</v>
      </c>
      <c r="BM26" t="s">
        <v>216</v>
      </c>
    </row>
    <row r="27" spans="1:65">
      <c r="A27">
        <v>0</v>
      </c>
      <c r="B27" t="s">
        <v>250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100</v>
      </c>
      <c r="BB27">
        <v>1</v>
      </c>
      <c r="BM27" t="s">
        <v>217</v>
      </c>
    </row>
    <row r="28" spans="1:65">
      <c r="A28">
        <v>0</v>
      </c>
      <c r="B28" t="s">
        <v>251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100</v>
      </c>
      <c r="BB28">
        <v>1</v>
      </c>
      <c r="BM28" t="s">
        <v>218</v>
      </c>
    </row>
    <row r="29" spans="1:65">
      <c r="A29">
        <v>0</v>
      </c>
      <c r="B29" t="s">
        <v>252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100</v>
      </c>
      <c r="BB29">
        <v>1</v>
      </c>
      <c r="BM29" t="s">
        <v>219</v>
      </c>
    </row>
    <row r="30" spans="1:65">
      <c r="A30">
        <v>0</v>
      </c>
      <c r="B30" t="s">
        <v>253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100</v>
      </c>
      <c r="BB30">
        <v>1</v>
      </c>
      <c r="BM30" t="s">
        <v>220</v>
      </c>
    </row>
    <row r="31" spans="1:65">
      <c r="A31">
        <v>0</v>
      </c>
      <c r="B31" t="s">
        <v>254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100</v>
      </c>
      <c r="BB31">
        <v>1</v>
      </c>
      <c r="BM31" t="s">
        <v>221</v>
      </c>
    </row>
    <row r="32" spans="1:65" s="18" customFormat="1" ht="17.25" customHeight="1">
      <c r="A32" s="18">
        <v>0</v>
      </c>
      <c r="B32" s="18" t="s">
        <v>263</v>
      </c>
      <c r="D32" s="18" t="s">
        <v>30</v>
      </c>
      <c r="E32" s="18" t="str">
        <f t="shared" ref="E32" si="5">B32</f>
        <v>TestLinked</v>
      </c>
      <c r="F32" s="18">
        <v>0</v>
      </c>
      <c r="G32" s="18">
        <v>0</v>
      </c>
      <c r="H32" s="18" t="s">
        <v>188</v>
      </c>
      <c r="I32" s="18">
        <v>0</v>
      </c>
      <c r="J32" s="18">
        <v>0</v>
      </c>
      <c r="K32" s="18">
        <v>-1</v>
      </c>
      <c r="L32" s="18">
        <v>1</v>
      </c>
      <c r="M32" s="18">
        <v>1</v>
      </c>
      <c r="N32" s="18">
        <v>1</v>
      </c>
      <c r="O32" s="18">
        <v>-1</v>
      </c>
      <c r="P32" s="18">
        <v>100</v>
      </c>
      <c r="AY32" s="18">
        <v>0</v>
      </c>
      <c r="BA32" s="18">
        <v>1</v>
      </c>
    </row>
    <row r="33" spans="1:65">
      <c r="A33">
        <v>1</v>
      </c>
      <c r="B33" s="20" t="s">
        <v>264</v>
      </c>
      <c r="D33" t="s">
        <v>30</v>
      </c>
      <c r="E33" t="str">
        <f t="shared" ref="E33:E34" si="6">B33</f>
        <v>NZ_NDCLO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v>-1</v>
      </c>
      <c r="L33">
        <v>1</v>
      </c>
      <c r="M33">
        <v>1</v>
      </c>
      <c r="N33">
        <v>1</v>
      </c>
      <c r="O33">
        <v>-1</v>
      </c>
      <c r="P33">
        <v>100</v>
      </c>
      <c r="BB33">
        <v>1</v>
      </c>
      <c r="BM33" t="s">
        <v>222</v>
      </c>
    </row>
    <row r="34" spans="1:65">
      <c r="A34">
        <v>1</v>
      </c>
      <c r="B34" s="20" t="s">
        <v>265</v>
      </c>
      <c r="D34" t="s">
        <v>30</v>
      </c>
      <c r="E34" t="str">
        <f t="shared" si="6"/>
        <v>NZ_NDCUP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v>-1</v>
      </c>
      <c r="L34">
        <v>1</v>
      </c>
      <c r="M34">
        <v>1</v>
      </c>
      <c r="N34">
        <v>1</v>
      </c>
      <c r="O34">
        <v>-1</v>
      </c>
      <c r="P34">
        <v>100</v>
      </c>
      <c r="BB34">
        <v>1</v>
      </c>
      <c r="BM34" t="s">
        <v>223</v>
      </c>
    </row>
    <row r="35" spans="1:65">
      <c r="A35">
        <v>1</v>
      </c>
      <c r="B35" s="20" t="s">
        <v>266</v>
      </c>
      <c r="D35" t="s">
        <v>30</v>
      </c>
      <c r="E35" t="str">
        <f t="shared" ref="E35" si="7">B35</f>
        <v>REF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>
        <v>100</v>
      </c>
      <c r="BB35">
        <v>1</v>
      </c>
      <c r="BM35" t="s">
        <v>225</v>
      </c>
    </row>
    <row r="36" spans="1:65">
      <c r="A36" s="17"/>
      <c r="L36" s="13"/>
      <c r="M36" s="13"/>
      <c r="P36" s="19"/>
      <c r="BB36">
        <v>1</v>
      </c>
      <c r="BM36" t="s">
        <v>224</v>
      </c>
    </row>
    <row r="37" spans="1:65">
      <c r="A37" s="17"/>
      <c r="P37" s="19"/>
      <c r="BB37">
        <v>1</v>
      </c>
      <c r="BM37" t="s">
        <v>225</v>
      </c>
    </row>
    <row r="38" spans="1:65">
      <c r="A38" s="17"/>
      <c r="P38" s="19"/>
      <c r="BB38">
        <v>1</v>
      </c>
      <c r="BM38" t="s">
        <v>226</v>
      </c>
    </row>
    <row r="39" spans="1:65">
      <c r="A39" s="17"/>
      <c r="P39" s="19"/>
      <c r="BB39">
        <v>1</v>
      </c>
      <c r="BM39" t="s">
        <v>227</v>
      </c>
    </row>
    <row r="40" spans="1:65">
      <c r="A40" s="17"/>
      <c r="P40" s="19"/>
      <c r="BB40">
        <v>1</v>
      </c>
      <c r="BM40" t="s">
        <v>228</v>
      </c>
    </row>
    <row r="41" spans="1:65">
      <c r="A41" s="17"/>
      <c r="P41" s="19"/>
      <c r="BB41">
        <v>1</v>
      </c>
    </row>
    <row r="42" spans="1:65">
      <c r="A42" s="17"/>
      <c r="P42" s="19"/>
      <c r="BB42">
        <v>1</v>
      </c>
    </row>
    <row r="43" spans="1:65">
      <c r="A43" s="17"/>
      <c r="P43" s="19"/>
      <c r="BB43">
        <v>1</v>
      </c>
    </row>
    <row r="44" spans="1:65">
      <c r="A44" s="17"/>
      <c r="L44" s="13"/>
      <c r="M44" s="13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L46" s="13"/>
      <c r="M46" s="13"/>
      <c r="P46" s="19"/>
      <c r="BB46">
        <v>1</v>
      </c>
    </row>
    <row r="47" spans="1:65">
      <c r="A47" s="17"/>
      <c r="P47" s="19"/>
      <c r="BB47">
        <v>1</v>
      </c>
    </row>
    <row r="48" spans="1:65">
      <c r="A48" s="17"/>
      <c r="L48" s="13"/>
      <c r="M48" s="13"/>
      <c r="P48" s="19"/>
      <c r="BB48">
        <v>1</v>
      </c>
    </row>
    <row r="49" spans="1:54">
      <c r="A49" s="17"/>
      <c r="P49" s="19"/>
      <c r="BB49">
        <v>1</v>
      </c>
    </row>
    <row r="50" spans="1:54">
      <c r="A50" s="17"/>
      <c r="P50" s="19"/>
      <c r="BB50">
        <v>1</v>
      </c>
    </row>
    <row r="51" spans="1:54">
      <c r="A51" s="17"/>
      <c r="P51" s="19"/>
      <c r="BB51">
        <v>1</v>
      </c>
    </row>
    <row r="52" spans="1:54">
      <c r="A52" s="17"/>
      <c r="L52" s="13"/>
      <c r="M52" s="13"/>
      <c r="P52" s="19"/>
      <c r="BB52">
        <v>1</v>
      </c>
    </row>
    <row r="53" spans="1:54">
      <c r="A53" s="17"/>
      <c r="L53" s="13"/>
      <c r="M53" s="13"/>
      <c r="P53" s="19"/>
      <c r="BB53">
        <v>1</v>
      </c>
    </row>
    <row r="54" spans="1:54">
      <c r="A54" s="17"/>
      <c r="L54" s="13"/>
      <c r="M54" s="13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P59" s="19"/>
      <c r="BB59">
        <v>1</v>
      </c>
    </row>
    <row r="60" spans="1:54">
      <c r="A60" s="17"/>
      <c r="P60" s="19"/>
      <c r="BB60">
        <v>1</v>
      </c>
    </row>
    <row r="61" spans="1:54">
      <c r="A61" s="17"/>
      <c r="P61" s="19"/>
      <c r="BB61">
        <v>1</v>
      </c>
    </row>
    <row r="62" spans="1:54">
      <c r="A62" s="17"/>
      <c r="L62" s="13"/>
      <c r="M62" s="13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L64" s="13"/>
      <c r="M64" s="13"/>
      <c r="P64" s="19"/>
      <c r="BB64">
        <v>1</v>
      </c>
    </row>
    <row r="65" spans="1:54">
      <c r="A65" s="17"/>
      <c r="P65" s="19"/>
      <c r="BB65">
        <v>1</v>
      </c>
    </row>
    <row r="66" spans="1:54">
      <c r="A66" s="17"/>
      <c r="L66" s="13"/>
      <c r="M66" s="13"/>
      <c r="P66" s="19"/>
      <c r="BB66">
        <v>1</v>
      </c>
    </row>
    <row r="67" spans="1:54">
      <c r="A67" s="17"/>
      <c r="P67" s="19"/>
      <c r="BB67">
        <v>1</v>
      </c>
    </row>
    <row r="68" spans="1:54">
      <c r="A68" s="17"/>
      <c r="P68" s="19"/>
      <c r="BB68">
        <v>1</v>
      </c>
    </row>
    <row r="69" spans="1:54">
      <c r="A69" s="17"/>
      <c r="P69" s="19"/>
      <c r="BB69">
        <v>1</v>
      </c>
    </row>
    <row r="70" spans="1:54">
      <c r="A70" s="17"/>
      <c r="L70" s="13"/>
      <c r="M70" s="13"/>
      <c r="P70" s="19"/>
      <c r="BB70">
        <v>1</v>
      </c>
    </row>
    <row r="71" spans="1:54">
      <c r="A71" s="17"/>
      <c r="L71" s="13"/>
      <c r="M71" s="13"/>
      <c r="P71" s="19"/>
      <c r="BB71">
        <v>1</v>
      </c>
    </row>
    <row r="72" spans="1:54">
      <c r="A72" s="17"/>
      <c r="L72" s="13"/>
      <c r="M72" s="13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P77" s="19"/>
      <c r="BB77">
        <v>1</v>
      </c>
    </row>
    <row r="78" spans="1:54">
      <c r="A78" s="17"/>
      <c r="P78" s="19"/>
      <c r="BB78">
        <v>1</v>
      </c>
    </row>
    <row r="79" spans="1:54">
      <c r="A79" s="17"/>
      <c r="P79" s="19"/>
      <c r="BB79">
        <v>1</v>
      </c>
    </row>
    <row r="80" spans="1:54">
      <c r="A80" s="17"/>
      <c r="L80" s="13"/>
      <c r="M80" s="13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L82" s="13"/>
      <c r="M82" s="13"/>
      <c r="P82" s="19"/>
      <c r="BB82">
        <v>1</v>
      </c>
    </row>
    <row r="83" spans="1:57">
      <c r="A83" s="17"/>
      <c r="P83" s="19"/>
      <c r="BB83">
        <v>1</v>
      </c>
    </row>
    <row r="84" spans="1:57">
      <c r="A84" s="17"/>
      <c r="L84" s="13"/>
      <c r="M84" s="13"/>
      <c r="P84" s="19"/>
      <c r="BB84">
        <v>1</v>
      </c>
    </row>
    <row r="85" spans="1:57">
      <c r="A85" s="17"/>
      <c r="P85" s="19"/>
      <c r="BB85">
        <v>1</v>
      </c>
    </row>
    <row r="86" spans="1:57">
      <c r="A86" s="17"/>
      <c r="P86" s="19"/>
      <c r="BB86">
        <v>1</v>
      </c>
    </row>
    <row r="87" spans="1:57">
      <c r="A87" s="17"/>
      <c r="P87" s="19"/>
      <c r="BB87">
        <v>1</v>
      </c>
    </row>
    <row r="88" spans="1:57">
      <c r="A88" s="17"/>
      <c r="L88" s="13"/>
      <c r="M88" s="13"/>
      <c r="P88" s="19"/>
      <c r="BB88">
        <v>1</v>
      </c>
    </row>
    <row r="89" spans="1:57">
      <c r="A89" s="17"/>
      <c r="L89" s="13"/>
      <c r="M89" s="13"/>
      <c r="P89" s="19"/>
      <c r="BB89">
        <v>1</v>
      </c>
    </row>
    <row r="90" spans="1:57">
      <c r="A90" s="17"/>
      <c r="L90" s="13"/>
      <c r="M90" s="13"/>
      <c r="P90" s="19"/>
      <c r="BB90">
        <v>1</v>
      </c>
    </row>
    <row r="91" spans="1:57">
      <c r="A91" s="17"/>
      <c r="P91" s="19"/>
      <c r="BB91">
        <v>1</v>
      </c>
      <c r="BE91">
        <v>1</v>
      </c>
    </row>
    <row r="92" spans="1:57">
      <c r="A92" s="17"/>
      <c r="P92" s="19"/>
      <c r="BB92">
        <v>1</v>
      </c>
      <c r="BE92">
        <v>1</v>
      </c>
    </row>
    <row r="93" spans="1:57">
      <c r="A93" s="17"/>
      <c r="P93" s="19"/>
      <c r="BB93">
        <v>1</v>
      </c>
      <c r="BE93">
        <v>1</v>
      </c>
    </row>
    <row r="94" spans="1:57">
      <c r="A94" s="17"/>
      <c r="BB94">
        <v>1</v>
      </c>
      <c r="BE94">
        <v>1</v>
      </c>
    </row>
    <row r="95" spans="1:57">
      <c r="A95" s="17"/>
      <c r="L95" s="13"/>
      <c r="M95" s="13"/>
      <c r="P95" s="19"/>
      <c r="BB95">
        <v>1</v>
      </c>
      <c r="BE95">
        <v>1</v>
      </c>
    </row>
    <row r="96" spans="1:57">
      <c r="A96" s="17"/>
    </row>
  </sheetData>
  <autoFilter ref="A9:BH95" xr:uid="{00000000-0001-0000-0E00-000000000000}"/>
  <sortState xmlns:xlrd2="http://schemas.microsoft.com/office/spreadsheetml/2017/richdata2" ref="A10:BH57">
    <sortCondition ref="B10:B57"/>
  </sortState>
  <mergeCells count="1">
    <mergeCell ref="R6:AE6"/>
  </mergeCells>
  <phoneticPr fontId="34" type="noConversion"/>
  <conditionalFormatting sqref="A97:A1048576 A1:A9">
    <cfRule type="iconSet" priority="769">
      <iconSet>
        <cfvo type="percent" val="0"/>
        <cfvo type="percent" val="33"/>
        <cfvo type="percent" val="67"/>
      </iconSet>
    </cfRule>
  </conditionalFormatting>
  <conditionalFormatting sqref="A36:A96">
    <cfRule type="iconSet" priority="940">
      <iconSet>
        <cfvo type="percent" val="0"/>
        <cfvo type="percent" val="33"/>
        <cfvo type="percent" val="67"/>
      </iconSet>
    </cfRule>
  </conditionalFormatting>
  <conditionalFormatting sqref="A36:A96">
    <cfRule type="iconSet" priority="941">
      <iconSet>
        <cfvo type="percent" val="0"/>
        <cfvo type="percent" val="33"/>
        <cfvo type="percent" val="67"/>
      </iconSet>
    </cfRule>
  </conditionalFormatting>
  <conditionalFormatting sqref="A36:A96">
    <cfRule type="iconSet" priority="943">
      <iconSet>
        <cfvo type="percent" val="0"/>
        <cfvo type="percent" val="33"/>
        <cfvo type="percent" val="67"/>
      </iconSet>
    </cfRule>
  </conditionalFormatting>
  <conditionalFormatting sqref="A36:A95">
    <cfRule type="iconSet" priority="945">
      <iconSet>
        <cfvo type="percent" val="0"/>
        <cfvo type="percent" val="33"/>
        <cfvo type="percent" val="67"/>
      </iconSet>
    </cfRule>
  </conditionalFormatting>
  <conditionalFormatting sqref="K10:O3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topLeftCell="A4"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2023-10-25T07:05:02Z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