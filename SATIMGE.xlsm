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1A32B68D-8F17-49A0-A762-EBCB266933CF}" xr6:coauthVersionLast="47" xr6:coauthVersionMax="47" xr10:uidLastSave="{00000000-0000-0000-0000-000000000000}"/>
  <bookViews>
    <workbookView xWindow="30" yWindow="39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Scenarios!$A$9:$BI$98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9462" r:id="rId9"/>
    <pivotCache cacheId="3946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33" l="1"/>
  <c r="E17" i="33"/>
  <c r="E37" i="33"/>
  <c r="C23" i="4"/>
  <c r="E45" i="33"/>
  <c r="E44" i="33"/>
  <c r="E42" i="33"/>
  <c r="E43" i="33" s="1"/>
  <c r="E40" i="33"/>
  <c r="E41" i="33" s="1"/>
  <c r="E39" i="33"/>
  <c r="E34" i="33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38" i="33"/>
  <c r="E20" i="33"/>
  <c r="E35" i="33" l="1"/>
  <c r="E36" i="33"/>
  <c r="E11" i="33"/>
  <c r="E12" i="33"/>
  <c r="E13" i="33"/>
  <c r="E14" i="33"/>
  <c r="E15" i="33"/>
  <c r="E16" i="33"/>
  <c r="E19" i="33"/>
  <c r="E23" i="33"/>
  <c r="E24" i="33"/>
  <c r="E25" i="33"/>
  <c r="E26" i="33"/>
  <c r="E27" i="33"/>
  <c r="E28" i="33"/>
  <c r="E29" i="33"/>
  <c r="E30" i="33"/>
  <c r="E31" i="33"/>
  <c r="E32" i="33"/>
  <c r="E33" i="33"/>
  <c r="E10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0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<sst xmlns="http://schemas.openxmlformats.org/spreadsheetml/2006/main" count="947" uniqueCount="281">
  <si>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</si>
  <si>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</si>
  <si>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</si>
  <si>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</si>
  <si>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</si>
  <si>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</si>
  <si>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</si>
  <si>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</si>
  <si>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</si>
  <si>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</si>
  <si>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</si>
  <si>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</si>
  <si>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</si>
  <si>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</si>
  <si>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</si>
  <si>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</si>
  <si>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</si>
  <si>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</si>
  <si>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</si>
  <si>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</si>
  <si>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</si>
  <si>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</si>
  <si>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</si>
  <si>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</si>
  <si>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</si>
  <si>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</si>
  <si>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</si>
  <si>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</si>
  <si>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</si>
  <si>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</si>
  <si>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</si>
  <si>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</si>
  <si>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</si>
  <si>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</si>
  <si>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</si>
  <si>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</si>
  <si>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</si>
  <si>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</si>
  <si>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</si>
  <si>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</si>
  <si>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</si>
  <si>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</si>
  <si>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</si>
  <si>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</si>
  <si>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</si>
  <si>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</si>
  <si>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</si>
  <si>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</si>
  <si>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</si>
  <si>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</si>
  <si>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</si>
  <si>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</si>
  <si>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</si>
  <si>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</si>
  <si>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</si>
  <si>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</si>
  <si>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</si>
  <si>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</si>
  <si>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</si>
  <si>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</si>
  <si>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</si>
  <si>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</si>
  <si>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</si>
  <si>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</si>
  <si>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</si>
  <si>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</si>
  <si>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</si>
  <si>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</si>
  <si>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</si>
  <si>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</si>
  <si>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</si>
  <si>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</si>
  <si>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</si>
  <si>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</si>
  <si>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</si>
  <si>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</si>
  <si>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</si>
  <si>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</si>
  <si>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</si>
  <si>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</si>
  <si>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</si>
  <si>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</si>
  <si>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</si>
  <si>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</si>
  <si>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</si>
  <si>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</si>
  <si>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</si>
  <si>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</si>
  <si>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</si>
  <si>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</si>
  <si>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</si>
  <si>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</si>
  <si>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</si>
  <si>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</si>
  <si>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</si>
  <si>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</si>
  <si>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</si>
  <si>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</si>
  <si>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</si>
  <si>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</si>
  <si>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</si>
  <si>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</si>
  <si>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</si>
  <si>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</si>
  <si>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</si>
  <si>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</si>
  <si>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</si>
  <si>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</si>
  <si>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</si>
  <si>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</si>
  <si>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</si>
  <si>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</si>
  <si>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</si>
  <si>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</si>
  <si>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</si>
  <si>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</si>
  <si>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</si>
  <si>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</si>
  <si>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</si>
  <si>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</si>
  <si>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</si>
  <si>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</si>
  <si>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</si>
  <si>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</si>
  <si>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</si>
  <si>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</si>
  <si>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</si>
  <si>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</si>
  <si>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</si>
  <si>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</si>
  <si>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</si>
  <si>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</si>
  <si>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</si>
  <si>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</si>
  <si>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</si>
  <si>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</si>
  <si>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</si>
  <si>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</si>
  <si>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</si>
  <si>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</si>
  <si>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</si>
  <si>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</si>
  <si>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</si>
  <si>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</si>
  <si>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</si>
  <si>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</si>
  <si>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</si>
  <si>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</si>
  <si>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</si>
  <si>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</si>
  <si>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</si>
  <si>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</si>
  <si>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</si>
  <si>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</si>
  <si>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</si>
  <si>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</si>
  <si>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</si>
  <si>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</si>
  <si>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</si>
  <si>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</si>
  <si>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</si>
  <si>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</si>
  <si>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</si>
  <si>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</si>
  <si>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</si>
  <si>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</si>
  <si>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</si>
  <si>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</si>
  <si>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</si>
  <si>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</si>
  <si>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</si>
  <si>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</si>
  <si>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</si>
  <si>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</si>
  <si>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</si>
  <si>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</si>
  <si>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</si>
  <si>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</si>
  <si>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</si>
  <si>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</si>
  <si>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</si>
  <si>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</si>
  <si>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</si>
  <si>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</si>
  <si>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</si>
  <si>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</si>
  <si>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</si>
  <si>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</si>
  <si>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</si>
  <si>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</si>
  <si>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</si>
  <si>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</si>
  <si>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</si>
  <si>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</si>
  <si>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</si>
  <si>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</si>
  <si>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</si>
  <si>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</si>
  <si>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</si>
  <si>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</si>
  <si>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</si>
  <si>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</si>
  <si>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</si>
  <si>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</si>
  <si>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</si>
  <si>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</si>
  <si>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</si>
  <si>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</si>
  <si>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</si>
  <si>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</si>
  <si>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</si>
  <si>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</si>
  <si>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</si>
  <si>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</si>
  <si>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</si>
  <si>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</si>
  <si>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</si>
  <si>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</si>
  <si>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</si>
  <si>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</si>
  <si>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</si>
  <si>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</si>
  <si>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</si>
  <si>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</si>
  <si>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78T0E1S0P0G1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</si>
  <si>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</si>
  <si>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</si>
  <si>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</si>
  <si>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</si>
  <si>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</si>
  <si>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</si>
  <si>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</si>
  <si>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</si>
  <si>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</si>
  <si>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</si>
  <si>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</si>
  <si>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</si>
  <si>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</si>
  <si>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</si>
  <si>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</si>
  <si>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</si>
  <si>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</si>
  <si>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</si>
  <si>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</si>
  <si>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</si>
  <si>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</si>
  <si>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</si>
  <si>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</si>
  <si>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</si>
  <si>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</si>
  <si>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</si>
  <si>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</si>
  <si>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</si>
  <si>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</si>
  <si>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</si>
  <si>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</si>
  <si>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</si>
  <si>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</si>
  <si>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</si>
  <si>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TestLinked</t>
  </si>
  <si>
    <t>NZ_NDCLO</t>
  </si>
  <si>
    <t>NZ_NDCUP</t>
  </si>
  <si>
    <t>REF</t>
  </si>
  <si>
    <t>CBAM</t>
  </si>
  <si>
    <t>LEAF</t>
  </si>
  <si>
    <t>78T0E1S0P0G2</t>
  </si>
  <si>
    <t>LEAF-RF</t>
  </si>
  <si>
    <t>78T0E1S0P0G3</t>
  </si>
  <si>
    <t>LEAF-RF-CBAM</t>
  </si>
  <si>
    <t>LEAF-RF-NZNDCUP</t>
  </si>
  <si>
    <t>78T0E1S0P0G4</t>
  </si>
  <si>
    <t>LEAF-RF-NZNDCUP-CBAM</t>
  </si>
  <si>
    <t>REF_OPConstant</t>
  </si>
  <si>
    <t>78T0E1S0P0G5</t>
  </si>
  <si>
    <t>REFOPLow</t>
  </si>
  <si>
    <t>78T0E1S0P0G6</t>
  </si>
  <si>
    <t>Sum of CBAM</t>
  </si>
  <si>
    <t>SIM_CBAM</t>
  </si>
  <si>
    <t>NZ_NDCUP-LoLocal</t>
  </si>
  <si>
    <t>NZ10_2050A_09EESSNXCT-LocHi</t>
  </si>
  <si>
    <t>NZ10_2050A_09EESSNXCT-LocLo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</si>
</sst>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98.969608564817" createdVersion="6" refreshedVersion="8" minRefreshableVersion="3" recordCount="91" xr:uid="{D229C3DF-142A-4D15-BB2C-2EA205AB0203}">
  <cacheSource type="worksheet">
    <worksheetSource ref="A9:Q114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8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NXCT-LocHi"/>
        <s v="NZ10_2050A_09EESSNXCT-LocLo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NZ_NDCUP-LoLocal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98.969608796295" createdVersion="6" refreshedVersion="8" minRefreshableVersion="3" recordCount="91" xr:uid="{C0EB43E8-6CC6-4DE4-B7F1-02B09F7BA69A}">
  <cacheSource type="worksheet">
    <worksheetSource ref="A9:Q113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8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NXCT-LocHi"/>
        <s v="NZ10_2050A_09EESSNXCT-LocLo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NZ_NDCUP-LoLocal"/>
        <s v="REF"/>
        <s v="LEAF"/>
        <s v="LEAF-RF"/>
        <s v="LEAF-RF-CBAM"/>
        <s v="LEAF-RF-NZNDCUP"/>
        <s v="LEAF-RF-NZNDCUP-CBAM"/>
        <s v="REF_OPConstant"/>
        <s v="REFOPLow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9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NXCT-LocHi"/>
        <s v="NZ10_2050A_09EESSNXCT-LocLo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NZ_NDCUP-LoLocal"/>
        <s v="REF"/>
        <s v="LEAF"/>
        <s v="LEAF-RF"/>
        <s v="LEAF-RF-NZNDCUP"/>
        <s v="REF_OPConstant"/>
        <s v="REFOPLow"/>
        <m/>
        <s v="NZ10_2099B_99NESSNXCT-IMG" u="1"/>
        <s v="NZ10_2050A_09EESSNXCT-IMG" u="1"/>
        <s v="NZ10_2050A_08EESSNXCT_IMG" u="1"/>
        <s v="NZ10_2050B_09EESSEXCN" u="1"/>
        <s v="NZ10_2050B_11EESSNXCN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CBAM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0"/>
    <x v="0"/>
    <s v="yes but L0"/>
    <s v="base"/>
    <s v="NZ10_2099A_99EESSNXCT"/>
    <n v="0"/>
    <n v="0"/>
    <s v="No Pams"/>
    <n v="1"/>
    <n v="1"/>
    <n v="0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0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0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0"/>
    <n v="-1"/>
    <n v="-1"/>
    <n v="-1"/>
    <n v="1"/>
    <n v="-1"/>
    <n v="100"/>
  </r>
  <r>
    <n v="0"/>
    <x v="5"/>
    <m/>
    <s v="base"/>
    <s v="NZ10_2050A_08EESSNXCT"/>
    <n v="1"/>
    <n v="1"/>
    <s v="No Pams"/>
    <n v="1"/>
    <n v="1"/>
    <n v="0"/>
    <n v="-1"/>
    <n v="1"/>
    <n v="1"/>
    <n v="1"/>
    <n v="-1"/>
    <n v="100"/>
  </r>
  <r>
    <n v="1"/>
    <x v="6"/>
    <m/>
    <s v="base"/>
    <s v="NZ10_2050A_09EESSNXCT"/>
    <n v="1"/>
    <n v="1"/>
    <s v="No Pams"/>
    <n v="1"/>
    <n v="1"/>
    <n v="0"/>
    <n v="-1"/>
    <n v="1"/>
    <n v="1"/>
    <n v="1"/>
    <n v="-1"/>
    <n v="100"/>
  </r>
  <r>
    <n v="1"/>
    <x v="7"/>
    <m/>
    <s v="base"/>
    <s v="NZ10_2050A_09EESSNXCT-LocHi"/>
    <n v="1"/>
    <n v="1"/>
    <s v="No Pams"/>
    <n v="1"/>
    <n v="1"/>
    <n v="0"/>
    <n v="-1"/>
    <n v="1"/>
    <n v="1"/>
    <n v="1"/>
    <n v="-1"/>
    <n v="100"/>
  </r>
  <r>
    <n v="1"/>
    <x v="8"/>
    <m/>
    <s v="base"/>
    <s v="NZ10_2050A_09EESSNXCT-LocLo"/>
    <n v="1"/>
    <n v="1"/>
    <s v="No Pams"/>
    <n v="1"/>
    <n v="1"/>
    <n v="0"/>
    <n v="-1"/>
    <n v="1"/>
    <n v="1"/>
    <n v="1"/>
    <n v="-1"/>
    <n v="100"/>
  </r>
  <r>
    <n v="0"/>
    <x v="9"/>
    <m/>
    <s v="base"/>
    <s v="NZ10_2050A_09EESSEXCT"/>
    <n v="0"/>
    <n v="0"/>
    <s v="No Pams"/>
    <n v="1"/>
    <n v="1"/>
    <n v="0"/>
    <n v="-1"/>
    <n v="-1"/>
    <n v="-1"/>
    <n v="1"/>
    <n v="-1"/>
    <n v="100"/>
  </r>
  <r>
    <n v="0"/>
    <x v="10"/>
    <m/>
    <s v="base"/>
    <s v="NZ10_2050A_09NESSNXCT"/>
    <n v="0"/>
    <n v="0"/>
    <s v="No Pams"/>
    <n v="1"/>
    <n v="1"/>
    <n v="0"/>
    <n v="-1"/>
    <n v="-1"/>
    <n v="-1"/>
    <n v="1"/>
    <n v="-1"/>
    <n v="100"/>
  </r>
  <r>
    <n v="0"/>
    <x v="11"/>
    <m/>
    <s v="base"/>
    <s v="NZ10_2099B_99EESSNXCT_guy"/>
    <n v="0"/>
    <n v="0"/>
    <s v="No Pams"/>
    <n v="1"/>
    <n v="1"/>
    <n v="0"/>
    <n v="-1"/>
    <n v="-1"/>
    <n v="-1"/>
    <n v="1"/>
    <n v="-1"/>
    <n v="100"/>
  </r>
  <r>
    <n v="0"/>
    <x v="12"/>
    <m/>
    <s v="base"/>
    <s v="NZ10_2050A_09EESSNXCT_guy"/>
    <n v="0"/>
    <n v="0"/>
    <s v="No Pams"/>
    <n v="1"/>
    <n v="1"/>
    <n v="0"/>
    <n v="-1"/>
    <n v="-1"/>
    <n v="-1"/>
    <n v="1"/>
    <n v="-1"/>
    <n v="100"/>
  </r>
  <r>
    <n v="0"/>
    <x v="13"/>
    <m/>
    <s v="base"/>
    <s v="NZ10_2050A_09EESENXCT"/>
    <n v="0"/>
    <n v="0"/>
    <s v="No Pams"/>
    <n v="1"/>
    <n v="1"/>
    <n v="0"/>
    <n v="-1"/>
    <n v="-1"/>
    <n v="-1"/>
    <n v="1"/>
    <n v="-1"/>
    <n v="100"/>
  </r>
  <r>
    <n v="0"/>
    <x v="14"/>
    <m/>
    <s v="base"/>
    <s v="NZ10_2050A_10EESSNXCT"/>
    <n v="1"/>
    <n v="0"/>
    <s v="No Pams"/>
    <n v="1"/>
    <n v="1"/>
    <n v="0"/>
    <n v="-1"/>
    <n v="-1"/>
    <n v="-1"/>
    <n v="1"/>
    <n v="-1"/>
    <n v="100"/>
  </r>
  <r>
    <n v="0"/>
    <x v="15"/>
    <m/>
    <s v="base"/>
    <s v="NZ10_2050A_11EESSNXCT"/>
    <n v="0"/>
    <n v="0"/>
    <s v="No Pams"/>
    <n v="1"/>
    <n v="1"/>
    <n v="0"/>
    <n v="-1"/>
    <n v="-1"/>
    <n v="-1"/>
    <n v="1"/>
    <n v="-1"/>
    <n v="100"/>
  </r>
  <r>
    <n v="0"/>
    <x v="16"/>
    <m/>
    <s v="base"/>
    <s v="NZ10_2050A_99EESSNXCT"/>
    <n v="0"/>
    <n v="0"/>
    <s v="No Pams"/>
    <n v="1"/>
    <n v="1"/>
    <n v="0"/>
    <n v="-1"/>
    <n v="-1"/>
    <n v="-1"/>
    <n v="1"/>
    <n v="-1"/>
    <n v="100"/>
  </r>
  <r>
    <n v="0"/>
    <x v="17"/>
    <m/>
    <s v="base"/>
    <s v="NZ10_2055A_99EESSNXCT"/>
    <n v="0"/>
    <n v="0"/>
    <s v="No Pams"/>
    <n v="1"/>
    <n v="1"/>
    <n v="0"/>
    <n v="-1"/>
    <n v="-1"/>
    <n v="-1"/>
    <n v="1"/>
    <n v="-1"/>
    <n v="100"/>
  </r>
  <r>
    <n v="0"/>
    <x v="18"/>
    <m/>
    <s v="base"/>
    <s v="NZ10_2055A_08EESSNXCT"/>
    <n v="0"/>
    <n v="0"/>
    <s v="No Pams"/>
    <n v="1"/>
    <n v="1"/>
    <n v="0"/>
    <n v="-1"/>
    <n v="-1"/>
    <n v="-1"/>
    <n v="1"/>
    <n v="-1"/>
    <n v="100"/>
  </r>
  <r>
    <n v="0"/>
    <x v="19"/>
    <m/>
    <s v="base"/>
    <s v="NZ10_2055A_09EESSNXCT"/>
    <n v="0"/>
    <n v="0"/>
    <s v="No Pams"/>
    <n v="1"/>
    <n v="1"/>
    <n v="0"/>
    <n v="-1"/>
    <n v="-1"/>
    <n v="-1"/>
    <n v="1"/>
    <n v="-1"/>
    <n v="100"/>
  </r>
  <r>
    <n v="0"/>
    <x v="20"/>
    <m/>
    <s v="base"/>
    <s v="NZ10_2055A_10EESSNXCT"/>
    <n v="0"/>
    <n v="0"/>
    <s v="No Pams"/>
    <n v="1"/>
    <n v="1"/>
    <n v="0"/>
    <n v="-1"/>
    <n v="-1"/>
    <n v="-1"/>
    <n v="1"/>
    <n v="-1"/>
    <n v="100"/>
  </r>
  <r>
    <n v="0"/>
    <x v="21"/>
    <m/>
    <s v="base"/>
    <s v="NZ10_2055A_11EESSNXCT"/>
    <n v="0"/>
    <n v="0"/>
    <s v="No Pams"/>
    <n v="1"/>
    <n v="1"/>
    <n v="0"/>
    <n v="-1"/>
    <n v="-1"/>
    <n v="-1"/>
    <n v="1"/>
    <n v="-1"/>
    <n v="100"/>
  </r>
  <r>
    <n v="0"/>
    <x v="22"/>
    <m/>
    <s v="base"/>
    <s v="NZ10_2055B_99EESSNXCT"/>
    <n v="0"/>
    <n v="0"/>
    <s v="No Pams"/>
    <n v="1"/>
    <n v="1"/>
    <n v="0"/>
    <n v="-1"/>
    <n v="-1"/>
    <n v="-1"/>
    <n v="1"/>
    <n v="-1"/>
    <n v="100"/>
  </r>
  <r>
    <n v="0"/>
    <x v="23"/>
    <m/>
    <s v="base"/>
    <s v="NZ10_2050B_09EESSNXCN"/>
    <n v="0"/>
    <n v="0"/>
    <s v="No Pams"/>
    <n v="1"/>
    <n v="1"/>
    <n v="0"/>
    <n v="-1"/>
    <n v="-1"/>
    <n v="-1"/>
    <n v="1"/>
    <n v="-1"/>
    <n v="100"/>
  </r>
  <r>
    <n v="0"/>
    <x v="24"/>
    <m/>
    <s v="base"/>
    <s v="TestLinked"/>
    <n v="0"/>
    <n v="0"/>
    <s v="No Pams"/>
    <n v="0"/>
    <n v="0"/>
    <n v="0"/>
    <n v="-1"/>
    <n v="1"/>
    <n v="1"/>
    <n v="1"/>
    <n v="-1"/>
    <n v="100"/>
  </r>
  <r>
    <n v="0"/>
    <x v="25"/>
    <m/>
    <s v="base"/>
    <s v="NZ_NDCLO"/>
    <n v="0"/>
    <n v="1"/>
    <s v="No Pams"/>
    <n v="0"/>
    <n v="0"/>
    <n v="0"/>
    <n v="-1"/>
    <n v="1"/>
    <n v="1"/>
    <n v="1"/>
    <n v="-1"/>
    <n v="100"/>
  </r>
  <r>
    <n v="0"/>
    <x v="26"/>
    <m/>
    <s v="base"/>
    <s v="NZ_NDCUP"/>
    <n v="0"/>
    <n v="1"/>
    <s v="No Pams"/>
    <n v="0"/>
    <n v="0"/>
    <n v="0"/>
    <n v="-1"/>
    <n v="1"/>
    <n v="1"/>
    <n v="1"/>
    <n v="-1"/>
    <n v="100"/>
  </r>
  <r>
    <n v="0"/>
    <x v="27"/>
    <m/>
    <s v="base"/>
    <s v="NZ_NDCUP-LoLocal"/>
    <n v="0"/>
    <n v="1"/>
    <s v="No Pams"/>
    <n v="0"/>
    <n v="0"/>
    <n v="0"/>
    <n v="-1"/>
    <n v="1"/>
    <n v="1"/>
    <n v="1"/>
    <n v="-1"/>
    <n v="100"/>
  </r>
  <r>
    <n v="0"/>
    <x v="28"/>
    <m/>
    <s v="base"/>
    <s v="REF"/>
    <n v="1"/>
    <n v="1"/>
    <s v="No Pams"/>
    <n v="1"/>
    <n v="1"/>
    <n v="0"/>
    <n v="-1"/>
    <n v="-1"/>
    <n v="-1"/>
    <n v="1"/>
    <n v="-1"/>
    <n v="100"/>
  </r>
  <r>
    <n v="0"/>
    <x v="29"/>
    <m/>
    <s v="base"/>
    <s v="LEAF"/>
    <n v="1"/>
    <n v="1"/>
    <s v="No Pams"/>
    <n v="1"/>
    <n v="1"/>
    <n v="0"/>
    <n v="-1"/>
    <n v="-1"/>
    <n v="-1"/>
    <n v="1"/>
    <n v="-1"/>
    <n v="100"/>
  </r>
  <r>
    <n v="0"/>
    <x v="30"/>
    <m/>
    <s v="base"/>
    <s v="LEAF-RF"/>
    <n v="1"/>
    <n v="1"/>
    <s v="No Pams"/>
    <n v="1"/>
    <n v="1"/>
    <n v="0"/>
    <n v="-1"/>
    <n v="-1"/>
    <n v="-1"/>
    <n v="1"/>
    <n v="-1"/>
    <n v="100"/>
  </r>
  <r>
    <n v="0"/>
    <x v="31"/>
    <m/>
    <s v="base"/>
    <s v="LEAF-RF"/>
    <n v="1"/>
    <n v="1"/>
    <s v="No Pams"/>
    <n v="1"/>
    <n v="1"/>
    <n v="1"/>
    <n v="-1"/>
    <n v="-1"/>
    <n v="-1"/>
    <n v="1"/>
    <n v="-1"/>
    <n v="100"/>
  </r>
  <r>
    <n v="0"/>
    <x v="32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3"/>
    <m/>
    <s v="base"/>
    <s v="LEAF-RF-NZNDCUP"/>
    <n v="0"/>
    <n v="1"/>
    <s v="No Pams"/>
    <n v="0"/>
    <n v="0"/>
    <n v="0"/>
    <n v="-1"/>
    <n v="-1"/>
    <n v="-1"/>
    <n v="1"/>
    <n v="-1"/>
    <n v="100"/>
  </r>
  <r>
    <n v="0"/>
    <x v="34"/>
    <m/>
    <s v="base"/>
    <s v="REF_OPConstant"/>
    <n v="0"/>
    <n v="1"/>
    <s v="No Pams"/>
    <n v="0"/>
    <n v="0"/>
    <n v="0"/>
    <n v="-1"/>
    <n v="-1"/>
    <n v="-1"/>
    <n v="1"/>
    <n v="-1"/>
    <n v="100"/>
  </r>
  <r>
    <n v="0"/>
    <x v="35"/>
    <m/>
    <s v="base"/>
    <s v="REFOPLow"/>
    <n v="0"/>
    <n v="1"/>
    <s v="No Pams"/>
    <n v="0"/>
    <n v="0"/>
    <n v="1"/>
    <n v="-1"/>
    <n v="-1"/>
    <n v="-1"/>
    <n v="1"/>
    <n v="-1"/>
    <n v="100"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n v="0"/>
    <m/>
    <m/>
    <m/>
    <m/>
    <m/>
    <m/>
  </r>
  <r>
    <m/>
    <x v="36"/>
    <m/>
    <m/>
    <m/>
    <m/>
    <m/>
    <m/>
    <m/>
    <m/>
    <m/>
    <m/>
    <m/>
    <m/>
    <m/>
    <m/>
    <m/>
  </r>
  <r>
    <m/>
    <x v="36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0"/>
    <x v="0"/>
    <s v="yes but L0"/>
    <x v="0"/>
    <x v="0"/>
    <n v="0"/>
    <n v="0"/>
    <s v="No Pams"/>
    <n v="1"/>
    <n v="1"/>
    <n v="0"/>
    <n v="-1"/>
    <n v="-1"/>
    <n v="-1"/>
    <n v="1"/>
    <n v="-1"/>
    <n v="100"/>
  </r>
  <r>
    <n v="0"/>
    <x v="1"/>
    <m/>
    <x v="0"/>
    <x v="1"/>
    <n v="1"/>
    <n v="1"/>
    <s v="No Pams"/>
    <n v="1"/>
    <n v="1"/>
    <n v="0"/>
    <n v="-1"/>
    <n v="1"/>
    <n v="1"/>
    <n v="1"/>
    <n v="-1"/>
    <n v="100"/>
  </r>
  <r>
    <n v="0"/>
    <x v="2"/>
    <m/>
    <x v="0"/>
    <x v="2"/>
    <n v="0"/>
    <n v="0"/>
    <s v="No Pams"/>
    <n v="1"/>
    <n v="1"/>
    <n v="0"/>
    <n v="-1"/>
    <n v="-1"/>
    <n v="-1"/>
    <n v="1"/>
    <n v="-1"/>
    <n v="100"/>
  </r>
  <r>
    <n v="0"/>
    <x v="3"/>
    <m/>
    <x v="0"/>
    <x v="3"/>
    <n v="0"/>
    <n v="0"/>
    <s v="No Pams"/>
    <n v="0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0"/>
    <n v="-1"/>
    <n v="-1"/>
    <n v="-1"/>
    <n v="1"/>
    <n v="-1"/>
    <n v="100"/>
  </r>
  <r>
    <n v="0"/>
    <x v="5"/>
    <m/>
    <x v="0"/>
    <x v="5"/>
    <n v="1"/>
    <n v="1"/>
    <s v="No Pams"/>
    <n v="1"/>
    <n v="1"/>
    <n v="0"/>
    <n v="-1"/>
    <n v="1"/>
    <n v="1"/>
    <n v="1"/>
    <n v="-1"/>
    <n v="100"/>
  </r>
  <r>
    <n v="1"/>
    <x v="6"/>
    <m/>
    <x v="0"/>
    <x v="6"/>
    <n v="1"/>
    <n v="1"/>
    <s v="No Pams"/>
    <n v="1"/>
    <n v="1"/>
    <n v="0"/>
    <n v="-1"/>
    <n v="1"/>
    <n v="1"/>
    <n v="1"/>
    <n v="-1"/>
    <n v="100"/>
  </r>
  <r>
    <n v="1"/>
    <x v="7"/>
    <m/>
    <x v="0"/>
    <x v="7"/>
    <n v="1"/>
    <n v="1"/>
    <s v="No Pams"/>
    <n v="1"/>
    <n v="1"/>
    <n v="0"/>
    <n v="-1"/>
    <n v="1"/>
    <n v="1"/>
    <n v="1"/>
    <n v="-1"/>
    <n v="100"/>
  </r>
  <r>
    <n v="1"/>
    <x v="8"/>
    <m/>
    <x v="0"/>
    <x v="8"/>
    <n v="1"/>
    <n v="1"/>
    <s v="No Pams"/>
    <n v="1"/>
    <n v="1"/>
    <n v="0"/>
    <n v="-1"/>
    <n v="1"/>
    <n v="1"/>
    <n v="1"/>
    <n v="-1"/>
    <n v="100"/>
  </r>
  <r>
    <n v="0"/>
    <x v="9"/>
    <m/>
    <x v="0"/>
    <x v="9"/>
    <n v="0"/>
    <n v="0"/>
    <s v="No Pams"/>
    <n v="1"/>
    <n v="1"/>
    <n v="0"/>
    <n v="-1"/>
    <n v="-1"/>
    <n v="-1"/>
    <n v="1"/>
    <n v="-1"/>
    <n v="100"/>
  </r>
  <r>
    <n v="0"/>
    <x v="10"/>
    <m/>
    <x v="0"/>
    <x v="10"/>
    <n v="0"/>
    <n v="0"/>
    <s v="No Pams"/>
    <n v="1"/>
    <n v="1"/>
    <n v="0"/>
    <n v="-1"/>
    <n v="-1"/>
    <n v="-1"/>
    <n v="1"/>
    <n v="-1"/>
    <n v="100"/>
  </r>
  <r>
    <n v="0"/>
    <x v="11"/>
    <m/>
    <x v="0"/>
    <x v="11"/>
    <n v="0"/>
    <n v="0"/>
    <s v="No Pams"/>
    <n v="1"/>
    <n v="1"/>
    <n v="0"/>
    <n v="-1"/>
    <n v="-1"/>
    <n v="-1"/>
    <n v="1"/>
    <n v="-1"/>
    <n v="100"/>
  </r>
  <r>
    <n v="0"/>
    <x v="12"/>
    <m/>
    <x v="0"/>
    <x v="12"/>
    <n v="0"/>
    <n v="0"/>
    <s v="No Pams"/>
    <n v="1"/>
    <n v="1"/>
    <n v="0"/>
    <n v="-1"/>
    <n v="-1"/>
    <n v="-1"/>
    <n v="1"/>
    <n v="-1"/>
    <n v="100"/>
  </r>
  <r>
    <n v="0"/>
    <x v="13"/>
    <m/>
    <x v="0"/>
    <x v="13"/>
    <n v="0"/>
    <n v="0"/>
    <s v="No Pams"/>
    <n v="1"/>
    <n v="1"/>
    <n v="0"/>
    <n v="-1"/>
    <n v="-1"/>
    <n v="-1"/>
    <n v="1"/>
    <n v="-1"/>
    <n v="100"/>
  </r>
  <r>
    <n v="0"/>
    <x v="14"/>
    <m/>
    <x v="0"/>
    <x v="14"/>
    <n v="1"/>
    <n v="0"/>
    <s v="No Pams"/>
    <n v="1"/>
    <n v="1"/>
    <n v="0"/>
    <n v="-1"/>
    <n v="-1"/>
    <n v="-1"/>
    <n v="1"/>
    <n v="-1"/>
    <n v="100"/>
  </r>
  <r>
    <n v="0"/>
    <x v="15"/>
    <m/>
    <x v="0"/>
    <x v="15"/>
    <n v="0"/>
    <n v="0"/>
    <s v="No Pams"/>
    <n v="1"/>
    <n v="1"/>
    <n v="0"/>
    <n v="-1"/>
    <n v="-1"/>
    <n v="-1"/>
    <n v="1"/>
    <n v="-1"/>
    <n v="100"/>
  </r>
  <r>
    <n v="0"/>
    <x v="16"/>
    <m/>
    <x v="0"/>
    <x v="16"/>
    <n v="0"/>
    <n v="0"/>
    <s v="No Pams"/>
    <n v="1"/>
    <n v="1"/>
    <n v="0"/>
    <n v="-1"/>
    <n v="-1"/>
    <n v="-1"/>
    <n v="1"/>
    <n v="-1"/>
    <n v="100"/>
  </r>
  <r>
    <n v="0"/>
    <x v="17"/>
    <m/>
    <x v="0"/>
    <x v="17"/>
    <n v="0"/>
    <n v="0"/>
    <s v="No Pams"/>
    <n v="1"/>
    <n v="1"/>
    <n v="0"/>
    <n v="-1"/>
    <n v="-1"/>
    <n v="-1"/>
    <n v="1"/>
    <n v="-1"/>
    <n v="100"/>
  </r>
  <r>
    <n v="0"/>
    <x v="18"/>
    <m/>
    <x v="0"/>
    <x v="18"/>
    <n v="0"/>
    <n v="0"/>
    <s v="No Pams"/>
    <n v="1"/>
    <n v="1"/>
    <n v="0"/>
    <n v="-1"/>
    <n v="-1"/>
    <n v="-1"/>
    <n v="1"/>
    <n v="-1"/>
    <n v="100"/>
  </r>
  <r>
    <n v="0"/>
    <x v="19"/>
    <m/>
    <x v="0"/>
    <x v="19"/>
    <n v="0"/>
    <n v="0"/>
    <s v="No Pams"/>
    <n v="1"/>
    <n v="1"/>
    <n v="0"/>
    <n v="-1"/>
    <n v="-1"/>
    <n v="-1"/>
    <n v="1"/>
    <n v="-1"/>
    <n v="100"/>
  </r>
  <r>
    <n v="0"/>
    <x v="20"/>
    <m/>
    <x v="0"/>
    <x v="20"/>
    <n v="0"/>
    <n v="0"/>
    <s v="No Pams"/>
    <n v="1"/>
    <n v="1"/>
    <n v="0"/>
    <n v="-1"/>
    <n v="-1"/>
    <n v="-1"/>
    <n v="1"/>
    <n v="-1"/>
    <n v="100"/>
  </r>
  <r>
    <n v="0"/>
    <x v="21"/>
    <m/>
    <x v="0"/>
    <x v="21"/>
    <n v="0"/>
    <n v="0"/>
    <s v="No Pams"/>
    <n v="1"/>
    <n v="1"/>
    <n v="0"/>
    <n v="-1"/>
    <n v="-1"/>
    <n v="-1"/>
    <n v="1"/>
    <n v="-1"/>
    <n v="100"/>
  </r>
  <r>
    <n v="0"/>
    <x v="22"/>
    <m/>
    <x v="0"/>
    <x v="22"/>
    <n v="0"/>
    <n v="0"/>
    <s v="No Pams"/>
    <n v="1"/>
    <n v="1"/>
    <n v="0"/>
    <n v="-1"/>
    <n v="-1"/>
    <n v="-1"/>
    <n v="1"/>
    <n v="-1"/>
    <n v="100"/>
  </r>
  <r>
    <n v="0"/>
    <x v="23"/>
    <m/>
    <x v="0"/>
    <x v="23"/>
    <n v="0"/>
    <n v="0"/>
    <s v="No Pams"/>
    <n v="1"/>
    <n v="1"/>
    <n v="0"/>
    <n v="-1"/>
    <n v="-1"/>
    <n v="-1"/>
    <n v="1"/>
    <n v="-1"/>
    <n v="100"/>
  </r>
  <r>
    <n v="0"/>
    <x v="24"/>
    <m/>
    <x v="0"/>
    <x v="24"/>
    <n v="0"/>
    <n v="0"/>
    <s v="No Pams"/>
    <n v="0"/>
    <n v="0"/>
    <n v="0"/>
    <n v="-1"/>
    <n v="1"/>
    <n v="1"/>
    <n v="1"/>
    <n v="-1"/>
    <n v="100"/>
  </r>
  <r>
    <n v="0"/>
    <x v="25"/>
    <m/>
    <x v="0"/>
    <x v="25"/>
    <n v="0"/>
    <n v="1"/>
    <s v="No Pams"/>
    <n v="0"/>
    <n v="0"/>
    <n v="0"/>
    <n v="-1"/>
    <n v="1"/>
    <n v="1"/>
    <n v="1"/>
    <n v="-1"/>
    <n v="100"/>
  </r>
  <r>
    <n v="0"/>
    <x v="26"/>
    <m/>
    <x v="0"/>
    <x v="26"/>
    <n v="0"/>
    <n v="1"/>
    <s v="No Pams"/>
    <n v="0"/>
    <n v="0"/>
    <n v="0"/>
    <n v="-1"/>
    <n v="1"/>
    <n v="1"/>
    <n v="1"/>
    <n v="-1"/>
    <n v="100"/>
  </r>
  <r>
    <n v="0"/>
    <x v="27"/>
    <m/>
    <x v="0"/>
    <x v="27"/>
    <n v="0"/>
    <n v="1"/>
    <s v="No Pams"/>
    <n v="0"/>
    <n v="0"/>
    <n v="0"/>
    <n v="-1"/>
    <n v="1"/>
    <n v="1"/>
    <n v="1"/>
    <n v="-1"/>
    <n v="100"/>
  </r>
  <r>
    <n v="0"/>
    <x v="28"/>
    <m/>
    <x v="0"/>
    <x v="28"/>
    <n v="1"/>
    <n v="1"/>
    <s v="No Pams"/>
    <n v="1"/>
    <n v="1"/>
    <n v="0"/>
    <n v="-1"/>
    <n v="-1"/>
    <n v="-1"/>
    <n v="1"/>
    <n v="-1"/>
    <n v="100"/>
  </r>
  <r>
    <n v="0"/>
    <x v="29"/>
    <m/>
    <x v="0"/>
    <x v="29"/>
    <n v="1"/>
    <n v="1"/>
    <s v="No Pams"/>
    <n v="1"/>
    <n v="1"/>
    <n v="0"/>
    <n v="-1"/>
    <n v="-1"/>
    <n v="-1"/>
    <n v="1"/>
    <n v="-1"/>
    <n v="100"/>
  </r>
  <r>
    <n v="0"/>
    <x v="30"/>
    <m/>
    <x v="0"/>
    <x v="30"/>
    <n v="1"/>
    <n v="1"/>
    <s v="No Pams"/>
    <n v="1"/>
    <n v="1"/>
    <n v="0"/>
    <n v="-1"/>
    <n v="-1"/>
    <n v="-1"/>
    <n v="1"/>
    <n v="-1"/>
    <n v="100"/>
  </r>
  <r>
    <n v="0"/>
    <x v="31"/>
    <m/>
    <x v="0"/>
    <x v="30"/>
    <n v="1"/>
    <n v="1"/>
    <s v="No Pams"/>
    <n v="1"/>
    <n v="1"/>
    <n v="1"/>
    <n v="-1"/>
    <n v="-1"/>
    <n v="-1"/>
    <n v="1"/>
    <n v="-1"/>
    <n v="100"/>
  </r>
  <r>
    <n v="0"/>
    <x v="32"/>
    <m/>
    <x v="0"/>
    <x v="31"/>
    <n v="0"/>
    <n v="1"/>
    <s v="No Pams"/>
    <n v="0"/>
    <n v="0"/>
    <n v="0"/>
    <n v="-1"/>
    <n v="-1"/>
    <n v="-1"/>
    <n v="1"/>
    <n v="-1"/>
    <n v="100"/>
  </r>
  <r>
    <n v="0"/>
    <x v="33"/>
    <m/>
    <x v="0"/>
    <x v="31"/>
    <n v="0"/>
    <n v="1"/>
    <s v="No Pams"/>
    <n v="0"/>
    <n v="0"/>
    <n v="0"/>
    <n v="-1"/>
    <n v="-1"/>
    <n v="-1"/>
    <n v="1"/>
    <n v="-1"/>
    <n v="100"/>
  </r>
  <r>
    <n v="0"/>
    <x v="34"/>
    <m/>
    <x v="0"/>
    <x v="32"/>
    <n v="0"/>
    <n v="1"/>
    <s v="No Pams"/>
    <n v="0"/>
    <n v="0"/>
    <n v="0"/>
    <n v="-1"/>
    <n v="-1"/>
    <n v="-1"/>
    <n v="1"/>
    <n v="-1"/>
    <n v="100"/>
  </r>
  <r>
    <n v="0"/>
    <x v="35"/>
    <m/>
    <x v="0"/>
    <x v="33"/>
    <n v="0"/>
    <n v="1"/>
    <s v="No Pams"/>
    <n v="0"/>
    <n v="0"/>
    <n v="1"/>
    <n v="-1"/>
    <n v="-1"/>
    <n v="-1"/>
    <n v="1"/>
    <n v="-1"/>
    <n v="100"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n v="0"/>
    <m/>
    <m/>
    <m/>
    <m/>
    <m/>
    <m/>
  </r>
  <r>
    <m/>
    <x v="36"/>
    <m/>
    <x v="1"/>
    <x v="34"/>
    <m/>
    <m/>
    <m/>
    <m/>
    <m/>
    <m/>
    <m/>
    <m/>
    <m/>
    <m/>
    <m/>
    <m/>
  </r>
  <r>
    <m/>
    <x v="36"/>
    <m/>
    <x v="1"/>
    <x v="34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946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43" firstHeaderRow="1" firstDataRow="1" firstDataCol="1"/>
  <pivotFields count="17">
    <pivotField showAll="0"/>
    <pivotField axis="axisRow" showAll="0">
      <items count="39">
        <item m="1" x="37"/>
        <item x="36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43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8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43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8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9">
        <item m="1" x="205"/>
        <item m="1" x="172"/>
        <item m="1" x="162"/>
        <item x="34"/>
        <item m="1" x="171"/>
        <item m="1" x="115"/>
        <item m="1" x="191"/>
        <item m="1" x="212"/>
        <item m="1" x="165"/>
        <item m="1" x="173"/>
        <item m="1" x="166"/>
        <item m="1" x="143"/>
        <item m="1" x="90"/>
        <item m="1" x="187"/>
        <item m="1" x="88"/>
        <item m="1" x="254"/>
        <item m="1" x="134"/>
        <item m="1" x="235"/>
        <item m="1" x="248"/>
        <item m="1" x="144"/>
        <item m="1" x="137"/>
        <item m="1" x="241"/>
        <item m="1" x="198"/>
        <item m="1" x="199"/>
        <item m="1" x="237"/>
        <item m="1" x="157"/>
        <item m="1" x="230"/>
        <item m="1" x="104"/>
        <item m="1" x="125"/>
        <item m="1" x="275"/>
        <item m="1" x="207"/>
        <item m="1" x="249"/>
        <item m="1" x="176"/>
        <item m="1" x="251"/>
        <item m="1" x="262"/>
        <item m="1" x="184"/>
        <item m="1" x="209"/>
        <item m="1" x="203"/>
        <item m="1" x="246"/>
        <item m="1" x="244"/>
        <item m="1" x="130"/>
        <item m="1" x="267"/>
        <item m="1" x="201"/>
        <item m="1" x="226"/>
        <item m="1" x="243"/>
        <item m="1" x="271"/>
        <item m="1" x="278"/>
        <item m="1" x="180"/>
        <item m="1" x="164"/>
        <item m="1" x="163"/>
        <item m="1" x="214"/>
        <item m="1" x="168"/>
        <item m="1" x="223"/>
        <item m="1" x="118"/>
        <item m="1" x="186"/>
        <item m="1" x="221"/>
        <item m="1" x="245"/>
        <item m="1" x="183"/>
        <item m="1" x="174"/>
        <item m="1" x="112"/>
        <item m="1" x="253"/>
        <item m="1" x="132"/>
        <item m="1" x="152"/>
        <item m="1" x="195"/>
        <item m="1" x="206"/>
        <item m="1" x="153"/>
        <item m="1" x="102"/>
        <item m="1" x="200"/>
        <item m="1" x="211"/>
        <item m="1" x="139"/>
        <item m="1" x="234"/>
        <item m="1" x="250"/>
        <item m="1" x="188"/>
        <item m="1" x="142"/>
        <item m="1" x="154"/>
        <item m="1" x="131"/>
        <item m="1" x="216"/>
        <item m="1" x="99"/>
        <item m="1" x="225"/>
        <item m="1" x="242"/>
        <item m="1" x="263"/>
        <item m="1" x="238"/>
        <item m="1" x="256"/>
        <item m="1" x="276"/>
        <item m="1" x="155"/>
        <item m="1" x="233"/>
        <item m="1" x="273"/>
        <item m="1" x="113"/>
        <item m="1" x="127"/>
        <item m="1" x="160"/>
        <item m="1" x="202"/>
        <item m="1" x="105"/>
        <item m="1" x="110"/>
        <item m="1" x="85"/>
        <item m="1" x="96"/>
        <item m="1" x="255"/>
        <item m="1" x="167"/>
        <item m="1" x="252"/>
        <item m="1" x="128"/>
        <item m="1" x="257"/>
        <item m="1" x="220"/>
        <item m="1" x="193"/>
        <item m="1" x="141"/>
        <item m="1" x="219"/>
        <item m="1" x="89"/>
        <item m="1" x="240"/>
        <item m="1" x="170"/>
        <item m="1" x="93"/>
        <item m="1" x="218"/>
        <item m="1" x="101"/>
        <item m="1" x="122"/>
        <item m="1" x="179"/>
        <item m="1" x="145"/>
        <item m="1" x="135"/>
        <item m="1" x="126"/>
        <item m="1" x="272"/>
        <item m="1" x="277"/>
        <item m="1" x="264"/>
        <item m="1" x="270"/>
        <item m="1" x="181"/>
        <item m="1" x="114"/>
        <item m="1" x="103"/>
        <item m="1" x="197"/>
        <item m="1" x="268"/>
        <item m="1" x="161"/>
        <item m="1" x="236"/>
        <item m="1" x="229"/>
        <item m="1" x="228"/>
        <item m="1" x="108"/>
        <item m="1" x="215"/>
        <item m="1" x="147"/>
        <item m="1" x="196"/>
        <item m="1" x="120"/>
        <item m="1" x="95"/>
        <item m="1" x="258"/>
        <item m="1" x="260"/>
        <item m="1" x="159"/>
        <item m="1" x="117"/>
        <item m="1" x="138"/>
        <item m="1" x="133"/>
        <item m="1" x="129"/>
        <item m="1" x="259"/>
        <item m="1" x="100"/>
        <item m="1" x="269"/>
        <item m="1" x="175"/>
        <item m="1" x="224"/>
        <item m="1" x="148"/>
        <item m="1" x="140"/>
        <item m="1" x="149"/>
        <item m="1" x="116"/>
        <item m="1" x="274"/>
        <item m="1" x="194"/>
        <item m="1" x="189"/>
        <item m="1" x="107"/>
        <item m="1" x="239"/>
        <item m="1" x="109"/>
        <item m="1" x="208"/>
        <item m="1" x="185"/>
        <item m="1" x="177"/>
        <item m="1" x="156"/>
        <item m="1" x="136"/>
        <item m="1" x="121"/>
        <item m="1" x="97"/>
        <item m="1" x="91"/>
        <item m="1" x="265"/>
        <item m="1" x="247"/>
        <item m="1" x="106"/>
        <item m="1" x="150"/>
        <item m="1" x="119"/>
        <item m="1" x="92"/>
        <item m="1" x="266"/>
        <item m="1" x="231"/>
        <item m="1" x="213"/>
        <item m="1" x="190"/>
        <item m="1" x="124"/>
        <item m="1" x="94"/>
        <item m="1" x="87"/>
        <item m="1" x="98"/>
        <item m="1" x="111"/>
        <item m="1" x="232"/>
        <item m="1" x="192"/>
        <item m="1" x="151"/>
        <item x="28"/>
        <item m="1" x="169"/>
        <item m="1" x="146"/>
        <item m="1" x="227"/>
        <item m="1" x="123"/>
        <item m="1" x="182"/>
        <item m="1" x="210"/>
        <item m="1" x="158"/>
        <item m="1" x="222"/>
        <item m="1" x="217"/>
        <item m="1" x="86"/>
        <item m="1" x="204"/>
        <item m="1" x="178"/>
        <item m="1" x="78"/>
        <item m="1" x="261"/>
        <item m="1" x="84"/>
        <item m="1" x="80"/>
        <item m="1" x="83"/>
        <item m="1" x="79"/>
        <item m="1" x="82"/>
        <item m="1" x="81"/>
        <item m="1" x="74"/>
        <item m="1" x="64"/>
        <item m="1" x="65"/>
        <item m="1" x="66"/>
        <item m="1" x="67"/>
        <item m="1" x="68"/>
        <item m="1" x="69"/>
        <item m="1" x="70"/>
        <item m="1" x="77"/>
        <item m="1" x="71"/>
        <item m="1" x="76"/>
        <item m="1" x="75"/>
        <item m="1" x="72"/>
        <item m="1" x="73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x="0"/>
        <item x="1"/>
        <item x="2"/>
        <item x="3"/>
        <item x="4"/>
        <item x="5"/>
        <item x="6"/>
        <item x="9"/>
        <item m="1" x="45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38"/>
        <item m="1" x="39"/>
        <item x="10"/>
        <item m="1" x="46"/>
        <item m="1" x="47"/>
        <item m="1" x="41"/>
        <item m="1" x="43"/>
        <item m="1" x="44"/>
        <item m="1" x="42"/>
        <item m="1" x="40"/>
        <item x="11"/>
        <item x="12"/>
        <item x="24"/>
        <item m="1" x="35"/>
        <item m="1" x="36"/>
        <item m="1" x="37"/>
        <item x="25"/>
        <item x="26"/>
        <item x="29"/>
        <item x="30"/>
        <item x="31"/>
        <item x="32"/>
        <item x="33"/>
        <item x="27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7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5"/>
    </i>
    <i>
      <x v="25"/>
      <x v="269"/>
    </i>
    <i>
      <x v="26"/>
      <x v="270"/>
    </i>
    <i>
      <x v="27"/>
      <x v="182"/>
    </i>
    <i>
      <x v="28"/>
      <x v="271"/>
    </i>
    <i>
      <x v="29"/>
      <x v="272"/>
    </i>
    <i>
      <x v="30"/>
      <x v="272"/>
    </i>
    <i>
      <x v="31"/>
      <x v="273"/>
    </i>
    <i>
      <x v="32"/>
      <x v="273"/>
    </i>
    <i>
      <x v="33"/>
      <x v="274"/>
    </i>
    <i>
      <x v="34"/>
      <x v="275"/>
    </i>
    <i>
      <x v="35"/>
      <x v="276"/>
    </i>
    <i>
      <x v="36"/>
      <x v="277"/>
    </i>
    <i>
      <x v="37"/>
      <x v="27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41" firstHeaderRow="1" firstDataRow="1" firstDataCol="1"/>
  <pivotFields count="17">
    <pivotField showAll="0"/>
    <pivotField showAll="0"/>
    <pivotField showAll="0"/>
    <pivotField showAll="0"/>
    <pivotField axis="axisRow" showAll="0">
      <items count="280">
        <item m="1" x="205"/>
        <item m="1" x="172"/>
        <item m="1" x="162"/>
        <item x="34"/>
        <item m="1" x="171"/>
        <item m="1" x="115"/>
        <item m="1" x="191"/>
        <item m="1" x="212"/>
        <item m="1" x="165"/>
        <item m="1" x="173"/>
        <item m="1" x="166"/>
        <item m="1" x="143"/>
        <item m="1" x="90"/>
        <item m="1" x="187"/>
        <item m="1" x="88"/>
        <item m="1" x="254"/>
        <item m="1" x="134"/>
        <item m="1" x="235"/>
        <item m="1" x="248"/>
        <item m="1" x="144"/>
        <item m="1" x="137"/>
        <item m="1" x="241"/>
        <item m="1" x="198"/>
        <item m="1" x="199"/>
        <item m="1" x="237"/>
        <item m="1" x="157"/>
        <item m="1" x="230"/>
        <item m="1" x="104"/>
        <item m="1" x="125"/>
        <item m="1" x="275"/>
        <item m="1" x="207"/>
        <item m="1" x="249"/>
        <item m="1" x="176"/>
        <item m="1" x="251"/>
        <item m="1" x="262"/>
        <item m="1" x="184"/>
        <item m="1" x="209"/>
        <item m="1" x="203"/>
        <item m="1" x="246"/>
        <item m="1" x="244"/>
        <item m="1" x="130"/>
        <item m="1" x="267"/>
        <item m="1" x="201"/>
        <item m="1" x="226"/>
        <item m="1" x="243"/>
        <item m="1" x="271"/>
        <item m="1" x="278"/>
        <item m="1" x="180"/>
        <item m="1" x="164"/>
        <item m="1" x="163"/>
        <item m="1" x="214"/>
        <item m="1" x="168"/>
        <item m="1" x="223"/>
        <item m="1" x="118"/>
        <item m="1" x="186"/>
        <item m="1" x="221"/>
        <item m="1" x="245"/>
        <item m="1" x="183"/>
        <item m="1" x="174"/>
        <item m="1" x="112"/>
        <item m="1" x="253"/>
        <item m="1" x="132"/>
        <item m="1" x="152"/>
        <item m="1" x="195"/>
        <item m="1" x="206"/>
        <item m="1" x="153"/>
        <item m="1" x="102"/>
        <item m="1" x="200"/>
        <item m="1" x="211"/>
        <item m="1" x="139"/>
        <item m="1" x="234"/>
        <item m="1" x="250"/>
        <item m="1" x="188"/>
        <item m="1" x="142"/>
        <item m="1" x="154"/>
        <item m="1" x="131"/>
        <item m="1" x="216"/>
        <item m="1" x="99"/>
        <item m="1" x="225"/>
        <item m="1" x="242"/>
        <item m="1" x="263"/>
        <item m="1" x="238"/>
        <item m="1" x="256"/>
        <item m="1" x="276"/>
        <item m="1" x="155"/>
        <item m="1" x="233"/>
        <item m="1" x="273"/>
        <item m="1" x="113"/>
        <item m="1" x="127"/>
        <item m="1" x="160"/>
        <item m="1" x="202"/>
        <item m="1" x="105"/>
        <item m="1" x="110"/>
        <item m="1" x="85"/>
        <item m="1" x="96"/>
        <item m="1" x="255"/>
        <item m="1" x="167"/>
        <item m="1" x="252"/>
        <item m="1" x="128"/>
        <item m="1" x="257"/>
        <item m="1" x="220"/>
        <item m="1" x="193"/>
        <item m="1" x="141"/>
        <item m="1" x="219"/>
        <item m="1" x="89"/>
        <item m="1" x="240"/>
        <item m="1" x="170"/>
        <item m="1" x="93"/>
        <item m="1" x="218"/>
        <item m="1" x="101"/>
        <item m="1" x="122"/>
        <item m="1" x="179"/>
        <item m="1" x="145"/>
        <item m="1" x="135"/>
        <item m="1" x="126"/>
        <item m="1" x="272"/>
        <item m="1" x="277"/>
        <item m="1" x="264"/>
        <item m="1" x="270"/>
        <item m="1" x="181"/>
        <item m="1" x="114"/>
        <item m="1" x="103"/>
        <item m="1" x="197"/>
        <item m="1" x="268"/>
        <item m="1" x="161"/>
        <item m="1" x="236"/>
        <item m="1" x="229"/>
        <item m="1" x="228"/>
        <item m="1" x="108"/>
        <item m="1" x="215"/>
        <item m="1" x="147"/>
        <item m="1" x="196"/>
        <item m="1" x="120"/>
        <item m="1" x="95"/>
        <item m="1" x="258"/>
        <item m="1" x="260"/>
        <item m="1" x="159"/>
        <item m="1" x="117"/>
        <item m="1" x="138"/>
        <item m="1" x="133"/>
        <item m="1" x="129"/>
        <item m="1" x="259"/>
        <item m="1" x="100"/>
        <item m="1" x="269"/>
        <item m="1" x="175"/>
        <item m="1" x="224"/>
        <item m="1" x="148"/>
        <item m="1" x="140"/>
        <item m="1" x="149"/>
        <item m="1" x="116"/>
        <item m="1" x="274"/>
        <item m="1" x="194"/>
        <item m="1" x="189"/>
        <item m="1" x="107"/>
        <item m="1" x="239"/>
        <item m="1" x="109"/>
        <item m="1" x="208"/>
        <item m="1" x="185"/>
        <item m="1" x="177"/>
        <item m="1" x="156"/>
        <item m="1" x="136"/>
        <item m="1" x="121"/>
        <item m="1" x="97"/>
        <item m="1" x="91"/>
        <item m="1" x="265"/>
        <item m="1" x="247"/>
        <item m="1" x="106"/>
        <item m="1" x="150"/>
        <item m="1" x="119"/>
        <item m="1" x="92"/>
        <item m="1" x="266"/>
        <item m="1" x="231"/>
        <item m="1" x="213"/>
        <item m="1" x="190"/>
        <item m="1" x="124"/>
        <item m="1" x="94"/>
        <item m="1" x="87"/>
        <item m="1" x="98"/>
        <item m="1" x="111"/>
        <item m="1" x="232"/>
        <item m="1" x="192"/>
        <item m="1" x="151"/>
        <item x="28"/>
        <item m="1" x="169"/>
        <item m="1" x="146"/>
        <item m="1" x="227"/>
        <item m="1" x="123"/>
        <item m="1" x="182"/>
        <item m="1" x="210"/>
        <item m="1" x="158"/>
        <item m="1" x="222"/>
        <item m="1" x="217"/>
        <item m="1" x="86"/>
        <item m="1" x="204"/>
        <item m="1" x="178"/>
        <item m="1" x="78"/>
        <item m="1" x="261"/>
        <item m="1" x="84"/>
        <item m="1" x="80"/>
        <item m="1" x="83"/>
        <item m="1" x="79"/>
        <item m="1" x="82"/>
        <item m="1" x="81"/>
        <item m="1" x="74"/>
        <item m="1" x="64"/>
        <item m="1" x="65"/>
        <item m="1" x="66"/>
        <item m="1" x="67"/>
        <item m="1" x="68"/>
        <item m="1" x="69"/>
        <item m="1" x="70"/>
        <item m="1" x="77"/>
        <item m="1" x="71"/>
        <item m="1" x="76"/>
        <item m="1" x="75"/>
        <item m="1" x="72"/>
        <item m="1" x="73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x="0"/>
        <item x="1"/>
        <item x="2"/>
        <item x="3"/>
        <item x="4"/>
        <item x="5"/>
        <item x="6"/>
        <item x="9"/>
        <item m="1" x="45"/>
        <item x="13"/>
        <item x="14"/>
        <item x="15"/>
        <item x="16"/>
        <item x="17"/>
        <item x="18"/>
        <item x="19"/>
        <item x="20"/>
        <item x="21"/>
        <item x="22"/>
        <item x="23"/>
        <item m="1" x="38"/>
        <item m="1" x="39"/>
        <item x="10"/>
        <item m="1" x="46"/>
        <item m="1" x="47"/>
        <item m="1" x="41"/>
        <item m="1" x="43"/>
        <item m="1" x="44"/>
        <item m="1" x="42"/>
        <item m="1" x="40"/>
        <item x="11"/>
        <item x="12"/>
        <item x="24"/>
        <item m="1" x="35"/>
        <item m="1" x="36"/>
        <item m="1" x="37"/>
        <item x="25"/>
        <item x="26"/>
        <item x="29"/>
        <item x="30"/>
        <item x="31"/>
        <item x="32"/>
        <item x="33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5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5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43" firstHeaderRow="0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946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43" firstHeaderRow="1" firstDataRow="1" firstDataCol="1"/>
  <pivotFields count="17">
    <pivotField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946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43" firstHeaderRow="1" firstDataRow="1" firstDataCol="1"/>
  <pivotFields count="17">
    <pivotField dataField="1" showAll="0"/>
    <pivotField axis="axisRow" showAll="0">
      <items count="39">
        <item x="36"/>
        <item m="1" x="37"/>
        <item x="0"/>
        <item x="1"/>
        <item x="2"/>
        <item x="3"/>
        <item x="4"/>
        <item x="5"/>
        <item x="6"/>
        <item x="9"/>
        <item x="13"/>
        <item x="14"/>
        <item x="15"/>
        <item x="16"/>
        <item x="17"/>
        <item x="18"/>
        <item x="19"/>
        <item x="20"/>
        <item x="21"/>
        <item x="22"/>
        <item x="23"/>
        <item x="10"/>
        <item x="12"/>
        <item x="11"/>
        <item x="24"/>
        <item x="25"/>
        <item x="26"/>
        <item x="28"/>
        <item x="29"/>
        <item x="30"/>
        <item x="31"/>
        <item x="32"/>
        <item x="33"/>
        <item x="34"/>
        <item x="35"/>
        <item x="27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60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C24" sqref="C24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258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277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D6" sqref="AD6"/>
    </sheetView>
  </sheetViews>
  <sheetFormatPr defaultRowHeight="15"/>
  <cols>
    <col min="1" max="2" width="29.7109375" bestFit="1" customWidth="1"/>
    <col min="3" max="3" width="13.140625" customWidth="1"/>
    <col min="4" max="4" width="13.140625" bestFit="1" customWidth="1"/>
    <col min="5" max="5" width="29.7109375" bestFit="1" customWidth="1"/>
    <col min="6" max="6" width="23" bestFit="1" customWidth="1"/>
    <col min="7" max="7" width="29.7109375" bestFit="1" customWidth="1"/>
    <col min="8" max="8" width="19.85546875" bestFit="1" customWidth="1"/>
    <col min="9" max="9" width="29.7109375" bestFit="1" customWidth="1"/>
    <col min="10" max="10" width="18.5703125" bestFit="1" customWidth="1"/>
    <col min="11" max="11" width="29.7109375" bestFit="1" customWidth="1"/>
    <col min="12" max="12" width="20.7109375" bestFit="1" customWidth="1"/>
    <col min="13" max="13" width="29.7109375" bestFit="1" customWidth="1"/>
    <col min="14" max="14" width="21" bestFit="1" customWidth="1"/>
    <col min="15" max="15" width="23.140625" customWidth="1"/>
    <col min="16" max="16" width="29.7109375" bestFit="1" customWidth="1"/>
    <col min="17" max="17" width="16.7109375" bestFit="1" customWidth="1"/>
    <col min="18" max="18" width="18" bestFit="1" customWidth="1"/>
    <col min="19" max="19" width="29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9.7109375" bestFit="1" customWidth="1"/>
    <col min="28" max="28" width="19.140625" bestFit="1" customWidth="1"/>
    <col min="29" max="29" width="20.140625" customWidth="1"/>
    <col min="30" max="30" width="29.7109375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263</v>
      </c>
      <c r="AG5" s="1" t="s">
        <v>53</v>
      </c>
      <c r="AH5" s="1" t="s">
        <v>56</v>
      </c>
      <c r="AI5" s="1" t="s">
        <v>214</v>
      </c>
      <c r="AJ5" s="1" t="s">
        <v>257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276</v>
      </c>
      <c r="AF6" s="8"/>
      <c r="AG6" s="12" t="s">
        <v>54</v>
      </c>
      <c r="AH6" s="12" t="s">
        <v>55</v>
      </c>
      <c r="AI6" t="s">
        <v>215</v>
      </c>
      <c r="AJ6" t="s">
        <v>258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0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232</v>
      </c>
      <c r="B8" s="9" t="s">
        <v>262</v>
      </c>
      <c r="C8" s="9" t="s">
        <v>31</v>
      </c>
      <c r="D8" s="9" t="s">
        <v>193</v>
      </c>
      <c r="E8" s="9" t="s">
        <v>232</v>
      </c>
      <c r="F8" s="22">
        <v>0</v>
      </c>
      <c r="G8" s="9" t="s">
        <v>232</v>
      </c>
      <c r="H8" s="22">
        <v>0</v>
      </c>
      <c r="I8" s="9" t="s">
        <v>232</v>
      </c>
      <c r="J8" s="22">
        <v>0</v>
      </c>
      <c r="K8" s="9" t="s">
        <v>232</v>
      </c>
      <c r="L8" s="22">
        <v>1</v>
      </c>
      <c r="M8" s="9" t="s">
        <v>232</v>
      </c>
      <c r="N8" s="22">
        <v>1</v>
      </c>
      <c r="O8" t="s">
        <v>232</v>
      </c>
      <c r="P8" t="s">
        <v>232</v>
      </c>
      <c r="Q8" t="s">
        <v>232</v>
      </c>
      <c r="R8" t="s">
        <v>30</v>
      </c>
      <c r="S8" s="9" t="s">
        <v>232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232</v>
      </c>
      <c r="AB8" s="22">
        <v>100</v>
      </c>
      <c r="AD8" s="9" t="s">
        <v>232</v>
      </c>
      <c r="AE8" s="22">
        <v>0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233</v>
      </c>
      <c r="B9" s="9" t="s">
        <v>232</v>
      </c>
      <c r="C9" s="9" t="s">
        <v>32</v>
      </c>
      <c r="E9" s="9" t="s">
        <v>233</v>
      </c>
      <c r="F9" s="22">
        <v>0</v>
      </c>
      <c r="G9" s="9" t="s">
        <v>233</v>
      </c>
      <c r="H9" s="22">
        <v>1</v>
      </c>
      <c r="I9" s="9" t="s">
        <v>233</v>
      </c>
      <c r="J9" s="22">
        <v>1</v>
      </c>
      <c r="K9" s="9" t="s">
        <v>233</v>
      </c>
      <c r="L9" s="22">
        <v>1</v>
      </c>
      <c r="M9" s="9" t="s">
        <v>233</v>
      </c>
      <c r="N9" s="22">
        <v>1</v>
      </c>
      <c r="O9" t="s">
        <v>233</v>
      </c>
      <c r="P9" t="s">
        <v>233</v>
      </c>
      <c r="Q9" t="s">
        <v>233</v>
      </c>
      <c r="R9" t="s">
        <v>30</v>
      </c>
      <c r="S9" s="9" t="s">
        <v>233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233</v>
      </c>
      <c r="AB9" s="22">
        <v>100</v>
      </c>
      <c r="AD9" s="9" t="s">
        <v>233</v>
      </c>
      <c r="AE9" s="22">
        <v>0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234</v>
      </c>
      <c r="B10" s="9" t="s">
        <v>233</v>
      </c>
      <c r="C10" s="9" t="s">
        <v>46</v>
      </c>
      <c r="E10" s="9" t="s">
        <v>234</v>
      </c>
      <c r="F10" s="22">
        <v>0</v>
      </c>
      <c r="G10" s="9" t="s">
        <v>234</v>
      </c>
      <c r="H10" s="22">
        <v>0</v>
      </c>
      <c r="I10" s="9" t="s">
        <v>234</v>
      </c>
      <c r="J10" s="22">
        <v>0</v>
      </c>
      <c r="K10" s="9" t="s">
        <v>234</v>
      </c>
      <c r="L10" s="22">
        <v>1</v>
      </c>
      <c r="M10" s="9" t="s">
        <v>234</v>
      </c>
      <c r="N10" s="22">
        <v>1</v>
      </c>
      <c r="O10" t="s">
        <v>234</v>
      </c>
      <c r="P10" t="s">
        <v>234</v>
      </c>
      <c r="Q10" t="s">
        <v>234</v>
      </c>
      <c r="R10" t="s">
        <v>30</v>
      </c>
      <c r="S10" s="9" t="s">
        <v>234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234</v>
      </c>
      <c r="AB10" s="22">
        <v>100</v>
      </c>
      <c r="AD10" s="9" t="s">
        <v>234</v>
      </c>
      <c r="AE10" s="22">
        <v>0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235</v>
      </c>
      <c r="B11" s="9" t="s">
        <v>234</v>
      </c>
      <c r="C11" s="9" t="s">
        <v>47</v>
      </c>
      <c r="E11" s="9" t="s">
        <v>235</v>
      </c>
      <c r="F11" s="22">
        <v>0</v>
      </c>
      <c r="G11" s="9" t="s">
        <v>235</v>
      </c>
      <c r="H11" s="22">
        <v>0</v>
      </c>
      <c r="I11" s="9" t="s">
        <v>235</v>
      </c>
      <c r="J11" s="22">
        <v>0</v>
      </c>
      <c r="K11" s="9" t="s">
        <v>235</v>
      </c>
      <c r="L11" s="22">
        <v>0</v>
      </c>
      <c r="M11" s="9" t="s">
        <v>235</v>
      </c>
      <c r="N11" s="22">
        <v>0</v>
      </c>
      <c r="O11" t="s">
        <v>235</v>
      </c>
      <c r="P11" t="s">
        <v>235</v>
      </c>
      <c r="Q11" t="s">
        <v>235</v>
      </c>
      <c r="R11" t="s">
        <v>30</v>
      </c>
      <c r="S11" s="9" t="s">
        <v>235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235</v>
      </c>
      <c r="AB11" s="22">
        <v>100</v>
      </c>
      <c r="AD11" s="9" t="s">
        <v>235</v>
      </c>
      <c r="AE11" s="22">
        <v>0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236</v>
      </c>
      <c r="B12" s="9" t="s">
        <v>235</v>
      </c>
      <c r="C12" s="9" t="s">
        <v>48</v>
      </c>
      <c r="D12" s="9"/>
      <c r="E12" s="9" t="s">
        <v>236</v>
      </c>
      <c r="F12" s="22">
        <v>0</v>
      </c>
      <c r="G12" s="9" t="s">
        <v>236</v>
      </c>
      <c r="H12" s="22">
        <v>0</v>
      </c>
      <c r="I12" s="9" t="s">
        <v>236</v>
      </c>
      <c r="J12" s="22">
        <v>0</v>
      </c>
      <c r="K12" s="9" t="s">
        <v>236</v>
      </c>
      <c r="L12" s="22">
        <v>1</v>
      </c>
      <c r="M12" s="9" t="s">
        <v>236</v>
      </c>
      <c r="N12" s="22">
        <v>1</v>
      </c>
      <c r="O12" t="s">
        <v>236</v>
      </c>
      <c r="P12" t="s">
        <v>236</v>
      </c>
      <c r="Q12" t="s">
        <v>236</v>
      </c>
      <c r="R12" t="s">
        <v>30</v>
      </c>
      <c r="S12" s="9" t="s">
        <v>236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236</v>
      </c>
      <c r="AB12" s="22">
        <v>100</v>
      </c>
      <c r="AD12" s="9" t="s">
        <v>236</v>
      </c>
      <c r="AE12" s="22">
        <v>0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237</v>
      </c>
      <c r="B13" s="9" t="s">
        <v>236</v>
      </c>
      <c r="C13" s="9" t="s">
        <v>49</v>
      </c>
      <c r="D13" s="9"/>
      <c r="E13" s="9" t="s">
        <v>237</v>
      </c>
      <c r="F13" s="22">
        <v>0</v>
      </c>
      <c r="G13" s="9" t="s">
        <v>237</v>
      </c>
      <c r="H13" s="22">
        <v>1</v>
      </c>
      <c r="I13" s="9" t="s">
        <v>237</v>
      </c>
      <c r="J13" s="22">
        <v>1</v>
      </c>
      <c r="K13" s="9" t="s">
        <v>237</v>
      </c>
      <c r="L13" s="22">
        <v>1</v>
      </c>
      <c r="M13" s="9" t="s">
        <v>237</v>
      </c>
      <c r="N13" s="22">
        <v>1</v>
      </c>
      <c r="O13" t="s">
        <v>237</v>
      </c>
      <c r="P13" t="s">
        <v>237</v>
      </c>
      <c r="Q13" t="s">
        <v>237</v>
      </c>
      <c r="R13" t="s">
        <v>30</v>
      </c>
      <c r="S13" s="9" t="s">
        <v>237</v>
      </c>
      <c r="T13" s="22">
        <v>-1</v>
      </c>
      <c r="U13" s="22">
        <v>1</v>
      </c>
      <c r="V13" s="22">
        <v>1</v>
      </c>
      <c r="W13" s="22">
        <v>1</v>
      </c>
      <c r="X13" s="22">
        <v>-1</v>
      </c>
      <c r="AA13" s="9" t="s">
        <v>237</v>
      </c>
      <c r="AB13" s="22">
        <v>100</v>
      </c>
      <c r="AD13" s="9" t="s">
        <v>237</v>
      </c>
      <c r="AE13" s="22">
        <v>0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238</v>
      </c>
      <c r="B14" s="9" t="s">
        <v>237</v>
      </c>
      <c r="C14" s="9" t="s">
        <v>50</v>
      </c>
      <c r="D14" s="9"/>
      <c r="E14" s="9" t="s">
        <v>238</v>
      </c>
      <c r="F14" s="22">
        <v>1</v>
      </c>
      <c r="G14" s="9" t="s">
        <v>238</v>
      </c>
      <c r="H14" s="22">
        <v>1</v>
      </c>
      <c r="I14" s="9" t="s">
        <v>238</v>
      </c>
      <c r="J14" s="22">
        <v>1</v>
      </c>
      <c r="K14" s="9" t="s">
        <v>238</v>
      </c>
      <c r="L14" s="22">
        <v>1</v>
      </c>
      <c r="M14" s="9" t="s">
        <v>238</v>
      </c>
      <c r="N14" s="22">
        <v>1</v>
      </c>
      <c r="O14" t="s">
        <v>238</v>
      </c>
      <c r="P14" t="s">
        <v>238</v>
      </c>
      <c r="Q14" t="s">
        <v>238</v>
      </c>
      <c r="R14" t="s">
        <v>30</v>
      </c>
      <c r="S14" s="9" t="s">
        <v>238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238</v>
      </c>
      <c r="AB14" s="22">
        <v>100</v>
      </c>
      <c r="AD14" s="9" t="s">
        <v>238</v>
      </c>
      <c r="AE14" s="22">
        <v>0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239</v>
      </c>
      <c r="B15" s="9" t="s">
        <v>238</v>
      </c>
      <c r="C15" s="9" t="s">
        <v>51</v>
      </c>
      <c r="D15" s="9"/>
      <c r="E15" s="9" t="s">
        <v>239</v>
      </c>
      <c r="F15" s="22">
        <v>0</v>
      </c>
      <c r="G15" s="9" t="s">
        <v>239</v>
      </c>
      <c r="H15" s="22">
        <v>0</v>
      </c>
      <c r="I15" s="9" t="s">
        <v>239</v>
      </c>
      <c r="J15" s="22">
        <v>0</v>
      </c>
      <c r="K15" s="9" t="s">
        <v>239</v>
      </c>
      <c r="L15" s="22">
        <v>1</v>
      </c>
      <c r="M15" s="9" t="s">
        <v>239</v>
      </c>
      <c r="N15" s="22">
        <v>1</v>
      </c>
      <c r="O15" t="s">
        <v>239</v>
      </c>
      <c r="P15" t="s">
        <v>239</v>
      </c>
      <c r="Q15" t="s">
        <v>239</v>
      </c>
      <c r="R15" t="s">
        <v>30</v>
      </c>
      <c r="S15" s="9" t="s">
        <v>239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239</v>
      </c>
      <c r="AB15" s="22">
        <v>100</v>
      </c>
      <c r="AD15" s="9" t="s">
        <v>239</v>
      </c>
      <c r="AE15" s="22">
        <v>0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240</v>
      </c>
      <c r="B16" s="9" t="s">
        <v>239</v>
      </c>
      <c r="C16" s="9" t="s">
        <v>52</v>
      </c>
      <c r="D16" s="9"/>
      <c r="E16" s="9" t="s">
        <v>240</v>
      </c>
      <c r="F16" s="22">
        <v>0</v>
      </c>
      <c r="G16" s="9" t="s">
        <v>240</v>
      </c>
      <c r="H16" s="22">
        <v>0</v>
      </c>
      <c r="I16" s="9" t="s">
        <v>240</v>
      </c>
      <c r="J16" s="22">
        <v>0</v>
      </c>
      <c r="K16" s="9" t="s">
        <v>240</v>
      </c>
      <c r="L16" s="22">
        <v>1</v>
      </c>
      <c r="M16" s="9" t="s">
        <v>240</v>
      </c>
      <c r="N16" s="22">
        <v>1</v>
      </c>
      <c r="O16" t="s">
        <v>240</v>
      </c>
      <c r="P16" t="s">
        <v>240</v>
      </c>
      <c r="Q16" t="s">
        <v>240</v>
      </c>
      <c r="R16" t="s">
        <v>30</v>
      </c>
      <c r="S16" s="9" t="s">
        <v>240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240</v>
      </c>
      <c r="AB16" s="22">
        <v>100</v>
      </c>
      <c r="AD16" s="9" t="s">
        <v>240</v>
      </c>
      <c r="AE16" s="22">
        <v>0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241</v>
      </c>
      <c r="B17" s="9" t="s">
        <v>240</v>
      </c>
      <c r="E17" s="9" t="s">
        <v>241</v>
      </c>
      <c r="F17" s="22">
        <v>0</v>
      </c>
      <c r="G17" s="9" t="s">
        <v>241</v>
      </c>
      <c r="H17" s="22">
        <v>1</v>
      </c>
      <c r="I17" s="9" t="s">
        <v>241</v>
      </c>
      <c r="J17" s="22">
        <v>0</v>
      </c>
      <c r="K17" s="9" t="s">
        <v>241</v>
      </c>
      <c r="L17" s="22">
        <v>1</v>
      </c>
      <c r="M17" s="9" t="s">
        <v>241</v>
      </c>
      <c r="N17" s="22">
        <v>1</v>
      </c>
      <c r="O17" t="s">
        <v>241</v>
      </c>
      <c r="P17" t="s">
        <v>241</v>
      </c>
      <c r="Q17" t="s">
        <v>241</v>
      </c>
      <c r="R17" t="s">
        <v>30</v>
      </c>
      <c r="S17" s="9" t="s">
        <v>241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241</v>
      </c>
      <c r="AB17" s="22">
        <v>100</v>
      </c>
      <c r="AD17" s="9" t="s">
        <v>241</v>
      </c>
      <c r="AE17" s="22">
        <v>0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242</v>
      </c>
      <c r="B18" s="9" t="s">
        <v>241</v>
      </c>
      <c r="E18" s="9" t="s">
        <v>242</v>
      </c>
      <c r="F18" s="22">
        <v>0</v>
      </c>
      <c r="G18" s="9" t="s">
        <v>242</v>
      </c>
      <c r="H18" s="22">
        <v>0</v>
      </c>
      <c r="I18" s="9" t="s">
        <v>242</v>
      </c>
      <c r="J18" s="22">
        <v>0</v>
      </c>
      <c r="K18" s="9" t="s">
        <v>242</v>
      </c>
      <c r="L18" s="22">
        <v>1</v>
      </c>
      <c r="M18" s="9" t="s">
        <v>242</v>
      </c>
      <c r="N18" s="22">
        <v>1</v>
      </c>
      <c r="O18" t="s">
        <v>242</v>
      </c>
      <c r="P18" t="s">
        <v>242</v>
      </c>
      <c r="Q18" t="s">
        <v>242</v>
      </c>
      <c r="R18" t="s">
        <v>30</v>
      </c>
      <c r="S18" s="9" t="s">
        <v>242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242</v>
      </c>
      <c r="AB18" s="22">
        <v>100</v>
      </c>
      <c r="AD18" s="9" t="s">
        <v>242</v>
      </c>
      <c r="AE18" s="22">
        <v>0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243</v>
      </c>
      <c r="B19" s="9" t="s">
        <v>242</v>
      </c>
      <c r="E19" s="9" t="s">
        <v>243</v>
      </c>
      <c r="F19" s="22">
        <v>0</v>
      </c>
      <c r="G19" s="9" t="s">
        <v>243</v>
      </c>
      <c r="H19" s="22">
        <v>0</v>
      </c>
      <c r="I19" s="9" t="s">
        <v>243</v>
      </c>
      <c r="J19" s="22">
        <v>0</v>
      </c>
      <c r="K19" s="9" t="s">
        <v>243</v>
      </c>
      <c r="L19" s="22">
        <v>1</v>
      </c>
      <c r="M19" s="9" t="s">
        <v>243</v>
      </c>
      <c r="N19" s="22">
        <v>1</v>
      </c>
      <c r="O19" t="s">
        <v>243</v>
      </c>
      <c r="P19" t="s">
        <v>243</v>
      </c>
      <c r="Q19" t="s">
        <v>243</v>
      </c>
      <c r="R19" t="s">
        <v>30</v>
      </c>
      <c r="S19" s="9" t="s">
        <v>243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243</v>
      </c>
      <c r="AB19" s="22">
        <v>100</v>
      </c>
      <c r="AD19" s="9" t="s">
        <v>243</v>
      </c>
      <c r="AE19" s="22">
        <v>0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244</v>
      </c>
      <c r="B20" s="9" t="s">
        <v>243</v>
      </c>
      <c r="E20" s="9" t="s">
        <v>244</v>
      </c>
      <c r="F20" s="22">
        <v>0</v>
      </c>
      <c r="G20" s="9" t="s">
        <v>244</v>
      </c>
      <c r="H20" s="22">
        <v>0</v>
      </c>
      <c r="I20" s="9" t="s">
        <v>244</v>
      </c>
      <c r="J20" s="22">
        <v>0</v>
      </c>
      <c r="K20" s="9" t="s">
        <v>244</v>
      </c>
      <c r="L20" s="22">
        <v>1</v>
      </c>
      <c r="M20" s="9" t="s">
        <v>244</v>
      </c>
      <c r="N20" s="22">
        <v>1</v>
      </c>
      <c r="O20" t="s">
        <v>244</v>
      </c>
      <c r="P20" t="s">
        <v>244</v>
      </c>
      <c r="Q20" t="s">
        <v>244</v>
      </c>
      <c r="R20" t="s">
        <v>30</v>
      </c>
      <c r="S20" s="9" t="s">
        <v>244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244</v>
      </c>
      <c r="AB20" s="22">
        <v>100</v>
      </c>
      <c r="AD20" s="9" t="s">
        <v>244</v>
      </c>
      <c r="AE20" s="22">
        <v>0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245</v>
      </c>
      <c r="B21" s="9" t="s">
        <v>244</v>
      </c>
      <c r="E21" s="9" t="s">
        <v>245</v>
      </c>
      <c r="F21" s="22">
        <v>0</v>
      </c>
      <c r="G21" s="9" t="s">
        <v>245</v>
      </c>
      <c r="H21" s="22">
        <v>0</v>
      </c>
      <c r="I21" s="9" t="s">
        <v>245</v>
      </c>
      <c r="J21" s="22">
        <v>0</v>
      </c>
      <c r="K21" s="9" t="s">
        <v>245</v>
      </c>
      <c r="L21" s="22">
        <v>1</v>
      </c>
      <c r="M21" s="9" t="s">
        <v>245</v>
      </c>
      <c r="N21" s="22">
        <v>1</v>
      </c>
      <c r="O21" t="s">
        <v>245</v>
      </c>
      <c r="P21" t="s">
        <v>245</v>
      </c>
      <c r="Q21" t="s">
        <v>245</v>
      </c>
      <c r="R21" t="s">
        <v>30</v>
      </c>
      <c r="S21" s="9" t="s">
        <v>245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245</v>
      </c>
      <c r="AB21" s="22">
        <v>100</v>
      </c>
      <c r="AD21" s="9" t="s">
        <v>245</v>
      </c>
      <c r="AE21" s="22">
        <v>0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246</v>
      </c>
      <c r="B22" s="9" t="s">
        <v>245</v>
      </c>
      <c r="E22" s="9" t="s">
        <v>246</v>
      </c>
      <c r="F22" s="22">
        <v>0</v>
      </c>
      <c r="G22" s="9" t="s">
        <v>246</v>
      </c>
      <c r="H22" s="22">
        <v>0</v>
      </c>
      <c r="I22" s="9" t="s">
        <v>246</v>
      </c>
      <c r="J22" s="22">
        <v>0</v>
      </c>
      <c r="K22" s="9" t="s">
        <v>246</v>
      </c>
      <c r="L22" s="22">
        <v>1</v>
      </c>
      <c r="M22" s="9" t="s">
        <v>246</v>
      </c>
      <c r="N22" s="22">
        <v>1</v>
      </c>
      <c r="O22" t="s">
        <v>246</v>
      </c>
      <c r="P22" t="s">
        <v>246</v>
      </c>
      <c r="Q22" t="s">
        <v>246</v>
      </c>
      <c r="R22" t="s">
        <v>30</v>
      </c>
      <c r="S22" s="9" t="s">
        <v>246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246</v>
      </c>
      <c r="AB22" s="22">
        <v>100</v>
      </c>
      <c r="AD22" s="9" t="s">
        <v>246</v>
      </c>
      <c r="AE22" s="22">
        <v>0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247</v>
      </c>
      <c r="B23" s="9" t="s">
        <v>246</v>
      </c>
      <c r="E23" s="9" t="s">
        <v>247</v>
      </c>
      <c r="F23" s="22">
        <v>0</v>
      </c>
      <c r="G23" s="9" t="s">
        <v>247</v>
      </c>
      <c r="H23" s="22">
        <v>0</v>
      </c>
      <c r="I23" s="9" t="s">
        <v>247</v>
      </c>
      <c r="J23" s="22">
        <v>0</v>
      </c>
      <c r="K23" s="9" t="s">
        <v>247</v>
      </c>
      <c r="L23" s="22">
        <v>1</v>
      </c>
      <c r="M23" s="9" t="s">
        <v>247</v>
      </c>
      <c r="N23" s="22">
        <v>1</v>
      </c>
      <c r="O23" t="s">
        <v>247</v>
      </c>
      <c r="P23" t="s">
        <v>247</v>
      </c>
      <c r="Q23" t="s">
        <v>247</v>
      </c>
      <c r="R23" t="s">
        <v>30</v>
      </c>
      <c r="S23" s="9" t="s">
        <v>247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247</v>
      </c>
      <c r="AB23" s="22">
        <v>100</v>
      </c>
      <c r="AD23" s="9" t="s">
        <v>247</v>
      </c>
      <c r="AE23" s="22">
        <v>0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248</v>
      </c>
      <c r="B24" s="9" t="s">
        <v>247</v>
      </c>
      <c r="E24" s="9" t="s">
        <v>248</v>
      </c>
      <c r="F24" s="22">
        <v>0</v>
      </c>
      <c r="G24" s="9" t="s">
        <v>248</v>
      </c>
      <c r="H24" s="22">
        <v>0</v>
      </c>
      <c r="I24" s="9" t="s">
        <v>248</v>
      </c>
      <c r="J24" s="22">
        <v>0</v>
      </c>
      <c r="K24" s="9" t="s">
        <v>248</v>
      </c>
      <c r="L24" s="22">
        <v>1</v>
      </c>
      <c r="M24" s="9" t="s">
        <v>248</v>
      </c>
      <c r="N24" s="22">
        <v>1</v>
      </c>
      <c r="O24" t="s">
        <v>248</v>
      </c>
      <c r="P24" t="s">
        <v>248</v>
      </c>
      <c r="Q24" t="s">
        <v>248</v>
      </c>
      <c r="R24" t="s">
        <v>30</v>
      </c>
      <c r="S24" s="9" t="s">
        <v>248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248</v>
      </c>
      <c r="AB24" s="22">
        <v>100</v>
      </c>
      <c r="AD24" s="9" t="s">
        <v>248</v>
      </c>
      <c r="AE24" s="22">
        <v>0</v>
      </c>
      <c r="AG24" s="10">
        <v>2036</v>
      </c>
      <c r="AI24" s="10">
        <v>2034</v>
      </c>
      <c r="AJ24">
        <v>2035</v>
      </c>
    </row>
    <row r="25" spans="1:42">
      <c r="A25" s="9" t="s">
        <v>249</v>
      </c>
      <c r="B25" s="9" t="s">
        <v>248</v>
      </c>
      <c r="E25" s="9" t="s">
        <v>249</v>
      </c>
      <c r="F25" s="22">
        <v>0</v>
      </c>
      <c r="G25" s="9" t="s">
        <v>249</v>
      </c>
      <c r="H25" s="22">
        <v>0</v>
      </c>
      <c r="I25" s="9" t="s">
        <v>249</v>
      </c>
      <c r="J25" s="22">
        <v>0</v>
      </c>
      <c r="K25" s="9" t="s">
        <v>249</v>
      </c>
      <c r="L25" s="22">
        <v>1</v>
      </c>
      <c r="M25" s="9" t="s">
        <v>249</v>
      </c>
      <c r="N25" s="22">
        <v>1</v>
      </c>
      <c r="O25" t="s">
        <v>249</v>
      </c>
      <c r="P25" t="s">
        <v>249</v>
      </c>
      <c r="Q25" t="s">
        <v>249</v>
      </c>
      <c r="R25" t="s">
        <v>30</v>
      </c>
      <c r="S25" s="9" t="s">
        <v>249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249</v>
      </c>
      <c r="AB25" s="22">
        <v>100</v>
      </c>
      <c r="AD25" s="9" t="s">
        <v>249</v>
      </c>
      <c r="AE25" s="22">
        <v>0</v>
      </c>
      <c r="AG25" s="10">
        <v>2037</v>
      </c>
      <c r="AI25" s="10">
        <v>2035</v>
      </c>
      <c r="AJ25">
        <v>2036</v>
      </c>
    </row>
    <row r="26" spans="1:42">
      <c r="A26" s="9" t="s">
        <v>250</v>
      </c>
      <c r="B26" s="9" t="s">
        <v>249</v>
      </c>
      <c r="E26" s="9" t="s">
        <v>250</v>
      </c>
      <c r="F26" s="22">
        <v>0</v>
      </c>
      <c r="G26" s="9" t="s">
        <v>250</v>
      </c>
      <c r="H26" s="22">
        <v>0</v>
      </c>
      <c r="I26" s="9" t="s">
        <v>250</v>
      </c>
      <c r="J26" s="22">
        <v>0</v>
      </c>
      <c r="K26" s="9" t="s">
        <v>250</v>
      </c>
      <c r="L26" s="22">
        <v>1</v>
      </c>
      <c r="M26" s="9" t="s">
        <v>250</v>
      </c>
      <c r="N26" s="22">
        <v>1</v>
      </c>
      <c r="O26" t="s">
        <v>250</v>
      </c>
      <c r="P26" t="s">
        <v>250</v>
      </c>
      <c r="Q26" t="s">
        <v>250</v>
      </c>
      <c r="R26" t="s">
        <v>30</v>
      </c>
      <c r="S26" s="9" t="s">
        <v>250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250</v>
      </c>
      <c r="AB26" s="22">
        <v>100</v>
      </c>
      <c r="AD26" s="9" t="s">
        <v>250</v>
      </c>
      <c r="AE26" s="22">
        <v>0</v>
      </c>
      <c r="AG26" s="10">
        <v>2038</v>
      </c>
      <c r="AI26" s="10">
        <v>2036</v>
      </c>
      <c r="AJ26">
        <v>2037</v>
      </c>
    </row>
    <row r="27" spans="1:42">
      <c r="A27" s="9" t="s">
        <v>252</v>
      </c>
      <c r="B27" s="9" t="s">
        <v>250</v>
      </c>
      <c r="E27" s="9" t="s">
        <v>252</v>
      </c>
      <c r="F27" s="22">
        <v>0</v>
      </c>
      <c r="G27" s="9" t="s">
        <v>252</v>
      </c>
      <c r="H27" s="22">
        <v>0</v>
      </c>
      <c r="I27" s="9" t="s">
        <v>252</v>
      </c>
      <c r="J27" s="22">
        <v>0</v>
      </c>
      <c r="K27" s="9" t="s">
        <v>252</v>
      </c>
      <c r="L27" s="22">
        <v>1</v>
      </c>
      <c r="M27" s="9" t="s">
        <v>252</v>
      </c>
      <c r="N27" s="22">
        <v>1</v>
      </c>
      <c r="O27" t="s">
        <v>252</v>
      </c>
      <c r="P27" t="s">
        <v>252</v>
      </c>
      <c r="Q27" t="s">
        <v>252</v>
      </c>
      <c r="R27" t="s">
        <v>30</v>
      </c>
      <c r="S27" s="9" t="s">
        <v>252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252</v>
      </c>
      <c r="AB27" s="22">
        <v>100</v>
      </c>
      <c r="AD27" s="9" t="s">
        <v>252</v>
      </c>
      <c r="AE27" s="22">
        <v>0</v>
      </c>
      <c r="AG27" s="10">
        <v>2039</v>
      </c>
      <c r="AI27" s="10">
        <v>2037</v>
      </c>
      <c r="AJ27">
        <v>2038</v>
      </c>
    </row>
    <row r="28" spans="1:42">
      <c r="A28" s="9" t="s">
        <v>253</v>
      </c>
      <c r="B28" s="9" t="s">
        <v>252</v>
      </c>
      <c r="E28" s="9" t="s">
        <v>253</v>
      </c>
      <c r="F28" s="22">
        <v>0</v>
      </c>
      <c r="G28" s="9" t="s">
        <v>253</v>
      </c>
      <c r="H28" s="22">
        <v>0</v>
      </c>
      <c r="I28" s="9" t="s">
        <v>253</v>
      </c>
      <c r="J28" s="22">
        <v>0</v>
      </c>
      <c r="K28" s="9" t="s">
        <v>253</v>
      </c>
      <c r="L28" s="22">
        <v>1</v>
      </c>
      <c r="M28" s="9" t="s">
        <v>253</v>
      </c>
      <c r="N28" s="22">
        <v>1</v>
      </c>
      <c r="O28" t="s">
        <v>253</v>
      </c>
      <c r="P28" t="s">
        <v>256</v>
      </c>
      <c r="Q28" t="s">
        <v>253</v>
      </c>
      <c r="R28" t="s">
        <v>30</v>
      </c>
      <c r="S28" s="9" t="s">
        <v>253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253</v>
      </c>
      <c r="AB28" s="22">
        <v>100</v>
      </c>
      <c r="AD28" s="9" t="s">
        <v>253</v>
      </c>
      <c r="AE28" s="22">
        <v>0</v>
      </c>
      <c r="AG28" s="10">
        <v>2040</v>
      </c>
      <c r="AI28" s="10">
        <v>2038</v>
      </c>
      <c r="AJ28">
        <v>2039</v>
      </c>
    </row>
    <row r="29" spans="1:42">
      <c r="A29" s="9" t="s">
        <v>254</v>
      </c>
      <c r="B29" s="9" t="s">
        <v>255</v>
      </c>
      <c r="E29" s="9" t="s">
        <v>254</v>
      </c>
      <c r="F29" s="22">
        <v>0</v>
      </c>
      <c r="G29" s="9" t="s">
        <v>254</v>
      </c>
      <c r="H29" s="22">
        <v>0</v>
      </c>
      <c r="I29" s="9" t="s">
        <v>254</v>
      </c>
      <c r="J29" s="22">
        <v>0</v>
      </c>
      <c r="K29" s="9" t="s">
        <v>254</v>
      </c>
      <c r="L29" s="22">
        <v>1</v>
      </c>
      <c r="M29" s="9" t="s">
        <v>254</v>
      </c>
      <c r="N29" s="22">
        <v>1</v>
      </c>
      <c r="O29" t="s">
        <v>254</v>
      </c>
      <c r="P29" t="s">
        <v>255</v>
      </c>
      <c r="Q29" t="s">
        <v>254</v>
      </c>
      <c r="R29" t="s">
        <v>30</v>
      </c>
      <c r="S29" s="9" t="s">
        <v>254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AA29" s="9" t="s">
        <v>254</v>
      </c>
      <c r="AB29" s="22">
        <v>100</v>
      </c>
      <c r="AD29" s="9" t="s">
        <v>254</v>
      </c>
      <c r="AE29" s="22">
        <v>0</v>
      </c>
      <c r="AG29" s="10">
        <v>2041</v>
      </c>
      <c r="AI29" s="10">
        <v>2039</v>
      </c>
      <c r="AJ29">
        <v>2040</v>
      </c>
    </row>
    <row r="30" spans="1:42">
      <c r="A30" s="9" t="s">
        <v>259</v>
      </c>
      <c r="B30" s="9" t="s">
        <v>256</v>
      </c>
      <c r="E30" s="9" t="s">
        <v>259</v>
      </c>
      <c r="F30" s="22">
        <v>0</v>
      </c>
      <c r="G30" s="9" t="s">
        <v>259</v>
      </c>
      <c r="H30" s="22">
        <v>0</v>
      </c>
      <c r="I30" s="9" t="s">
        <v>259</v>
      </c>
      <c r="J30" s="22">
        <v>0</v>
      </c>
      <c r="K30" s="9" t="s">
        <v>259</v>
      </c>
      <c r="L30" s="22">
        <v>0</v>
      </c>
      <c r="M30" s="9" t="s">
        <v>259</v>
      </c>
      <c r="N30" s="22">
        <v>0</v>
      </c>
      <c r="O30" t="s">
        <v>259</v>
      </c>
      <c r="P30" t="s">
        <v>259</v>
      </c>
      <c r="Q30" t="s">
        <v>259</v>
      </c>
      <c r="R30" t="s">
        <v>30</v>
      </c>
      <c r="S30" s="9" t="s">
        <v>259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259</v>
      </c>
      <c r="AB30" s="22">
        <v>100</v>
      </c>
      <c r="AD30" s="9" t="s">
        <v>259</v>
      </c>
      <c r="AE30" s="22">
        <v>0</v>
      </c>
      <c r="AG30" s="10">
        <v>2042</v>
      </c>
      <c r="AI30" s="10">
        <v>2040</v>
      </c>
      <c r="AJ30">
        <v>2045</v>
      </c>
    </row>
    <row r="31" spans="1:42">
      <c r="A31" s="9" t="s">
        <v>260</v>
      </c>
      <c r="B31" s="9" t="s">
        <v>259</v>
      </c>
      <c r="E31" s="9" t="s">
        <v>260</v>
      </c>
      <c r="F31" s="22">
        <v>0</v>
      </c>
      <c r="G31" s="9" t="s">
        <v>260</v>
      </c>
      <c r="H31" s="22">
        <v>0</v>
      </c>
      <c r="I31" s="9" t="s">
        <v>260</v>
      </c>
      <c r="J31" s="22">
        <v>1</v>
      </c>
      <c r="K31" s="9" t="s">
        <v>260</v>
      </c>
      <c r="L31" s="22">
        <v>0</v>
      </c>
      <c r="M31" s="9" t="s">
        <v>260</v>
      </c>
      <c r="N31" s="22">
        <v>0</v>
      </c>
      <c r="O31" t="s">
        <v>260</v>
      </c>
      <c r="P31" t="s">
        <v>260</v>
      </c>
      <c r="Q31" t="s">
        <v>260</v>
      </c>
      <c r="R31" t="s">
        <v>30</v>
      </c>
      <c r="S31" s="9" t="s">
        <v>260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260</v>
      </c>
      <c r="AB31" s="22">
        <v>100</v>
      </c>
      <c r="AD31" s="9" t="s">
        <v>260</v>
      </c>
      <c r="AE31" s="22">
        <v>0</v>
      </c>
      <c r="AG31" s="10">
        <v>2043</v>
      </c>
      <c r="AI31" s="10">
        <v>2041</v>
      </c>
      <c r="AJ31" s="10">
        <v>2050</v>
      </c>
    </row>
    <row r="32" spans="1:42">
      <c r="A32" s="9" t="s">
        <v>261</v>
      </c>
      <c r="B32" s="9" t="s">
        <v>260</v>
      </c>
      <c r="E32" s="9" t="s">
        <v>261</v>
      </c>
      <c r="F32" s="22">
        <v>0</v>
      </c>
      <c r="G32" s="9" t="s">
        <v>261</v>
      </c>
      <c r="H32" s="22">
        <v>0</v>
      </c>
      <c r="I32" s="9" t="s">
        <v>261</v>
      </c>
      <c r="J32" s="22">
        <v>1</v>
      </c>
      <c r="K32" s="9" t="s">
        <v>261</v>
      </c>
      <c r="L32" s="22">
        <v>0</v>
      </c>
      <c r="M32" s="9" t="s">
        <v>261</v>
      </c>
      <c r="N32" s="22">
        <v>0</v>
      </c>
      <c r="O32" t="s">
        <v>261</v>
      </c>
      <c r="P32" t="s">
        <v>261</v>
      </c>
      <c r="Q32" t="s">
        <v>261</v>
      </c>
      <c r="R32" t="s">
        <v>30</v>
      </c>
      <c r="S32" s="9" t="s">
        <v>261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261</v>
      </c>
      <c r="AB32" s="22">
        <v>100</v>
      </c>
      <c r="AD32" s="9" t="s">
        <v>261</v>
      </c>
      <c r="AE32" s="22">
        <v>0</v>
      </c>
      <c r="AG32" s="10">
        <v>2044</v>
      </c>
      <c r="AI32" s="10">
        <v>2042</v>
      </c>
      <c r="AJ32" s="10">
        <v>2060</v>
      </c>
    </row>
    <row r="33" spans="1:39">
      <c r="A33" s="9" t="s">
        <v>262</v>
      </c>
      <c r="B33" s="9" t="s">
        <v>261</v>
      </c>
      <c r="E33" s="9" t="s">
        <v>262</v>
      </c>
      <c r="F33" s="22">
        <v>0</v>
      </c>
      <c r="G33" s="9" t="s">
        <v>262</v>
      </c>
      <c r="H33" s="22">
        <v>1</v>
      </c>
      <c r="I33" s="9" t="s">
        <v>262</v>
      </c>
      <c r="J33" s="22">
        <v>1</v>
      </c>
      <c r="K33" s="9" t="s">
        <v>262</v>
      </c>
      <c r="L33" s="22">
        <v>1</v>
      </c>
      <c r="M33" s="9" t="s">
        <v>262</v>
      </c>
      <c r="N33" s="22">
        <v>1</v>
      </c>
      <c r="O33" t="s">
        <v>262</v>
      </c>
      <c r="P33" t="s">
        <v>262</v>
      </c>
      <c r="Q33" t="s">
        <v>262</v>
      </c>
      <c r="R33" t="s">
        <v>30</v>
      </c>
      <c r="S33" s="9" t="s">
        <v>262</v>
      </c>
      <c r="T33" s="22">
        <v>-1</v>
      </c>
      <c r="U33" s="22">
        <v>-1</v>
      </c>
      <c r="V33" s="22">
        <v>-1</v>
      </c>
      <c r="W33" s="22">
        <v>1</v>
      </c>
      <c r="X33" s="22">
        <v>-1</v>
      </c>
      <c r="AA33" s="9" t="s">
        <v>262</v>
      </c>
      <c r="AB33" s="22">
        <v>100</v>
      </c>
      <c r="AD33" s="9" t="s">
        <v>262</v>
      </c>
      <c r="AE33" s="22">
        <v>0</v>
      </c>
      <c r="AG33" s="10">
        <v>2045</v>
      </c>
      <c r="AI33" s="10">
        <v>2043</v>
      </c>
      <c r="AJ33">
        <v>2070</v>
      </c>
    </row>
    <row r="34" spans="1:39">
      <c r="A34" s="9" t="s">
        <v>264</v>
      </c>
      <c r="B34" s="9" t="s">
        <v>264</v>
      </c>
      <c r="E34" s="9" t="s">
        <v>264</v>
      </c>
      <c r="F34" s="22">
        <v>0</v>
      </c>
      <c r="G34" s="9" t="s">
        <v>264</v>
      </c>
      <c r="H34" s="22">
        <v>1</v>
      </c>
      <c r="I34" s="9" t="s">
        <v>264</v>
      </c>
      <c r="J34" s="22">
        <v>1</v>
      </c>
      <c r="K34" s="9" t="s">
        <v>264</v>
      </c>
      <c r="L34" s="22">
        <v>1</v>
      </c>
      <c r="M34" s="9" t="s">
        <v>264</v>
      </c>
      <c r="N34" s="22">
        <v>1</v>
      </c>
      <c r="O34" t="s">
        <v>264</v>
      </c>
      <c r="P34" t="s">
        <v>264</v>
      </c>
      <c r="Q34" t="s">
        <v>264</v>
      </c>
      <c r="R34" t="s">
        <v>30</v>
      </c>
      <c r="S34" s="9" t="s">
        <v>264</v>
      </c>
      <c r="T34" s="22">
        <v>-1</v>
      </c>
      <c r="U34" s="22">
        <v>-1</v>
      </c>
      <c r="V34" s="22">
        <v>-1</v>
      </c>
      <c r="W34" s="22">
        <v>1</v>
      </c>
      <c r="X34" s="22">
        <v>-1</v>
      </c>
      <c r="AA34" s="9" t="s">
        <v>264</v>
      </c>
      <c r="AB34" s="22">
        <v>100</v>
      </c>
      <c r="AD34" s="9" t="s">
        <v>264</v>
      </c>
      <c r="AE34" s="22">
        <v>0</v>
      </c>
      <c r="AG34" s="10">
        <v>2046</v>
      </c>
      <c r="AI34" s="10">
        <v>2044</v>
      </c>
    </row>
    <row r="35" spans="1:39">
      <c r="A35" s="9" t="s">
        <v>266</v>
      </c>
      <c r="B35" s="9" t="s">
        <v>266</v>
      </c>
      <c r="E35" s="9" t="s">
        <v>266</v>
      </c>
      <c r="F35" s="22">
        <v>0</v>
      </c>
      <c r="G35" s="9" t="s">
        <v>266</v>
      </c>
      <c r="H35" s="22">
        <v>1</v>
      </c>
      <c r="I35" s="9" t="s">
        <v>266</v>
      </c>
      <c r="J35" s="22">
        <v>1</v>
      </c>
      <c r="K35" s="9" t="s">
        <v>266</v>
      </c>
      <c r="L35" s="22">
        <v>1</v>
      </c>
      <c r="M35" s="9" t="s">
        <v>266</v>
      </c>
      <c r="N35" s="22">
        <v>1</v>
      </c>
      <c r="O35" t="s">
        <v>266</v>
      </c>
      <c r="P35" t="s">
        <v>266</v>
      </c>
      <c r="Q35" t="s">
        <v>266</v>
      </c>
      <c r="R35" t="s">
        <v>30</v>
      </c>
      <c r="S35" s="9" t="s">
        <v>266</v>
      </c>
      <c r="T35" s="22">
        <v>-1</v>
      </c>
      <c r="U35" s="22">
        <v>-1</v>
      </c>
      <c r="V35" s="22">
        <v>-1</v>
      </c>
      <c r="W35" s="22">
        <v>1</v>
      </c>
      <c r="X35" s="22">
        <v>-1</v>
      </c>
      <c r="AA35" s="9" t="s">
        <v>266</v>
      </c>
      <c r="AB35" s="22">
        <v>100</v>
      </c>
      <c r="AD35" s="9" t="s">
        <v>266</v>
      </c>
      <c r="AE35" s="22">
        <v>0</v>
      </c>
      <c r="AG35" s="10">
        <v>2047</v>
      </c>
      <c r="AI35" s="10">
        <v>2045</v>
      </c>
    </row>
    <row r="36" spans="1:39">
      <c r="A36" s="9" t="s">
        <v>268</v>
      </c>
      <c r="B36" s="9" t="s">
        <v>269</v>
      </c>
      <c r="E36" s="9" t="s">
        <v>268</v>
      </c>
      <c r="F36" s="22">
        <v>0</v>
      </c>
      <c r="G36" s="9" t="s">
        <v>268</v>
      </c>
      <c r="H36" s="22">
        <v>1</v>
      </c>
      <c r="I36" s="9" t="s">
        <v>268</v>
      </c>
      <c r="J36" s="22">
        <v>1</v>
      </c>
      <c r="K36" s="9" t="s">
        <v>268</v>
      </c>
      <c r="L36" s="22">
        <v>1</v>
      </c>
      <c r="M36" s="9" t="s">
        <v>268</v>
      </c>
      <c r="N36" s="22">
        <v>1</v>
      </c>
      <c r="O36" t="s">
        <v>268</v>
      </c>
      <c r="P36" t="s">
        <v>266</v>
      </c>
      <c r="Q36" t="s">
        <v>268</v>
      </c>
      <c r="R36" t="s">
        <v>30</v>
      </c>
      <c r="S36" s="9" t="s">
        <v>268</v>
      </c>
      <c r="T36" s="22">
        <v>-1</v>
      </c>
      <c r="U36" s="22">
        <v>-1</v>
      </c>
      <c r="V36" s="22">
        <v>-1</v>
      </c>
      <c r="W36" s="22">
        <v>1</v>
      </c>
      <c r="X36" s="22">
        <v>-1</v>
      </c>
      <c r="AA36" s="9" t="s">
        <v>268</v>
      </c>
      <c r="AB36" s="22">
        <v>100</v>
      </c>
      <c r="AD36" s="9" t="s">
        <v>268</v>
      </c>
      <c r="AE36" s="22">
        <v>1</v>
      </c>
      <c r="AG36" s="10">
        <v>2048</v>
      </c>
      <c r="AI36" s="10">
        <v>2046</v>
      </c>
    </row>
    <row r="37" spans="1:39">
      <c r="A37" s="9" t="s">
        <v>269</v>
      </c>
      <c r="B37" s="9" t="s">
        <v>272</v>
      </c>
      <c r="E37" s="9" t="s">
        <v>269</v>
      </c>
      <c r="F37" s="22">
        <v>0</v>
      </c>
      <c r="G37" s="9" t="s">
        <v>269</v>
      </c>
      <c r="H37" s="22">
        <v>0</v>
      </c>
      <c r="I37" s="9" t="s">
        <v>269</v>
      </c>
      <c r="J37" s="22">
        <v>1</v>
      </c>
      <c r="K37" s="9" t="s">
        <v>269</v>
      </c>
      <c r="L37" s="22">
        <v>0</v>
      </c>
      <c r="M37" s="9" t="s">
        <v>269</v>
      </c>
      <c r="N37" s="22">
        <v>0</v>
      </c>
      <c r="O37" t="s">
        <v>269</v>
      </c>
      <c r="P37" t="s">
        <v>269</v>
      </c>
      <c r="Q37" t="s">
        <v>269</v>
      </c>
      <c r="R37" t="s">
        <v>30</v>
      </c>
      <c r="S37" s="9" t="s">
        <v>269</v>
      </c>
      <c r="T37" s="22">
        <v>-1</v>
      </c>
      <c r="U37" s="22">
        <v>-1</v>
      </c>
      <c r="V37" s="22">
        <v>-1</v>
      </c>
      <c r="W37" s="22">
        <v>1</v>
      </c>
      <c r="X37" s="22">
        <v>-1</v>
      </c>
      <c r="AA37" s="9" t="s">
        <v>269</v>
      </c>
      <c r="AB37" s="22">
        <v>100</v>
      </c>
      <c r="AD37" s="9" t="s">
        <v>269</v>
      </c>
      <c r="AE37" s="22">
        <v>0</v>
      </c>
      <c r="AG37" s="10">
        <v>2049</v>
      </c>
      <c r="AI37" s="10">
        <v>2047</v>
      </c>
    </row>
    <row r="38" spans="1:39">
      <c r="A38" s="9" t="s">
        <v>271</v>
      </c>
      <c r="B38" s="9" t="s">
        <v>274</v>
      </c>
      <c r="E38" s="9" t="s">
        <v>271</v>
      </c>
      <c r="F38" s="22">
        <v>0</v>
      </c>
      <c r="G38" s="9" t="s">
        <v>271</v>
      </c>
      <c r="H38" s="22">
        <v>0</v>
      </c>
      <c r="I38" s="9" t="s">
        <v>271</v>
      </c>
      <c r="J38" s="22">
        <v>1</v>
      </c>
      <c r="K38" s="9" t="s">
        <v>271</v>
      </c>
      <c r="L38" s="22">
        <v>0</v>
      </c>
      <c r="M38" s="9" t="s">
        <v>271</v>
      </c>
      <c r="N38" s="22">
        <v>0</v>
      </c>
      <c r="O38" t="s">
        <v>271</v>
      </c>
      <c r="P38" t="s">
        <v>269</v>
      </c>
      <c r="Q38" t="s">
        <v>271</v>
      </c>
      <c r="R38" t="s">
        <v>30</v>
      </c>
      <c r="S38" s="9" t="s">
        <v>271</v>
      </c>
      <c r="T38" s="22">
        <v>-1</v>
      </c>
      <c r="U38" s="22">
        <v>-1</v>
      </c>
      <c r="V38" s="22">
        <v>-1</v>
      </c>
      <c r="W38" s="22">
        <v>1</v>
      </c>
      <c r="X38" s="22">
        <v>-1</v>
      </c>
      <c r="AA38" s="9" t="s">
        <v>271</v>
      </c>
      <c r="AB38" s="22">
        <v>100</v>
      </c>
      <c r="AD38" s="9" t="s">
        <v>271</v>
      </c>
      <c r="AE38" s="22">
        <v>0</v>
      </c>
      <c r="AG38" s="10">
        <v>2050</v>
      </c>
      <c r="AI38" s="10">
        <v>2048</v>
      </c>
    </row>
    <row r="39" spans="1:39">
      <c r="A39" s="9" t="s">
        <v>272</v>
      </c>
      <c r="B39" s="9" t="s">
        <v>278</v>
      </c>
      <c r="E39" s="9" t="s">
        <v>272</v>
      </c>
      <c r="F39" s="22">
        <v>0</v>
      </c>
      <c r="G39" s="9" t="s">
        <v>272</v>
      </c>
      <c r="H39" s="22">
        <v>0</v>
      </c>
      <c r="I39" s="9" t="s">
        <v>272</v>
      </c>
      <c r="J39" s="22">
        <v>1</v>
      </c>
      <c r="K39" s="9" t="s">
        <v>272</v>
      </c>
      <c r="L39" s="22">
        <v>0</v>
      </c>
      <c r="M39" s="9" t="s">
        <v>272</v>
      </c>
      <c r="N39" s="22">
        <v>0</v>
      </c>
      <c r="O39" t="s">
        <v>272</v>
      </c>
      <c r="P39" t="s">
        <v>272</v>
      </c>
      <c r="Q39" t="s">
        <v>272</v>
      </c>
      <c r="R39" t="s">
        <v>30</v>
      </c>
      <c r="S39" s="9" t="s">
        <v>272</v>
      </c>
      <c r="T39" s="22">
        <v>-1</v>
      </c>
      <c r="U39" s="22">
        <v>-1</v>
      </c>
      <c r="V39" s="22">
        <v>-1</v>
      </c>
      <c r="W39" s="22">
        <v>1</v>
      </c>
      <c r="X39" s="22">
        <v>-1</v>
      </c>
      <c r="AA39" s="9" t="s">
        <v>272</v>
      </c>
      <c r="AB39" s="22">
        <v>100</v>
      </c>
      <c r="AD39" s="9" t="s">
        <v>272</v>
      </c>
      <c r="AE39" s="22">
        <v>0</v>
      </c>
      <c r="AG39" s="10">
        <v>2051</v>
      </c>
      <c r="AI39" s="10">
        <v>2049</v>
      </c>
    </row>
    <row r="40" spans="1:39">
      <c r="A40" s="9" t="s">
        <v>274</v>
      </c>
      <c r="B40" s="9" t="s">
        <v>279</v>
      </c>
      <c r="E40" s="9" t="s">
        <v>274</v>
      </c>
      <c r="F40" s="22">
        <v>0</v>
      </c>
      <c r="G40" s="9" t="s">
        <v>274</v>
      </c>
      <c r="H40" s="22">
        <v>0</v>
      </c>
      <c r="I40" s="9" t="s">
        <v>274</v>
      </c>
      <c r="J40" s="22">
        <v>1</v>
      </c>
      <c r="K40" s="9" t="s">
        <v>274</v>
      </c>
      <c r="L40" s="22">
        <v>0</v>
      </c>
      <c r="M40" s="9" t="s">
        <v>274</v>
      </c>
      <c r="N40" s="22">
        <v>0</v>
      </c>
      <c r="O40" t="s">
        <v>274</v>
      </c>
      <c r="P40" t="s">
        <v>274</v>
      </c>
      <c r="Q40" t="s">
        <v>274</v>
      </c>
      <c r="R40" t="s">
        <v>30</v>
      </c>
      <c r="S40" s="9" t="s">
        <v>274</v>
      </c>
      <c r="T40" s="22">
        <v>-1</v>
      </c>
      <c r="U40" s="22">
        <v>-1</v>
      </c>
      <c r="V40" s="22">
        <v>-1</v>
      </c>
      <c r="W40" s="22">
        <v>1</v>
      </c>
      <c r="X40" s="22">
        <v>-1</v>
      </c>
      <c r="AA40" s="9" t="s">
        <v>274</v>
      </c>
      <c r="AB40" s="22">
        <v>100</v>
      </c>
      <c r="AD40" s="9" t="s">
        <v>274</v>
      </c>
      <c r="AE40" s="22">
        <v>1</v>
      </c>
      <c r="AG40" s="10">
        <v>2052</v>
      </c>
      <c r="AI40" s="10">
        <v>2050</v>
      </c>
    </row>
    <row r="41" spans="1:39">
      <c r="A41" s="9" t="s">
        <v>278</v>
      </c>
      <c r="B41" s="9" t="s">
        <v>280</v>
      </c>
      <c r="E41" s="9" t="s">
        <v>278</v>
      </c>
      <c r="F41" s="22">
        <v>0</v>
      </c>
      <c r="G41" s="9" t="s">
        <v>278</v>
      </c>
      <c r="H41" s="22">
        <v>0</v>
      </c>
      <c r="I41" s="9" t="s">
        <v>278</v>
      </c>
      <c r="J41" s="22">
        <v>1</v>
      </c>
      <c r="K41" s="9" t="s">
        <v>278</v>
      </c>
      <c r="L41" s="22">
        <v>0</v>
      </c>
      <c r="M41" s="9" t="s">
        <v>278</v>
      </c>
      <c r="N41" s="22">
        <v>0</v>
      </c>
      <c r="O41" t="s">
        <v>278</v>
      </c>
      <c r="P41" t="s">
        <v>278</v>
      </c>
      <c r="Q41" t="s">
        <v>278</v>
      </c>
      <c r="R41" t="s">
        <v>30</v>
      </c>
      <c r="S41" s="9" t="s">
        <v>278</v>
      </c>
      <c r="T41" s="22">
        <v>-1</v>
      </c>
      <c r="U41" s="22">
        <v>1</v>
      </c>
      <c r="V41" s="22">
        <v>1</v>
      </c>
      <c r="W41" s="22">
        <v>1</v>
      </c>
      <c r="X41" s="22">
        <v>-1</v>
      </c>
      <c r="AA41" s="9" t="s">
        <v>278</v>
      </c>
      <c r="AB41" s="22">
        <v>100</v>
      </c>
      <c r="AD41" s="9" t="s">
        <v>278</v>
      </c>
      <c r="AE41" s="22">
        <v>0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279</v>
      </c>
      <c r="E42" s="9" t="s">
        <v>279</v>
      </c>
      <c r="F42" s="22">
        <v>1</v>
      </c>
      <c r="G42" s="9" t="s">
        <v>279</v>
      </c>
      <c r="H42" s="22">
        <v>1</v>
      </c>
      <c r="I42" s="9" t="s">
        <v>279</v>
      </c>
      <c r="J42" s="22">
        <v>1</v>
      </c>
      <c r="K42" s="9" t="s">
        <v>279</v>
      </c>
      <c r="L42" s="22">
        <v>1</v>
      </c>
      <c r="M42" s="9" t="s">
        <v>279</v>
      </c>
      <c r="N42" s="22">
        <v>1</v>
      </c>
      <c r="O42" t="s">
        <v>279</v>
      </c>
      <c r="P42" t="s">
        <v>279</v>
      </c>
      <c r="Q42" t="s">
        <v>279</v>
      </c>
      <c r="R42" t="s">
        <v>30</v>
      </c>
      <c r="S42" s="9" t="s">
        <v>279</v>
      </c>
      <c r="T42" s="22">
        <v>-1</v>
      </c>
      <c r="U42" s="22">
        <v>1</v>
      </c>
      <c r="V42" s="22">
        <v>1</v>
      </c>
      <c r="W42" s="22">
        <v>1</v>
      </c>
      <c r="X42" s="22">
        <v>-1</v>
      </c>
      <c r="AA42" s="9" t="s">
        <v>279</v>
      </c>
      <c r="AB42" s="22">
        <v>100</v>
      </c>
      <c r="AD42" s="9" t="s">
        <v>279</v>
      </c>
      <c r="AE42" s="22">
        <v>0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280</v>
      </c>
      <c r="E43" s="9" t="s">
        <v>280</v>
      </c>
      <c r="F43" s="22">
        <v>1</v>
      </c>
      <c r="G43" s="9" t="s">
        <v>280</v>
      </c>
      <c r="H43" s="22">
        <v>1</v>
      </c>
      <c r="I43" s="9" t="s">
        <v>280</v>
      </c>
      <c r="J43" s="22">
        <v>1</v>
      </c>
      <c r="K43" s="9" t="s">
        <v>280</v>
      </c>
      <c r="L43" s="22">
        <v>1</v>
      </c>
      <c r="M43" s="9" t="s">
        <v>280</v>
      </c>
      <c r="N43" s="22">
        <v>1</v>
      </c>
      <c r="O43" t="s">
        <v>280</v>
      </c>
      <c r="P43" t="s">
        <v>280</v>
      </c>
      <c r="Q43" t="s">
        <v>280</v>
      </c>
      <c r="R43" t="s">
        <v>30</v>
      </c>
      <c r="S43" s="9" t="s">
        <v>280</v>
      </c>
      <c r="T43" s="22">
        <v>-1</v>
      </c>
      <c r="U43" s="22">
        <v>1</v>
      </c>
      <c r="V43" s="22">
        <v>1</v>
      </c>
      <c r="W43" s="22">
        <v>1</v>
      </c>
      <c r="X43" s="22">
        <v>-1</v>
      </c>
      <c r="AA43" s="9" t="s">
        <v>280</v>
      </c>
      <c r="AB43" s="22">
        <v>100</v>
      </c>
      <c r="AD43" s="9" t="s">
        <v>280</v>
      </c>
      <c r="AE43" s="22">
        <v>0</v>
      </c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N99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6" sqref="G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8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8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8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8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RIGHT(B13,1)</f>
        <v>N</v>
      </c>
      <c r="V4">
        <v>4.4793989999999999</v>
      </c>
    </row>
    <row r="5" spans="1:58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8">
      <c r="A6" s="4">
        <f>SUM(A10:A98)</f>
        <v>3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SUM(AZ10:AZ60)</f>
        <v>0</v>
      </c>
    </row>
    <row r="7" spans="1:58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8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8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263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225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228</v>
      </c>
      <c r="BB9" t="s">
        <v>226</v>
      </c>
      <c r="BC9" t="s">
        <v>227</v>
      </c>
      <c r="BD9" t="s">
        <v>229</v>
      </c>
      <c r="BE9" t="s">
        <v>230</v>
      </c>
      <c r="BF9" t="s">
        <v>231</v>
      </c>
    </row>
    <row r="10" spans="1:58">
      <c r="A10">
        <v>0</v>
      </c>
      <c r="B10" t="s">
        <v>232</v>
      </c>
      <c r="C10" t="s">
        <v>251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0</v>
      </c>
      <c r="L10">
        <v>-1</v>
      </c>
      <c r="M10">
        <v>-1</v>
      </c>
      <c r="N10">
        <v>-1</v>
      </c>
      <c r="O10">
        <v>1</v>
      </c>
      <c r="P10">
        <v>-1</v>
      </c>
      <c r="Q10">
        <v>100</v>
      </c>
      <c r="AZ10">
        <v>0</v>
      </c>
    </row>
    <row r="11" spans="1:58" s="18" customFormat="1">
      <c r="A11" s="18">
        <v>0</v>
      </c>
      <c r="B11" s="18" t="s">
        <v>233</v>
      </c>
      <c r="D11" s="18" t="s">
        <v>30</v>
      </c>
      <c r="E11" s="18" t="str">
        <f t="shared" ref="E11:E33" si="3">B11</f>
        <v>NZ10_2099B_99EESSNXCT</v>
      </c>
      <c r="F11" s="18">
        <v>1</v>
      </c>
      <c r="G11" s="18">
        <v>1</v>
      </c>
      <c r="H11" s="18" t="s">
        <v>188</v>
      </c>
      <c r="I11" s="18">
        <v>1</v>
      </c>
      <c r="J11" s="18">
        <v>1</v>
      </c>
      <c r="K11">
        <v>0</v>
      </c>
      <c r="L11" s="18">
        <v>-1</v>
      </c>
      <c r="M11" s="18">
        <v>1</v>
      </c>
      <c r="N11" s="18">
        <v>1</v>
      </c>
      <c r="O11" s="18">
        <v>1</v>
      </c>
      <c r="P11" s="18">
        <v>-1</v>
      </c>
      <c r="Q11" s="18">
        <v>100</v>
      </c>
      <c r="AZ11" s="18">
        <v>0</v>
      </c>
    </row>
    <row r="12" spans="1:58">
      <c r="A12">
        <v>0</v>
      </c>
      <c r="B12" t="s">
        <v>234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0</v>
      </c>
      <c r="L12">
        <v>-1</v>
      </c>
      <c r="M12">
        <v>-1</v>
      </c>
      <c r="N12">
        <v>-1</v>
      </c>
      <c r="O12">
        <v>1</v>
      </c>
      <c r="P12">
        <v>-1</v>
      </c>
      <c r="Q12">
        <v>100</v>
      </c>
      <c r="AZ12">
        <v>0</v>
      </c>
    </row>
    <row r="13" spans="1:58">
      <c r="A13">
        <v>0</v>
      </c>
      <c r="B13" t="s">
        <v>235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0</v>
      </c>
      <c r="L13">
        <v>-1</v>
      </c>
      <c r="M13">
        <v>-1</v>
      </c>
      <c r="N13">
        <v>-1</v>
      </c>
      <c r="O13">
        <v>1</v>
      </c>
      <c r="P13">
        <v>-1</v>
      </c>
      <c r="Q13">
        <v>100</v>
      </c>
      <c r="AZ13">
        <v>0</v>
      </c>
    </row>
    <row r="14" spans="1:58">
      <c r="A14">
        <v>0</v>
      </c>
      <c r="B14" t="s">
        <v>236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0</v>
      </c>
      <c r="L14">
        <v>-1</v>
      </c>
      <c r="M14">
        <v>-1</v>
      </c>
      <c r="N14">
        <v>-1</v>
      </c>
      <c r="O14">
        <v>1</v>
      </c>
      <c r="P14">
        <v>-1</v>
      </c>
      <c r="Q14">
        <v>100</v>
      </c>
      <c r="AZ14">
        <v>0</v>
      </c>
    </row>
    <row r="15" spans="1:58" s="18" customFormat="1" ht="16.5" customHeight="1">
      <c r="A15" s="18">
        <v>0</v>
      </c>
      <c r="B15" s="18" t="s">
        <v>237</v>
      </c>
      <c r="D15" s="18" t="s">
        <v>30</v>
      </c>
      <c r="E15" s="18" t="str">
        <f t="shared" si="3"/>
        <v>NZ10_2050A_08EESSNXCT</v>
      </c>
      <c r="F15" s="18">
        <v>1</v>
      </c>
      <c r="G15" s="18">
        <v>1</v>
      </c>
      <c r="H15" s="18" t="s">
        <v>188</v>
      </c>
      <c r="I15" s="18">
        <v>1</v>
      </c>
      <c r="J15" s="18">
        <v>1</v>
      </c>
      <c r="K15">
        <v>0</v>
      </c>
      <c r="L15" s="18">
        <v>-1</v>
      </c>
      <c r="M15" s="18">
        <v>1</v>
      </c>
      <c r="N15" s="18">
        <v>1</v>
      </c>
      <c r="O15" s="18">
        <v>1</v>
      </c>
      <c r="P15" s="18">
        <v>-1</v>
      </c>
      <c r="Q15" s="18">
        <v>100</v>
      </c>
      <c r="AZ15" s="18">
        <v>0</v>
      </c>
      <c r="BB15" s="18">
        <v>1</v>
      </c>
    </row>
    <row r="16" spans="1:58" s="18" customFormat="1" ht="17.25" customHeight="1">
      <c r="A16" s="18">
        <v>1</v>
      </c>
      <c r="B16" s="18" t="s">
        <v>238</v>
      </c>
      <c r="D16" s="18" t="s">
        <v>30</v>
      </c>
      <c r="E16" s="18" t="str">
        <f t="shared" si="3"/>
        <v>NZ10_2050A_09EESSNXCT</v>
      </c>
      <c r="F16" s="18">
        <v>1</v>
      </c>
      <c r="G16" s="18">
        <v>1</v>
      </c>
      <c r="H16" s="18" t="s">
        <v>188</v>
      </c>
      <c r="I16" s="18">
        <v>1</v>
      </c>
      <c r="J16" s="18">
        <v>1</v>
      </c>
      <c r="K16">
        <v>0</v>
      </c>
      <c r="L16" s="18">
        <v>-1</v>
      </c>
      <c r="M16" s="18">
        <v>1</v>
      </c>
      <c r="N16" s="18">
        <v>1</v>
      </c>
      <c r="O16" s="18">
        <v>1</v>
      </c>
      <c r="P16" s="18">
        <v>-1</v>
      </c>
      <c r="Q16" s="18">
        <v>100</v>
      </c>
      <c r="AZ16" s="18">
        <v>0</v>
      </c>
      <c r="BB16" s="18">
        <v>1</v>
      </c>
    </row>
    <row r="17" spans="1:66" s="18" customFormat="1" ht="17.25" customHeight="1">
      <c r="A17" s="18">
        <v>1</v>
      </c>
      <c r="B17" s="18" t="s">
        <v>279</v>
      </c>
      <c r="D17" s="18" t="s">
        <v>30</v>
      </c>
      <c r="E17" s="18" t="str">
        <f t="shared" ref="E17:E18" si="4">B17</f>
        <v>NZ10_2050A_09EESSNXCT-LocHi</v>
      </c>
      <c r="F17" s="18">
        <v>1</v>
      </c>
      <c r="G17" s="18">
        <v>1</v>
      </c>
      <c r="H17" s="18" t="s">
        <v>188</v>
      </c>
      <c r="I17" s="18">
        <v>1</v>
      </c>
      <c r="J17" s="18">
        <v>1</v>
      </c>
      <c r="K17">
        <v>0</v>
      </c>
      <c r="L17" s="18">
        <v>-1</v>
      </c>
      <c r="M17" s="18">
        <v>1</v>
      </c>
      <c r="N17" s="18">
        <v>1</v>
      </c>
      <c r="O17" s="18">
        <v>1</v>
      </c>
      <c r="P17" s="18">
        <v>-1</v>
      </c>
      <c r="Q17" s="18">
        <v>100</v>
      </c>
      <c r="AZ17" s="18">
        <v>0</v>
      </c>
      <c r="BB17" s="18">
        <v>1</v>
      </c>
    </row>
    <row r="18" spans="1:66" s="18" customFormat="1" ht="17.25" customHeight="1">
      <c r="A18" s="18">
        <v>1</v>
      </c>
      <c r="B18" s="18" t="s">
        <v>280</v>
      </c>
      <c r="D18" s="18" t="s">
        <v>30</v>
      </c>
      <c r="E18" s="18" t="str">
        <f t="shared" si="4"/>
        <v>NZ10_2050A_09EESSNXCT-LocLo</v>
      </c>
      <c r="F18" s="18">
        <v>1</v>
      </c>
      <c r="G18" s="18">
        <v>1</v>
      </c>
      <c r="H18" s="18" t="s">
        <v>188</v>
      </c>
      <c r="I18" s="18">
        <v>1</v>
      </c>
      <c r="J18" s="18">
        <v>1</v>
      </c>
      <c r="K18">
        <v>0</v>
      </c>
      <c r="L18" s="18">
        <v>-1</v>
      </c>
      <c r="M18" s="18">
        <v>1</v>
      </c>
      <c r="N18" s="18">
        <v>1</v>
      </c>
      <c r="O18" s="18">
        <v>1</v>
      </c>
      <c r="P18" s="18">
        <v>-1</v>
      </c>
      <c r="Q18" s="18">
        <v>100</v>
      </c>
      <c r="AZ18" s="18">
        <v>0</v>
      </c>
      <c r="BB18" s="18">
        <v>1</v>
      </c>
    </row>
    <row r="19" spans="1:66" ht="17.25" customHeight="1">
      <c r="A19">
        <v>0</v>
      </c>
      <c r="B19" t="s">
        <v>239</v>
      </c>
      <c r="D19" t="s">
        <v>30</v>
      </c>
      <c r="E19" t="str">
        <f t="shared" si="3"/>
        <v>NZ10_2050A_09EESSEXCT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0</v>
      </c>
      <c r="L19">
        <v>-1</v>
      </c>
      <c r="M19">
        <v>-1</v>
      </c>
      <c r="N19">
        <v>-1</v>
      </c>
      <c r="O19">
        <v>1</v>
      </c>
      <c r="P19">
        <v>-1</v>
      </c>
      <c r="Q19">
        <v>100</v>
      </c>
      <c r="AZ19">
        <v>0</v>
      </c>
      <c r="BB19">
        <v>1</v>
      </c>
      <c r="BE19">
        <v>1</v>
      </c>
    </row>
    <row r="20" spans="1:66" ht="17.25" customHeight="1">
      <c r="A20">
        <v>0</v>
      </c>
      <c r="B20" t="s">
        <v>252</v>
      </c>
      <c r="D20" t="s">
        <v>30</v>
      </c>
      <c r="E20" t="str">
        <f t="shared" ref="E20" si="5">B20</f>
        <v>NZ10_2050A_09NESSNXCT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0</v>
      </c>
      <c r="L20">
        <v>-1</v>
      </c>
      <c r="M20">
        <v>-1</v>
      </c>
      <c r="N20">
        <v>-1</v>
      </c>
      <c r="O20">
        <v>1</v>
      </c>
      <c r="P20">
        <v>-1</v>
      </c>
      <c r="Q20">
        <v>100</v>
      </c>
      <c r="AZ20">
        <v>0</v>
      </c>
      <c r="BB20">
        <v>1</v>
      </c>
      <c r="BE20">
        <v>1</v>
      </c>
    </row>
    <row r="21" spans="1:66" ht="17.25" customHeight="1">
      <c r="A21">
        <v>0</v>
      </c>
      <c r="B21" t="s">
        <v>254</v>
      </c>
      <c r="D21" t="s">
        <v>30</v>
      </c>
      <c r="E21" s="18" t="s">
        <v>255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0</v>
      </c>
      <c r="L21">
        <v>-1</v>
      </c>
      <c r="M21">
        <v>-1</v>
      </c>
      <c r="N21">
        <v>-1</v>
      </c>
      <c r="O21">
        <v>1</v>
      </c>
      <c r="P21">
        <v>-1</v>
      </c>
      <c r="Q21">
        <v>100</v>
      </c>
      <c r="AZ21">
        <v>0</v>
      </c>
      <c r="BB21">
        <v>1</v>
      </c>
      <c r="BE21">
        <v>1</v>
      </c>
    </row>
    <row r="22" spans="1:66" ht="17.25" customHeight="1">
      <c r="A22">
        <v>0</v>
      </c>
      <c r="B22" t="s">
        <v>253</v>
      </c>
      <c r="D22" t="s">
        <v>30</v>
      </c>
      <c r="E22" s="18" t="s">
        <v>256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0</v>
      </c>
      <c r="L22">
        <v>-1</v>
      </c>
      <c r="M22">
        <v>-1</v>
      </c>
      <c r="N22">
        <v>-1</v>
      </c>
      <c r="O22">
        <v>1</v>
      </c>
      <c r="P22">
        <v>-1</v>
      </c>
      <c r="Q22">
        <v>100</v>
      </c>
      <c r="AZ22">
        <v>0</v>
      </c>
      <c r="BB22">
        <v>1</v>
      </c>
      <c r="BE22">
        <v>1</v>
      </c>
    </row>
    <row r="23" spans="1:66" ht="17.25" customHeight="1">
      <c r="A23">
        <v>0</v>
      </c>
      <c r="B23" t="s">
        <v>240</v>
      </c>
      <c r="D23" t="s">
        <v>30</v>
      </c>
      <c r="E23" t="str">
        <f t="shared" si="3"/>
        <v>NZ10_2050A_09EESENXCT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0</v>
      </c>
      <c r="L23">
        <v>-1</v>
      </c>
      <c r="M23">
        <v>-1</v>
      </c>
      <c r="N23">
        <v>-1</v>
      </c>
      <c r="O23">
        <v>1</v>
      </c>
      <c r="P23">
        <v>-1</v>
      </c>
      <c r="Q23">
        <v>100</v>
      </c>
      <c r="AZ23">
        <v>0</v>
      </c>
      <c r="BB23">
        <v>1</v>
      </c>
      <c r="BE23">
        <v>1</v>
      </c>
    </row>
    <row r="24" spans="1:66" ht="17.25" customHeight="1">
      <c r="A24">
        <v>0</v>
      </c>
      <c r="B24" t="s">
        <v>241</v>
      </c>
      <c r="D24" t="s">
        <v>30</v>
      </c>
      <c r="E24" t="str">
        <f t="shared" si="3"/>
        <v>NZ10_2050A_10EESSNXCT</v>
      </c>
      <c r="F24">
        <v>1</v>
      </c>
      <c r="G24">
        <v>0</v>
      </c>
      <c r="H24" t="s">
        <v>188</v>
      </c>
      <c r="I24">
        <v>1</v>
      </c>
      <c r="J24">
        <v>1</v>
      </c>
      <c r="K24">
        <v>0</v>
      </c>
      <c r="L24">
        <v>-1</v>
      </c>
      <c r="M24">
        <v>-1</v>
      </c>
      <c r="N24">
        <v>-1</v>
      </c>
      <c r="O24">
        <v>1</v>
      </c>
      <c r="P24">
        <v>-1</v>
      </c>
      <c r="Q24">
        <v>100</v>
      </c>
      <c r="AZ24">
        <v>0</v>
      </c>
      <c r="BB24">
        <v>1</v>
      </c>
      <c r="BE24">
        <v>1</v>
      </c>
    </row>
    <row r="25" spans="1:66">
      <c r="A25">
        <v>0</v>
      </c>
      <c r="B25" t="s">
        <v>242</v>
      </c>
      <c r="D25" t="s">
        <v>30</v>
      </c>
      <c r="E25" t="str">
        <f t="shared" si="3"/>
        <v>NZ10_2050A_11EESSNXCT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0</v>
      </c>
      <c r="L25">
        <v>-1</v>
      </c>
      <c r="M25">
        <v>-1</v>
      </c>
      <c r="N25">
        <v>-1</v>
      </c>
      <c r="O25">
        <v>1</v>
      </c>
      <c r="P25">
        <v>-1</v>
      </c>
      <c r="Q25">
        <v>100</v>
      </c>
      <c r="BC25">
        <v>1</v>
      </c>
    </row>
    <row r="26" spans="1:66">
      <c r="A26">
        <v>0</v>
      </c>
      <c r="B26" t="s">
        <v>243</v>
      </c>
      <c r="D26" t="s">
        <v>30</v>
      </c>
      <c r="E26" t="str">
        <f t="shared" si="3"/>
        <v>NZ10_2050A_99EESSNXCT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0</v>
      </c>
      <c r="L26">
        <v>-1</v>
      </c>
      <c r="M26">
        <v>-1</v>
      </c>
      <c r="N26">
        <v>-1</v>
      </c>
      <c r="O26">
        <v>1</v>
      </c>
      <c r="P26">
        <v>-1</v>
      </c>
      <c r="Q26">
        <v>100</v>
      </c>
      <c r="BC26">
        <v>1</v>
      </c>
    </row>
    <row r="27" spans="1:66">
      <c r="A27">
        <v>0</v>
      </c>
      <c r="B27" t="s">
        <v>244</v>
      </c>
      <c r="D27" t="s">
        <v>30</v>
      </c>
      <c r="E27" t="str">
        <f t="shared" si="3"/>
        <v>NZ10_2055A_99EESSNXCT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0</v>
      </c>
      <c r="L27">
        <v>-1</v>
      </c>
      <c r="M27">
        <v>-1</v>
      </c>
      <c r="N27">
        <v>-1</v>
      </c>
      <c r="O27">
        <v>1</v>
      </c>
      <c r="P27">
        <v>-1</v>
      </c>
      <c r="Q27">
        <v>100</v>
      </c>
      <c r="BC27">
        <v>1</v>
      </c>
    </row>
    <row r="28" spans="1:66">
      <c r="A28">
        <v>0</v>
      </c>
      <c r="B28" t="s">
        <v>245</v>
      </c>
      <c r="D28" t="s">
        <v>30</v>
      </c>
      <c r="E28" t="str">
        <f t="shared" si="3"/>
        <v>NZ10_2055A_08EESSNXCT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0</v>
      </c>
      <c r="L28">
        <v>-1</v>
      </c>
      <c r="M28">
        <v>-1</v>
      </c>
      <c r="N28">
        <v>-1</v>
      </c>
      <c r="O28">
        <v>1</v>
      </c>
      <c r="P28">
        <v>-1</v>
      </c>
      <c r="Q28">
        <v>100</v>
      </c>
      <c r="BC28">
        <v>1</v>
      </c>
      <c r="BN28" t="s">
        <v>216</v>
      </c>
    </row>
    <row r="29" spans="1:66">
      <c r="A29">
        <v>0</v>
      </c>
      <c r="B29" t="s">
        <v>246</v>
      </c>
      <c r="D29" t="s">
        <v>30</v>
      </c>
      <c r="E29" t="str">
        <f t="shared" si="3"/>
        <v>NZ10_2055A_09EESSNXCT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0</v>
      </c>
      <c r="L29">
        <v>-1</v>
      </c>
      <c r="M29">
        <v>-1</v>
      </c>
      <c r="N29">
        <v>-1</v>
      </c>
      <c r="O29">
        <v>1</v>
      </c>
      <c r="P29">
        <v>-1</v>
      </c>
      <c r="Q29">
        <v>100</v>
      </c>
      <c r="BC29">
        <v>1</v>
      </c>
      <c r="BN29" t="s">
        <v>217</v>
      </c>
    </row>
    <row r="30" spans="1:66">
      <c r="A30">
        <v>0</v>
      </c>
      <c r="B30" t="s">
        <v>247</v>
      </c>
      <c r="D30" t="s">
        <v>30</v>
      </c>
      <c r="E30" t="str">
        <f t="shared" si="3"/>
        <v>NZ10_2055A_10EESSNXCT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0</v>
      </c>
      <c r="L30">
        <v>-1</v>
      </c>
      <c r="M30">
        <v>-1</v>
      </c>
      <c r="N30">
        <v>-1</v>
      </c>
      <c r="O30">
        <v>1</v>
      </c>
      <c r="P30">
        <v>-1</v>
      </c>
      <c r="Q30">
        <v>100</v>
      </c>
      <c r="BC30">
        <v>1</v>
      </c>
      <c r="BN30" t="s">
        <v>218</v>
      </c>
    </row>
    <row r="31" spans="1:66">
      <c r="A31">
        <v>0</v>
      </c>
      <c r="B31" t="s">
        <v>248</v>
      </c>
      <c r="D31" t="s">
        <v>30</v>
      </c>
      <c r="E31" t="str">
        <f t="shared" si="3"/>
        <v>NZ10_2055A_11EESSNXCT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0</v>
      </c>
      <c r="L31">
        <v>-1</v>
      </c>
      <c r="M31">
        <v>-1</v>
      </c>
      <c r="N31">
        <v>-1</v>
      </c>
      <c r="O31">
        <v>1</v>
      </c>
      <c r="P31">
        <v>-1</v>
      </c>
      <c r="Q31">
        <v>100</v>
      </c>
      <c r="BC31">
        <v>1</v>
      </c>
      <c r="BN31" t="s">
        <v>219</v>
      </c>
    </row>
    <row r="32" spans="1:66">
      <c r="A32">
        <v>0</v>
      </c>
      <c r="B32" t="s">
        <v>249</v>
      </c>
      <c r="D32" t="s">
        <v>30</v>
      </c>
      <c r="E32" t="str">
        <f t="shared" si="3"/>
        <v>NZ10_2055B_99EESSNXCT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0</v>
      </c>
      <c r="L32">
        <v>-1</v>
      </c>
      <c r="M32">
        <v>-1</v>
      </c>
      <c r="N32">
        <v>-1</v>
      </c>
      <c r="O32">
        <v>1</v>
      </c>
      <c r="P32">
        <v>-1</v>
      </c>
      <c r="Q32">
        <v>100</v>
      </c>
      <c r="BC32">
        <v>1</v>
      </c>
      <c r="BN32" t="s">
        <v>220</v>
      </c>
    </row>
    <row r="33" spans="1:66">
      <c r="A33">
        <v>0</v>
      </c>
      <c r="B33" t="s">
        <v>250</v>
      </c>
      <c r="D33" t="s">
        <v>30</v>
      </c>
      <c r="E33" t="str">
        <f t="shared" si="3"/>
        <v>NZ10_2050B_09EESSNXCN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0</v>
      </c>
      <c r="L33">
        <v>-1</v>
      </c>
      <c r="M33">
        <v>-1</v>
      </c>
      <c r="N33">
        <v>-1</v>
      </c>
      <c r="O33">
        <v>1</v>
      </c>
      <c r="P33">
        <v>-1</v>
      </c>
      <c r="Q33">
        <v>100</v>
      </c>
      <c r="BC33">
        <v>1</v>
      </c>
      <c r="BN33" t="s">
        <v>221</v>
      </c>
    </row>
    <row r="34" spans="1:66" s="18" customFormat="1" ht="17.25" customHeight="1">
      <c r="A34" s="18">
        <v>0</v>
      </c>
      <c r="B34" s="18" t="s">
        <v>259</v>
      </c>
      <c r="D34" s="18" t="s">
        <v>30</v>
      </c>
      <c r="E34" s="18" t="str">
        <f t="shared" ref="E34" si="6">B34</f>
        <v>TestLinked</v>
      </c>
      <c r="F34" s="18">
        <v>0</v>
      </c>
      <c r="G34" s="18">
        <v>0</v>
      </c>
      <c r="H34" s="18" t="s">
        <v>188</v>
      </c>
      <c r="I34" s="18">
        <v>0</v>
      </c>
      <c r="J34" s="18">
        <v>0</v>
      </c>
      <c r="K34">
        <v>0</v>
      </c>
      <c r="L34" s="18">
        <v>-1</v>
      </c>
      <c r="M34" s="18">
        <v>1</v>
      </c>
      <c r="N34" s="18">
        <v>1</v>
      </c>
      <c r="O34" s="18">
        <v>1</v>
      </c>
      <c r="P34" s="18">
        <v>-1</v>
      </c>
      <c r="Q34" s="18">
        <v>100</v>
      </c>
      <c r="AZ34" s="18">
        <v>0</v>
      </c>
      <c r="BB34" s="18">
        <v>1</v>
      </c>
    </row>
    <row r="35" spans="1:66">
      <c r="A35">
        <v>0</v>
      </c>
      <c r="B35" s="20" t="s">
        <v>260</v>
      </c>
      <c r="D35" t="s">
        <v>30</v>
      </c>
      <c r="E35" t="str">
        <f t="shared" ref="E35:E36" si="7">B35</f>
        <v>NZ_NDCLO</v>
      </c>
      <c r="F35">
        <v>0</v>
      </c>
      <c r="G35">
        <v>1</v>
      </c>
      <c r="H35" t="s">
        <v>188</v>
      </c>
      <c r="I35">
        <v>0</v>
      </c>
      <c r="J35">
        <v>0</v>
      </c>
      <c r="K35">
        <v>0</v>
      </c>
      <c r="L35">
        <v>-1</v>
      </c>
      <c r="M35">
        <v>1</v>
      </c>
      <c r="N35">
        <v>1</v>
      </c>
      <c r="O35">
        <v>1</v>
      </c>
      <c r="P35">
        <v>-1</v>
      </c>
      <c r="Q35">
        <v>100</v>
      </c>
      <c r="BC35">
        <v>1</v>
      </c>
      <c r="BN35" t="s">
        <v>222</v>
      </c>
    </row>
    <row r="36" spans="1:66">
      <c r="A36">
        <v>0</v>
      </c>
      <c r="B36" s="20" t="s">
        <v>261</v>
      </c>
      <c r="D36" t="s">
        <v>30</v>
      </c>
      <c r="E36" t="str">
        <f t="shared" si="7"/>
        <v>NZ_NDCUP</v>
      </c>
      <c r="F36">
        <v>0</v>
      </c>
      <c r="G36">
        <v>1</v>
      </c>
      <c r="H36" t="s">
        <v>188</v>
      </c>
      <c r="I36">
        <v>0</v>
      </c>
      <c r="J36">
        <v>0</v>
      </c>
      <c r="K36">
        <v>0</v>
      </c>
      <c r="L36">
        <v>-1</v>
      </c>
      <c r="M36">
        <v>1</v>
      </c>
      <c r="N36">
        <v>1</v>
      </c>
      <c r="O36">
        <v>1</v>
      </c>
      <c r="P36">
        <v>-1</v>
      </c>
      <c r="Q36">
        <v>100</v>
      </c>
      <c r="BC36">
        <v>1</v>
      </c>
      <c r="BN36" t="s">
        <v>223</v>
      </c>
    </row>
    <row r="37" spans="1:66">
      <c r="A37">
        <v>0</v>
      </c>
      <c r="B37" s="20" t="s">
        <v>278</v>
      </c>
      <c r="D37" t="s">
        <v>30</v>
      </c>
      <c r="E37" t="str">
        <f t="shared" ref="E37" si="8">B37</f>
        <v>NZ_NDCUP-LoLocal</v>
      </c>
      <c r="F37">
        <v>0</v>
      </c>
      <c r="G37">
        <v>1</v>
      </c>
      <c r="H37" t="s">
        <v>188</v>
      </c>
      <c r="I37">
        <v>0</v>
      </c>
      <c r="J37">
        <v>0</v>
      </c>
      <c r="K37">
        <v>0</v>
      </c>
      <c r="L37">
        <v>-1</v>
      </c>
      <c r="M37">
        <v>1</v>
      </c>
      <c r="N37">
        <v>1</v>
      </c>
      <c r="O37">
        <v>1</v>
      </c>
      <c r="P37">
        <v>-1</v>
      </c>
      <c r="Q37">
        <v>100</v>
      </c>
      <c r="BC37">
        <v>1</v>
      </c>
      <c r="BN37" t="s">
        <v>223</v>
      </c>
    </row>
    <row r="38" spans="1:66">
      <c r="A38">
        <v>0</v>
      </c>
      <c r="B38" s="20" t="s">
        <v>262</v>
      </c>
      <c r="D38" t="s">
        <v>30</v>
      </c>
      <c r="E38" t="str">
        <f t="shared" ref="E38:E40" si="9">B38</f>
        <v>REF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v>0</v>
      </c>
      <c r="L38">
        <v>-1</v>
      </c>
      <c r="M38">
        <v>-1</v>
      </c>
      <c r="N38">
        <v>-1</v>
      </c>
      <c r="O38">
        <v>1</v>
      </c>
      <c r="P38">
        <v>-1</v>
      </c>
      <c r="Q38">
        <v>100</v>
      </c>
      <c r="BC38">
        <v>1</v>
      </c>
      <c r="BN38" t="s">
        <v>224</v>
      </c>
    </row>
    <row r="39" spans="1:66">
      <c r="A39">
        <v>0</v>
      </c>
      <c r="B39" s="20" t="s">
        <v>264</v>
      </c>
      <c r="D39" t="s">
        <v>30</v>
      </c>
      <c r="E39" t="str">
        <f t="shared" si="9"/>
        <v>LEAF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v>0</v>
      </c>
      <c r="L39">
        <v>-1</v>
      </c>
      <c r="M39">
        <v>-1</v>
      </c>
      <c r="N39">
        <v>-1</v>
      </c>
      <c r="O39">
        <v>1</v>
      </c>
      <c r="P39">
        <v>-1</v>
      </c>
      <c r="Q39">
        <v>100</v>
      </c>
      <c r="BC39">
        <v>1</v>
      </c>
      <c r="BN39" t="s">
        <v>265</v>
      </c>
    </row>
    <row r="40" spans="1:66">
      <c r="A40">
        <v>0</v>
      </c>
      <c r="B40" s="20" t="s">
        <v>266</v>
      </c>
      <c r="D40" t="s">
        <v>30</v>
      </c>
      <c r="E40" t="str">
        <f t="shared" si="9"/>
        <v>LEAF-RF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v>0</v>
      </c>
      <c r="L40">
        <v>-1</v>
      </c>
      <c r="M40">
        <v>-1</v>
      </c>
      <c r="N40">
        <v>-1</v>
      </c>
      <c r="O40">
        <v>1</v>
      </c>
      <c r="P40">
        <v>-1</v>
      </c>
      <c r="Q40">
        <v>100</v>
      </c>
      <c r="BC40">
        <v>1</v>
      </c>
      <c r="BN40" t="s">
        <v>267</v>
      </c>
    </row>
    <row r="41" spans="1:66">
      <c r="A41">
        <v>0</v>
      </c>
      <c r="B41" s="20" t="s">
        <v>268</v>
      </c>
      <c r="D41" t="s">
        <v>30</v>
      </c>
      <c r="E41" t="str">
        <f>E40</f>
        <v>LEAF-RF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v>1</v>
      </c>
      <c r="L41">
        <v>-1</v>
      </c>
      <c r="M41">
        <v>-1</v>
      </c>
      <c r="N41">
        <v>-1</v>
      </c>
      <c r="O41">
        <v>1</v>
      </c>
      <c r="P41">
        <v>-1</v>
      </c>
      <c r="Q41">
        <v>100</v>
      </c>
      <c r="BC41">
        <v>1</v>
      </c>
      <c r="BN41" t="s">
        <v>267</v>
      </c>
    </row>
    <row r="42" spans="1:66">
      <c r="A42">
        <v>0</v>
      </c>
      <c r="B42" s="20" t="s">
        <v>269</v>
      </c>
      <c r="D42" t="s">
        <v>30</v>
      </c>
      <c r="E42" t="str">
        <f>B42</f>
        <v>LEAF-RF-NZNDCUP</v>
      </c>
      <c r="F42">
        <v>0</v>
      </c>
      <c r="G42">
        <v>1</v>
      </c>
      <c r="H42" t="s">
        <v>188</v>
      </c>
      <c r="I42">
        <v>0</v>
      </c>
      <c r="J42">
        <v>0</v>
      </c>
      <c r="K42">
        <v>0</v>
      </c>
      <c r="L42">
        <v>-1</v>
      </c>
      <c r="M42">
        <v>-1</v>
      </c>
      <c r="N42">
        <v>-1</v>
      </c>
      <c r="O42">
        <v>1</v>
      </c>
      <c r="P42">
        <v>-1</v>
      </c>
      <c r="Q42">
        <v>100</v>
      </c>
      <c r="BC42">
        <v>1</v>
      </c>
      <c r="BN42" t="s">
        <v>270</v>
      </c>
    </row>
    <row r="43" spans="1:66">
      <c r="A43">
        <v>0</v>
      </c>
      <c r="B43" s="20" t="s">
        <v>271</v>
      </c>
      <c r="D43" t="s">
        <v>30</v>
      </c>
      <c r="E43" t="str">
        <f>E42</f>
        <v>LEAF-RF-NZNDCUP</v>
      </c>
      <c r="F43">
        <v>0</v>
      </c>
      <c r="G43">
        <v>1</v>
      </c>
      <c r="H43" t="s">
        <v>188</v>
      </c>
      <c r="I43">
        <v>0</v>
      </c>
      <c r="J43">
        <v>0</v>
      </c>
      <c r="K43">
        <v>0</v>
      </c>
      <c r="L43">
        <v>-1</v>
      </c>
      <c r="M43">
        <v>-1</v>
      </c>
      <c r="N43">
        <v>-1</v>
      </c>
      <c r="O43">
        <v>1</v>
      </c>
      <c r="P43">
        <v>-1</v>
      </c>
      <c r="Q43">
        <v>100</v>
      </c>
      <c r="BC43">
        <v>1</v>
      </c>
      <c r="BN43" t="s">
        <v>270</v>
      </c>
    </row>
    <row r="44" spans="1:66">
      <c r="A44">
        <v>0</v>
      </c>
      <c r="B44" s="20" t="s">
        <v>272</v>
      </c>
      <c r="D44" t="s">
        <v>30</v>
      </c>
      <c r="E44" t="str">
        <f>B44</f>
        <v>REF_OPConstant</v>
      </c>
      <c r="F44">
        <v>0</v>
      </c>
      <c r="G44">
        <v>1</v>
      </c>
      <c r="H44" t="s">
        <v>188</v>
      </c>
      <c r="I44">
        <v>0</v>
      </c>
      <c r="J44">
        <v>0</v>
      </c>
      <c r="K44">
        <v>0</v>
      </c>
      <c r="L44">
        <v>-1</v>
      </c>
      <c r="M44">
        <v>-1</v>
      </c>
      <c r="N44">
        <v>-1</v>
      </c>
      <c r="O44">
        <v>1</v>
      </c>
      <c r="P44">
        <v>-1</v>
      </c>
      <c r="Q44">
        <v>100</v>
      </c>
      <c r="BC44">
        <v>1</v>
      </c>
      <c r="BN44" t="s">
        <v>273</v>
      </c>
    </row>
    <row r="45" spans="1:66">
      <c r="A45">
        <v>0</v>
      </c>
      <c r="B45" s="20" t="s">
        <v>274</v>
      </c>
      <c r="D45" t="s">
        <v>30</v>
      </c>
      <c r="E45" t="str">
        <f>B45</f>
        <v>REFOPLow</v>
      </c>
      <c r="F45">
        <v>0</v>
      </c>
      <c r="G45">
        <v>1</v>
      </c>
      <c r="H45" t="s">
        <v>188</v>
      </c>
      <c r="I45">
        <v>0</v>
      </c>
      <c r="J45">
        <v>0</v>
      </c>
      <c r="K45">
        <v>1</v>
      </c>
      <c r="L45">
        <v>-1</v>
      </c>
      <c r="M45">
        <v>-1</v>
      </c>
      <c r="N45">
        <v>-1</v>
      </c>
      <c r="O45">
        <v>1</v>
      </c>
      <c r="P45">
        <v>-1</v>
      </c>
      <c r="Q45">
        <v>100</v>
      </c>
      <c r="BC45">
        <v>1</v>
      </c>
      <c r="BN45" t="s">
        <v>275</v>
      </c>
    </row>
    <row r="46" spans="1:66">
      <c r="A46" s="17"/>
      <c r="K46">
        <v>0</v>
      </c>
      <c r="Q46" s="19"/>
      <c r="BC46">
        <v>1</v>
      </c>
    </row>
    <row r="47" spans="1:66">
      <c r="A47" s="17"/>
      <c r="K47">
        <v>0</v>
      </c>
      <c r="M47" s="13"/>
      <c r="N47" s="13"/>
      <c r="Q47" s="19"/>
      <c r="BC47">
        <v>1</v>
      </c>
    </row>
    <row r="48" spans="1:66">
      <c r="A48" s="17"/>
      <c r="K48">
        <v>0</v>
      </c>
      <c r="M48" s="13"/>
      <c r="N48" s="13"/>
      <c r="Q48" s="19"/>
      <c r="BC48">
        <v>1</v>
      </c>
    </row>
    <row r="49" spans="1:55">
      <c r="A49" s="17"/>
      <c r="K49">
        <v>0</v>
      </c>
      <c r="M49" s="13"/>
      <c r="N49" s="13"/>
      <c r="Q49" s="19"/>
      <c r="BC49">
        <v>1</v>
      </c>
    </row>
    <row r="50" spans="1:55">
      <c r="A50" s="17"/>
      <c r="K50">
        <v>0</v>
      </c>
      <c r="Q50" s="19"/>
      <c r="BC50">
        <v>1</v>
      </c>
    </row>
    <row r="51" spans="1:55">
      <c r="A51" s="17"/>
      <c r="K51">
        <v>0</v>
      </c>
      <c r="M51" s="13"/>
      <c r="N51" s="13"/>
      <c r="Q51" s="19"/>
      <c r="BC51">
        <v>1</v>
      </c>
    </row>
    <row r="52" spans="1:55">
      <c r="A52" s="17"/>
      <c r="K52">
        <v>0</v>
      </c>
      <c r="Q52" s="19"/>
      <c r="BC52">
        <v>1</v>
      </c>
    </row>
    <row r="53" spans="1:55">
      <c r="A53" s="17"/>
      <c r="K53">
        <v>0</v>
      </c>
      <c r="Q53" s="19"/>
      <c r="BC53">
        <v>1</v>
      </c>
    </row>
    <row r="54" spans="1:55">
      <c r="A54" s="17"/>
      <c r="K54">
        <v>0</v>
      </c>
      <c r="Q54" s="19"/>
      <c r="BC54">
        <v>1</v>
      </c>
    </row>
    <row r="55" spans="1:55">
      <c r="A55" s="17"/>
      <c r="K55">
        <v>0</v>
      </c>
      <c r="M55" s="13"/>
      <c r="N55" s="13"/>
      <c r="Q55" s="19"/>
      <c r="BC55">
        <v>1</v>
      </c>
    </row>
    <row r="56" spans="1:55">
      <c r="A56" s="17"/>
      <c r="K56">
        <v>0</v>
      </c>
      <c r="M56" s="13"/>
      <c r="N56" s="13"/>
      <c r="Q56" s="19"/>
      <c r="BC56">
        <v>1</v>
      </c>
    </row>
    <row r="57" spans="1:55">
      <c r="A57" s="17"/>
      <c r="K57">
        <v>0</v>
      </c>
      <c r="M57" s="13"/>
      <c r="N57" s="13"/>
      <c r="Q57" s="19"/>
      <c r="BC57">
        <v>1</v>
      </c>
    </row>
    <row r="58" spans="1:55">
      <c r="A58" s="17"/>
      <c r="K58">
        <v>0</v>
      </c>
      <c r="Q58" s="19"/>
      <c r="BC58">
        <v>1</v>
      </c>
    </row>
    <row r="59" spans="1:55">
      <c r="A59" s="17"/>
      <c r="K59">
        <v>0</v>
      </c>
      <c r="Q59" s="19"/>
      <c r="BC59">
        <v>1</v>
      </c>
    </row>
    <row r="60" spans="1:55">
      <c r="A60" s="17"/>
      <c r="K60">
        <v>0</v>
      </c>
      <c r="Q60" s="19"/>
      <c r="BC60">
        <v>1</v>
      </c>
    </row>
    <row r="61" spans="1:55">
      <c r="A61" s="17"/>
      <c r="K61">
        <v>0</v>
      </c>
      <c r="Q61" s="19"/>
      <c r="BC61">
        <v>1</v>
      </c>
    </row>
    <row r="62" spans="1:55">
      <c r="A62" s="17"/>
      <c r="K62">
        <v>0</v>
      </c>
      <c r="Q62" s="19"/>
      <c r="BC62">
        <v>1</v>
      </c>
    </row>
    <row r="63" spans="1:55">
      <c r="A63" s="17"/>
      <c r="K63">
        <v>0</v>
      </c>
      <c r="Q63" s="19"/>
      <c r="BC63">
        <v>1</v>
      </c>
    </row>
    <row r="64" spans="1:55">
      <c r="A64" s="17"/>
      <c r="K64">
        <v>0</v>
      </c>
      <c r="Q64" s="19"/>
      <c r="BC64">
        <v>1</v>
      </c>
    </row>
    <row r="65" spans="1:55">
      <c r="A65" s="17"/>
      <c r="K65">
        <v>0</v>
      </c>
      <c r="M65" s="13"/>
      <c r="N65" s="13"/>
      <c r="Q65" s="19"/>
      <c r="BC65">
        <v>1</v>
      </c>
    </row>
    <row r="66" spans="1:55">
      <c r="A66" s="17"/>
      <c r="K66">
        <v>0</v>
      </c>
      <c r="M66" s="13"/>
      <c r="N66" s="13"/>
      <c r="Q66" s="19"/>
      <c r="BC66">
        <v>1</v>
      </c>
    </row>
    <row r="67" spans="1:55">
      <c r="A67" s="17"/>
      <c r="K67">
        <v>0</v>
      </c>
      <c r="M67" s="13"/>
      <c r="N67" s="13"/>
      <c r="Q67" s="19"/>
      <c r="BC67">
        <v>1</v>
      </c>
    </row>
    <row r="68" spans="1:55">
      <c r="A68" s="17"/>
      <c r="K68">
        <v>0</v>
      </c>
      <c r="Q68" s="19"/>
      <c r="BC68">
        <v>1</v>
      </c>
    </row>
    <row r="69" spans="1:55">
      <c r="A69" s="17"/>
      <c r="K69">
        <v>0</v>
      </c>
      <c r="M69" s="13"/>
      <c r="N69" s="13"/>
      <c r="Q69" s="19"/>
      <c r="BC69">
        <v>1</v>
      </c>
    </row>
    <row r="70" spans="1:55">
      <c r="A70" s="17"/>
      <c r="K70">
        <v>0</v>
      </c>
      <c r="Q70" s="19"/>
      <c r="BC70">
        <v>1</v>
      </c>
    </row>
    <row r="71" spans="1:55">
      <c r="A71" s="17"/>
      <c r="K71">
        <v>0</v>
      </c>
      <c r="Q71" s="19"/>
      <c r="BC71">
        <v>1</v>
      </c>
    </row>
    <row r="72" spans="1:55">
      <c r="A72" s="17"/>
      <c r="K72">
        <v>0</v>
      </c>
      <c r="Q72" s="19"/>
      <c r="BC72">
        <v>1</v>
      </c>
    </row>
    <row r="73" spans="1:55">
      <c r="A73" s="17"/>
      <c r="K73">
        <v>0</v>
      </c>
      <c r="M73" s="13"/>
      <c r="N73" s="13"/>
      <c r="Q73" s="19"/>
      <c r="BC73">
        <v>1</v>
      </c>
    </row>
    <row r="74" spans="1:55">
      <c r="A74" s="17"/>
      <c r="K74">
        <v>0</v>
      </c>
      <c r="M74" s="13"/>
      <c r="N74" s="13"/>
      <c r="Q74" s="19"/>
      <c r="BC74">
        <v>1</v>
      </c>
    </row>
    <row r="75" spans="1:55">
      <c r="A75" s="17"/>
      <c r="K75">
        <v>0</v>
      </c>
      <c r="M75" s="13"/>
      <c r="N75" s="13"/>
      <c r="Q75" s="19"/>
      <c r="BC75">
        <v>1</v>
      </c>
    </row>
    <row r="76" spans="1:55">
      <c r="A76" s="17"/>
      <c r="K76">
        <v>0</v>
      </c>
      <c r="Q76" s="19"/>
      <c r="BC76">
        <v>1</v>
      </c>
    </row>
    <row r="77" spans="1:55">
      <c r="A77" s="17"/>
      <c r="K77">
        <v>0</v>
      </c>
      <c r="Q77" s="19"/>
      <c r="BC77">
        <v>1</v>
      </c>
    </row>
    <row r="78" spans="1:55">
      <c r="A78" s="17"/>
      <c r="K78">
        <v>0</v>
      </c>
      <c r="Q78" s="19"/>
      <c r="BC78">
        <v>1</v>
      </c>
    </row>
    <row r="79" spans="1:55">
      <c r="A79" s="17"/>
      <c r="K79">
        <v>0</v>
      </c>
      <c r="Q79" s="19"/>
      <c r="BC79">
        <v>1</v>
      </c>
    </row>
    <row r="80" spans="1:55">
      <c r="A80" s="17"/>
      <c r="K80">
        <v>0</v>
      </c>
      <c r="Q80" s="19"/>
      <c r="BC80">
        <v>1</v>
      </c>
    </row>
    <row r="81" spans="1:58">
      <c r="A81" s="17"/>
      <c r="K81">
        <v>0</v>
      </c>
      <c r="Q81" s="19"/>
      <c r="BC81">
        <v>1</v>
      </c>
    </row>
    <row r="82" spans="1:58">
      <c r="A82" s="17"/>
      <c r="K82">
        <v>0</v>
      </c>
      <c r="Q82" s="19"/>
      <c r="BC82">
        <v>1</v>
      </c>
    </row>
    <row r="83" spans="1:58">
      <c r="A83" s="17"/>
      <c r="K83">
        <v>0</v>
      </c>
      <c r="M83" s="13"/>
      <c r="N83" s="13"/>
      <c r="Q83" s="19"/>
      <c r="BC83">
        <v>1</v>
      </c>
    </row>
    <row r="84" spans="1:58">
      <c r="A84" s="17"/>
      <c r="K84">
        <v>0</v>
      </c>
      <c r="M84" s="13"/>
      <c r="N84" s="13"/>
      <c r="Q84" s="19"/>
      <c r="BC84">
        <v>1</v>
      </c>
    </row>
    <row r="85" spans="1:58">
      <c r="A85" s="17"/>
      <c r="K85">
        <v>0</v>
      </c>
      <c r="M85" s="13"/>
      <c r="N85" s="13"/>
      <c r="Q85" s="19"/>
      <c r="BC85">
        <v>1</v>
      </c>
    </row>
    <row r="86" spans="1:58">
      <c r="A86" s="17"/>
      <c r="K86">
        <v>0</v>
      </c>
      <c r="Q86" s="19"/>
      <c r="BC86">
        <v>1</v>
      </c>
    </row>
    <row r="87" spans="1:58">
      <c r="A87" s="17"/>
      <c r="K87">
        <v>0</v>
      </c>
      <c r="M87" s="13"/>
      <c r="N87" s="13"/>
      <c r="Q87" s="19"/>
      <c r="BC87">
        <v>1</v>
      </c>
    </row>
    <row r="88" spans="1:58">
      <c r="A88" s="17"/>
      <c r="K88">
        <v>0</v>
      </c>
      <c r="Q88" s="19"/>
      <c r="BC88">
        <v>1</v>
      </c>
    </row>
    <row r="89" spans="1:58">
      <c r="A89" s="17"/>
      <c r="K89">
        <v>0</v>
      </c>
      <c r="Q89" s="19"/>
      <c r="BC89">
        <v>1</v>
      </c>
    </row>
    <row r="90" spans="1:58">
      <c r="A90" s="17"/>
      <c r="K90">
        <v>0</v>
      </c>
      <c r="Q90" s="19"/>
      <c r="BC90">
        <v>1</v>
      </c>
    </row>
    <row r="91" spans="1:58">
      <c r="A91" s="17"/>
      <c r="K91">
        <v>0</v>
      </c>
      <c r="M91" s="13"/>
      <c r="N91" s="13"/>
      <c r="Q91" s="19"/>
      <c r="BC91">
        <v>1</v>
      </c>
    </row>
    <row r="92" spans="1:58">
      <c r="A92" s="17"/>
      <c r="K92">
        <v>0</v>
      </c>
      <c r="M92" s="13"/>
      <c r="N92" s="13"/>
      <c r="Q92" s="19"/>
      <c r="BC92">
        <v>1</v>
      </c>
    </row>
    <row r="93" spans="1:58">
      <c r="A93" s="17"/>
      <c r="K93">
        <v>0</v>
      </c>
      <c r="M93" s="13"/>
      <c r="N93" s="13"/>
      <c r="Q93" s="19"/>
      <c r="BC93">
        <v>1</v>
      </c>
    </row>
    <row r="94" spans="1:58">
      <c r="A94" s="17"/>
      <c r="K94">
        <v>0</v>
      </c>
      <c r="Q94" s="19"/>
      <c r="BC94">
        <v>1</v>
      </c>
      <c r="BF94">
        <v>1</v>
      </c>
    </row>
    <row r="95" spans="1:58">
      <c r="A95" s="17"/>
      <c r="K95">
        <v>0</v>
      </c>
      <c r="Q95" s="19"/>
      <c r="BC95">
        <v>1</v>
      </c>
      <c r="BF95">
        <v>1</v>
      </c>
    </row>
    <row r="96" spans="1:58">
      <c r="A96" s="17"/>
      <c r="K96">
        <v>0</v>
      </c>
      <c r="Q96" s="19"/>
      <c r="BC96">
        <v>1</v>
      </c>
      <c r="BF96">
        <v>1</v>
      </c>
    </row>
    <row r="97" spans="1:58">
      <c r="A97" s="17"/>
      <c r="K97">
        <v>0</v>
      </c>
      <c r="BC97">
        <v>1</v>
      </c>
      <c r="BF97">
        <v>1</v>
      </c>
    </row>
    <row r="98" spans="1:58">
      <c r="A98" s="17"/>
      <c r="K98">
        <v>0</v>
      </c>
      <c r="M98" s="13"/>
      <c r="N98" s="13"/>
      <c r="Q98" s="19"/>
      <c r="BC98">
        <v>1</v>
      </c>
      <c r="BF98">
        <v>1</v>
      </c>
    </row>
    <row r="99" spans="1:58">
      <c r="A99" s="17"/>
    </row>
  </sheetData>
  <autoFilter ref="A9:BI98" xr:uid="{00000000-0001-0000-0E00-000000000000}"/>
  <sortState xmlns:xlrd2="http://schemas.microsoft.com/office/spreadsheetml/2017/richdata2" ref="A10:BI60">
    <sortCondition ref="B10:B60"/>
  </sortState>
  <mergeCells count="1">
    <mergeCell ref="S6:AF6"/>
  </mergeCells>
  <phoneticPr fontId="34" type="noConversion"/>
  <conditionalFormatting sqref="A100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46:A99">
    <cfRule type="iconSet" priority="945">
      <iconSet>
        <cfvo type="percent" val="0"/>
        <cfvo type="percent" val="33"/>
        <cfvo type="percent" val="67"/>
      </iconSet>
    </cfRule>
  </conditionalFormatting>
  <conditionalFormatting sqref="A46:A99">
    <cfRule type="iconSet" priority="946">
      <iconSet>
        <cfvo type="percent" val="0"/>
        <cfvo type="percent" val="33"/>
        <cfvo type="percent" val="67"/>
      </iconSet>
    </cfRule>
  </conditionalFormatting>
  <conditionalFormatting sqref="A46:A99">
    <cfRule type="iconSet" priority="948">
      <iconSet>
        <cfvo type="percent" val="0"/>
        <cfvo type="percent" val="33"/>
        <cfvo type="percent" val="67"/>
      </iconSet>
    </cfRule>
  </conditionalFormatting>
  <conditionalFormatting sqref="A46:A98">
    <cfRule type="iconSet" priority="950">
      <iconSet>
        <cfvo type="percent" val="0"/>
        <cfvo type="percent" val="33"/>
        <cfvo type="percent" val="67"/>
      </iconSet>
    </cfRule>
  </conditionalFormatting>
  <conditionalFormatting sqref="L10:P3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9:A4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9:A4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41:P41 L43:P4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2:P42 L39:P4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4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9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D46:D99 D10:D38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2024-01-07T21:16:18Z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