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CBB82E34-F406-4E7F-BF7F-59ECFA686D92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Scenarios!$A$9:$BI$91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811" r:id="rId9"/>
    <pivotCache cacheId="81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33" l="1"/>
  <c r="M48" i="33"/>
  <c r="N48" i="33"/>
  <c r="AZ48" i="33"/>
  <c r="E49" i="33"/>
  <c r="AZ49" i="33"/>
  <c r="E47" i="33" l="1"/>
  <c r="AZ47" i="33"/>
  <c r="BK2" i="33" l="1"/>
  <c r="AZ46" i="33" l="1"/>
  <c r="N46" i="33"/>
  <c r="M46" i="33"/>
  <c r="K46" i="33"/>
  <c r="E46" i="33"/>
  <c r="AZ45" i="33"/>
  <c r="N45" i="33"/>
  <c r="M45" i="33"/>
  <c r="K45" i="33"/>
  <c r="E45" i="33"/>
  <c r="E40" i="33"/>
  <c r="K40" i="33"/>
  <c r="M40" i="33"/>
  <c r="N40" i="33"/>
  <c r="AZ40" i="33"/>
  <c r="E41" i="33"/>
  <c r="K41" i="33"/>
  <c r="M41" i="33"/>
  <c r="N41" i="33"/>
  <c r="AZ41" i="33"/>
  <c r="E42" i="33"/>
  <c r="K42" i="33"/>
  <c r="M42" i="33"/>
  <c r="N42" i="33"/>
  <c r="AZ42" i="33"/>
  <c r="E43" i="33"/>
  <c r="K43" i="33"/>
  <c r="M43" i="33"/>
  <c r="N43" i="33"/>
  <c r="AZ43" i="33"/>
  <c r="E44" i="33"/>
  <c r="K44" i="33"/>
  <c r="M44" i="33"/>
  <c r="N44" i="33"/>
  <c r="AZ44" i="33"/>
  <c r="AZ14" i="33" l="1"/>
  <c r="N14" i="33"/>
  <c r="M14" i="33"/>
  <c r="K14" i="33"/>
  <c r="E14" i="33"/>
  <c r="AZ15" i="33" l="1"/>
  <c r="N15" i="33"/>
  <c r="M15" i="33"/>
  <c r="K15" i="33"/>
  <c r="E15" i="33"/>
  <c r="E39" i="33"/>
  <c r="K39" i="33"/>
  <c r="M39" i="33"/>
  <c r="N39" i="33"/>
  <c r="AZ39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16" i="33"/>
  <c r="K17" i="33" l="1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13" i="33"/>
  <c r="AZ13" i="33"/>
  <c r="AZ29" i="33" l="1"/>
  <c r="AZ17" i="33" l="1"/>
  <c r="AZ18" i="33"/>
  <c r="AZ19" i="33"/>
  <c r="AZ20" i="33"/>
  <c r="AZ21" i="33"/>
  <c r="AZ22" i="33"/>
  <c r="AZ23" i="33"/>
  <c r="AZ24" i="33"/>
  <c r="AZ25" i="33"/>
  <c r="AZ26" i="33"/>
  <c r="AZ27" i="33"/>
  <c r="AZ28" i="33"/>
  <c r="AZ30" i="33"/>
  <c r="AZ31" i="33"/>
  <c r="AZ32" i="33"/>
  <c r="AZ33" i="33"/>
  <c r="AZ34" i="33"/>
  <c r="AZ35" i="33"/>
  <c r="AZ36" i="33"/>
  <c r="AZ37" i="33"/>
  <c r="AZ38" i="33"/>
  <c r="AZ10" i="33"/>
  <c r="AZ11" i="33"/>
  <c r="AZ12" i="33"/>
  <c r="AZ50" i="33"/>
  <c r="AZ51" i="33"/>
  <c r="AZ52" i="33"/>
  <c r="AZ53" i="33"/>
  <c r="AZ54" i="33"/>
  <c r="AZ55" i="33"/>
  <c r="AZ56" i="33"/>
  <c r="AZ57" i="33"/>
  <c r="AZ58" i="33"/>
  <c r="AZ59" i="33"/>
  <c r="AZ60" i="33"/>
  <c r="AZ61" i="33"/>
  <c r="AZ16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6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tc={CB7120FF-BD0F-4216-BB52-4AEFC9918079}</author>
    <author>tc={544E2065-F6A0-42F6-A293-72328BDF32A5}</author>
    <author>tc={83CA511A-FBD5-43F7-B8F0-E5362C3DCE52}</author>
    <author>tc={6DC6F051-76B1-486C-98FF-EFB7541365C7}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CB7120FF-BD0F-4216-BB52-4AEFC99180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2" shapeId="0" xr:uid="{544E2065-F6A0-42F6-A293-72328BDF32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3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<sst xmlns="http://schemas.openxmlformats.org/spreadsheetml/2006/main" count="1015" uniqueCount="269">
  <si>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</si>
  <si>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</si>
  <si>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</si>
  <si>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</si>
  <si>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</si>
  <si>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</si>
  <si>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</si>
  <si>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</si>
  <si>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</si>
  <si>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</si>
  <si>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</si>
  <si>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</si>
  <si>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</si>
  <si>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</si>
  <si>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</si>
  <si>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</si>
  <si>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</si>
  <si>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</si>
  <si>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</si>
  <si>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</si>
  <si>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</si>
  <si>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</si>
  <si>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</si>
  <si>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</si>
  <si>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</si>
  <si>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</si>
  <si>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</si>
  <si>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</si>
  <si>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</si>
  <si>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</si>
  <si>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</si>
  <si>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</si>
  <si>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</si>
  <si>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</si>
  <si>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</si>
  <si>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</si>
  <si>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</si>
  <si>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</si>
  <si>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</si>
  <si>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</si>
  <si>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</si>
  <si>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</si>
  <si>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</si>
  <si>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</si>
  <si>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</si>
  <si>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</si>
  <si>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</si>
  <si>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</si>
  <si>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</si>
  <si>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</si>
  <si>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</si>
  <si>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</si>
  <si>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</si>
  <si>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</si>
  <si>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</si>
  <si>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</si>
  <si>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</si>
  <si>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</si>
  <si>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</si>
  <si>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</si>
  <si>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</si>
  <si>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</si>
  <si>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</si>
  <si>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</si>
  <si>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</si>
  <si>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</si>
  <si>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</si>
  <si>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</si>
  <si>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</si>
  <si>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</si>
  <si>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</si>
  <si>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</si>
  <si>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</si>
  <si>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</si>
  <si>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</si>
  <si>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</si>
  <si>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</si>
  <si>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</si>
  <si>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</si>
  <si>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</si>
  <si>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</si>
  <si>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</si>
  <si>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</si>
  <si>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</si>
  <si>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</si>
  <si>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</si>
  <si>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</si>
  <si>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</si>
  <si>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</si>
  <si>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</si>
  <si>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</si>
  <si>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</si>
  <si>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</si>
  <si>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</si>
  <si>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</si>
  <si>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</si>
  <si>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</si>
  <si>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</si>
  <si>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</si>
  <si>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</si>
  <si>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</si>
  <si>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</si>
  <si>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</si>
  <si>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</si>
  <si>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</si>
  <si>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</si>
  <si>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</si>
  <si>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</si>
  <si>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</si>
  <si>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</si>
  <si>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</si>
  <si>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</si>
  <si>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</si>
  <si>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</si>
  <si>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</si>
  <si>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</si>
  <si>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</si>
  <si>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</si>
  <si>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</si>
  <si>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</si>
  <si>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</si>
  <si>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</si>
  <si>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</si>
  <si>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</si>
  <si>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</si>
  <si>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</si>
  <si>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</si>
  <si>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</si>
  <si>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</si>
  <si>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</si>
  <si>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</si>
  <si>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</si>
  <si>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</si>
  <si>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</si>
  <si>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</si>
  <si>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</si>
  <si>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</si>
  <si>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</si>
  <si>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</si>
  <si>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</si>
  <si>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</si>
  <si>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</si>
  <si>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</si>
  <si>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</si>
  <si>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</si>
  <si>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</si>
  <si>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</si>
  <si>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</si>
  <si>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</si>
  <si>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</si>
  <si>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</si>
  <si>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</si>
  <si>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</si>
  <si>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</si>
  <si>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</si>
  <si>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</si>
  <si>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</si>
  <si>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</si>
  <si>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</si>
  <si>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</si>
  <si>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</si>
  <si>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</si>
  <si>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</si>
  <si>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</si>
  <si>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</si>
  <si>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</si>
  <si>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</si>
  <si>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</si>
  <si>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</si>
  <si>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</si>
  <si>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</si>
  <si>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</si>
  <si>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</si>
  <si>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</si>
  <si>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</si>
  <si>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</si>
  <si>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</si>
  <si>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</si>
  <si>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</si>
  <si>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</si>
  <si>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</si>
  <si>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</si>
  <si>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</si>
  <si>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</si>
  <si>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</si>
  <si>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</si>
  <si>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</si>
  <si>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</si>
  <si>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</si>
  <si>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</si>
  <si>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</si>
  <si>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</si>
  <si>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</si>
  <si>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</si>
  <si>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</si>
  <si>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</si>
  <si>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</si>
  <si>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</si>
  <si>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</si>
  <si>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</si>
  <si>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</si>
  <si>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</si>
  <si>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</si>
  <si>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</si>
  <si>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</si>
  <si>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</si>
  <si>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</si>
  <si>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</si>
  <si>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</si>
  <si>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</si>
  <si>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</si>
  <si>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</si>
  <si>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</si>
  <si>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</si>
  <si>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</si>
  <si>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</si>
  <si>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</si>
  <si>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</si>
  <si>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</si>
  <si>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</si>
  <si>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</si>
  <si>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</si>
  <si>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</si>
  <si>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</si>
  <si>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</si>
  <si>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</si>
  <si>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</si>
  <si>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</si>
  <si>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NZ10_2099A_99NESSNXCTCL</t>
  </si>
  <si>
    <t>NZ10_2099B_99NESSNXCTCL</t>
  </si>
  <si>
    <t>NZ10_2099A_99EESSNXCNSC</t>
  </si>
  <si>
    <t>NZ10_2099B_99EESSNXCNSC</t>
  </si>
  <si>
    <t>NZ10_2099A_99NESSNXCNSC</t>
  </si>
  <si>
    <t>NZ10_2050A_08EESSNXCTSC</t>
  </si>
  <si>
    <t>NZ10_2050A_09EESSNXCTSC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</si>
  <si>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</si>
  <si>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</si>
  <si>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</si>
  <si>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</si>
  <si>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</si>
  <si>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</si>
  <si>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</si>
  <si>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</si>
  <si>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</si>
  <si>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</si>
  <si>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</si>
  <si>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</si>
  <si>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</si>
  <si>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</si>
  <si>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</si>
  <si>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</si>
  <si>
    <t>NZ10_2050A_09EESENXCTSC</t>
  </si>
  <si>
    <t>NZ10_2099A_99EESSNXCTCL</t>
  </si>
  <si>
    <t>NZ10_2099A_99EESSNXCTSC</t>
  </si>
  <si>
    <t>NZ10_2099B_99NESSNXCTCLNR</t>
  </si>
  <si>
    <t>NZ10_2099B_99NESSNXCTCLFR</t>
  </si>
  <si>
    <t>NZ10_2050A_09EESSNXCTSCERNC</t>
  </si>
  <si>
    <t>NZ10_2099B_99NESSNXCTCL_HiR</t>
  </si>
  <si>
    <t>NZ10_2099B_99NESSNXCTCLNR_HiR</t>
  </si>
  <si>
    <t>NZ10_2099B_99NESSNXCTCLER_IRP</t>
  </si>
  <si>
    <t>NZ10_2099B_99NESSNXCTCLNR_IRP</t>
  </si>
  <si>
    <t>Incomplete runs</t>
  </si>
  <si>
    <t>broken run</t>
  </si>
  <si>
    <t>IF(ISNA(MATCH(B14,$BJ$14:$BJ$29,0)),0,1)</t>
  </si>
  <si>
    <t>problem with CGE</t>
  </si>
  <si>
    <t>NZ10_2099A_99EESSNXCTSCFR</t>
  </si>
  <si>
    <t>CurPolEE</t>
  </si>
  <si>
    <t>CurPolNoEE</t>
  </si>
  <si>
    <t>NetZero2050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</si>
</sst>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4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  <xf numFmtId="0" fontId="0" fillId="14" borderId="0" xfId="0" applyFill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24.69519849537" createdVersion="6" refreshedVersion="8" minRefreshableVersion="3" recordCount="84" xr:uid="{D229C3DF-142A-4D15-BB2C-2EA205AB0203}">
  <cacheSource type="worksheet">
    <worksheetSource ref="A9:Q107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2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B_99NESSNXCTCLER_IRP"/>
        <s v="NZ10_2099B_99NESSNXCTCLNR_IRP"/>
        <s v="NZ10_2099B_99NESSNXCTCL_HiR"/>
        <s v="NZ10_2099B_99NESSNXCTCLNR_HiR"/>
        <s v="CurPolEE"/>
        <s v="CurPolNoEE"/>
        <s v="NetZero205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0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24.695199074071" createdVersion="6" refreshedVersion="8" minRefreshableVersion="3" recordCount="84" xr:uid="{C0EB43E8-6CC6-4DE4-B7F1-02B09F7BA69A}">
  <cacheSource type="worksheet">
    <worksheetSource ref="A9:Q106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2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B_99NESSNXCTCLER_IRP"/>
        <s v="NZ10_2099B_99NESSNXCTCLNR_IRP"/>
        <s v="NZ10_2099B_99NESSNXCTCL_HiR"/>
        <s v="NZ10_2099B_99NESSNXCTCLNR_HiR"/>
        <s v="CurPolEE"/>
        <s v="CurPolNoEE"/>
        <s v="NetZero205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33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B_99NESSNXCTCLER_IRP"/>
        <s v="NZ10_2099B_99NESSNXCTCLNR_IRP"/>
        <s v="NZ10_2099B_99NESSNXCTCL_HiR"/>
        <s v="NZ10_2099B_99NESSNXCTCLNR_HiR"/>
        <s v="CurPolEE"/>
        <s v="CurPolNoEE"/>
        <s v="NetZero2050"/>
        <m/>
        <s v="NetZero" u="1"/>
        <s v="NZ10_2099A_99EESSNXCNSCFR" u="1"/>
        <s v="NZ10_2099B_99NESSNXCTCLFR" u="1"/>
        <s v="NZ11_2099B_99NESSNXCTCLNR_IRP" u="1"/>
        <s v="NZ11_2099A_99NESSNXCTCLNR_IRP" u="1"/>
        <s v="NZ10_2099A_99NESSNXCTCLER_IRP" u="1"/>
        <s v="NZ11_2099A_99EESSNXCTCLNR_IRP" u="1"/>
        <s v="NZ10_2099A_99EESSNXCTCLER_IRP" u="1"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0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1"/>
    <s v="No Pams"/>
    <n v="1"/>
    <n v="1"/>
    <n v="1"/>
    <n v="-1"/>
    <n v="1"/>
    <n v="1"/>
    <n v="1"/>
    <n v="-1"/>
    <n v="100"/>
  </r>
  <r>
    <n v="0"/>
    <x v="4"/>
    <m/>
    <s v="base"/>
    <s v="NZ10_2099A_99EESSNXCTSC"/>
    <n v="1"/>
    <n v="1"/>
    <s v="No Pams"/>
    <n v="1"/>
    <n v="1"/>
    <n v="1"/>
    <n v="-1"/>
    <n v="1"/>
    <n v="1"/>
    <n v="1"/>
    <n v="-1"/>
    <n v="100"/>
  </r>
  <r>
    <n v="0"/>
    <x v="5"/>
    <m/>
    <s v="base"/>
    <s v="NZ10_2099A_99EESSNXCTCL"/>
    <n v="1"/>
    <n v="1"/>
    <s v="No Pams"/>
    <n v="1"/>
    <n v="1"/>
    <n v="1"/>
    <n v="-1"/>
    <n v="1"/>
    <n v="1"/>
    <n v="1"/>
    <n v="-1"/>
    <n v="100"/>
  </r>
  <r>
    <n v="0"/>
    <x v="6"/>
    <m/>
    <s v="base"/>
    <s v="NZ10_2099A_99NESSNXCTCL"/>
    <n v="1"/>
    <n v="1"/>
    <s v="No Pams"/>
    <n v="1"/>
    <n v="1"/>
    <n v="1"/>
    <n v="-1"/>
    <n v="-1"/>
    <n v="-1"/>
    <n v="1"/>
    <n v="-1"/>
    <n v="100"/>
  </r>
  <r>
    <n v="0"/>
    <x v="7"/>
    <m/>
    <s v="base"/>
    <s v="NZ10_2099B_99NESSNXCTCL"/>
    <n v="1"/>
    <n v="1"/>
    <s v="No Pams"/>
    <n v="1"/>
    <n v="1"/>
    <n v="2"/>
    <n v="-1"/>
    <n v="-1"/>
    <n v="-1"/>
    <n v="1"/>
    <n v="-1"/>
    <n v="100"/>
  </r>
  <r>
    <n v="0"/>
    <x v="8"/>
    <m/>
    <s v="base"/>
    <s v="NZ10_2099A_99EESSNXCNSC"/>
    <n v="1"/>
    <n v="1"/>
    <s v="No Pams"/>
    <n v="1"/>
    <n v="1"/>
    <n v="1"/>
    <n v="-1"/>
    <n v="1"/>
    <n v="1"/>
    <n v="1"/>
    <n v="-1"/>
    <n v="100"/>
  </r>
  <r>
    <n v="0"/>
    <x v="9"/>
    <m/>
    <s v="base"/>
    <s v="NZ10_2099B_99EESSNXCNSC"/>
    <n v="1"/>
    <n v="1"/>
    <s v="No Pams"/>
    <n v="1"/>
    <n v="1"/>
    <n v="2"/>
    <n v="-1"/>
    <n v="1"/>
    <n v="1"/>
    <n v="1"/>
    <n v="-1"/>
    <n v="100"/>
  </r>
  <r>
    <n v="0"/>
    <x v="10"/>
    <m/>
    <s v="base"/>
    <s v="NZ10_2099A_99NESSNXCNSC"/>
    <n v="1"/>
    <n v="1"/>
    <s v="No Pams"/>
    <n v="1"/>
    <n v="1"/>
    <n v="1"/>
    <n v="-1"/>
    <n v="-1"/>
    <n v="-1"/>
    <n v="1"/>
    <n v="-1"/>
    <n v="100"/>
  </r>
  <r>
    <n v="0"/>
    <x v="11"/>
    <m/>
    <s v="base"/>
    <s v="NZ10_2050A_08EESSNXCTSC"/>
    <n v="1"/>
    <n v="1"/>
    <s v="No Pams"/>
    <n v="1"/>
    <n v="1"/>
    <n v="1"/>
    <n v="-1"/>
    <n v="1"/>
    <n v="1"/>
    <n v="1"/>
    <n v="-1"/>
    <n v="100"/>
  </r>
  <r>
    <n v="0"/>
    <x v="12"/>
    <m/>
    <s v="base"/>
    <s v="NZ10_2050A_09EESSNXCTSC"/>
    <n v="1"/>
    <n v="1"/>
    <s v="No Pams"/>
    <n v="1"/>
    <n v="1"/>
    <n v="1"/>
    <n v="-1"/>
    <n v="1"/>
    <n v="1"/>
    <n v="1"/>
    <n v="-1"/>
    <n v="100"/>
  </r>
  <r>
    <n v="0"/>
    <x v="13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0"/>
    <x v="14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0"/>
    <x v="15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0"/>
    <x v="16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0"/>
    <x v="17"/>
    <m/>
    <s v="base"/>
    <s v="NZ10_2050A_09EESENXCTSC"/>
    <n v="1"/>
    <n v="1"/>
    <s v="No Pams"/>
    <n v="1"/>
    <n v="1"/>
    <n v="1"/>
    <n v="-1"/>
    <n v="1"/>
    <n v="1"/>
    <n v="1"/>
    <n v="-1"/>
    <n v="100"/>
  </r>
  <r>
    <n v="0"/>
    <x v="18"/>
    <s v="problem with CGE"/>
    <s v="base"/>
    <s v="NZ10_2050A_10EESSNXCTSC"/>
    <n v="1"/>
    <n v="1"/>
    <s v="No Pams"/>
    <n v="1"/>
    <n v="1"/>
    <n v="1"/>
    <n v="-1"/>
    <n v="1"/>
    <n v="1"/>
    <n v="1"/>
    <n v="-1"/>
    <n v="100"/>
  </r>
  <r>
    <n v="0"/>
    <x v="19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0"/>
    <x v="20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0"/>
    <x v="21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0"/>
    <x v="22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0"/>
    <x v="23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0"/>
    <x v="24"/>
    <m/>
    <s v="base"/>
    <s v="NZ10_2055A_10EESSNXCTSC"/>
    <n v="1"/>
    <n v="1"/>
    <s v="No Pams"/>
    <n v="1"/>
    <n v="1"/>
    <n v="1"/>
    <n v="-1"/>
    <n v="1"/>
    <n v="1"/>
    <n v="1"/>
    <n v="-1"/>
    <n v="100"/>
  </r>
  <r>
    <n v="0"/>
    <x v="25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0"/>
    <x v="26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0"/>
    <x v="27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0"/>
    <x v="28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0"/>
    <x v="29"/>
    <m/>
    <s v="base"/>
    <s v="NZ10_2050B_11EESSNXCNSC"/>
    <n v="1"/>
    <n v="1"/>
    <s v="No Pams"/>
    <n v="1"/>
    <n v="1"/>
    <n v="2"/>
    <n v="-1"/>
    <n v="1"/>
    <n v="1"/>
    <n v="1"/>
    <n v="-1"/>
    <n v="100"/>
  </r>
  <r>
    <n v="0"/>
    <x v="30"/>
    <m/>
    <s v="base"/>
    <s v="NZ10_2099B_99NESSNXCTCLNR"/>
    <n v="1"/>
    <n v="1"/>
    <s v="No Pams"/>
    <n v="1"/>
    <n v="1"/>
    <n v="2"/>
    <n v="-1"/>
    <n v="-1"/>
    <n v="-1"/>
    <n v="1"/>
    <n v="-1"/>
    <n v="100"/>
  </r>
  <r>
    <n v="0"/>
    <x v="31"/>
    <m/>
    <s v="base"/>
    <s v="NZ10_2099A_99EESSNXCTSCFR"/>
    <n v="1"/>
    <n v="1"/>
    <s v="No Pams"/>
    <n v="1"/>
    <n v="1"/>
    <n v="1"/>
    <n v="-1"/>
    <n v="1"/>
    <n v="1"/>
    <n v="1"/>
    <n v="-1"/>
    <n v="100"/>
  </r>
  <r>
    <n v="0"/>
    <x v="32"/>
    <s v="done"/>
    <s v="base"/>
    <s v="NZ10_2050A_09EESSNXCTSCERNC"/>
    <n v="1"/>
    <n v="1"/>
    <s v="No Pams"/>
    <n v="1"/>
    <n v="1"/>
    <n v="1"/>
    <n v="-1"/>
    <n v="1"/>
    <n v="1"/>
    <n v="1"/>
    <n v="-1"/>
    <n v="100"/>
  </r>
  <r>
    <n v="0"/>
    <x v="33"/>
    <m/>
    <s v="base"/>
    <s v="NZ10_2099B_99NESSNXCTCLER_IRP"/>
    <n v="0"/>
    <n v="0"/>
    <s v="No Pams"/>
    <n v="1"/>
    <n v="1"/>
    <n v="2"/>
    <n v="-1"/>
    <n v="-1"/>
    <n v="-1"/>
    <n v="1"/>
    <n v="-1"/>
    <n v="100"/>
  </r>
  <r>
    <n v="0"/>
    <x v="34"/>
    <m/>
    <s v="base"/>
    <s v="NZ10_2099B_99NESSNXCTCLNR_IRP"/>
    <n v="0"/>
    <n v="0"/>
    <s v="No Pams"/>
    <n v="1"/>
    <n v="1"/>
    <n v="2"/>
    <n v="-1"/>
    <n v="-1"/>
    <n v="-1"/>
    <n v="1"/>
    <n v="-1"/>
    <n v="100"/>
  </r>
  <r>
    <n v="0"/>
    <x v="35"/>
    <m/>
    <s v="base"/>
    <s v="NZ10_2099B_99NESSNXCTCL_HiR"/>
    <n v="0"/>
    <n v="0"/>
    <s v="No Pams"/>
    <n v="1"/>
    <n v="1"/>
    <n v="2"/>
    <n v="-1"/>
    <n v="-1"/>
    <n v="-1"/>
    <n v="1"/>
    <n v="-1"/>
    <n v="100"/>
  </r>
  <r>
    <n v="0"/>
    <x v="36"/>
    <m/>
    <s v="base"/>
    <s v="NZ10_2099B_99NESSNXCTCLNR_HiR"/>
    <n v="0"/>
    <n v="0"/>
    <s v="No Pams"/>
    <n v="1"/>
    <n v="1"/>
    <n v="2"/>
    <n v="-1"/>
    <n v="-1"/>
    <n v="-1"/>
    <n v="1"/>
    <n v="-1"/>
    <n v="100"/>
  </r>
  <r>
    <n v="1"/>
    <x v="37"/>
    <m/>
    <s v="base"/>
    <s v="CurPolEE"/>
    <n v="1"/>
    <n v="1"/>
    <s v="No Pams"/>
    <n v="1"/>
    <n v="1"/>
    <n v="0"/>
    <n v="-1"/>
    <n v="1"/>
    <n v="1"/>
    <n v="1"/>
    <n v="-1"/>
    <n v="100"/>
  </r>
  <r>
    <n v="0"/>
    <x v="38"/>
    <m/>
    <s v="base"/>
    <s v="CurPolNoEE"/>
    <n v="1"/>
    <n v="1"/>
    <s v="No Pams"/>
    <n v="1"/>
    <n v="1"/>
    <n v="0"/>
    <n v="-1"/>
    <n v="-1"/>
    <n v="-1"/>
    <n v="1"/>
    <n v="-1"/>
    <n v="100"/>
  </r>
  <r>
    <n v="1"/>
    <x v="39"/>
    <m/>
    <s v="base"/>
    <s v="NetZero2050"/>
    <n v="1"/>
    <n v="1"/>
    <s v="No Pams"/>
    <n v="1"/>
    <n v="1"/>
    <n v="0"/>
    <n v="-1"/>
    <n v="1"/>
    <n v="1"/>
    <n v="1"/>
    <n v="-1"/>
    <n v="100"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n v="1"/>
    <m/>
    <m/>
    <m/>
    <m/>
    <m/>
    <m/>
  </r>
  <r>
    <m/>
    <x v="40"/>
    <m/>
    <m/>
    <m/>
    <m/>
    <m/>
    <m/>
    <m/>
    <m/>
    <m/>
    <m/>
    <m/>
    <m/>
    <m/>
    <m/>
    <m/>
  </r>
  <r>
    <m/>
    <x v="4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1"/>
    <s v="No Pams"/>
    <n v="1"/>
    <n v="1"/>
    <n v="1"/>
    <n v="-1"/>
    <n v="1"/>
    <n v="1"/>
    <n v="1"/>
    <n v="-1"/>
    <n v="100"/>
  </r>
  <r>
    <n v="0"/>
    <x v="4"/>
    <m/>
    <x v="0"/>
    <x v="4"/>
    <n v="1"/>
    <n v="1"/>
    <s v="No Pams"/>
    <n v="1"/>
    <n v="1"/>
    <n v="1"/>
    <n v="-1"/>
    <n v="1"/>
    <n v="1"/>
    <n v="1"/>
    <n v="-1"/>
    <n v="100"/>
  </r>
  <r>
    <n v="0"/>
    <x v="5"/>
    <m/>
    <x v="0"/>
    <x v="5"/>
    <n v="1"/>
    <n v="1"/>
    <s v="No Pams"/>
    <n v="1"/>
    <n v="1"/>
    <n v="1"/>
    <n v="-1"/>
    <n v="1"/>
    <n v="1"/>
    <n v="1"/>
    <n v="-1"/>
    <n v="100"/>
  </r>
  <r>
    <n v="0"/>
    <x v="6"/>
    <m/>
    <x v="0"/>
    <x v="6"/>
    <n v="1"/>
    <n v="1"/>
    <s v="No Pams"/>
    <n v="1"/>
    <n v="1"/>
    <n v="1"/>
    <n v="-1"/>
    <n v="-1"/>
    <n v="-1"/>
    <n v="1"/>
    <n v="-1"/>
    <n v="100"/>
  </r>
  <r>
    <n v="0"/>
    <x v="7"/>
    <m/>
    <x v="0"/>
    <x v="7"/>
    <n v="1"/>
    <n v="1"/>
    <s v="No Pams"/>
    <n v="1"/>
    <n v="1"/>
    <n v="2"/>
    <n v="-1"/>
    <n v="-1"/>
    <n v="-1"/>
    <n v="1"/>
    <n v="-1"/>
    <n v="100"/>
  </r>
  <r>
    <n v="0"/>
    <x v="8"/>
    <m/>
    <x v="0"/>
    <x v="8"/>
    <n v="1"/>
    <n v="1"/>
    <s v="No Pams"/>
    <n v="1"/>
    <n v="1"/>
    <n v="1"/>
    <n v="-1"/>
    <n v="1"/>
    <n v="1"/>
    <n v="1"/>
    <n v="-1"/>
    <n v="100"/>
  </r>
  <r>
    <n v="0"/>
    <x v="9"/>
    <m/>
    <x v="0"/>
    <x v="9"/>
    <n v="1"/>
    <n v="1"/>
    <s v="No Pams"/>
    <n v="1"/>
    <n v="1"/>
    <n v="2"/>
    <n v="-1"/>
    <n v="1"/>
    <n v="1"/>
    <n v="1"/>
    <n v="-1"/>
    <n v="100"/>
  </r>
  <r>
    <n v="0"/>
    <x v="10"/>
    <m/>
    <x v="0"/>
    <x v="10"/>
    <n v="1"/>
    <n v="1"/>
    <s v="No Pams"/>
    <n v="1"/>
    <n v="1"/>
    <n v="1"/>
    <n v="-1"/>
    <n v="-1"/>
    <n v="-1"/>
    <n v="1"/>
    <n v="-1"/>
    <n v="100"/>
  </r>
  <r>
    <n v="0"/>
    <x v="11"/>
    <m/>
    <x v="0"/>
    <x v="11"/>
    <n v="1"/>
    <n v="1"/>
    <s v="No Pams"/>
    <n v="1"/>
    <n v="1"/>
    <n v="1"/>
    <n v="-1"/>
    <n v="1"/>
    <n v="1"/>
    <n v="1"/>
    <n v="-1"/>
    <n v="100"/>
  </r>
  <r>
    <n v="0"/>
    <x v="12"/>
    <m/>
    <x v="0"/>
    <x v="12"/>
    <n v="1"/>
    <n v="1"/>
    <s v="No Pams"/>
    <n v="1"/>
    <n v="1"/>
    <n v="1"/>
    <n v="-1"/>
    <n v="1"/>
    <n v="1"/>
    <n v="1"/>
    <n v="-1"/>
    <n v="100"/>
  </r>
  <r>
    <n v="0"/>
    <x v="13"/>
    <m/>
    <x v="0"/>
    <x v="13"/>
    <n v="1"/>
    <n v="1"/>
    <s v="No Pams"/>
    <n v="1"/>
    <n v="1"/>
    <n v="1"/>
    <n v="-1"/>
    <n v="1"/>
    <n v="1"/>
    <n v="1"/>
    <n v="-1"/>
    <n v="100"/>
  </r>
  <r>
    <n v="0"/>
    <x v="14"/>
    <m/>
    <x v="0"/>
    <x v="14"/>
    <n v="1"/>
    <n v="1"/>
    <s v="No Pams"/>
    <n v="1"/>
    <n v="1"/>
    <n v="1"/>
    <n v="-1"/>
    <n v="-1"/>
    <n v="-1"/>
    <n v="1"/>
    <n v="-1"/>
    <n v="100"/>
  </r>
  <r>
    <n v="0"/>
    <x v="15"/>
    <m/>
    <x v="0"/>
    <x v="15"/>
    <n v="1"/>
    <n v="1"/>
    <s v="No Pams"/>
    <n v="1"/>
    <n v="1"/>
    <n v="1"/>
    <n v="-1"/>
    <n v="1"/>
    <n v="1"/>
    <n v="1"/>
    <n v="-1"/>
    <n v="100"/>
  </r>
  <r>
    <n v="0"/>
    <x v="16"/>
    <m/>
    <x v="0"/>
    <x v="16"/>
    <n v="1"/>
    <n v="1"/>
    <s v="No Pams"/>
    <n v="1"/>
    <n v="1"/>
    <n v="1"/>
    <n v="-1"/>
    <n v="1"/>
    <n v="1"/>
    <n v="1"/>
    <n v="-1"/>
    <n v="100"/>
  </r>
  <r>
    <n v="0"/>
    <x v="17"/>
    <m/>
    <x v="0"/>
    <x v="17"/>
    <n v="1"/>
    <n v="1"/>
    <s v="No Pams"/>
    <n v="1"/>
    <n v="1"/>
    <n v="1"/>
    <n v="-1"/>
    <n v="1"/>
    <n v="1"/>
    <n v="1"/>
    <n v="-1"/>
    <n v="100"/>
  </r>
  <r>
    <n v="0"/>
    <x v="18"/>
    <s v="problem with CGE"/>
    <x v="0"/>
    <x v="18"/>
    <n v="1"/>
    <n v="1"/>
    <s v="No Pams"/>
    <n v="1"/>
    <n v="1"/>
    <n v="1"/>
    <n v="-1"/>
    <n v="1"/>
    <n v="1"/>
    <n v="1"/>
    <n v="-1"/>
    <n v="100"/>
  </r>
  <r>
    <n v="0"/>
    <x v="19"/>
    <m/>
    <x v="0"/>
    <x v="19"/>
    <n v="1"/>
    <n v="1"/>
    <s v="No Pams"/>
    <n v="1"/>
    <n v="1"/>
    <n v="1"/>
    <n v="-1"/>
    <n v="1"/>
    <n v="1"/>
    <n v="1"/>
    <n v="-1"/>
    <n v="100"/>
  </r>
  <r>
    <n v="0"/>
    <x v="20"/>
    <m/>
    <x v="0"/>
    <x v="20"/>
    <n v="1"/>
    <n v="1"/>
    <s v="No Pams"/>
    <n v="1"/>
    <n v="1"/>
    <n v="1"/>
    <n v="-1"/>
    <n v="1"/>
    <n v="1"/>
    <n v="1"/>
    <n v="-1"/>
    <n v="100"/>
  </r>
  <r>
    <n v="0"/>
    <x v="21"/>
    <m/>
    <x v="0"/>
    <x v="21"/>
    <n v="1"/>
    <n v="1"/>
    <s v="No Pams"/>
    <n v="1"/>
    <n v="1"/>
    <n v="1"/>
    <n v="-1"/>
    <n v="1"/>
    <n v="1"/>
    <n v="1"/>
    <n v="-1"/>
    <n v="100"/>
  </r>
  <r>
    <n v="0"/>
    <x v="22"/>
    <m/>
    <x v="0"/>
    <x v="22"/>
    <n v="1"/>
    <n v="1"/>
    <s v="No Pams"/>
    <n v="1"/>
    <n v="1"/>
    <n v="1"/>
    <n v="-1"/>
    <n v="1"/>
    <n v="1"/>
    <n v="1"/>
    <n v="-1"/>
    <n v="100"/>
  </r>
  <r>
    <n v="0"/>
    <x v="23"/>
    <m/>
    <x v="0"/>
    <x v="23"/>
    <n v="1"/>
    <n v="1"/>
    <s v="No Pams"/>
    <n v="1"/>
    <n v="1"/>
    <n v="1"/>
    <n v="-1"/>
    <n v="1"/>
    <n v="1"/>
    <n v="1"/>
    <n v="-1"/>
    <n v="100"/>
  </r>
  <r>
    <n v="0"/>
    <x v="24"/>
    <m/>
    <x v="0"/>
    <x v="24"/>
    <n v="1"/>
    <n v="1"/>
    <s v="No Pams"/>
    <n v="1"/>
    <n v="1"/>
    <n v="1"/>
    <n v="-1"/>
    <n v="1"/>
    <n v="1"/>
    <n v="1"/>
    <n v="-1"/>
    <n v="100"/>
  </r>
  <r>
    <n v="0"/>
    <x v="25"/>
    <m/>
    <x v="0"/>
    <x v="25"/>
    <n v="1"/>
    <n v="1"/>
    <s v="No Pams"/>
    <n v="1"/>
    <n v="1"/>
    <n v="1"/>
    <n v="-1"/>
    <n v="1"/>
    <n v="1"/>
    <n v="1"/>
    <n v="-1"/>
    <n v="100"/>
  </r>
  <r>
    <n v="0"/>
    <x v="26"/>
    <m/>
    <x v="0"/>
    <x v="26"/>
    <n v="1"/>
    <n v="1"/>
    <s v="No Pams"/>
    <n v="1"/>
    <n v="1"/>
    <n v="2"/>
    <n v="-1"/>
    <n v="1"/>
    <n v="1"/>
    <n v="1"/>
    <n v="-1"/>
    <n v="100"/>
  </r>
  <r>
    <n v="0"/>
    <x v="27"/>
    <m/>
    <x v="0"/>
    <x v="27"/>
    <n v="1"/>
    <n v="1"/>
    <s v="No Pams"/>
    <n v="1"/>
    <n v="1"/>
    <n v="2"/>
    <n v="-1"/>
    <n v="1"/>
    <n v="1"/>
    <n v="1"/>
    <n v="-1"/>
    <n v="100"/>
  </r>
  <r>
    <n v="0"/>
    <x v="28"/>
    <m/>
    <x v="0"/>
    <x v="28"/>
    <n v="1"/>
    <n v="1"/>
    <s v="No Pams"/>
    <n v="1"/>
    <n v="1"/>
    <n v="2"/>
    <n v="-1"/>
    <n v="1"/>
    <n v="1"/>
    <n v="1"/>
    <n v="-1"/>
    <n v="100"/>
  </r>
  <r>
    <n v="0"/>
    <x v="29"/>
    <m/>
    <x v="0"/>
    <x v="29"/>
    <n v="1"/>
    <n v="1"/>
    <s v="No Pams"/>
    <n v="1"/>
    <n v="1"/>
    <n v="2"/>
    <n v="-1"/>
    <n v="1"/>
    <n v="1"/>
    <n v="1"/>
    <n v="-1"/>
    <n v="100"/>
  </r>
  <r>
    <n v="0"/>
    <x v="30"/>
    <m/>
    <x v="0"/>
    <x v="30"/>
    <n v="1"/>
    <n v="1"/>
    <s v="No Pams"/>
    <n v="1"/>
    <n v="1"/>
    <n v="2"/>
    <n v="-1"/>
    <n v="-1"/>
    <n v="-1"/>
    <n v="1"/>
    <n v="-1"/>
    <n v="100"/>
  </r>
  <r>
    <n v="0"/>
    <x v="31"/>
    <m/>
    <x v="0"/>
    <x v="31"/>
    <n v="1"/>
    <n v="1"/>
    <s v="No Pams"/>
    <n v="1"/>
    <n v="1"/>
    <n v="1"/>
    <n v="-1"/>
    <n v="1"/>
    <n v="1"/>
    <n v="1"/>
    <n v="-1"/>
    <n v="100"/>
  </r>
  <r>
    <n v="0"/>
    <x v="32"/>
    <s v="done"/>
    <x v="0"/>
    <x v="32"/>
    <n v="1"/>
    <n v="1"/>
    <s v="No Pams"/>
    <n v="1"/>
    <n v="1"/>
    <n v="1"/>
    <n v="-1"/>
    <n v="1"/>
    <n v="1"/>
    <n v="1"/>
    <n v="-1"/>
    <n v="100"/>
  </r>
  <r>
    <n v="0"/>
    <x v="33"/>
    <m/>
    <x v="0"/>
    <x v="33"/>
    <n v="0"/>
    <n v="0"/>
    <s v="No Pams"/>
    <n v="1"/>
    <n v="1"/>
    <n v="2"/>
    <n v="-1"/>
    <n v="-1"/>
    <n v="-1"/>
    <n v="1"/>
    <n v="-1"/>
    <n v="100"/>
  </r>
  <r>
    <n v="0"/>
    <x v="34"/>
    <m/>
    <x v="0"/>
    <x v="34"/>
    <n v="0"/>
    <n v="0"/>
    <s v="No Pams"/>
    <n v="1"/>
    <n v="1"/>
    <n v="2"/>
    <n v="-1"/>
    <n v="-1"/>
    <n v="-1"/>
    <n v="1"/>
    <n v="-1"/>
    <n v="100"/>
  </r>
  <r>
    <n v="0"/>
    <x v="35"/>
    <m/>
    <x v="0"/>
    <x v="35"/>
    <n v="0"/>
    <n v="0"/>
    <s v="No Pams"/>
    <n v="1"/>
    <n v="1"/>
    <n v="2"/>
    <n v="-1"/>
    <n v="-1"/>
    <n v="-1"/>
    <n v="1"/>
    <n v="-1"/>
    <n v="100"/>
  </r>
  <r>
    <n v="0"/>
    <x v="36"/>
    <m/>
    <x v="0"/>
    <x v="36"/>
    <n v="0"/>
    <n v="0"/>
    <s v="No Pams"/>
    <n v="1"/>
    <n v="1"/>
    <n v="2"/>
    <n v="-1"/>
    <n v="-1"/>
    <n v="-1"/>
    <n v="1"/>
    <n v="-1"/>
    <n v="100"/>
  </r>
  <r>
    <n v="1"/>
    <x v="37"/>
    <m/>
    <x v="0"/>
    <x v="37"/>
    <n v="1"/>
    <n v="1"/>
    <s v="No Pams"/>
    <n v="1"/>
    <n v="1"/>
    <n v="0"/>
    <n v="-1"/>
    <n v="1"/>
    <n v="1"/>
    <n v="1"/>
    <n v="-1"/>
    <n v="100"/>
  </r>
  <r>
    <n v="0"/>
    <x v="38"/>
    <m/>
    <x v="0"/>
    <x v="38"/>
    <n v="1"/>
    <n v="1"/>
    <s v="No Pams"/>
    <n v="1"/>
    <n v="1"/>
    <n v="0"/>
    <n v="-1"/>
    <n v="-1"/>
    <n v="-1"/>
    <n v="1"/>
    <n v="-1"/>
    <n v="100"/>
  </r>
  <r>
    <n v="1"/>
    <x v="39"/>
    <m/>
    <x v="0"/>
    <x v="39"/>
    <n v="1"/>
    <n v="1"/>
    <s v="No Pams"/>
    <n v="1"/>
    <n v="1"/>
    <n v="0"/>
    <n v="-1"/>
    <n v="1"/>
    <n v="1"/>
    <n v="1"/>
    <n v="-1"/>
    <n v="100"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n v="1"/>
    <m/>
    <m/>
    <m/>
    <m/>
    <m/>
    <m/>
  </r>
  <r>
    <m/>
    <x v="40"/>
    <m/>
    <x v="1"/>
    <x v="40"/>
    <m/>
    <m/>
    <m/>
    <m/>
    <m/>
    <m/>
    <m/>
    <m/>
    <m/>
    <m/>
    <m/>
    <m/>
  </r>
  <r>
    <m/>
    <x v="40"/>
    <m/>
    <x v="1"/>
    <x v="4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81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47" firstHeaderRow="1" firstDataRow="1" firstDataCol="1"/>
  <pivotFields count="17">
    <pivotField dataField="1" showAll="0"/>
    <pivotField axis="axisRow" showAll="0">
      <items count="43">
        <item x="40"/>
        <item m="1" x="4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5"/>
        <item x="36"/>
        <item x="33"/>
        <item x="34"/>
        <item x="31"/>
        <item x="37"/>
        <item x="38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811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47" firstHeaderRow="1" firstDataRow="1" firstDataCol="1"/>
  <pivotFields count="17">
    <pivotField showAll="0"/>
    <pivotField axis="axisRow" showAll="0">
      <items count="43">
        <item m="1" x="41"/>
        <item x="4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5"/>
        <item x="36"/>
        <item x="33"/>
        <item x="34"/>
        <item x="31"/>
        <item x="37"/>
        <item x="38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8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8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47" firstHeaderRow="1" firstDataRow="1" firstDataCol="1"/>
  <pivotFields count="17">
    <pivotField showAll="0"/>
    <pivotField showAll="0"/>
    <pivotField showAll="0"/>
    <pivotField showAll="0"/>
    <pivotField axis="axisRow" showAll="0">
      <items count="334">
        <item m="1" x="259"/>
        <item m="1" x="226"/>
        <item m="1" x="216"/>
        <item x="40"/>
        <item m="1" x="225"/>
        <item m="1" x="169"/>
        <item m="1" x="245"/>
        <item m="1" x="266"/>
        <item m="1" x="219"/>
        <item m="1" x="227"/>
        <item m="1" x="220"/>
        <item m="1" x="197"/>
        <item m="1" x="144"/>
        <item m="1" x="241"/>
        <item m="1" x="142"/>
        <item m="1" x="308"/>
        <item m="1" x="188"/>
        <item m="1" x="289"/>
        <item m="1" x="302"/>
        <item m="1" x="198"/>
        <item m="1" x="191"/>
        <item m="1" x="295"/>
        <item m="1" x="252"/>
        <item m="1" x="253"/>
        <item m="1" x="291"/>
        <item m="1" x="211"/>
        <item m="1" x="284"/>
        <item m="1" x="158"/>
        <item m="1" x="179"/>
        <item m="1" x="329"/>
        <item m="1" x="261"/>
        <item m="1" x="303"/>
        <item m="1" x="230"/>
        <item m="1" x="305"/>
        <item m="1" x="316"/>
        <item m="1" x="238"/>
        <item m="1" x="263"/>
        <item m="1" x="257"/>
        <item m="1" x="300"/>
        <item m="1" x="298"/>
        <item m="1" x="184"/>
        <item m="1" x="321"/>
        <item m="1" x="255"/>
        <item m="1" x="280"/>
        <item m="1" x="297"/>
        <item m="1" x="325"/>
        <item m="1" x="332"/>
        <item m="1" x="234"/>
        <item m="1" x="218"/>
        <item m="1" x="217"/>
        <item m="1" x="268"/>
        <item m="1" x="222"/>
        <item m="1" x="277"/>
        <item m="1" x="172"/>
        <item m="1" x="240"/>
        <item m="1" x="275"/>
        <item m="1" x="299"/>
        <item m="1" x="237"/>
        <item m="1" x="228"/>
        <item m="1" x="166"/>
        <item m="1" x="307"/>
        <item m="1" x="186"/>
        <item m="1" x="206"/>
        <item m="1" x="249"/>
        <item m="1" x="260"/>
        <item m="1" x="207"/>
        <item m="1" x="156"/>
        <item m="1" x="254"/>
        <item m="1" x="265"/>
        <item m="1" x="193"/>
        <item m="1" x="288"/>
        <item m="1" x="304"/>
        <item m="1" x="242"/>
        <item m="1" x="196"/>
        <item m="1" x="208"/>
        <item m="1" x="185"/>
        <item m="1" x="270"/>
        <item m="1" x="153"/>
        <item m="1" x="279"/>
        <item m="1" x="296"/>
        <item m="1" x="317"/>
        <item m="1" x="292"/>
        <item m="1" x="310"/>
        <item m="1" x="330"/>
        <item m="1" x="209"/>
        <item m="1" x="287"/>
        <item m="1" x="327"/>
        <item m="1" x="167"/>
        <item m="1" x="181"/>
        <item m="1" x="214"/>
        <item m="1" x="256"/>
        <item m="1" x="159"/>
        <item m="1" x="164"/>
        <item m="1" x="139"/>
        <item m="1" x="150"/>
        <item m="1" x="309"/>
        <item m="1" x="221"/>
        <item m="1" x="306"/>
        <item m="1" x="182"/>
        <item m="1" x="311"/>
        <item m="1" x="274"/>
        <item m="1" x="247"/>
        <item m="1" x="195"/>
        <item m="1" x="273"/>
        <item m="1" x="143"/>
        <item m="1" x="294"/>
        <item m="1" x="224"/>
        <item m="1" x="147"/>
        <item m="1" x="272"/>
        <item m="1" x="155"/>
        <item m="1" x="176"/>
        <item m="1" x="233"/>
        <item m="1" x="199"/>
        <item m="1" x="189"/>
        <item m="1" x="180"/>
        <item m="1" x="326"/>
        <item m="1" x="331"/>
        <item m="1" x="318"/>
        <item m="1" x="324"/>
        <item m="1" x="235"/>
        <item m="1" x="168"/>
        <item m="1" x="157"/>
        <item m="1" x="251"/>
        <item m="1" x="322"/>
        <item m="1" x="215"/>
        <item m="1" x="290"/>
        <item m="1" x="283"/>
        <item m="1" x="282"/>
        <item m="1" x="162"/>
        <item m="1" x="269"/>
        <item m="1" x="201"/>
        <item m="1" x="250"/>
        <item m="1" x="174"/>
        <item m="1" x="149"/>
        <item m="1" x="312"/>
        <item m="1" x="314"/>
        <item m="1" x="213"/>
        <item m="1" x="171"/>
        <item m="1" x="192"/>
        <item m="1" x="187"/>
        <item m="1" x="183"/>
        <item m="1" x="313"/>
        <item m="1" x="154"/>
        <item m="1" x="323"/>
        <item m="1" x="229"/>
        <item m="1" x="278"/>
        <item m="1" x="202"/>
        <item m="1" x="194"/>
        <item m="1" x="203"/>
        <item m="1" x="170"/>
        <item m="1" x="328"/>
        <item m="1" x="248"/>
        <item m="1" x="243"/>
        <item m="1" x="161"/>
        <item m="1" x="293"/>
        <item m="1" x="163"/>
        <item m="1" x="262"/>
        <item m="1" x="239"/>
        <item m="1" x="231"/>
        <item m="1" x="210"/>
        <item m="1" x="190"/>
        <item m="1" x="175"/>
        <item m="1" x="151"/>
        <item m="1" x="145"/>
        <item m="1" x="319"/>
        <item m="1" x="301"/>
        <item m="1" x="160"/>
        <item m="1" x="204"/>
        <item m="1" x="173"/>
        <item m="1" x="146"/>
        <item m="1" x="320"/>
        <item m="1" x="285"/>
        <item m="1" x="267"/>
        <item m="1" x="244"/>
        <item m="1" x="178"/>
        <item m="1" x="148"/>
        <item m="1" x="141"/>
        <item m="1" x="152"/>
        <item m="1" x="165"/>
        <item m="1" x="286"/>
        <item m="1" x="246"/>
        <item m="1" x="205"/>
        <item x="2"/>
        <item m="1" x="223"/>
        <item m="1" x="200"/>
        <item m="1" x="281"/>
        <item m="1" x="177"/>
        <item m="1" x="236"/>
        <item m="1" x="264"/>
        <item m="1" x="212"/>
        <item m="1" x="276"/>
        <item m="1" x="271"/>
        <item m="1" x="140"/>
        <item m="1" x="258"/>
        <item m="1" x="232"/>
        <item m="1" x="132"/>
        <item m="1" x="315"/>
        <item m="1" x="138"/>
        <item m="1" x="134"/>
        <item m="1" x="137"/>
        <item m="1" x="133"/>
        <item m="1" x="136"/>
        <item m="1" x="135"/>
        <item m="1" x="128"/>
        <item m="1" x="118"/>
        <item m="1" x="119"/>
        <item m="1" x="120"/>
        <item m="1" x="121"/>
        <item m="1" x="122"/>
        <item m="1" x="123"/>
        <item m="1" x="124"/>
        <item m="1" x="131"/>
        <item m="1" x="125"/>
        <item m="1" x="130"/>
        <item m="1" x="129"/>
        <item m="1" x="126"/>
        <item m="1" x="127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74"/>
        <item m="1" x="75"/>
        <item m="1" x="51"/>
        <item m="1" x="52"/>
        <item m="1" x="76"/>
        <item m="1" x="54"/>
        <item m="1" x="55"/>
        <item m="1" x="56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57"/>
        <item m="1" x="100"/>
        <item m="1" x="101"/>
        <item m="1" x="96"/>
        <item m="1" x="98"/>
        <item m="1" x="99"/>
        <item m="1" x="97"/>
        <item m="1" x="95"/>
        <item m="1" x="72"/>
        <item m="1" x="73"/>
        <item m="1" x="86"/>
        <item m="1" x="92"/>
        <item m="1" x="93"/>
        <item m="1" x="94"/>
        <item x="0"/>
        <item x="1"/>
        <item m="1" x="80"/>
        <item m="1" x="81"/>
        <item m="1" x="82"/>
        <item m="1" x="83"/>
        <item m="1" x="84"/>
        <item m="1" x="85"/>
        <item m="1" x="77"/>
        <item m="1" x="78"/>
        <item m="1" x="50"/>
        <item m="1" x="88"/>
        <item m="1" x="91"/>
        <item m="1" x="90"/>
        <item m="1" x="89"/>
        <item m="1" x="87"/>
        <item m="1" x="79"/>
        <item x="3"/>
        <item m="1" x="49"/>
        <item m="1" x="5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m="1" x="43"/>
        <item x="32"/>
        <item m="1" x="48"/>
        <item m="1" x="47"/>
        <item m="1" x="46"/>
        <item m="1" x="45"/>
        <item x="35"/>
        <item x="36"/>
        <item x="33"/>
        <item m="1" x="44"/>
        <item x="34"/>
        <item m="1" x="42"/>
        <item x="31"/>
        <item x="37"/>
        <item x="38"/>
        <item m="1" x="41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1">
    <i>
      <x v="3"/>
    </i>
    <i>
      <x v="182"/>
    </i>
    <i>
      <x v="269"/>
    </i>
    <i>
      <x v="270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7"/>
    </i>
    <i>
      <x v="322"/>
    </i>
    <i>
      <x v="323"/>
    </i>
    <i>
      <x v="324"/>
    </i>
    <i>
      <x v="326"/>
    </i>
    <i>
      <x v="328"/>
    </i>
    <i>
      <x v="329"/>
    </i>
    <i>
      <x v="330"/>
    </i>
    <i>
      <x v="33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8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47" firstHeaderRow="1" firstDataRow="1" firstDataCol="1"/>
  <pivotFields count="17">
    <pivotField showAll="0"/>
    <pivotField axis="axisRow" showAll="0">
      <items count="43">
        <item x="40"/>
        <item m="1" x="4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5"/>
        <item x="36"/>
        <item x="33"/>
        <item x="34"/>
        <item x="31"/>
        <item x="37"/>
        <item x="38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8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47" firstHeaderRow="1" firstDataRow="1" firstDataCol="1"/>
  <pivotFields count="17">
    <pivotField showAll="0"/>
    <pivotField axis="axisRow" showAll="0">
      <items count="43">
        <item x="40"/>
        <item m="1" x="4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5"/>
        <item x="36"/>
        <item x="33"/>
        <item x="34"/>
        <item x="31"/>
        <item x="37"/>
        <item x="38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8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47" firstHeaderRow="1" firstDataRow="1" firstDataCol="1"/>
  <pivotFields count="17">
    <pivotField showAll="0"/>
    <pivotField axis="axisRow" showAll="0">
      <items count="43">
        <item x="40"/>
        <item m="1" x="4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5"/>
        <item x="36"/>
        <item x="33"/>
        <item x="34"/>
        <item x="31"/>
        <item x="37"/>
        <item x="38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8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47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2">
        <item x="40"/>
        <item m="1" x="4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5"/>
        <item x="36"/>
        <item x="33"/>
        <item x="34"/>
        <item x="31"/>
        <item x="37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1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8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47" firstHeaderRow="1" firstDataRow="1" firstDataCol="1"/>
  <pivotFields count="17">
    <pivotField showAll="0"/>
    <pivotField axis="axisRow" showAll="0">
      <items count="43">
        <item x="40"/>
        <item m="1" x="4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5"/>
        <item x="36"/>
        <item x="33"/>
        <item x="34"/>
        <item x="31"/>
        <item x="37"/>
        <item x="38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8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47" firstHeaderRow="1" firstDataRow="1" firstDataCol="1"/>
  <pivotFields count="17">
    <pivotField showAll="0"/>
    <pivotField axis="axisRow" showAll="0">
      <items count="43">
        <item x="40"/>
        <item m="1" x="4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5"/>
        <item x="36"/>
        <item x="33"/>
        <item x="34"/>
        <item x="31"/>
        <item x="37"/>
        <item x="38"/>
        <item x="3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8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47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2">
        <item x="40"/>
        <item m="1" x="4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5"/>
        <item x="36"/>
        <item x="33"/>
        <item x="34"/>
        <item x="31"/>
        <item x="37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3">
        <item m="1" x="259"/>
        <item m="1" x="226"/>
        <item m="1" x="216"/>
        <item x="40"/>
        <item m="1" x="225"/>
        <item m="1" x="169"/>
        <item m="1" x="245"/>
        <item m="1" x="266"/>
        <item m="1" x="219"/>
        <item m="1" x="227"/>
        <item m="1" x="220"/>
        <item m="1" x="197"/>
        <item m="1" x="144"/>
        <item m="1" x="241"/>
        <item m="1" x="142"/>
        <item m="1" x="308"/>
        <item m="1" x="188"/>
        <item m="1" x="289"/>
        <item m="1" x="302"/>
        <item m="1" x="198"/>
        <item m="1" x="191"/>
        <item m="1" x="295"/>
        <item m="1" x="252"/>
        <item m="1" x="253"/>
        <item m="1" x="291"/>
        <item m="1" x="211"/>
        <item m="1" x="284"/>
        <item m="1" x="158"/>
        <item m="1" x="179"/>
        <item m="1" x="329"/>
        <item m="1" x="261"/>
        <item m="1" x="303"/>
        <item m="1" x="230"/>
        <item m="1" x="305"/>
        <item m="1" x="316"/>
        <item m="1" x="238"/>
        <item m="1" x="263"/>
        <item m="1" x="257"/>
        <item m="1" x="300"/>
        <item m="1" x="298"/>
        <item m="1" x="184"/>
        <item m="1" x="321"/>
        <item m="1" x="255"/>
        <item m="1" x="280"/>
        <item m="1" x="297"/>
        <item m="1" x="325"/>
        <item m="1" x="332"/>
        <item m="1" x="234"/>
        <item m="1" x="218"/>
        <item m="1" x="217"/>
        <item m="1" x="268"/>
        <item m="1" x="222"/>
        <item m="1" x="277"/>
        <item m="1" x="172"/>
        <item m="1" x="240"/>
        <item m="1" x="275"/>
        <item m="1" x="299"/>
        <item m="1" x="237"/>
        <item m="1" x="228"/>
        <item m="1" x="166"/>
        <item m="1" x="307"/>
        <item m="1" x="186"/>
        <item m="1" x="206"/>
        <item m="1" x="249"/>
        <item m="1" x="260"/>
        <item m="1" x="207"/>
        <item m="1" x="156"/>
        <item m="1" x="254"/>
        <item m="1" x="265"/>
        <item m="1" x="193"/>
        <item m="1" x="288"/>
        <item m="1" x="304"/>
        <item m="1" x="242"/>
        <item m="1" x="196"/>
        <item m="1" x="208"/>
        <item m="1" x="185"/>
        <item m="1" x="270"/>
        <item m="1" x="153"/>
        <item m="1" x="279"/>
        <item m="1" x="296"/>
        <item m="1" x="317"/>
        <item m="1" x="292"/>
        <item m="1" x="310"/>
        <item m="1" x="330"/>
        <item m="1" x="209"/>
        <item m="1" x="287"/>
        <item m="1" x="327"/>
        <item m="1" x="167"/>
        <item m="1" x="181"/>
        <item m="1" x="214"/>
        <item m="1" x="256"/>
        <item m="1" x="159"/>
        <item m="1" x="164"/>
        <item m="1" x="139"/>
        <item m="1" x="150"/>
        <item m="1" x="309"/>
        <item m="1" x="221"/>
        <item m="1" x="306"/>
        <item m="1" x="182"/>
        <item m="1" x="311"/>
        <item m="1" x="274"/>
        <item m="1" x="247"/>
        <item m="1" x="195"/>
        <item m="1" x="273"/>
        <item m="1" x="143"/>
        <item m="1" x="294"/>
        <item m="1" x="224"/>
        <item m="1" x="147"/>
        <item m="1" x="272"/>
        <item m="1" x="155"/>
        <item m="1" x="176"/>
        <item m="1" x="233"/>
        <item m="1" x="199"/>
        <item m="1" x="189"/>
        <item m="1" x="180"/>
        <item m="1" x="326"/>
        <item m="1" x="331"/>
        <item m="1" x="318"/>
        <item m="1" x="324"/>
        <item m="1" x="235"/>
        <item m="1" x="168"/>
        <item m="1" x="157"/>
        <item m="1" x="251"/>
        <item m="1" x="322"/>
        <item m="1" x="215"/>
        <item m="1" x="290"/>
        <item m="1" x="283"/>
        <item m="1" x="282"/>
        <item m="1" x="162"/>
        <item m="1" x="269"/>
        <item m="1" x="201"/>
        <item m="1" x="250"/>
        <item m="1" x="174"/>
        <item m="1" x="149"/>
        <item m="1" x="312"/>
        <item m="1" x="314"/>
        <item m="1" x="213"/>
        <item m="1" x="171"/>
        <item m="1" x="192"/>
        <item m="1" x="187"/>
        <item m="1" x="183"/>
        <item m="1" x="313"/>
        <item m="1" x="154"/>
        <item m="1" x="323"/>
        <item m="1" x="229"/>
        <item m="1" x="278"/>
        <item m="1" x="202"/>
        <item m="1" x="194"/>
        <item m="1" x="203"/>
        <item m="1" x="170"/>
        <item m="1" x="328"/>
        <item m="1" x="248"/>
        <item m="1" x="243"/>
        <item m="1" x="161"/>
        <item m="1" x="293"/>
        <item m="1" x="163"/>
        <item m="1" x="262"/>
        <item m="1" x="239"/>
        <item m="1" x="231"/>
        <item m="1" x="210"/>
        <item m="1" x="190"/>
        <item m="1" x="175"/>
        <item m="1" x="151"/>
        <item m="1" x="145"/>
        <item m="1" x="319"/>
        <item m="1" x="301"/>
        <item m="1" x="160"/>
        <item m="1" x="204"/>
        <item m="1" x="173"/>
        <item m="1" x="146"/>
        <item m="1" x="320"/>
        <item m="1" x="285"/>
        <item m="1" x="267"/>
        <item m="1" x="244"/>
        <item m="1" x="178"/>
        <item m="1" x="148"/>
        <item m="1" x="141"/>
        <item m="1" x="152"/>
        <item m="1" x="165"/>
        <item m="1" x="286"/>
        <item m="1" x="246"/>
        <item m="1" x="205"/>
        <item x="2"/>
        <item m="1" x="223"/>
        <item m="1" x="200"/>
        <item m="1" x="281"/>
        <item m="1" x="177"/>
        <item m="1" x="236"/>
        <item m="1" x="264"/>
        <item m="1" x="212"/>
        <item m="1" x="276"/>
        <item m="1" x="271"/>
        <item m="1" x="140"/>
        <item m="1" x="258"/>
        <item m="1" x="232"/>
        <item m="1" x="132"/>
        <item m="1" x="315"/>
        <item m="1" x="138"/>
        <item m="1" x="134"/>
        <item m="1" x="137"/>
        <item m="1" x="133"/>
        <item m="1" x="136"/>
        <item m="1" x="135"/>
        <item m="1" x="128"/>
        <item m="1" x="118"/>
        <item m="1" x="119"/>
        <item m="1" x="120"/>
        <item m="1" x="121"/>
        <item m="1" x="122"/>
        <item m="1" x="123"/>
        <item m="1" x="124"/>
        <item m="1" x="131"/>
        <item m="1" x="125"/>
        <item m="1" x="130"/>
        <item m="1" x="129"/>
        <item m="1" x="126"/>
        <item m="1" x="127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74"/>
        <item m="1" x="75"/>
        <item m="1" x="51"/>
        <item m="1" x="52"/>
        <item m="1" x="76"/>
        <item m="1" x="54"/>
        <item m="1" x="55"/>
        <item m="1" x="56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57"/>
        <item m="1" x="100"/>
        <item m="1" x="101"/>
        <item m="1" x="96"/>
        <item m="1" x="98"/>
        <item m="1" x="99"/>
        <item m="1" x="97"/>
        <item m="1" x="95"/>
        <item m="1" x="72"/>
        <item m="1" x="73"/>
        <item m="1" x="86"/>
        <item m="1" x="92"/>
        <item m="1" x="93"/>
        <item m="1" x="94"/>
        <item x="0"/>
        <item x="1"/>
        <item m="1" x="80"/>
        <item m="1" x="81"/>
        <item m="1" x="82"/>
        <item m="1" x="83"/>
        <item m="1" x="84"/>
        <item m="1" x="85"/>
        <item m="1" x="77"/>
        <item m="1" x="78"/>
        <item m="1" x="50"/>
        <item m="1" x="88"/>
        <item m="1" x="91"/>
        <item m="1" x="90"/>
        <item m="1" x="89"/>
        <item m="1" x="87"/>
        <item m="1" x="79"/>
        <item x="3"/>
        <item m="1" x="49"/>
        <item m="1" x="5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m="1" x="43"/>
        <item x="32"/>
        <item m="1" x="48"/>
        <item m="1" x="47"/>
        <item m="1" x="46"/>
        <item m="1" x="45"/>
        <item x="35"/>
        <item x="36"/>
        <item x="33"/>
        <item m="1" x="44"/>
        <item x="34"/>
        <item m="1" x="42"/>
        <item x="31"/>
        <item x="37"/>
        <item x="38"/>
        <item m="1" x="41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1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89"/>
    </i>
    <i>
      <x v="7"/>
      <x v="290"/>
    </i>
    <i>
      <x v="8"/>
      <x v="291"/>
    </i>
    <i>
      <x v="9"/>
      <x v="292"/>
    </i>
    <i>
      <x v="10"/>
      <x v="293"/>
    </i>
    <i>
      <x v="11"/>
      <x v="294"/>
    </i>
    <i>
      <x v="12"/>
      <x v="295"/>
    </i>
    <i>
      <x v="13"/>
      <x v="296"/>
    </i>
    <i>
      <x v="14"/>
      <x v="297"/>
    </i>
    <i>
      <x v="15"/>
      <x v="298"/>
    </i>
    <i>
      <x v="16"/>
      <x v="299"/>
    </i>
    <i>
      <x v="17"/>
      <x v="300"/>
    </i>
    <i>
      <x v="18"/>
      <x v="301"/>
    </i>
    <i>
      <x v="19"/>
      <x v="302"/>
    </i>
    <i>
      <x v="20"/>
      <x v="303"/>
    </i>
    <i>
      <x v="21"/>
      <x v="304"/>
    </i>
    <i>
      <x v="22"/>
      <x v="305"/>
    </i>
    <i>
      <x v="23"/>
      <x v="306"/>
    </i>
    <i>
      <x v="24"/>
      <x v="307"/>
    </i>
    <i>
      <x v="25"/>
      <x v="308"/>
    </i>
    <i>
      <x v="26"/>
      <x v="309"/>
    </i>
    <i>
      <x v="27"/>
      <x v="310"/>
    </i>
    <i>
      <x v="28"/>
      <x v="312"/>
    </i>
    <i>
      <x v="29"/>
      <x v="311"/>
    </i>
    <i>
      <x v="30"/>
      <x v="313"/>
    </i>
    <i>
      <x v="31"/>
      <x v="314"/>
    </i>
    <i>
      <x v="32"/>
      <x v="315"/>
    </i>
    <i>
      <x v="33"/>
      <x v="317"/>
    </i>
    <i>
      <x v="34"/>
      <x v="322"/>
    </i>
    <i>
      <x v="35"/>
      <x v="323"/>
    </i>
    <i>
      <x v="36"/>
      <x v="324"/>
    </i>
    <i>
      <x v="37"/>
      <x v="326"/>
    </i>
    <i>
      <x v="38"/>
      <x v="328"/>
    </i>
    <i>
      <x v="39"/>
      <x v="329"/>
    </i>
    <i>
      <x v="40"/>
      <x v="330"/>
    </i>
    <i>
      <x v="41"/>
      <x v="33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8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47" firstHeaderRow="1" firstDataRow="1" firstDataCol="1"/>
  <pivotFields count="17">
    <pivotField showAll="0"/>
    <pivotField axis="axisRow" showAll="0">
      <items count="43">
        <item x="40"/>
        <item m="1" x="4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5"/>
        <item x="36"/>
        <item x="33"/>
        <item x="34"/>
        <item x="31"/>
        <item x="37"/>
        <item x="38"/>
        <item x="3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8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47" firstHeaderRow="0" firstDataRow="1" firstDataCol="1"/>
  <pivotFields count="17">
    <pivotField showAll="0"/>
    <pivotField axis="axisRow" showAll="0">
      <items count="43">
        <item x="40"/>
        <item m="1" x="4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5"/>
        <item x="36"/>
        <item x="33"/>
        <item x="34"/>
        <item x="31"/>
        <item x="37"/>
        <item x="38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CB7120FF-BD0F-4216-BB52-4AEFC9918079}">
    <text>Note that there is still a problem running with other cases here - still looking into it.</text>
  </threadedComment>
  <threadedComment ref="D15" dT="2020-08-07T12:32:29.60" personId="{8A307EF1-062C-4DD1-801F-D45833AE4B68}" id="{544E2065-F6A0-42F6-A293-72328BDF32A5}">
    <text>Note that there is still a problem running with other cases here - still looking into it.</text>
  </threadedComment>
  <threadedComment ref="D16" dT="2020-08-07T12:32:29.60" personId="{8A307EF1-062C-4DD1-801F-D45833AE4B68}" id="{83CA511A-FBD5-43F7-B8F0-E5362C3DCE52}">
    <text>Note that there is still a problem running with other cases here - still looking into it.</text>
  </threadedComment>
  <threadedComment ref="D5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G19" sqref="AG19:AG43"/>
    </sheetView>
  </sheetViews>
  <sheetFormatPr defaultRowHeight="15"/>
  <cols>
    <col min="1" max="2" width="33" bestFit="1" customWidth="1"/>
    <col min="3" max="3" width="13.140625" customWidth="1"/>
    <col min="4" max="4" width="13.140625" bestFit="1" customWidth="1"/>
    <col min="5" max="5" width="33" bestFit="1" customWidth="1"/>
    <col min="6" max="6" width="23" bestFit="1" customWidth="1"/>
    <col min="7" max="7" width="33" bestFit="1" customWidth="1"/>
    <col min="8" max="8" width="19.85546875" bestFit="1" customWidth="1"/>
    <col min="9" max="9" width="33" bestFit="1" customWidth="1"/>
    <col min="10" max="10" width="18.5703125" bestFit="1" customWidth="1"/>
    <col min="11" max="11" width="33" bestFit="1" customWidth="1"/>
    <col min="12" max="12" width="20.7109375" bestFit="1" customWidth="1"/>
    <col min="13" max="13" width="33" bestFit="1" customWidth="1"/>
    <col min="14" max="14" width="21" bestFit="1" customWidth="1"/>
    <col min="15" max="15" width="23.140625" customWidth="1"/>
    <col min="16" max="16" width="33" bestFit="1" customWidth="1"/>
    <col min="17" max="17" width="16.7109375" bestFit="1" customWidth="1"/>
    <col min="18" max="18" width="18" bestFit="1" customWidth="1"/>
    <col min="19" max="19" width="33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33" bestFit="1" customWidth="1"/>
    <col min="28" max="28" width="19.140625" bestFit="1" customWidth="1"/>
    <col min="29" max="29" width="20.140625" customWidth="1"/>
    <col min="30" max="30" width="33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9" t="s">
        <v>193</v>
      </c>
      <c r="AE7" s="22">
        <v>42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2">
        <v>0</v>
      </c>
      <c r="G8" s="9" t="s">
        <v>219</v>
      </c>
      <c r="H8" s="22">
        <v>1</v>
      </c>
      <c r="I8" s="9" t="s">
        <v>219</v>
      </c>
      <c r="J8" s="22">
        <v>1</v>
      </c>
      <c r="K8" s="9" t="s">
        <v>219</v>
      </c>
      <c r="L8" s="22">
        <v>1</v>
      </c>
      <c r="M8" s="9" t="s">
        <v>219</v>
      </c>
      <c r="N8" s="22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2">
        <v>-1</v>
      </c>
      <c r="U8" s="22">
        <v>1</v>
      </c>
      <c r="V8" s="22">
        <v>1</v>
      </c>
      <c r="W8" s="22">
        <v>1</v>
      </c>
      <c r="X8" s="22">
        <v>-1</v>
      </c>
      <c r="AA8" s="9" t="s">
        <v>219</v>
      </c>
      <c r="AB8" s="22">
        <v>100</v>
      </c>
      <c r="AD8" s="9" t="s">
        <v>219</v>
      </c>
      <c r="AE8" s="22">
        <v>1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2">
        <v>0</v>
      </c>
      <c r="G9" s="9" t="s">
        <v>220</v>
      </c>
      <c r="H9" s="22">
        <v>1</v>
      </c>
      <c r="I9" s="9" t="s">
        <v>220</v>
      </c>
      <c r="J9" s="22">
        <v>1</v>
      </c>
      <c r="K9" s="9" t="s">
        <v>220</v>
      </c>
      <c r="L9" s="22">
        <v>1</v>
      </c>
      <c r="M9" s="9" t="s">
        <v>220</v>
      </c>
      <c r="N9" s="22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2">
        <v>-1</v>
      </c>
      <c r="U9" s="22">
        <v>1</v>
      </c>
      <c r="V9" s="22">
        <v>1</v>
      </c>
      <c r="W9" s="22">
        <v>1</v>
      </c>
      <c r="X9" s="22">
        <v>-1</v>
      </c>
      <c r="AA9" s="9" t="s">
        <v>220</v>
      </c>
      <c r="AB9" s="22">
        <v>100</v>
      </c>
      <c r="AD9" s="9" t="s">
        <v>220</v>
      </c>
      <c r="AE9" s="22">
        <v>1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2">
        <v>0</v>
      </c>
      <c r="G10" s="9" t="s">
        <v>221</v>
      </c>
      <c r="H10" s="22">
        <v>1</v>
      </c>
      <c r="I10" s="9" t="s">
        <v>221</v>
      </c>
      <c r="J10" s="22">
        <v>1</v>
      </c>
      <c r="K10" s="9" t="s">
        <v>221</v>
      </c>
      <c r="L10" s="22">
        <v>1</v>
      </c>
      <c r="M10" s="9" t="s">
        <v>221</v>
      </c>
      <c r="N10" s="22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2">
        <v>-1</v>
      </c>
      <c r="U10" s="22">
        <v>1</v>
      </c>
      <c r="V10" s="22">
        <v>1</v>
      </c>
      <c r="W10" s="22">
        <v>1</v>
      </c>
      <c r="X10" s="22">
        <v>-1</v>
      </c>
      <c r="AA10" s="9" t="s">
        <v>221</v>
      </c>
      <c r="AB10" s="22">
        <v>100</v>
      </c>
      <c r="AD10" s="9" t="s">
        <v>221</v>
      </c>
      <c r="AE10" s="22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2">
        <v>0</v>
      </c>
      <c r="G11" s="9" t="s">
        <v>225</v>
      </c>
      <c r="H11" s="22">
        <v>1</v>
      </c>
      <c r="I11" s="9" t="s">
        <v>225</v>
      </c>
      <c r="J11" s="22">
        <v>1</v>
      </c>
      <c r="K11" s="9" t="s">
        <v>225</v>
      </c>
      <c r="L11" s="22">
        <v>1</v>
      </c>
      <c r="M11" s="9" t="s">
        <v>225</v>
      </c>
      <c r="N11" s="22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2">
        <v>-1</v>
      </c>
      <c r="U11" s="22">
        <v>1</v>
      </c>
      <c r="V11" s="22">
        <v>1</v>
      </c>
      <c r="W11" s="22">
        <v>1</v>
      </c>
      <c r="X11" s="22">
        <v>-1</v>
      </c>
      <c r="AA11" s="9" t="s">
        <v>225</v>
      </c>
      <c r="AB11" s="22">
        <v>100</v>
      </c>
      <c r="AD11" s="9" t="s">
        <v>225</v>
      </c>
      <c r="AE11" s="22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2">
        <v>0</v>
      </c>
      <c r="G12" s="9" t="s">
        <v>228</v>
      </c>
      <c r="H12" s="22">
        <v>1</v>
      </c>
      <c r="I12" s="9" t="s">
        <v>228</v>
      </c>
      <c r="J12" s="22">
        <v>1</v>
      </c>
      <c r="K12" s="9" t="s">
        <v>228</v>
      </c>
      <c r="L12" s="22">
        <v>1</v>
      </c>
      <c r="M12" s="9" t="s">
        <v>228</v>
      </c>
      <c r="N12" s="22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AA12" s="9" t="s">
        <v>228</v>
      </c>
      <c r="AB12" s="22">
        <v>100</v>
      </c>
      <c r="AD12" s="9" t="s">
        <v>228</v>
      </c>
      <c r="AE12" s="22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2">
        <v>0</v>
      </c>
      <c r="G13" s="9" t="s">
        <v>229</v>
      </c>
      <c r="H13" s="22">
        <v>1</v>
      </c>
      <c r="I13" s="9" t="s">
        <v>229</v>
      </c>
      <c r="J13" s="22">
        <v>1</v>
      </c>
      <c r="K13" s="9" t="s">
        <v>229</v>
      </c>
      <c r="L13" s="22">
        <v>1</v>
      </c>
      <c r="M13" s="9" t="s">
        <v>229</v>
      </c>
      <c r="N13" s="22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2">
        <v>-1</v>
      </c>
      <c r="U13" s="22">
        <v>-1</v>
      </c>
      <c r="V13" s="22">
        <v>-1</v>
      </c>
      <c r="W13" s="22">
        <v>1</v>
      </c>
      <c r="X13" s="22">
        <v>-1</v>
      </c>
      <c r="AA13" s="9" t="s">
        <v>229</v>
      </c>
      <c r="AB13" s="22">
        <v>100</v>
      </c>
      <c r="AD13" s="9" t="s">
        <v>229</v>
      </c>
      <c r="AE13" s="22">
        <v>2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2">
        <v>0</v>
      </c>
      <c r="G14" s="9" t="s">
        <v>230</v>
      </c>
      <c r="H14" s="22">
        <v>1</v>
      </c>
      <c r="I14" s="9" t="s">
        <v>230</v>
      </c>
      <c r="J14" s="22">
        <v>1</v>
      </c>
      <c r="K14" s="9" t="s">
        <v>230</v>
      </c>
      <c r="L14" s="22">
        <v>1</v>
      </c>
      <c r="M14" s="9" t="s">
        <v>230</v>
      </c>
      <c r="N14" s="22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2">
        <v>-1</v>
      </c>
      <c r="U14" s="22">
        <v>1</v>
      </c>
      <c r="V14" s="22">
        <v>1</v>
      </c>
      <c r="W14" s="22">
        <v>1</v>
      </c>
      <c r="X14" s="22">
        <v>-1</v>
      </c>
      <c r="AA14" s="9" t="s">
        <v>230</v>
      </c>
      <c r="AB14" s="22">
        <v>100</v>
      </c>
      <c r="AD14" s="9" t="s">
        <v>230</v>
      </c>
      <c r="AE14" s="22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2">
        <v>0</v>
      </c>
      <c r="G15" s="9" t="s">
        <v>231</v>
      </c>
      <c r="H15" s="22">
        <v>1</v>
      </c>
      <c r="I15" s="9" t="s">
        <v>231</v>
      </c>
      <c r="J15" s="22">
        <v>1</v>
      </c>
      <c r="K15" s="9" t="s">
        <v>231</v>
      </c>
      <c r="L15" s="22">
        <v>1</v>
      </c>
      <c r="M15" s="9" t="s">
        <v>231</v>
      </c>
      <c r="N15" s="22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2">
        <v>-1</v>
      </c>
      <c r="U15" s="22">
        <v>1</v>
      </c>
      <c r="V15" s="22">
        <v>1</v>
      </c>
      <c r="W15" s="22">
        <v>1</v>
      </c>
      <c r="X15" s="22">
        <v>-1</v>
      </c>
      <c r="AA15" s="9" t="s">
        <v>231</v>
      </c>
      <c r="AB15" s="22">
        <v>100</v>
      </c>
      <c r="AD15" s="9" t="s">
        <v>231</v>
      </c>
      <c r="AE15" s="22">
        <v>2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2">
        <v>0</v>
      </c>
      <c r="G16" s="9" t="s">
        <v>232</v>
      </c>
      <c r="H16" s="22">
        <v>1</v>
      </c>
      <c r="I16" s="9" t="s">
        <v>232</v>
      </c>
      <c r="J16" s="22">
        <v>1</v>
      </c>
      <c r="K16" s="9" t="s">
        <v>232</v>
      </c>
      <c r="L16" s="22">
        <v>1</v>
      </c>
      <c r="M16" s="9" t="s">
        <v>232</v>
      </c>
      <c r="N16" s="22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AA16" s="9" t="s">
        <v>232</v>
      </c>
      <c r="AB16" s="22">
        <v>100</v>
      </c>
      <c r="AD16" s="9" t="s">
        <v>232</v>
      </c>
      <c r="AE16" s="22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2">
        <v>0</v>
      </c>
      <c r="G17" s="9" t="s">
        <v>233</v>
      </c>
      <c r="H17" s="22">
        <v>1</v>
      </c>
      <c r="I17" s="9" t="s">
        <v>233</v>
      </c>
      <c r="J17" s="22">
        <v>1</v>
      </c>
      <c r="K17" s="9" t="s">
        <v>233</v>
      </c>
      <c r="L17" s="22">
        <v>1</v>
      </c>
      <c r="M17" s="9" t="s">
        <v>233</v>
      </c>
      <c r="N17" s="22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2">
        <v>-1</v>
      </c>
      <c r="U17" s="22">
        <v>1</v>
      </c>
      <c r="V17" s="22">
        <v>1</v>
      </c>
      <c r="W17" s="22">
        <v>1</v>
      </c>
      <c r="X17" s="22">
        <v>-1</v>
      </c>
      <c r="AA17" s="9" t="s">
        <v>233</v>
      </c>
      <c r="AB17" s="22">
        <v>100</v>
      </c>
      <c r="AD17" s="9" t="s">
        <v>233</v>
      </c>
      <c r="AE17" s="22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2">
        <v>0</v>
      </c>
      <c r="G18" s="9" t="s">
        <v>234</v>
      </c>
      <c r="H18" s="22">
        <v>1</v>
      </c>
      <c r="I18" s="9" t="s">
        <v>234</v>
      </c>
      <c r="J18" s="22">
        <v>1</v>
      </c>
      <c r="K18" s="9" t="s">
        <v>234</v>
      </c>
      <c r="L18" s="22">
        <v>1</v>
      </c>
      <c r="M18" s="9" t="s">
        <v>234</v>
      </c>
      <c r="N18" s="22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2">
        <v>-1</v>
      </c>
      <c r="U18" s="22">
        <v>1</v>
      </c>
      <c r="V18" s="22">
        <v>1</v>
      </c>
      <c r="W18" s="22">
        <v>1</v>
      </c>
      <c r="X18" s="22">
        <v>-1</v>
      </c>
      <c r="AA18" s="9" t="s">
        <v>234</v>
      </c>
      <c r="AB18" s="22">
        <v>100</v>
      </c>
      <c r="AD18" s="9" t="s">
        <v>234</v>
      </c>
      <c r="AE18" s="22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2">
        <v>0</v>
      </c>
      <c r="G19" s="9" t="s">
        <v>235</v>
      </c>
      <c r="H19" s="22">
        <v>1</v>
      </c>
      <c r="I19" s="9" t="s">
        <v>235</v>
      </c>
      <c r="J19" s="22">
        <v>1</v>
      </c>
      <c r="K19" s="9" t="s">
        <v>235</v>
      </c>
      <c r="L19" s="22">
        <v>1</v>
      </c>
      <c r="M19" s="9" t="s">
        <v>235</v>
      </c>
      <c r="N19" s="22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2">
        <v>-1</v>
      </c>
      <c r="U19" s="22">
        <v>1</v>
      </c>
      <c r="V19" s="22">
        <v>1</v>
      </c>
      <c r="W19" s="22">
        <v>1</v>
      </c>
      <c r="X19" s="22">
        <v>-1</v>
      </c>
      <c r="AA19" s="9" t="s">
        <v>235</v>
      </c>
      <c r="AB19" s="22">
        <v>100</v>
      </c>
      <c r="AD19" s="9" t="s">
        <v>235</v>
      </c>
      <c r="AE19" s="22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2">
        <v>0</v>
      </c>
      <c r="G20" s="9" t="s">
        <v>236</v>
      </c>
      <c r="H20" s="22">
        <v>1</v>
      </c>
      <c r="I20" s="9" t="s">
        <v>236</v>
      </c>
      <c r="J20" s="22">
        <v>1</v>
      </c>
      <c r="K20" s="9" t="s">
        <v>236</v>
      </c>
      <c r="L20" s="22">
        <v>1</v>
      </c>
      <c r="M20" s="9" t="s">
        <v>236</v>
      </c>
      <c r="N20" s="22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AA20" s="9" t="s">
        <v>236</v>
      </c>
      <c r="AB20" s="22">
        <v>100</v>
      </c>
      <c r="AD20" s="9" t="s">
        <v>236</v>
      </c>
      <c r="AE20" s="22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2">
        <v>0</v>
      </c>
      <c r="G21" s="9" t="s">
        <v>237</v>
      </c>
      <c r="H21" s="22">
        <v>1</v>
      </c>
      <c r="I21" s="9" t="s">
        <v>237</v>
      </c>
      <c r="J21" s="22">
        <v>1</v>
      </c>
      <c r="K21" s="9" t="s">
        <v>237</v>
      </c>
      <c r="L21" s="22">
        <v>1</v>
      </c>
      <c r="M21" s="9" t="s">
        <v>237</v>
      </c>
      <c r="N21" s="22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2">
        <v>-1</v>
      </c>
      <c r="U21" s="22">
        <v>1</v>
      </c>
      <c r="V21" s="22">
        <v>1</v>
      </c>
      <c r="W21" s="22">
        <v>1</v>
      </c>
      <c r="X21" s="22">
        <v>-1</v>
      </c>
      <c r="AA21" s="9" t="s">
        <v>237</v>
      </c>
      <c r="AB21" s="22">
        <v>100</v>
      </c>
      <c r="AD21" s="9" t="s">
        <v>237</v>
      </c>
      <c r="AE21" s="22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2">
        <v>0</v>
      </c>
      <c r="G22" s="9" t="s">
        <v>238</v>
      </c>
      <c r="H22" s="22">
        <v>1</v>
      </c>
      <c r="I22" s="9" t="s">
        <v>238</v>
      </c>
      <c r="J22" s="22">
        <v>1</v>
      </c>
      <c r="K22" s="9" t="s">
        <v>238</v>
      </c>
      <c r="L22" s="22">
        <v>1</v>
      </c>
      <c r="M22" s="9" t="s">
        <v>238</v>
      </c>
      <c r="N22" s="22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2">
        <v>-1</v>
      </c>
      <c r="U22" s="22">
        <v>1</v>
      </c>
      <c r="V22" s="22">
        <v>1</v>
      </c>
      <c r="W22" s="22">
        <v>1</v>
      </c>
      <c r="X22" s="22">
        <v>-1</v>
      </c>
      <c r="AA22" s="9" t="s">
        <v>238</v>
      </c>
      <c r="AB22" s="22">
        <v>100</v>
      </c>
      <c r="AD22" s="9" t="s">
        <v>238</v>
      </c>
      <c r="AE22" s="22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2">
        <v>0</v>
      </c>
      <c r="G23" s="9" t="s">
        <v>239</v>
      </c>
      <c r="H23" s="22">
        <v>1</v>
      </c>
      <c r="I23" s="9" t="s">
        <v>239</v>
      </c>
      <c r="J23" s="22">
        <v>1</v>
      </c>
      <c r="K23" s="9" t="s">
        <v>239</v>
      </c>
      <c r="L23" s="22">
        <v>1</v>
      </c>
      <c r="M23" s="9" t="s">
        <v>239</v>
      </c>
      <c r="N23" s="22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2">
        <v>-1</v>
      </c>
      <c r="U23" s="22">
        <v>1</v>
      </c>
      <c r="V23" s="22">
        <v>1</v>
      </c>
      <c r="W23" s="22">
        <v>1</v>
      </c>
      <c r="X23" s="22">
        <v>-1</v>
      </c>
      <c r="AA23" s="9" t="s">
        <v>239</v>
      </c>
      <c r="AB23" s="22">
        <v>100</v>
      </c>
      <c r="AD23" s="9" t="s">
        <v>239</v>
      </c>
      <c r="AE23" s="22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2">
        <v>0</v>
      </c>
      <c r="G24" s="9" t="s">
        <v>240</v>
      </c>
      <c r="H24" s="22">
        <v>1</v>
      </c>
      <c r="I24" s="9" t="s">
        <v>240</v>
      </c>
      <c r="J24" s="22">
        <v>1</v>
      </c>
      <c r="K24" s="9" t="s">
        <v>240</v>
      </c>
      <c r="L24" s="22">
        <v>1</v>
      </c>
      <c r="M24" s="9" t="s">
        <v>240</v>
      </c>
      <c r="N24" s="22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2">
        <v>-1</v>
      </c>
      <c r="U24" s="22">
        <v>1</v>
      </c>
      <c r="V24" s="22">
        <v>1</v>
      </c>
      <c r="W24" s="22">
        <v>1</v>
      </c>
      <c r="X24" s="22">
        <v>-1</v>
      </c>
      <c r="AA24" s="9" t="s">
        <v>240</v>
      </c>
      <c r="AB24" s="22">
        <v>100</v>
      </c>
      <c r="AD24" s="9" t="s">
        <v>240</v>
      </c>
      <c r="AE24" s="22">
        <v>1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2">
        <v>0</v>
      </c>
      <c r="G25" s="9" t="s">
        <v>241</v>
      </c>
      <c r="H25" s="22">
        <v>1</v>
      </c>
      <c r="I25" s="9" t="s">
        <v>241</v>
      </c>
      <c r="J25" s="22">
        <v>1</v>
      </c>
      <c r="K25" s="9" t="s">
        <v>241</v>
      </c>
      <c r="L25" s="22">
        <v>1</v>
      </c>
      <c r="M25" s="9" t="s">
        <v>241</v>
      </c>
      <c r="N25" s="22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2">
        <v>-1</v>
      </c>
      <c r="U25" s="22">
        <v>1</v>
      </c>
      <c r="V25" s="22">
        <v>1</v>
      </c>
      <c r="W25" s="22">
        <v>1</v>
      </c>
      <c r="X25" s="22">
        <v>-1</v>
      </c>
      <c r="AA25" s="9" t="s">
        <v>241</v>
      </c>
      <c r="AB25" s="22">
        <v>100</v>
      </c>
      <c r="AD25" s="9" t="s">
        <v>241</v>
      </c>
      <c r="AE25" s="22">
        <v>1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2">
        <v>0</v>
      </c>
      <c r="G26" s="9" t="s">
        <v>242</v>
      </c>
      <c r="H26" s="22">
        <v>1</v>
      </c>
      <c r="I26" s="9" t="s">
        <v>242</v>
      </c>
      <c r="J26" s="22">
        <v>1</v>
      </c>
      <c r="K26" s="9" t="s">
        <v>242</v>
      </c>
      <c r="L26" s="22">
        <v>1</v>
      </c>
      <c r="M26" s="9" t="s">
        <v>242</v>
      </c>
      <c r="N26" s="22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2">
        <v>-1</v>
      </c>
      <c r="U26" s="22">
        <v>1</v>
      </c>
      <c r="V26" s="22">
        <v>1</v>
      </c>
      <c r="W26" s="22">
        <v>1</v>
      </c>
      <c r="X26" s="22">
        <v>-1</v>
      </c>
      <c r="AA26" s="9" t="s">
        <v>242</v>
      </c>
      <c r="AB26" s="22">
        <v>100</v>
      </c>
      <c r="AD26" s="9" t="s">
        <v>242</v>
      </c>
      <c r="AE26" s="22">
        <v>1</v>
      </c>
      <c r="AG26" s="10">
        <v>2038</v>
      </c>
      <c r="AI26" s="10">
        <v>2036</v>
      </c>
      <c r="AJ26">
        <v>2037</v>
      </c>
    </row>
    <row r="27" spans="1:42">
      <c r="A27" s="9" t="s">
        <v>243</v>
      </c>
      <c r="B27" s="9" t="s">
        <v>243</v>
      </c>
      <c r="E27" s="9" t="s">
        <v>243</v>
      </c>
      <c r="F27" s="22">
        <v>0</v>
      </c>
      <c r="G27" s="9" t="s">
        <v>243</v>
      </c>
      <c r="H27" s="22">
        <v>1</v>
      </c>
      <c r="I27" s="9" t="s">
        <v>243</v>
      </c>
      <c r="J27" s="22">
        <v>1</v>
      </c>
      <c r="K27" s="9" t="s">
        <v>243</v>
      </c>
      <c r="L27" s="22">
        <v>1</v>
      </c>
      <c r="M27" s="9" t="s">
        <v>243</v>
      </c>
      <c r="N27" s="22">
        <v>1</v>
      </c>
      <c r="O27" t="s">
        <v>243</v>
      </c>
      <c r="P27" t="s">
        <v>243</v>
      </c>
      <c r="Q27" t="s">
        <v>243</v>
      </c>
      <c r="R27" t="s">
        <v>30</v>
      </c>
      <c r="S27" s="9" t="s">
        <v>243</v>
      </c>
      <c r="T27" s="22">
        <v>-1</v>
      </c>
      <c r="U27" s="22">
        <v>1</v>
      </c>
      <c r="V27" s="22">
        <v>1</v>
      </c>
      <c r="W27" s="22">
        <v>1</v>
      </c>
      <c r="X27" s="22">
        <v>-1</v>
      </c>
      <c r="AA27" s="9" t="s">
        <v>243</v>
      </c>
      <c r="AB27" s="22">
        <v>100</v>
      </c>
      <c r="AD27" s="9" t="s">
        <v>243</v>
      </c>
      <c r="AE27" s="22">
        <v>1</v>
      </c>
      <c r="AG27" s="10">
        <v>2039</v>
      </c>
      <c r="AI27" s="10">
        <v>2037</v>
      </c>
      <c r="AJ27">
        <v>2038</v>
      </c>
    </row>
    <row r="28" spans="1:42">
      <c r="A28" s="9" t="s">
        <v>244</v>
      </c>
      <c r="B28" s="9" t="s">
        <v>244</v>
      </c>
      <c r="E28" s="9" t="s">
        <v>244</v>
      </c>
      <c r="F28" s="22">
        <v>0</v>
      </c>
      <c r="G28" s="9" t="s">
        <v>244</v>
      </c>
      <c r="H28" s="22">
        <v>1</v>
      </c>
      <c r="I28" s="9" t="s">
        <v>244</v>
      </c>
      <c r="J28" s="22">
        <v>1</v>
      </c>
      <c r="K28" s="9" t="s">
        <v>244</v>
      </c>
      <c r="L28" s="22">
        <v>1</v>
      </c>
      <c r="M28" s="9" t="s">
        <v>244</v>
      </c>
      <c r="N28" s="22">
        <v>1</v>
      </c>
      <c r="O28" t="s">
        <v>244</v>
      </c>
      <c r="P28" t="s">
        <v>244</v>
      </c>
      <c r="Q28" t="s">
        <v>244</v>
      </c>
      <c r="R28" t="s">
        <v>30</v>
      </c>
      <c r="S28" s="9" t="s">
        <v>244</v>
      </c>
      <c r="T28" s="22">
        <v>-1</v>
      </c>
      <c r="U28" s="22">
        <v>1</v>
      </c>
      <c r="V28" s="22">
        <v>1</v>
      </c>
      <c r="W28" s="22">
        <v>1</v>
      </c>
      <c r="X28" s="22">
        <v>-1</v>
      </c>
      <c r="AA28" s="9" t="s">
        <v>244</v>
      </c>
      <c r="AB28" s="22">
        <v>100</v>
      </c>
      <c r="AD28" s="9" t="s">
        <v>244</v>
      </c>
      <c r="AE28" s="22">
        <v>1</v>
      </c>
      <c r="AG28" s="10">
        <v>2040</v>
      </c>
      <c r="AI28" s="10">
        <v>2038</v>
      </c>
      <c r="AJ28">
        <v>2039</v>
      </c>
    </row>
    <row r="29" spans="1:42">
      <c r="A29" s="9" t="s">
        <v>245</v>
      </c>
      <c r="B29" s="9" t="s">
        <v>245</v>
      </c>
      <c r="E29" s="9" t="s">
        <v>245</v>
      </c>
      <c r="F29" s="22">
        <v>0</v>
      </c>
      <c r="G29" s="9" t="s">
        <v>245</v>
      </c>
      <c r="H29" s="22">
        <v>1</v>
      </c>
      <c r="I29" s="9" t="s">
        <v>245</v>
      </c>
      <c r="J29" s="22">
        <v>1</v>
      </c>
      <c r="K29" s="9" t="s">
        <v>245</v>
      </c>
      <c r="L29" s="22">
        <v>1</v>
      </c>
      <c r="M29" s="9" t="s">
        <v>245</v>
      </c>
      <c r="N29" s="22">
        <v>1</v>
      </c>
      <c r="O29" t="s">
        <v>245</v>
      </c>
      <c r="P29" t="s">
        <v>245</v>
      </c>
      <c r="Q29" t="s">
        <v>245</v>
      </c>
      <c r="R29" t="s">
        <v>30</v>
      </c>
      <c r="S29" s="9" t="s">
        <v>245</v>
      </c>
      <c r="T29" s="22">
        <v>-1</v>
      </c>
      <c r="U29" s="22">
        <v>1</v>
      </c>
      <c r="V29" s="22">
        <v>1</v>
      </c>
      <c r="W29" s="22">
        <v>1</v>
      </c>
      <c r="X29" s="22">
        <v>-1</v>
      </c>
      <c r="AA29" s="9" t="s">
        <v>245</v>
      </c>
      <c r="AB29" s="22">
        <v>100</v>
      </c>
      <c r="AD29" s="9" t="s">
        <v>245</v>
      </c>
      <c r="AE29" s="22">
        <v>1</v>
      </c>
      <c r="AG29" s="10">
        <v>2041</v>
      </c>
      <c r="AI29" s="10">
        <v>2039</v>
      </c>
      <c r="AJ29">
        <v>2040</v>
      </c>
    </row>
    <row r="30" spans="1:42">
      <c r="A30" s="9" t="s">
        <v>246</v>
      </c>
      <c r="B30" s="9" t="s">
        <v>246</v>
      </c>
      <c r="E30" s="9" t="s">
        <v>246</v>
      </c>
      <c r="F30" s="22">
        <v>0</v>
      </c>
      <c r="G30" s="9" t="s">
        <v>246</v>
      </c>
      <c r="H30" s="22">
        <v>1</v>
      </c>
      <c r="I30" s="9" t="s">
        <v>246</v>
      </c>
      <c r="J30" s="22">
        <v>1</v>
      </c>
      <c r="K30" s="9" t="s">
        <v>246</v>
      </c>
      <c r="L30" s="22">
        <v>1</v>
      </c>
      <c r="M30" s="9" t="s">
        <v>246</v>
      </c>
      <c r="N30" s="22">
        <v>1</v>
      </c>
      <c r="O30" t="s">
        <v>246</v>
      </c>
      <c r="P30" t="s">
        <v>246</v>
      </c>
      <c r="Q30" t="s">
        <v>246</v>
      </c>
      <c r="R30" t="s">
        <v>30</v>
      </c>
      <c r="S30" s="9" t="s">
        <v>246</v>
      </c>
      <c r="T30" s="22">
        <v>-1</v>
      </c>
      <c r="U30" s="22">
        <v>1</v>
      </c>
      <c r="V30" s="22">
        <v>1</v>
      </c>
      <c r="W30" s="22">
        <v>1</v>
      </c>
      <c r="X30" s="22">
        <v>-1</v>
      </c>
      <c r="AA30" s="9" t="s">
        <v>246</v>
      </c>
      <c r="AB30" s="22">
        <v>100</v>
      </c>
      <c r="AD30" s="9" t="s">
        <v>246</v>
      </c>
      <c r="AE30" s="22">
        <v>1</v>
      </c>
      <c r="AG30" s="10">
        <v>2042</v>
      </c>
      <c r="AI30" s="10">
        <v>2040</v>
      </c>
      <c r="AJ30">
        <v>2045</v>
      </c>
    </row>
    <row r="31" spans="1:42">
      <c r="A31" s="9" t="s">
        <v>247</v>
      </c>
      <c r="B31" s="9" t="s">
        <v>247</v>
      </c>
      <c r="E31" s="9" t="s">
        <v>247</v>
      </c>
      <c r="F31" s="22">
        <v>0</v>
      </c>
      <c r="G31" s="9" t="s">
        <v>247</v>
      </c>
      <c r="H31" s="22">
        <v>1</v>
      </c>
      <c r="I31" s="9" t="s">
        <v>247</v>
      </c>
      <c r="J31" s="22">
        <v>1</v>
      </c>
      <c r="K31" s="9" t="s">
        <v>247</v>
      </c>
      <c r="L31" s="22">
        <v>1</v>
      </c>
      <c r="M31" s="9" t="s">
        <v>247</v>
      </c>
      <c r="N31" s="22">
        <v>1</v>
      </c>
      <c r="O31" t="s">
        <v>247</v>
      </c>
      <c r="P31" t="s">
        <v>247</v>
      </c>
      <c r="Q31" t="s">
        <v>247</v>
      </c>
      <c r="R31" t="s">
        <v>30</v>
      </c>
      <c r="S31" s="9" t="s">
        <v>247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AA31" s="9" t="s">
        <v>247</v>
      </c>
      <c r="AB31" s="22">
        <v>100</v>
      </c>
      <c r="AD31" s="9" t="s">
        <v>247</v>
      </c>
      <c r="AE31" s="22">
        <v>2</v>
      </c>
      <c r="AG31" s="10">
        <v>2043</v>
      </c>
      <c r="AI31" s="10">
        <v>2041</v>
      </c>
      <c r="AJ31" s="10">
        <v>2050</v>
      </c>
    </row>
    <row r="32" spans="1:42">
      <c r="A32" s="9" t="s">
        <v>248</v>
      </c>
      <c r="B32" s="9" t="s">
        <v>248</v>
      </c>
      <c r="E32" s="9" t="s">
        <v>248</v>
      </c>
      <c r="F32" s="22">
        <v>0</v>
      </c>
      <c r="G32" s="9" t="s">
        <v>248</v>
      </c>
      <c r="H32" s="22">
        <v>1</v>
      </c>
      <c r="I32" s="9" t="s">
        <v>248</v>
      </c>
      <c r="J32" s="22">
        <v>1</v>
      </c>
      <c r="K32" s="9" t="s">
        <v>248</v>
      </c>
      <c r="L32" s="22">
        <v>1</v>
      </c>
      <c r="M32" s="9" t="s">
        <v>248</v>
      </c>
      <c r="N32" s="22">
        <v>1</v>
      </c>
      <c r="O32" t="s">
        <v>248</v>
      </c>
      <c r="P32" t="s">
        <v>248</v>
      </c>
      <c r="Q32" t="s">
        <v>248</v>
      </c>
      <c r="R32" t="s">
        <v>30</v>
      </c>
      <c r="S32" s="9" t="s">
        <v>248</v>
      </c>
      <c r="T32" s="22">
        <v>-1</v>
      </c>
      <c r="U32" s="22">
        <v>1</v>
      </c>
      <c r="V32" s="22">
        <v>1</v>
      </c>
      <c r="W32" s="22">
        <v>1</v>
      </c>
      <c r="X32" s="22">
        <v>-1</v>
      </c>
      <c r="AA32" s="9" t="s">
        <v>248</v>
      </c>
      <c r="AB32" s="22">
        <v>100</v>
      </c>
      <c r="AD32" s="9" t="s">
        <v>248</v>
      </c>
      <c r="AE32" s="22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249</v>
      </c>
      <c r="B33" s="9" t="s">
        <v>249</v>
      </c>
      <c r="E33" s="9" t="s">
        <v>249</v>
      </c>
      <c r="F33" s="22">
        <v>0</v>
      </c>
      <c r="G33" s="9" t="s">
        <v>249</v>
      </c>
      <c r="H33" s="22">
        <v>1</v>
      </c>
      <c r="I33" s="9" t="s">
        <v>249</v>
      </c>
      <c r="J33" s="22">
        <v>1</v>
      </c>
      <c r="K33" s="9" t="s">
        <v>249</v>
      </c>
      <c r="L33" s="22">
        <v>1</v>
      </c>
      <c r="M33" s="9" t="s">
        <v>249</v>
      </c>
      <c r="N33" s="22">
        <v>1</v>
      </c>
      <c r="O33" t="s">
        <v>249</v>
      </c>
      <c r="P33" t="s">
        <v>249</v>
      </c>
      <c r="Q33" t="s">
        <v>249</v>
      </c>
      <c r="R33" t="s">
        <v>30</v>
      </c>
      <c r="S33" s="9" t="s">
        <v>249</v>
      </c>
      <c r="T33" s="22">
        <v>-1</v>
      </c>
      <c r="U33" s="22">
        <v>1</v>
      </c>
      <c r="V33" s="22">
        <v>1</v>
      </c>
      <c r="W33" s="22">
        <v>1</v>
      </c>
      <c r="X33" s="22">
        <v>-1</v>
      </c>
      <c r="AA33" s="9" t="s">
        <v>249</v>
      </c>
      <c r="AB33" s="22">
        <v>100</v>
      </c>
      <c r="AD33" s="9" t="s">
        <v>249</v>
      </c>
      <c r="AE33" s="22">
        <v>2</v>
      </c>
      <c r="AG33" s="10">
        <v>2045</v>
      </c>
      <c r="AI33" s="10">
        <v>2043</v>
      </c>
      <c r="AJ33">
        <v>2070</v>
      </c>
    </row>
    <row r="34" spans="1:39">
      <c r="A34" s="9" t="s">
        <v>251</v>
      </c>
      <c r="B34" s="9" t="s">
        <v>250</v>
      </c>
      <c r="E34" s="9" t="s">
        <v>251</v>
      </c>
      <c r="F34" s="22">
        <v>0</v>
      </c>
      <c r="G34" s="9" t="s">
        <v>251</v>
      </c>
      <c r="H34" s="22">
        <v>1</v>
      </c>
      <c r="I34" s="9" t="s">
        <v>251</v>
      </c>
      <c r="J34" s="22">
        <v>1</v>
      </c>
      <c r="K34" s="9" t="s">
        <v>251</v>
      </c>
      <c r="L34" s="22">
        <v>1</v>
      </c>
      <c r="M34" s="9" t="s">
        <v>251</v>
      </c>
      <c r="N34" s="22">
        <v>1</v>
      </c>
      <c r="O34" t="s">
        <v>251</v>
      </c>
      <c r="P34" t="s">
        <v>251</v>
      </c>
      <c r="Q34" t="s">
        <v>251</v>
      </c>
      <c r="R34" t="s">
        <v>30</v>
      </c>
      <c r="S34" s="9" t="s">
        <v>251</v>
      </c>
      <c r="T34" s="22">
        <v>-1</v>
      </c>
      <c r="U34" s="22">
        <v>1</v>
      </c>
      <c r="V34" s="22">
        <v>1</v>
      </c>
      <c r="W34" s="22">
        <v>1</v>
      </c>
      <c r="X34" s="22">
        <v>-1</v>
      </c>
      <c r="AA34" s="9" t="s">
        <v>251</v>
      </c>
      <c r="AB34" s="22">
        <v>100</v>
      </c>
      <c r="AD34" s="9" t="s">
        <v>251</v>
      </c>
      <c r="AE34" s="22">
        <v>1</v>
      </c>
      <c r="AG34" s="10">
        <v>2046</v>
      </c>
      <c r="AI34" s="10">
        <v>2044</v>
      </c>
    </row>
    <row r="35" spans="1:39">
      <c r="A35" s="9" t="s">
        <v>250</v>
      </c>
      <c r="B35" s="9" t="s">
        <v>251</v>
      </c>
      <c r="E35" s="9" t="s">
        <v>250</v>
      </c>
      <c r="F35" s="22">
        <v>0</v>
      </c>
      <c r="G35" s="9" t="s">
        <v>250</v>
      </c>
      <c r="H35" s="22">
        <v>1</v>
      </c>
      <c r="I35" s="9" t="s">
        <v>250</v>
      </c>
      <c r="J35" s="22">
        <v>1</v>
      </c>
      <c r="K35" s="9" t="s">
        <v>250</v>
      </c>
      <c r="L35" s="22">
        <v>1</v>
      </c>
      <c r="M35" s="9" t="s">
        <v>250</v>
      </c>
      <c r="N35" s="22">
        <v>1</v>
      </c>
      <c r="O35" t="s">
        <v>250</v>
      </c>
      <c r="P35" t="s">
        <v>250</v>
      </c>
      <c r="Q35" t="s">
        <v>250</v>
      </c>
      <c r="R35" t="s">
        <v>30</v>
      </c>
      <c r="S35" s="9" t="s">
        <v>250</v>
      </c>
      <c r="T35" s="22">
        <v>-1</v>
      </c>
      <c r="U35" s="22">
        <v>1</v>
      </c>
      <c r="V35" s="22">
        <v>1</v>
      </c>
      <c r="W35" s="22">
        <v>1</v>
      </c>
      <c r="X35" s="22">
        <v>-1</v>
      </c>
      <c r="AA35" s="9" t="s">
        <v>250</v>
      </c>
      <c r="AB35" s="22">
        <v>100</v>
      </c>
      <c r="AD35" s="9" t="s">
        <v>250</v>
      </c>
      <c r="AE35" s="22">
        <v>2</v>
      </c>
      <c r="AG35" s="10">
        <v>2047</v>
      </c>
      <c r="AI35" s="10">
        <v>2045</v>
      </c>
    </row>
    <row r="36" spans="1:39">
      <c r="A36" s="9" t="s">
        <v>252</v>
      </c>
      <c r="B36" s="9" t="s">
        <v>252</v>
      </c>
      <c r="E36" s="9" t="s">
        <v>252</v>
      </c>
      <c r="F36" s="22">
        <v>0</v>
      </c>
      <c r="G36" s="9" t="s">
        <v>252</v>
      </c>
      <c r="H36" s="22">
        <v>1</v>
      </c>
      <c r="I36" s="9" t="s">
        <v>252</v>
      </c>
      <c r="J36" s="22">
        <v>1</v>
      </c>
      <c r="K36" s="9" t="s">
        <v>252</v>
      </c>
      <c r="L36" s="22">
        <v>1</v>
      </c>
      <c r="M36" s="9" t="s">
        <v>252</v>
      </c>
      <c r="N36" s="22">
        <v>1</v>
      </c>
      <c r="O36" t="s">
        <v>252</v>
      </c>
      <c r="P36" t="s">
        <v>252</v>
      </c>
      <c r="Q36" t="s">
        <v>252</v>
      </c>
      <c r="R36" t="s">
        <v>30</v>
      </c>
      <c r="S36" s="9" t="s">
        <v>252</v>
      </c>
      <c r="T36" s="22">
        <v>-1</v>
      </c>
      <c r="U36" s="22">
        <v>1</v>
      </c>
      <c r="V36" s="22">
        <v>1</v>
      </c>
      <c r="W36" s="22">
        <v>1</v>
      </c>
      <c r="X36" s="22">
        <v>-1</v>
      </c>
      <c r="AA36" s="9" t="s">
        <v>252</v>
      </c>
      <c r="AB36" s="22">
        <v>100</v>
      </c>
      <c r="AD36" s="9" t="s">
        <v>252</v>
      </c>
      <c r="AE36" s="22">
        <v>1</v>
      </c>
      <c r="AG36" s="10">
        <v>2048</v>
      </c>
      <c r="AI36" s="10">
        <v>2046</v>
      </c>
    </row>
    <row r="37" spans="1:39">
      <c r="A37" s="9" t="s">
        <v>253</v>
      </c>
      <c r="B37" s="9" t="s">
        <v>253</v>
      </c>
      <c r="E37" s="9" t="s">
        <v>253</v>
      </c>
      <c r="F37" s="22">
        <v>0</v>
      </c>
      <c r="G37" s="9" t="s">
        <v>253</v>
      </c>
      <c r="H37" s="22">
        <v>1</v>
      </c>
      <c r="I37" s="9" t="s">
        <v>253</v>
      </c>
      <c r="J37" s="22">
        <v>1</v>
      </c>
      <c r="K37" s="9" t="s">
        <v>253</v>
      </c>
      <c r="L37" s="22">
        <v>1</v>
      </c>
      <c r="M37" s="9" t="s">
        <v>253</v>
      </c>
      <c r="N37" s="22">
        <v>1</v>
      </c>
      <c r="O37" t="s">
        <v>253</v>
      </c>
      <c r="P37" t="s">
        <v>253</v>
      </c>
      <c r="Q37" t="s">
        <v>253</v>
      </c>
      <c r="R37" t="s">
        <v>30</v>
      </c>
      <c r="S37" s="9" t="s">
        <v>253</v>
      </c>
      <c r="T37" s="22">
        <v>-1</v>
      </c>
      <c r="U37" s="22">
        <v>1</v>
      </c>
      <c r="V37" s="22">
        <v>1</v>
      </c>
      <c r="W37" s="22">
        <v>1</v>
      </c>
      <c r="X37" s="22">
        <v>-1</v>
      </c>
      <c r="AA37" s="9" t="s">
        <v>253</v>
      </c>
      <c r="AB37" s="22">
        <v>100</v>
      </c>
      <c r="AD37" s="9" t="s">
        <v>253</v>
      </c>
      <c r="AE37" s="22">
        <v>1</v>
      </c>
      <c r="AG37" s="10">
        <v>2049</v>
      </c>
      <c r="AI37" s="10">
        <v>2047</v>
      </c>
    </row>
    <row r="38" spans="1:39">
      <c r="A38" s="9" t="s">
        <v>254</v>
      </c>
      <c r="B38" s="9" t="s">
        <v>254</v>
      </c>
      <c r="E38" s="9" t="s">
        <v>254</v>
      </c>
      <c r="F38" s="22">
        <v>0</v>
      </c>
      <c r="G38" s="9" t="s">
        <v>254</v>
      </c>
      <c r="H38" s="22">
        <v>1</v>
      </c>
      <c r="I38" s="9" t="s">
        <v>254</v>
      </c>
      <c r="J38" s="22">
        <v>1</v>
      </c>
      <c r="K38" s="9" t="s">
        <v>254</v>
      </c>
      <c r="L38" s="22">
        <v>1</v>
      </c>
      <c r="M38" s="9" t="s">
        <v>254</v>
      </c>
      <c r="N38" s="22">
        <v>1</v>
      </c>
      <c r="O38" t="s">
        <v>254</v>
      </c>
      <c r="P38" t="s">
        <v>254</v>
      </c>
      <c r="Q38" t="s">
        <v>254</v>
      </c>
      <c r="R38" t="s">
        <v>30</v>
      </c>
      <c r="S38" s="9" t="s">
        <v>254</v>
      </c>
      <c r="T38" s="22">
        <v>-1</v>
      </c>
      <c r="U38" s="22">
        <v>-1</v>
      </c>
      <c r="V38" s="22">
        <v>-1</v>
      </c>
      <c r="W38" s="22">
        <v>1</v>
      </c>
      <c r="X38" s="22">
        <v>-1</v>
      </c>
      <c r="AA38" s="9" t="s">
        <v>254</v>
      </c>
      <c r="AB38" s="22">
        <v>100</v>
      </c>
      <c r="AD38" s="9" t="s">
        <v>254</v>
      </c>
      <c r="AE38" s="22">
        <v>2</v>
      </c>
      <c r="AG38" s="10">
        <v>2050</v>
      </c>
      <c r="AI38" s="10">
        <v>2048</v>
      </c>
    </row>
    <row r="39" spans="1:39">
      <c r="A39" s="9" t="s">
        <v>256</v>
      </c>
      <c r="B39" s="9" t="s">
        <v>256</v>
      </c>
      <c r="E39" s="9" t="s">
        <v>256</v>
      </c>
      <c r="F39" s="22">
        <v>0</v>
      </c>
      <c r="G39" s="9" t="s">
        <v>256</v>
      </c>
      <c r="H39" s="22">
        <v>1</v>
      </c>
      <c r="I39" s="9" t="s">
        <v>256</v>
      </c>
      <c r="J39" s="22">
        <v>1</v>
      </c>
      <c r="K39" s="9" t="s">
        <v>256</v>
      </c>
      <c r="L39" s="22">
        <v>1</v>
      </c>
      <c r="M39" s="9" t="s">
        <v>256</v>
      </c>
      <c r="N39" s="22">
        <v>1</v>
      </c>
      <c r="O39" t="s">
        <v>256</v>
      </c>
      <c r="P39" t="s">
        <v>256</v>
      </c>
      <c r="Q39" t="s">
        <v>256</v>
      </c>
      <c r="R39" t="s">
        <v>30</v>
      </c>
      <c r="S39" s="9" t="s">
        <v>256</v>
      </c>
      <c r="T39" s="22">
        <v>-1</v>
      </c>
      <c r="U39" s="22">
        <v>1</v>
      </c>
      <c r="V39" s="22">
        <v>1</v>
      </c>
      <c r="W39" s="22">
        <v>1</v>
      </c>
      <c r="X39" s="22">
        <v>-1</v>
      </c>
      <c r="AA39" s="9" t="s">
        <v>256</v>
      </c>
      <c r="AB39" s="22">
        <v>100</v>
      </c>
      <c r="AD39" s="9" t="s">
        <v>256</v>
      </c>
      <c r="AE39" s="22">
        <v>1</v>
      </c>
      <c r="AG39" s="10">
        <v>2051</v>
      </c>
      <c r="AI39" s="10">
        <v>2049</v>
      </c>
    </row>
    <row r="40" spans="1:39">
      <c r="A40" s="9" t="s">
        <v>257</v>
      </c>
      <c r="B40" s="9" t="s">
        <v>257</v>
      </c>
      <c r="E40" s="9" t="s">
        <v>257</v>
      </c>
      <c r="F40" s="22">
        <v>0</v>
      </c>
      <c r="G40" s="9" t="s">
        <v>257</v>
      </c>
      <c r="H40" s="22">
        <v>0</v>
      </c>
      <c r="I40" s="9" t="s">
        <v>257</v>
      </c>
      <c r="J40" s="22">
        <v>0</v>
      </c>
      <c r="K40" s="9" t="s">
        <v>257</v>
      </c>
      <c r="L40" s="22">
        <v>1</v>
      </c>
      <c r="M40" s="9" t="s">
        <v>257</v>
      </c>
      <c r="N40" s="22">
        <v>1</v>
      </c>
      <c r="O40" t="s">
        <v>257</v>
      </c>
      <c r="P40" t="s">
        <v>257</v>
      </c>
      <c r="Q40" t="s">
        <v>257</v>
      </c>
      <c r="R40" t="s">
        <v>30</v>
      </c>
      <c r="S40" s="9" t="s">
        <v>257</v>
      </c>
      <c r="T40" s="22">
        <v>-1</v>
      </c>
      <c r="U40" s="22">
        <v>-1</v>
      </c>
      <c r="V40" s="22">
        <v>-1</v>
      </c>
      <c r="W40" s="22">
        <v>1</v>
      </c>
      <c r="X40" s="22">
        <v>-1</v>
      </c>
      <c r="AA40" s="9" t="s">
        <v>257</v>
      </c>
      <c r="AB40" s="22">
        <v>100</v>
      </c>
      <c r="AD40" s="9" t="s">
        <v>257</v>
      </c>
      <c r="AE40" s="22">
        <v>2</v>
      </c>
      <c r="AG40" s="10">
        <v>2052</v>
      </c>
      <c r="AI40" s="10">
        <v>2050</v>
      </c>
    </row>
    <row r="41" spans="1:39">
      <c r="A41" s="9" t="s">
        <v>258</v>
      </c>
      <c r="B41" s="9" t="s">
        <v>258</v>
      </c>
      <c r="E41" s="9" t="s">
        <v>258</v>
      </c>
      <c r="F41" s="22">
        <v>0</v>
      </c>
      <c r="G41" s="9" t="s">
        <v>258</v>
      </c>
      <c r="H41" s="22">
        <v>0</v>
      </c>
      <c r="I41" s="9" t="s">
        <v>258</v>
      </c>
      <c r="J41" s="22">
        <v>0</v>
      </c>
      <c r="K41" s="9" t="s">
        <v>258</v>
      </c>
      <c r="L41" s="22">
        <v>1</v>
      </c>
      <c r="M41" s="9" t="s">
        <v>258</v>
      </c>
      <c r="N41" s="22">
        <v>1</v>
      </c>
      <c r="O41" t="s">
        <v>258</v>
      </c>
      <c r="P41" t="s">
        <v>258</v>
      </c>
      <c r="Q41" t="s">
        <v>258</v>
      </c>
      <c r="R41" t="s">
        <v>30</v>
      </c>
      <c r="S41" s="9" t="s">
        <v>258</v>
      </c>
      <c r="T41" s="22">
        <v>-1</v>
      </c>
      <c r="U41" s="22">
        <v>-1</v>
      </c>
      <c r="V41" s="22">
        <v>-1</v>
      </c>
      <c r="W41" s="22">
        <v>1</v>
      </c>
      <c r="X41" s="22">
        <v>-1</v>
      </c>
      <c r="AA41" s="9" t="s">
        <v>258</v>
      </c>
      <c r="AB41" s="22">
        <v>100</v>
      </c>
      <c r="AD41" s="9" t="s">
        <v>258</v>
      </c>
      <c r="AE41" s="22">
        <v>2</v>
      </c>
      <c r="AG41" s="10">
        <v>2053</v>
      </c>
      <c r="AI41" s="10">
        <v>2051</v>
      </c>
      <c r="AL41" s="10"/>
      <c r="AM41" s="10">
        <v>2051</v>
      </c>
    </row>
    <row r="42" spans="1:39">
      <c r="A42" s="9" t="s">
        <v>259</v>
      </c>
      <c r="B42" s="9" t="s">
        <v>259</v>
      </c>
      <c r="E42" s="9" t="s">
        <v>259</v>
      </c>
      <c r="F42" s="22">
        <v>0</v>
      </c>
      <c r="G42" s="9" t="s">
        <v>259</v>
      </c>
      <c r="H42" s="22">
        <v>0</v>
      </c>
      <c r="I42" s="9" t="s">
        <v>259</v>
      </c>
      <c r="J42" s="22">
        <v>0</v>
      </c>
      <c r="K42" s="9" t="s">
        <v>259</v>
      </c>
      <c r="L42" s="22">
        <v>1</v>
      </c>
      <c r="M42" s="9" t="s">
        <v>259</v>
      </c>
      <c r="N42" s="22">
        <v>1</v>
      </c>
      <c r="O42" t="s">
        <v>259</v>
      </c>
      <c r="P42" t="s">
        <v>259</v>
      </c>
      <c r="Q42" t="s">
        <v>259</v>
      </c>
      <c r="R42" t="s">
        <v>30</v>
      </c>
      <c r="S42" s="9" t="s">
        <v>259</v>
      </c>
      <c r="T42" s="22">
        <v>-1</v>
      </c>
      <c r="U42" s="22">
        <v>-1</v>
      </c>
      <c r="V42" s="22">
        <v>-1</v>
      </c>
      <c r="W42" s="22">
        <v>1</v>
      </c>
      <c r="X42" s="22">
        <v>-1</v>
      </c>
      <c r="AA42" s="9" t="s">
        <v>259</v>
      </c>
      <c r="AB42" s="22">
        <v>100</v>
      </c>
      <c r="AD42" s="9" t="s">
        <v>259</v>
      </c>
      <c r="AE42" s="22">
        <v>2</v>
      </c>
      <c r="AG42" s="10">
        <v>2054</v>
      </c>
      <c r="AI42" s="10">
        <v>2052</v>
      </c>
      <c r="AL42" s="10"/>
      <c r="AM42" s="10">
        <v>2056</v>
      </c>
    </row>
    <row r="43" spans="1:39">
      <c r="A43" s="9" t="s">
        <v>260</v>
      </c>
      <c r="B43" s="9" t="s">
        <v>260</v>
      </c>
      <c r="E43" s="9" t="s">
        <v>260</v>
      </c>
      <c r="F43" s="22">
        <v>0</v>
      </c>
      <c r="G43" s="9" t="s">
        <v>260</v>
      </c>
      <c r="H43" s="22">
        <v>0</v>
      </c>
      <c r="I43" s="9" t="s">
        <v>260</v>
      </c>
      <c r="J43" s="22">
        <v>0</v>
      </c>
      <c r="K43" s="9" t="s">
        <v>260</v>
      </c>
      <c r="L43" s="22">
        <v>1</v>
      </c>
      <c r="M43" s="9" t="s">
        <v>260</v>
      </c>
      <c r="N43" s="22">
        <v>1</v>
      </c>
      <c r="O43" t="s">
        <v>260</v>
      </c>
      <c r="P43" t="s">
        <v>260</v>
      </c>
      <c r="Q43" t="s">
        <v>260</v>
      </c>
      <c r="R43" t="s">
        <v>30</v>
      </c>
      <c r="S43" s="9" t="s">
        <v>260</v>
      </c>
      <c r="T43" s="22">
        <v>-1</v>
      </c>
      <c r="U43" s="22">
        <v>-1</v>
      </c>
      <c r="V43" s="22">
        <v>-1</v>
      </c>
      <c r="W43" s="22">
        <v>1</v>
      </c>
      <c r="X43" s="22">
        <v>-1</v>
      </c>
      <c r="AA43" s="9" t="s">
        <v>260</v>
      </c>
      <c r="AB43" s="22">
        <v>100</v>
      </c>
      <c r="AD43" s="9" t="s">
        <v>260</v>
      </c>
      <c r="AE43" s="22">
        <v>2</v>
      </c>
      <c r="AG43" s="10">
        <v>2055</v>
      </c>
      <c r="AI43" s="10">
        <v>2053</v>
      </c>
      <c r="AL43" s="10"/>
      <c r="AM43" s="10">
        <v>2065</v>
      </c>
    </row>
    <row r="44" spans="1:39">
      <c r="A44" s="9" t="s">
        <v>265</v>
      </c>
      <c r="B44" s="9" t="s">
        <v>265</v>
      </c>
      <c r="E44" s="9" t="s">
        <v>265</v>
      </c>
      <c r="F44" s="22">
        <v>0</v>
      </c>
      <c r="G44" s="9" t="s">
        <v>265</v>
      </c>
      <c r="H44" s="22">
        <v>1</v>
      </c>
      <c r="I44" s="9" t="s">
        <v>265</v>
      </c>
      <c r="J44" s="22">
        <v>1</v>
      </c>
      <c r="K44" s="9" t="s">
        <v>265</v>
      </c>
      <c r="L44" s="22">
        <v>1</v>
      </c>
      <c r="M44" s="9" t="s">
        <v>265</v>
      </c>
      <c r="N44" s="22">
        <v>1</v>
      </c>
      <c r="O44" t="s">
        <v>265</v>
      </c>
      <c r="P44" t="s">
        <v>265</v>
      </c>
      <c r="Q44" t="s">
        <v>265</v>
      </c>
      <c r="R44" t="s">
        <v>30</v>
      </c>
      <c r="S44" s="9" t="s">
        <v>265</v>
      </c>
      <c r="T44" s="22">
        <v>-1</v>
      </c>
      <c r="U44" s="22">
        <v>1</v>
      </c>
      <c r="V44" s="22">
        <v>1</v>
      </c>
      <c r="W44" s="22">
        <v>1</v>
      </c>
      <c r="X44" s="22">
        <v>-1</v>
      </c>
      <c r="AA44" s="9" t="s">
        <v>265</v>
      </c>
      <c r="AB44" s="22">
        <v>100</v>
      </c>
      <c r="AD44" s="9" t="s">
        <v>265</v>
      </c>
      <c r="AE44" s="22">
        <v>1</v>
      </c>
      <c r="AI44" s="10">
        <v>2054</v>
      </c>
      <c r="AL44" s="10"/>
    </row>
    <row r="45" spans="1:39">
      <c r="A45" s="9" t="s">
        <v>266</v>
      </c>
      <c r="B45" s="9" t="s">
        <v>266</v>
      </c>
      <c r="E45" s="9" t="s">
        <v>266</v>
      </c>
      <c r="F45" s="22">
        <v>1</v>
      </c>
      <c r="G45" s="9" t="s">
        <v>266</v>
      </c>
      <c r="H45" s="22">
        <v>1</v>
      </c>
      <c r="I45" s="9" t="s">
        <v>266</v>
      </c>
      <c r="J45" s="22">
        <v>1</v>
      </c>
      <c r="K45" s="9" t="s">
        <v>266</v>
      </c>
      <c r="L45" s="22">
        <v>1</v>
      </c>
      <c r="M45" s="9" t="s">
        <v>266</v>
      </c>
      <c r="N45" s="22">
        <v>1</v>
      </c>
      <c r="O45" t="s">
        <v>266</v>
      </c>
      <c r="P45" t="s">
        <v>266</v>
      </c>
      <c r="Q45" t="s">
        <v>266</v>
      </c>
      <c r="R45" t="s">
        <v>30</v>
      </c>
      <c r="S45" s="9" t="s">
        <v>266</v>
      </c>
      <c r="T45" s="22">
        <v>-1</v>
      </c>
      <c r="U45" s="22">
        <v>1</v>
      </c>
      <c r="V45" s="22">
        <v>1</v>
      </c>
      <c r="W45" s="22">
        <v>1</v>
      </c>
      <c r="X45" s="22">
        <v>-1</v>
      </c>
      <c r="AA45" s="9" t="s">
        <v>266</v>
      </c>
      <c r="AB45" s="22">
        <v>100</v>
      </c>
      <c r="AD45" s="9" t="s">
        <v>266</v>
      </c>
      <c r="AE45" s="22">
        <v>0</v>
      </c>
      <c r="AI45" s="10">
        <v>2055</v>
      </c>
      <c r="AL45" s="10"/>
    </row>
    <row r="46" spans="1:39">
      <c r="A46" s="9" t="s">
        <v>267</v>
      </c>
      <c r="B46" s="9" t="s">
        <v>267</v>
      </c>
      <c r="E46" s="9" t="s">
        <v>267</v>
      </c>
      <c r="F46" s="22">
        <v>0</v>
      </c>
      <c r="G46" s="9" t="s">
        <v>267</v>
      </c>
      <c r="H46" s="22">
        <v>1</v>
      </c>
      <c r="I46" s="9" t="s">
        <v>267</v>
      </c>
      <c r="J46" s="22">
        <v>1</v>
      </c>
      <c r="K46" s="9" t="s">
        <v>267</v>
      </c>
      <c r="L46" s="22">
        <v>1</v>
      </c>
      <c r="M46" s="9" t="s">
        <v>267</v>
      </c>
      <c r="N46" s="22">
        <v>1</v>
      </c>
      <c r="O46" t="s">
        <v>267</v>
      </c>
      <c r="P46" t="s">
        <v>267</v>
      </c>
      <c r="Q46" t="s">
        <v>267</v>
      </c>
      <c r="R46" t="s">
        <v>30</v>
      </c>
      <c r="S46" s="9" t="s">
        <v>267</v>
      </c>
      <c r="T46" s="22">
        <v>-1</v>
      </c>
      <c r="U46" s="22">
        <v>-1</v>
      </c>
      <c r="V46" s="22">
        <v>-1</v>
      </c>
      <c r="W46" s="22">
        <v>1</v>
      </c>
      <c r="X46" s="22">
        <v>-1</v>
      </c>
      <c r="AA46" s="9" t="s">
        <v>267</v>
      </c>
      <c r="AB46" s="22">
        <v>100</v>
      </c>
      <c r="AD46" s="9" t="s">
        <v>267</v>
      </c>
      <c r="AE46" s="22">
        <v>0</v>
      </c>
      <c r="AI46" s="10">
        <v>2058</v>
      </c>
      <c r="AL46" s="10"/>
    </row>
    <row r="47" spans="1:39">
      <c r="A47" s="9" t="s">
        <v>268</v>
      </c>
      <c r="B47" s="9" t="s">
        <v>268</v>
      </c>
      <c r="E47" s="9" t="s">
        <v>268</v>
      </c>
      <c r="F47" s="22">
        <v>1</v>
      </c>
      <c r="G47" s="9" t="s">
        <v>268</v>
      </c>
      <c r="H47" s="22">
        <v>1</v>
      </c>
      <c r="I47" s="9" t="s">
        <v>268</v>
      </c>
      <c r="J47" s="22">
        <v>1</v>
      </c>
      <c r="K47" s="9" t="s">
        <v>268</v>
      </c>
      <c r="L47" s="22">
        <v>1</v>
      </c>
      <c r="M47" s="9" t="s">
        <v>268</v>
      </c>
      <c r="N47" s="22">
        <v>1</v>
      </c>
      <c r="O47" t="s">
        <v>268</v>
      </c>
      <c r="P47" t="s">
        <v>268</v>
      </c>
      <c r="Q47" t="s">
        <v>268</v>
      </c>
      <c r="R47" t="s">
        <v>30</v>
      </c>
      <c r="S47" s="9" t="s">
        <v>268</v>
      </c>
      <c r="T47" s="22">
        <v>-1</v>
      </c>
      <c r="U47" s="22">
        <v>1</v>
      </c>
      <c r="V47" s="22">
        <v>1</v>
      </c>
      <c r="W47" s="22">
        <v>1</v>
      </c>
      <c r="X47" s="22">
        <v>-1</v>
      </c>
      <c r="AA47" s="9" t="s">
        <v>268</v>
      </c>
      <c r="AB47" s="22">
        <v>100</v>
      </c>
      <c r="AD47" s="9" t="s">
        <v>268</v>
      </c>
      <c r="AE47" s="22">
        <v>0</v>
      </c>
      <c r="AI47" s="10">
        <v>2063</v>
      </c>
      <c r="AL47" s="10"/>
    </row>
    <row r="48" spans="1:39">
      <c r="AI48" s="10">
        <v>2068</v>
      </c>
      <c r="AL48" s="10"/>
    </row>
    <row r="49" spans="38:38">
      <c r="AL49" s="10"/>
    </row>
    <row r="50" spans="38:38">
      <c r="AL50" s="10"/>
    </row>
    <row r="51" spans="38:38">
      <c r="AL51" s="10"/>
    </row>
    <row r="52" spans="38:38">
      <c r="AL52" s="10"/>
    </row>
    <row r="53" spans="38:38">
      <c r="AL53" s="10"/>
    </row>
    <row r="54" spans="38:38">
      <c r="AL54" s="10"/>
    </row>
    <row r="55" spans="38:38">
      <c r="AL55" s="10"/>
    </row>
    <row r="56" spans="38:38">
      <c r="AL56" s="10"/>
    </row>
    <row r="57" spans="38:38">
      <c r="AL57" s="10"/>
    </row>
    <row r="58" spans="38:38">
      <c r="AL58" s="10"/>
    </row>
    <row r="59" spans="38:38">
      <c r="AL59" s="10"/>
    </row>
    <row r="60" spans="38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2"/>
  <sheetViews>
    <sheetView tabSelected="1" zoomScale="90" zoomScaleNormal="90" workbookViewId="0">
      <pane xSplit="2" ySplit="9" topLeftCell="C29" activePane="bottomRight" state="frozen"/>
      <selection pane="topRight" activeCell="C1" sqref="C1"/>
      <selection pane="bottomLeft" activeCell="A8" sqref="A8"/>
      <selection pane="bottomRight" activeCell="B51" sqref="B5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63">
      <c r="A1" t="s">
        <v>196</v>
      </c>
      <c r="B1" t="str" cm="1">
        <f t="array" aca="1" ref="B1" ca="1">LEFT(CELL("filename",A1),FIND("[",CELL("filename",A1))-1)</f>
        <v>C:\Models\SATIMGE_Veda\</v>
      </c>
      <c r="E1" t="s">
        <v>263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63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  <c r="BK2">
        <f>14*14/60</f>
        <v>3.2666666666666666</v>
      </c>
    </row>
    <row r="3" spans="1:63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63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RIGHT(B22,1)</f>
        <v>C</v>
      </c>
      <c r="V4">
        <v>4.4793989999999999</v>
      </c>
    </row>
    <row r="5" spans="1:63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63">
      <c r="A6" s="4">
        <f>SUM(A16:A91)</f>
        <v>2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1" t="s">
        <v>26</v>
      </c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Z6">
        <f>SUM(AZ16:AZ53)</f>
        <v>0</v>
      </c>
    </row>
    <row r="7" spans="1:63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63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63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63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 t="shared" ref="AZ10:AZ16" si="4">IF(LEN(B10)&gt;=30,1,0)</f>
        <v>0</v>
      </c>
      <c r="BB10">
        <v>1</v>
      </c>
      <c r="BJ10" t="s">
        <v>262</v>
      </c>
    </row>
    <row r="11" spans="1:63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 t="shared" si="4"/>
        <v>0</v>
      </c>
      <c r="BB11">
        <v>1</v>
      </c>
      <c r="BJ11" t="s">
        <v>240</v>
      </c>
    </row>
    <row r="12" spans="1:63">
      <c r="A12">
        <v>0</v>
      </c>
      <c r="B12" s="20" t="s">
        <v>221</v>
      </c>
      <c r="D12" t="s">
        <v>30</v>
      </c>
      <c r="E12" t="str">
        <f t="shared" ref="E12" si="5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 t="shared" si="4"/>
        <v>0</v>
      </c>
      <c r="BB12">
        <v>1</v>
      </c>
    </row>
    <row r="13" spans="1:63">
      <c r="A13">
        <v>0</v>
      </c>
      <c r="B13" s="20" t="s">
        <v>225</v>
      </c>
      <c r="D13" t="s">
        <v>30</v>
      </c>
      <c r="E13" t="str">
        <f t="shared" ref="E13" si="6">B13</f>
        <v>DELAYED</v>
      </c>
      <c r="F13">
        <v>1</v>
      </c>
      <c r="G13">
        <v>1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 t="shared" si="4"/>
        <v>0</v>
      </c>
      <c r="BB13">
        <v>1</v>
      </c>
      <c r="BJ13" t="s">
        <v>261</v>
      </c>
    </row>
    <row r="14" spans="1:63">
      <c r="A14">
        <v>0</v>
      </c>
      <c r="B14" t="s">
        <v>253</v>
      </c>
      <c r="D14" t="s">
        <v>30</v>
      </c>
      <c r="E14" t="str">
        <f>B14</f>
        <v>NZ10_2099A_99EESSNXCTSC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>IF(MID(B14,14,2)="EE",1,-1)</f>
        <v>1</v>
      </c>
      <c r="N14">
        <f>IF(MID(B14,14,2)="EE",1,-1)</f>
        <v>1</v>
      </c>
      <c r="O14">
        <v>1</v>
      </c>
      <c r="P14">
        <v>-1</v>
      </c>
      <c r="Q14">
        <v>100</v>
      </c>
      <c r="AZ14">
        <f t="shared" si="4"/>
        <v>0</v>
      </c>
      <c r="BA14">
        <v>1</v>
      </c>
      <c r="BJ14" t="s">
        <v>241</v>
      </c>
    </row>
    <row r="15" spans="1:63">
      <c r="A15">
        <v>0</v>
      </c>
      <c r="B15" t="s">
        <v>252</v>
      </c>
      <c r="D15" t="s">
        <v>30</v>
      </c>
      <c r="E15" t="str">
        <f>B15</f>
        <v>NZ10_2099A_99EESSNXCTCL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f>IF(MID(B15,10,1) = "B",2,1)</f>
        <v>1</v>
      </c>
      <c r="L15">
        <v>-1</v>
      </c>
      <c r="M15">
        <f>IF(MID(B15,14,2)="EE",1,-1)</f>
        <v>1</v>
      </c>
      <c r="N15">
        <f>IF(MID(B15,14,2)="EE",1,-1)</f>
        <v>1</v>
      </c>
      <c r="O15">
        <v>1</v>
      </c>
      <c r="P15">
        <v>-1</v>
      </c>
      <c r="Q15">
        <v>100</v>
      </c>
      <c r="AZ15">
        <f t="shared" si="4"/>
        <v>0</v>
      </c>
      <c r="BA15">
        <v>1</v>
      </c>
      <c r="BJ15" t="s">
        <v>242</v>
      </c>
    </row>
    <row r="16" spans="1:63">
      <c r="A16">
        <v>0</v>
      </c>
      <c r="B16" t="s">
        <v>228</v>
      </c>
      <c r="D16" t="s">
        <v>30</v>
      </c>
      <c r="E16" t="str">
        <f>B16</f>
        <v>NZ10_2099A_99NESSNXCTCL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f>IF(MID(B16,10,1) = "B",2,1)</f>
        <v>1</v>
      </c>
      <c r="L16">
        <v>-1</v>
      </c>
      <c r="M16">
        <f>IF(MID(B16,14,2)="EE",1,-1)</f>
        <v>-1</v>
      </c>
      <c r="N16">
        <f>IF(MID(B16,14,2)="EE",1,-1)</f>
        <v>-1</v>
      </c>
      <c r="O16">
        <v>1</v>
      </c>
      <c r="P16">
        <v>-1</v>
      </c>
      <c r="Q16">
        <v>100</v>
      </c>
      <c r="AZ16">
        <f t="shared" si="4"/>
        <v>0</v>
      </c>
      <c r="BA16">
        <v>1</v>
      </c>
      <c r="BJ16" t="s">
        <v>243</v>
      </c>
    </row>
    <row r="17" spans="1:68" s="18" customFormat="1">
      <c r="A17">
        <v>0</v>
      </c>
      <c r="B17" t="s">
        <v>229</v>
      </c>
      <c r="C17"/>
      <c r="D17" t="s">
        <v>30</v>
      </c>
      <c r="E17" t="str">
        <f t="shared" ref="E17:E38" si="7">B17</f>
        <v>NZ10_2099B_99NESSNXCTCL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f t="shared" ref="K17:K80" si="8">IF(MID(B17,10,1) = "B",2,1)</f>
        <v>2</v>
      </c>
      <c r="L17" s="18">
        <v>-1</v>
      </c>
      <c r="M17">
        <f t="shared" ref="M17:M38" si="9">IF(MID(B17,14,2)="EE",1,-1)</f>
        <v>-1</v>
      </c>
      <c r="N17">
        <f t="shared" ref="N17:N38" si="10">IF(MID(B17,14,2)="EE",1,-1)</f>
        <v>-1</v>
      </c>
      <c r="O17" s="18">
        <v>1</v>
      </c>
      <c r="P17" s="18">
        <v>-1</v>
      </c>
      <c r="Q17">
        <v>100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>
        <f t="shared" ref="AZ17:AZ61" si="11">IF(LEN(B17)&gt;=30,1,0)</f>
        <v>0</v>
      </c>
      <c r="BA17">
        <v>1</v>
      </c>
      <c r="BB17"/>
      <c r="BC17"/>
      <c r="BD17"/>
      <c r="BE17"/>
      <c r="BF17"/>
      <c r="BG17"/>
      <c r="BH17"/>
      <c r="BI17"/>
      <c r="BJ17" t="s">
        <v>244</v>
      </c>
      <c r="BK17"/>
      <c r="BL17"/>
      <c r="BM17"/>
      <c r="BN17"/>
      <c r="BO17"/>
      <c r="BP17"/>
    </row>
    <row r="18" spans="1:68" s="18" customFormat="1">
      <c r="A18">
        <v>0</v>
      </c>
      <c r="B18" t="s">
        <v>230</v>
      </c>
      <c r="C18"/>
      <c r="D18" t="s">
        <v>30</v>
      </c>
      <c r="E18" t="str">
        <f t="shared" si="7"/>
        <v>NZ10_2099A_99EESSNXCNSC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f t="shared" si="8"/>
        <v>1</v>
      </c>
      <c r="L18" s="18">
        <v>-1</v>
      </c>
      <c r="M18">
        <f t="shared" si="9"/>
        <v>1</v>
      </c>
      <c r="N18">
        <f t="shared" si="10"/>
        <v>1</v>
      </c>
      <c r="O18" s="18">
        <v>1</v>
      </c>
      <c r="P18" s="18">
        <v>-1</v>
      </c>
      <c r="Q18">
        <v>100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>
        <f t="shared" si="11"/>
        <v>0</v>
      </c>
      <c r="BA18">
        <v>1</v>
      </c>
      <c r="BB18"/>
      <c r="BC18"/>
      <c r="BD18"/>
      <c r="BE18"/>
      <c r="BF18"/>
      <c r="BG18"/>
      <c r="BH18"/>
      <c r="BI18"/>
      <c r="BJ18" t="s">
        <v>245</v>
      </c>
      <c r="BK18"/>
      <c r="BL18"/>
      <c r="BM18"/>
      <c r="BN18"/>
      <c r="BO18"/>
      <c r="BP18"/>
    </row>
    <row r="19" spans="1:68" s="18" customFormat="1">
      <c r="A19">
        <v>0</v>
      </c>
      <c r="B19" t="s">
        <v>231</v>
      </c>
      <c r="C19"/>
      <c r="D19" t="s">
        <v>30</v>
      </c>
      <c r="E19" t="str">
        <f t="shared" si="7"/>
        <v>NZ10_2099B_99EESSNXCNSC</v>
      </c>
      <c r="F19">
        <v>1</v>
      </c>
      <c r="G19">
        <v>1</v>
      </c>
      <c r="H19" t="s">
        <v>188</v>
      </c>
      <c r="I19">
        <v>1</v>
      </c>
      <c r="J19">
        <v>1</v>
      </c>
      <c r="K19">
        <f t="shared" si="8"/>
        <v>2</v>
      </c>
      <c r="L19" s="18">
        <v>-1</v>
      </c>
      <c r="M19">
        <f t="shared" si="9"/>
        <v>1</v>
      </c>
      <c r="N19">
        <f t="shared" si="10"/>
        <v>1</v>
      </c>
      <c r="O19" s="18">
        <v>1</v>
      </c>
      <c r="P19" s="18">
        <v>-1</v>
      </c>
      <c r="Q19">
        <v>100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>
        <f t="shared" si="11"/>
        <v>0</v>
      </c>
      <c r="BA19">
        <v>1</v>
      </c>
      <c r="BB19"/>
      <c r="BC19"/>
      <c r="BD19"/>
      <c r="BE19"/>
      <c r="BF19"/>
      <c r="BG19"/>
      <c r="BH19"/>
      <c r="BI19"/>
      <c r="BJ19" t="s">
        <v>246</v>
      </c>
      <c r="BK19"/>
      <c r="BL19"/>
      <c r="BM19"/>
      <c r="BN19"/>
      <c r="BO19"/>
      <c r="BP19"/>
    </row>
    <row r="20" spans="1:68" s="18" customFormat="1">
      <c r="A20">
        <v>0</v>
      </c>
      <c r="B20" t="s">
        <v>232</v>
      </c>
      <c r="C20"/>
      <c r="D20" t="s">
        <v>30</v>
      </c>
      <c r="E20" t="str">
        <f t="shared" si="7"/>
        <v>NZ10_2099A_99NESSNXCNSC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f t="shared" si="8"/>
        <v>1</v>
      </c>
      <c r="L20" s="18">
        <v>-1</v>
      </c>
      <c r="M20">
        <f t="shared" si="9"/>
        <v>-1</v>
      </c>
      <c r="N20">
        <f t="shared" si="10"/>
        <v>-1</v>
      </c>
      <c r="O20" s="18">
        <v>1</v>
      </c>
      <c r="P20" s="18">
        <v>-1</v>
      </c>
      <c r="Q20">
        <v>100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>
        <f t="shared" si="11"/>
        <v>0</v>
      </c>
      <c r="BA20">
        <v>1</v>
      </c>
      <c r="BB20"/>
      <c r="BC20"/>
      <c r="BD20"/>
      <c r="BE20"/>
      <c r="BF20"/>
      <c r="BG20"/>
      <c r="BH20"/>
      <c r="BI20"/>
      <c r="BJ20" t="s">
        <v>247</v>
      </c>
      <c r="BK20"/>
      <c r="BL20"/>
      <c r="BM20"/>
      <c r="BN20"/>
      <c r="BO20"/>
      <c r="BP20"/>
    </row>
    <row r="21" spans="1:68">
      <c r="A21">
        <v>0</v>
      </c>
      <c r="B21" t="s">
        <v>233</v>
      </c>
      <c r="D21" t="s">
        <v>30</v>
      </c>
      <c r="E21" t="str">
        <f t="shared" si="7"/>
        <v>NZ10_2050A_08EESSNXCTSC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f t="shared" si="8"/>
        <v>1</v>
      </c>
      <c r="L21">
        <v>-1</v>
      </c>
      <c r="M21">
        <f t="shared" si="9"/>
        <v>1</v>
      </c>
      <c r="N21">
        <f t="shared" si="10"/>
        <v>1</v>
      </c>
      <c r="O21">
        <v>1</v>
      </c>
      <c r="P21">
        <v>-1</v>
      </c>
      <c r="Q21">
        <v>100</v>
      </c>
      <c r="AZ21">
        <f t="shared" si="11"/>
        <v>0</v>
      </c>
      <c r="BA21">
        <v>1</v>
      </c>
      <c r="BJ21" t="s">
        <v>248</v>
      </c>
    </row>
    <row r="22" spans="1:68">
      <c r="A22">
        <v>0</v>
      </c>
      <c r="B22" t="s">
        <v>234</v>
      </c>
      <c r="D22" t="s">
        <v>30</v>
      </c>
      <c r="E22" t="str">
        <f t="shared" si="7"/>
        <v>NZ10_2050A_09EESSNXCTSC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f t="shared" si="8"/>
        <v>1</v>
      </c>
      <c r="L22">
        <v>-1</v>
      </c>
      <c r="M22">
        <f t="shared" si="9"/>
        <v>1</v>
      </c>
      <c r="N22">
        <f t="shared" si="10"/>
        <v>1</v>
      </c>
      <c r="O22">
        <v>1</v>
      </c>
      <c r="P22">
        <v>-1</v>
      </c>
      <c r="Q22">
        <v>100</v>
      </c>
      <c r="AZ22">
        <f t="shared" si="11"/>
        <v>0</v>
      </c>
      <c r="BA22">
        <v>1</v>
      </c>
      <c r="BJ22" t="s">
        <v>249</v>
      </c>
    </row>
    <row r="23" spans="1:68">
      <c r="A23">
        <v>0</v>
      </c>
      <c r="B23" t="s">
        <v>235</v>
      </c>
      <c r="D23" t="s">
        <v>30</v>
      </c>
      <c r="E23" t="str">
        <f t="shared" si="7"/>
        <v>NZ10_2050A_09EESSEXCTSC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si="8"/>
        <v>1</v>
      </c>
      <c r="L23">
        <v>-1</v>
      </c>
      <c r="M23">
        <f t="shared" si="9"/>
        <v>1</v>
      </c>
      <c r="N23">
        <f t="shared" si="10"/>
        <v>1</v>
      </c>
      <c r="O23">
        <v>1</v>
      </c>
      <c r="P23">
        <v>-1</v>
      </c>
      <c r="Q23">
        <v>100</v>
      </c>
      <c r="AZ23">
        <f t="shared" si="11"/>
        <v>0</v>
      </c>
      <c r="BA23">
        <v>1</v>
      </c>
      <c r="BJ23" t="s">
        <v>251</v>
      </c>
    </row>
    <row r="24" spans="1:68" s="18" customFormat="1" ht="16.5" customHeight="1">
      <c r="A24">
        <v>0</v>
      </c>
      <c r="B24" t="s">
        <v>236</v>
      </c>
      <c r="C24"/>
      <c r="D24" t="s">
        <v>30</v>
      </c>
      <c r="E24" t="str">
        <f t="shared" si="7"/>
        <v>NZ10_2050A_09NESSNXCTSC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8"/>
        <v>1</v>
      </c>
      <c r="L24" s="18">
        <v>-1</v>
      </c>
      <c r="M24">
        <f t="shared" si="9"/>
        <v>-1</v>
      </c>
      <c r="N24">
        <f t="shared" si="10"/>
        <v>-1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1"/>
        <v>0</v>
      </c>
      <c r="BA24">
        <v>1</v>
      </c>
      <c r="BB24"/>
      <c r="BC24"/>
      <c r="BD24"/>
      <c r="BE24"/>
      <c r="BF24"/>
      <c r="BG24"/>
      <c r="BH24"/>
      <c r="BI24"/>
      <c r="BJ24" t="s">
        <v>250</v>
      </c>
      <c r="BK24"/>
      <c r="BL24"/>
      <c r="BM24"/>
      <c r="BN24"/>
      <c r="BO24"/>
      <c r="BP24"/>
    </row>
    <row r="25" spans="1:68" s="18" customFormat="1" ht="17.25" customHeight="1">
      <c r="A25">
        <v>0</v>
      </c>
      <c r="B25" t="s">
        <v>237</v>
      </c>
      <c r="C25"/>
      <c r="D25" t="s">
        <v>30</v>
      </c>
      <c r="E25" t="str">
        <f t="shared" si="7"/>
        <v>NZ10_2050A_09EESSNXCTCL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8"/>
        <v>1</v>
      </c>
      <c r="L25" s="18">
        <v>-1</v>
      </c>
      <c r="M25">
        <f t="shared" si="9"/>
        <v>1</v>
      </c>
      <c r="N25">
        <f t="shared" si="10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1"/>
        <v>0</v>
      </c>
      <c r="BA25">
        <v>1</v>
      </c>
      <c r="BB25"/>
      <c r="BC25"/>
      <c r="BD25"/>
      <c r="BE25"/>
      <c r="BF25"/>
      <c r="BG25"/>
      <c r="BH25"/>
      <c r="BI25"/>
      <c r="BJ25" t="s">
        <v>252</v>
      </c>
      <c r="BK25"/>
      <c r="BL25"/>
      <c r="BM25"/>
      <c r="BN25"/>
      <c r="BO25"/>
      <c r="BP25"/>
    </row>
    <row r="26" spans="1:68" s="18" customFormat="1" ht="17.25" customHeight="1">
      <c r="A26">
        <v>0</v>
      </c>
      <c r="B26" t="s">
        <v>238</v>
      </c>
      <c r="C26"/>
      <c r="D26" t="s">
        <v>30</v>
      </c>
      <c r="E26" t="str">
        <f t="shared" si="7"/>
        <v>NZ10_2050A_09EESFNXCTSC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8"/>
        <v>1</v>
      </c>
      <c r="L26" s="18">
        <v>-1</v>
      </c>
      <c r="M26">
        <f t="shared" si="9"/>
        <v>1</v>
      </c>
      <c r="N26">
        <f t="shared" si="10"/>
        <v>1</v>
      </c>
      <c r="O26" s="18">
        <v>1</v>
      </c>
      <c r="P26" s="18">
        <v>-1</v>
      </c>
      <c r="Q26">
        <v>100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>
        <f t="shared" si="11"/>
        <v>0</v>
      </c>
      <c r="BA26">
        <v>1</v>
      </c>
      <c r="BB26"/>
      <c r="BC26"/>
      <c r="BD26"/>
      <c r="BE26"/>
      <c r="BF26"/>
      <c r="BG26"/>
      <c r="BH26"/>
      <c r="BI26"/>
      <c r="BJ26" t="s">
        <v>253</v>
      </c>
      <c r="BK26"/>
      <c r="BL26"/>
      <c r="BM26"/>
      <c r="BN26"/>
      <c r="BO26"/>
      <c r="BP26"/>
    </row>
    <row r="27" spans="1:68" s="18" customFormat="1" ht="17.25" customHeight="1">
      <c r="A27">
        <v>0</v>
      </c>
      <c r="B27" t="s">
        <v>251</v>
      </c>
      <c r="C27"/>
      <c r="D27" t="s">
        <v>30</v>
      </c>
      <c r="E27" t="str">
        <f t="shared" si="7"/>
        <v>NZ10_2050A_09EESENXCTSC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8"/>
        <v>1</v>
      </c>
      <c r="L27" s="18">
        <v>-1</v>
      </c>
      <c r="M27">
        <f t="shared" si="9"/>
        <v>1</v>
      </c>
      <c r="N27">
        <f t="shared" si="10"/>
        <v>1</v>
      </c>
      <c r="O27" s="18">
        <v>1</v>
      </c>
      <c r="P27" s="18">
        <v>-1</v>
      </c>
      <c r="Q27">
        <v>100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f t="shared" si="11"/>
        <v>0</v>
      </c>
      <c r="BA27">
        <v>1</v>
      </c>
      <c r="BB27"/>
      <c r="BC27"/>
      <c r="BD27"/>
      <c r="BE27"/>
      <c r="BF27"/>
      <c r="BG27"/>
      <c r="BH27"/>
      <c r="BI27"/>
      <c r="BJ27" t="s">
        <v>254</v>
      </c>
      <c r="BK27"/>
      <c r="BL27"/>
      <c r="BM27"/>
      <c r="BN27"/>
      <c r="BO27"/>
      <c r="BP27"/>
    </row>
    <row r="28" spans="1:68" ht="17.25" customHeight="1">
      <c r="A28">
        <v>0</v>
      </c>
      <c r="B28" s="23" t="s">
        <v>239</v>
      </c>
      <c r="C28" t="s">
        <v>264</v>
      </c>
      <c r="D28" t="s">
        <v>30</v>
      </c>
      <c r="E28" t="str">
        <f t="shared" si="7"/>
        <v>NZ10_2050A_10EESSNXCTSC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8"/>
        <v>1</v>
      </c>
      <c r="L28">
        <v>-1</v>
      </c>
      <c r="M28">
        <f t="shared" si="9"/>
        <v>1</v>
      </c>
      <c r="N28">
        <f t="shared" si="10"/>
        <v>1</v>
      </c>
      <c r="O28">
        <v>1</v>
      </c>
      <c r="P28">
        <v>-1</v>
      </c>
      <c r="Q28">
        <v>100</v>
      </c>
      <c r="AZ28">
        <f t="shared" si="11"/>
        <v>0</v>
      </c>
      <c r="BA28">
        <v>1</v>
      </c>
      <c r="BJ28" t="s">
        <v>255</v>
      </c>
    </row>
    <row r="29" spans="1:68" ht="17.25" customHeight="1">
      <c r="A29">
        <v>0</v>
      </c>
      <c r="B29" t="s">
        <v>240</v>
      </c>
      <c r="D29" t="s">
        <v>30</v>
      </c>
      <c r="E29" t="str">
        <f t="shared" si="7"/>
        <v>NZ10_2050A_11EESSNXCTSC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8"/>
        <v>1</v>
      </c>
      <c r="L29">
        <v>-1</v>
      </c>
      <c r="M29">
        <f t="shared" si="9"/>
        <v>1</v>
      </c>
      <c r="N29">
        <f t="shared" si="10"/>
        <v>1</v>
      </c>
      <c r="O29">
        <v>1</v>
      </c>
      <c r="P29">
        <v>-1</v>
      </c>
      <c r="Q29">
        <v>100</v>
      </c>
      <c r="AZ29">
        <f t="shared" ref="AZ29" si="12">IF(LEN(B29)&gt;=30,1,0)</f>
        <v>0</v>
      </c>
      <c r="BA29">
        <v>1</v>
      </c>
      <c r="BJ29" t="s">
        <v>256</v>
      </c>
    </row>
    <row r="30" spans="1:68" ht="17.25" customHeight="1">
      <c r="A30">
        <v>0</v>
      </c>
      <c r="B30" t="s">
        <v>241</v>
      </c>
      <c r="D30" t="s">
        <v>30</v>
      </c>
      <c r="E30" t="str">
        <f t="shared" si="7"/>
        <v>NZ10_2050A_99EESSNXCTSC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8"/>
        <v>1</v>
      </c>
      <c r="L30">
        <v>-1</v>
      </c>
      <c r="M30">
        <f t="shared" si="9"/>
        <v>1</v>
      </c>
      <c r="N30">
        <f t="shared" si="10"/>
        <v>1</v>
      </c>
      <c r="O30">
        <v>1</v>
      </c>
      <c r="P30">
        <v>-1</v>
      </c>
      <c r="Q30">
        <v>100</v>
      </c>
      <c r="AZ30">
        <f t="shared" si="11"/>
        <v>0</v>
      </c>
      <c r="BA30">
        <v>1</v>
      </c>
    </row>
    <row r="31" spans="1:68" ht="17.25" customHeight="1">
      <c r="A31">
        <v>0</v>
      </c>
      <c r="B31" t="s">
        <v>242</v>
      </c>
      <c r="D31" t="s">
        <v>30</v>
      </c>
      <c r="E31" t="str">
        <f t="shared" si="7"/>
        <v>NZ10_2055A_99EESSNXCTSC</v>
      </c>
      <c r="F31">
        <v>1</v>
      </c>
      <c r="G31">
        <v>1</v>
      </c>
      <c r="H31" t="s">
        <v>188</v>
      </c>
      <c r="I31">
        <v>1</v>
      </c>
      <c r="J31">
        <v>1</v>
      </c>
      <c r="K31">
        <f t="shared" si="8"/>
        <v>1</v>
      </c>
      <c r="L31">
        <v>-1</v>
      </c>
      <c r="M31">
        <f t="shared" si="9"/>
        <v>1</v>
      </c>
      <c r="N31">
        <f t="shared" si="10"/>
        <v>1</v>
      </c>
      <c r="O31">
        <v>1</v>
      </c>
      <c r="P31">
        <v>-1</v>
      </c>
      <c r="Q31">
        <v>100</v>
      </c>
      <c r="AZ31">
        <f t="shared" si="11"/>
        <v>0</v>
      </c>
      <c r="BA31">
        <v>1</v>
      </c>
    </row>
    <row r="32" spans="1:68" ht="17.25" customHeight="1">
      <c r="A32">
        <v>0</v>
      </c>
      <c r="B32" t="s">
        <v>243</v>
      </c>
      <c r="D32" t="s">
        <v>30</v>
      </c>
      <c r="E32" t="str">
        <f t="shared" si="7"/>
        <v>NZ10_2055A_09EESSNXCTSC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8"/>
        <v>1</v>
      </c>
      <c r="L32">
        <v>-1</v>
      </c>
      <c r="M32">
        <f t="shared" si="9"/>
        <v>1</v>
      </c>
      <c r="N32">
        <f t="shared" si="10"/>
        <v>1</v>
      </c>
      <c r="O32">
        <v>1</v>
      </c>
      <c r="P32">
        <v>-1</v>
      </c>
      <c r="Q32">
        <v>100</v>
      </c>
      <c r="AZ32">
        <f t="shared" si="11"/>
        <v>0</v>
      </c>
      <c r="BA32">
        <v>1</v>
      </c>
    </row>
    <row r="33" spans="1:53" ht="17.25" customHeight="1">
      <c r="A33">
        <v>0</v>
      </c>
      <c r="B33" t="s">
        <v>244</v>
      </c>
      <c r="D33" t="s">
        <v>30</v>
      </c>
      <c r="E33" t="str">
        <f t="shared" si="7"/>
        <v>NZ10_2055A_10EESSEXCTSC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8"/>
        <v>1</v>
      </c>
      <c r="L33">
        <v>-1</v>
      </c>
      <c r="M33">
        <f t="shared" si="9"/>
        <v>1</v>
      </c>
      <c r="N33">
        <f t="shared" si="10"/>
        <v>1</v>
      </c>
      <c r="O33">
        <v>1</v>
      </c>
      <c r="P33">
        <v>-1</v>
      </c>
      <c r="Q33">
        <v>100</v>
      </c>
      <c r="AZ33">
        <f t="shared" si="11"/>
        <v>0</v>
      </c>
      <c r="BA33">
        <v>1</v>
      </c>
    </row>
    <row r="34" spans="1:53" ht="17.25" customHeight="1">
      <c r="A34">
        <v>0</v>
      </c>
      <c r="B34" t="s">
        <v>245</v>
      </c>
      <c r="D34" t="s">
        <v>30</v>
      </c>
      <c r="E34" t="str">
        <f t="shared" si="7"/>
        <v>NZ10_2055A_10EESSNXCTSC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8"/>
        <v>1</v>
      </c>
      <c r="L34">
        <v>-1</v>
      </c>
      <c r="M34">
        <f t="shared" si="9"/>
        <v>1</v>
      </c>
      <c r="N34">
        <f t="shared" si="10"/>
        <v>1</v>
      </c>
      <c r="O34">
        <v>1</v>
      </c>
      <c r="P34">
        <v>-1</v>
      </c>
      <c r="Q34">
        <v>100</v>
      </c>
      <c r="AZ34">
        <f t="shared" si="11"/>
        <v>0</v>
      </c>
      <c r="BA34">
        <v>1</v>
      </c>
    </row>
    <row r="35" spans="1:53">
      <c r="A35">
        <v>0</v>
      </c>
      <c r="B35" t="s">
        <v>246</v>
      </c>
      <c r="D35" t="s">
        <v>30</v>
      </c>
      <c r="E35" t="str">
        <f t="shared" si="7"/>
        <v>NZ10_2055A_11EESSNXCTSC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8"/>
        <v>1</v>
      </c>
      <c r="L35">
        <v>-1</v>
      </c>
      <c r="M35">
        <f t="shared" si="9"/>
        <v>1</v>
      </c>
      <c r="N35">
        <f t="shared" si="10"/>
        <v>1</v>
      </c>
      <c r="O35">
        <v>1</v>
      </c>
      <c r="P35">
        <v>-1</v>
      </c>
      <c r="Q35">
        <v>100</v>
      </c>
      <c r="AZ35">
        <f t="shared" si="11"/>
        <v>0</v>
      </c>
      <c r="BA35">
        <v>1</v>
      </c>
    </row>
    <row r="36" spans="1:53">
      <c r="A36">
        <v>0</v>
      </c>
      <c r="B36" t="s">
        <v>247</v>
      </c>
      <c r="D36" t="s">
        <v>30</v>
      </c>
      <c r="E36" t="str">
        <f t="shared" si="7"/>
        <v>NZ10_2055B_99EESSNXCTSC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8"/>
        <v>2</v>
      </c>
      <c r="L36">
        <v>-1</v>
      </c>
      <c r="M36">
        <f t="shared" si="9"/>
        <v>1</v>
      </c>
      <c r="N36">
        <f t="shared" si="10"/>
        <v>1</v>
      </c>
      <c r="O36">
        <v>1</v>
      </c>
      <c r="P36">
        <v>-1</v>
      </c>
      <c r="Q36">
        <v>100</v>
      </c>
      <c r="AZ36">
        <f t="shared" si="11"/>
        <v>0</v>
      </c>
      <c r="BA36">
        <v>1</v>
      </c>
    </row>
    <row r="37" spans="1:53">
      <c r="A37">
        <v>0</v>
      </c>
      <c r="B37" t="s">
        <v>248</v>
      </c>
      <c r="D37" t="s">
        <v>30</v>
      </c>
      <c r="E37" t="str">
        <f t="shared" si="7"/>
        <v>NZ10_2050B_09EESSNXCNSC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f t="shared" si="8"/>
        <v>2</v>
      </c>
      <c r="L37">
        <v>-1</v>
      </c>
      <c r="M37">
        <f t="shared" si="9"/>
        <v>1</v>
      </c>
      <c r="N37">
        <f t="shared" si="10"/>
        <v>1</v>
      </c>
      <c r="O37">
        <v>1</v>
      </c>
      <c r="P37">
        <v>-1</v>
      </c>
      <c r="Q37">
        <v>100</v>
      </c>
      <c r="AZ37">
        <f t="shared" si="11"/>
        <v>0</v>
      </c>
      <c r="BA37">
        <v>1</v>
      </c>
    </row>
    <row r="38" spans="1:53">
      <c r="A38">
        <v>0</v>
      </c>
      <c r="B38" t="s">
        <v>249</v>
      </c>
      <c r="D38" t="s">
        <v>30</v>
      </c>
      <c r="E38" t="str">
        <f t="shared" si="7"/>
        <v>NZ10_2050B_09EESSEXCNSC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f t="shared" si="8"/>
        <v>2</v>
      </c>
      <c r="L38">
        <v>-1</v>
      </c>
      <c r="M38">
        <f t="shared" si="9"/>
        <v>1</v>
      </c>
      <c r="N38">
        <f t="shared" si="10"/>
        <v>1</v>
      </c>
      <c r="O38">
        <v>1</v>
      </c>
      <c r="P38">
        <v>-1</v>
      </c>
      <c r="Q38">
        <v>100</v>
      </c>
      <c r="AZ38">
        <f t="shared" si="11"/>
        <v>0</v>
      </c>
      <c r="BA38">
        <v>1</v>
      </c>
    </row>
    <row r="39" spans="1:53">
      <c r="A39">
        <v>0</v>
      </c>
      <c r="B39" t="s">
        <v>250</v>
      </c>
      <c r="D39" t="s">
        <v>30</v>
      </c>
      <c r="E39" t="str">
        <f t="shared" ref="E39" si="13">B39</f>
        <v>NZ10_2050B_11EESSNXCNSC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f t="shared" ref="K39" si="14">IF(MID(B39,10,1) = "B",2,1)</f>
        <v>2</v>
      </c>
      <c r="L39">
        <v>-1</v>
      </c>
      <c r="M39">
        <f t="shared" ref="M39" si="15">IF(MID(B39,14,2)="EE",1,-1)</f>
        <v>1</v>
      </c>
      <c r="N39">
        <f t="shared" ref="N39" si="16">IF(MID(B39,14,2)="EE",1,-1)</f>
        <v>1</v>
      </c>
      <c r="O39">
        <v>1</v>
      </c>
      <c r="P39">
        <v>-1</v>
      </c>
      <c r="Q39">
        <v>100</v>
      </c>
      <c r="AZ39">
        <f t="shared" ref="AZ39" si="17">IF(LEN(B39)&gt;=30,1,0)</f>
        <v>0</v>
      </c>
      <c r="BA39">
        <v>2</v>
      </c>
    </row>
    <row r="40" spans="1:53">
      <c r="A40">
        <v>0</v>
      </c>
      <c r="B40" t="s">
        <v>254</v>
      </c>
      <c r="D40" t="s">
        <v>30</v>
      </c>
      <c r="E40" t="str">
        <f t="shared" ref="E40:E44" si="18">B40</f>
        <v>NZ10_2099B_99NESSNXCTCLNR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f t="shared" ref="K40:K44" si="19">IF(MID(B40,10,1) = "B",2,1)</f>
        <v>2</v>
      </c>
      <c r="L40">
        <v>-1</v>
      </c>
      <c r="M40">
        <f t="shared" ref="M40:M44" si="20">IF(MID(B40,14,2)="EE",1,-1)</f>
        <v>-1</v>
      </c>
      <c r="N40">
        <f t="shared" ref="N40:N44" si="21">IF(MID(B40,14,2)="EE",1,-1)</f>
        <v>-1</v>
      </c>
      <c r="O40">
        <v>1</v>
      </c>
      <c r="P40">
        <v>-1</v>
      </c>
      <c r="Q40">
        <v>100</v>
      </c>
      <c r="AZ40">
        <f t="shared" ref="AZ40:AZ44" si="22">IF(LEN(B40)&gt;=30,1,0)</f>
        <v>0</v>
      </c>
      <c r="BA40">
        <v>3</v>
      </c>
    </row>
    <row r="41" spans="1:53">
      <c r="A41">
        <v>0</v>
      </c>
      <c r="B41" s="20" t="s">
        <v>265</v>
      </c>
      <c r="D41" t="s">
        <v>30</v>
      </c>
      <c r="E41" t="str">
        <f t="shared" si="18"/>
        <v>NZ10_2099A_99EESSNXCTSCFR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f t="shared" si="19"/>
        <v>1</v>
      </c>
      <c r="L41">
        <v>-1</v>
      </c>
      <c r="M41">
        <f t="shared" si="20"/>
        <v>1</v>
      </c>
      <c r="N41">
        <f t="shared" si="21"/>
        <v>1</v>
      </c>
      <c r="O41">
        <v>1</v>
      </c>
      <c r="P41">
        <v>-1</v>
      </c>
      <c r="Q41">
        <v>100</v>
      </c>
      <c r="AZ41">
        <f t="shared" si="22"/>
        <v>0</v>
      </c>
      <c r="BA41">
        <v>4</v>
      </c>
    </row>
    <row r="42" spans="1:53">
      <c r="A42">
        <v>0</v>
      </c>
      <c r="B42" s="18" t="s">
        <v>256</v>
      </c>
      <c r="C42" t="s">
        <v>107</v>
      </c>
      <c r="D42" t="s">
        <v>30</v>
      </c>
      <c r="E42" t="str">
        <f t="shared" si="18"/>
        <v>NZ10_2050A_09EESSNXCTSCERNC</v>
      </c>
      <c r="F42">
        <v>1</v>
      </c>
      <c r="G42">
        <v>1</v>
      </c>
      <c r="H42" t="s">
        <v>188</v>
      </c>
      <c r="I42">
        <v>1</v>
      </c>
      <c r="J42">
        <v>1</v>
      </c>
      <c r="K42">
        <f t="shared" si="19"/>
        <v>1</v>
      </c>
      <c r="L42">
        <v>-1</v>
      </c>
      <c r="M42">
        <f t="shared" si="20"/>
        <v>1</v>
      </c>
      <c r="N42">
        <f t="shared" si="21"/>
        <v>1</v>
      </c>
      <c r="O42">
        <v>1</v>
      </c>
      <c r="P42">
        <v>-1</v>
      </c>
      <c r="Q42">
        <v>100</v>
      </c>
      <c r="AZ42">
        <f t="shared" si="22"/>
        <v>0</v>
      </c>
      <c r="BA42">
        <v>5</v>
      </c>
    </row>
    <row r="43" spans="1:53">
      <c r="A43">
        <v>0</v>
      </c>
      <c r="B43" t="s">
        <v>259</v>
      </c>
      <c r="D43" t="s">
        <v>30</v>
      </c>
      <c r="E43" t="str">
        <f t="shared" si="18"/>
        <v>NZ10_2099B_99NESSNXCTCLER_IRP</v>
      </c>
      <c r="F43">
        <v>0</v>
      </c>
      <c r="G43">
        <v>0</v>
      </c>
      <c r="H43" t="s">
        <v>188</v>
      </c>
      <c r="I43">
        <v>1</v>
      </c>
      <c r="J43">
        <v>1</v>
      </c>
      <c r="K43">
        <f t="shared" si="19"/>
        <v>2</v>
      </c>
      <c r="L43">
        <v>-1</v>
      </c>
      <c r="M43">
        <f t="shared" si="20"/>
        <v>-1</v>
      </c>
      <c r="N43">
        <f t="shared" si="21"/>
        <v>-1</v>
      </c>
      <c r="O43">
        <v>1</v>
      </c>
      <c r="P43">
        <v>-1</v>
      </c>
      <c r="Q43">
        <v>100</v>
      </c>
      <c r="AZ43">
        <f t="shared" si="22"/>
        <v>0</v>
      </c>
      <c r="BA43">
        <v>6</v>
      </c>
    </row>
    <row r="44" spans="1:53">
      <c r="A44">
        <v>0</v>
      </c>
      <c r="B44" t="s">
        <v>260</v>
      </c>
      <c r="D44" t="s">
        <v>30</v>
      </c>
      <c r="E44" t="str">
        <f t="shared" si="18"/>
        <v>NZ10_2099B_99NESSNXCTCLNR_IRP</v>
      </c>
      <c r="F44">
        <v>0</v>
      </c>
      <c r="G44">
        <v>0</v>
      </c>
      <c r="H44" t="s">
        <v>188</v>
      </c>
      <c r="I44">
        <v>1</v>
      </c>
      <c r="J44">
        <v>1</v>
      </c>
      <c r="K44">
        <f t="shared" si="19"/>
        <v>2</v>
      </c>
      <c r="L44">
        <v>-1</v>
      </c>
      <c r="M44">
        <f t="shared" si="20"/>
        <v>-1</v>
      </c>
      <c r="N44">
        <f t="shared" si="21"/>
        <v>-1</v>
      </c>
      <c r="O44">
        <v>1</v>
      </c>
      <c r="P44">
        <v>-1</v>
      </c>
      <c r="Q44">
        <v>100</v>
      </c>
      <c r="AZ44">
        <f t="shared" si="22"/>
        <v>0</v>
      </c>
      <c r="BA44">
        <v>7</v>
      </c>
    </row>
    <row r="45" spans="1:53">
      <c r="A45">
        <v>0</v>
      </c>
      <c r="B45" t="s">
        <v>257</v>
      </c>
      <c r="D45" t="s">
        <v>30</v>
      </c>
      <c r="E45" t="str">
        <f t="shared" ref="E45:E46" si="23">B45</f>
        <v>NZ10_2099B_99NESSNXCTCL_HiR</v>
      </c>
      <c r="F45">
        <v>0</v>
      </c>
      <c r="G45">
        <v>0</v>
      </c>
      <c r="H45" t="s">
        <v>188</v>
      </c>
      <c r="I45">
        <v>1</v>
      </c>
      <c r="J45">
        <v>1</v>
      </c>
      <c r="K45">
        <f t="shared" ref="K45:K46" si="24">IF(MID(B45,10,1) = "B",2,1)</f>
        <v>2</v>
      </c>
      <c r="L45">
        <v>-1</v>
      </c>
      <c r="M45">
        <f t="shared" ref="M45:M46" si="25">IF(MID(B45,14,2)="EE",1,-1)</f>
        <v>-1</v>
      </c>
      <c r="N45">
        <f t="shared" ref="N45:N46" si="26">IF(MID(B45,14,2)="EE",1,-1)</f>
        <v>-1</v>
      </c>
      <c r="O45">
        <v>1</v>
      </c>
      <c r="P45">
        <v>-1</v>
      </c>
      <c r="Q45">
        <v>100</v>
      </c>
      <c r="AZ45">
        <f t="shared" ref="AZ45:AZ46" si="27">IF(LEN(B45)&gt;=30,1,0)</f>
        <v>0</v>
      </c>
      <c r="BA45">
        <v>6</v>
      </c>
    </row>
    <row r="46" spans="1:53">
      <c r="A46">
        <v>0</v>
      </c>
      <c r="B46" t="s">
        <v>258</v>
      </c>
      <c r="D46" t="s">
        <v>30</v>
      </c>
      <c r="E46" t="str">
        <f t="shared" si="23"/>
        <v>NZ10_2099B_99NESSNXCTCLNR_HiR</v>
      </c>
      <c r="F46">
        <v>0</v>
      </c>
      <c r="G46">
        <v>0</v>
      </c>
      <c r="H46" t="s">
        <v>188</v>
      </c>
      <c r="I46">
        <v>1</v>
      </c>
      <c r="J46">
        <v>1</v>
      </c>
      <c r="K46">
        <f t="shared" si="24"/>
        <v>2</v>
      </c>
      <c r="L46">
        <v>-1</v>
      </c>
      <c r="M46">
        <f t="shared" si="25"/>
        <v>-1</v>
      </c>
      <c r="N46">
        <f t="shared" si="26"/>
        <v>-1</v>
      </c>
      <c r="O46">
        <v>1</v>
      </c>
      <c r="P46">
        <v>-1</v>
      </c>
      <c r="Q46">
        <v>100</v>
      </c>
      <c r="AZ46">
        <f t="shared" si="27"/>
        <v>0</v>
      </c>
      <c r="BA46">
        <v>7</v>
      </c>
    </row>
    <row r="47" spans="1:53">
      <c r="A47">
        <v>1</v>
      </c>
      <c r="B47" t="s">
        <v>266</v>
      </c>
      <c r="D47" t="s">
        <v>30</v>
      </c>
      <c r="E47" t="str">
        <f t="shared" ref="E47" si="28">B47</f>
        <v>CurPolEE</v>
      </c>
      <c r="F47">
        <v>1</v>
      </c>
      <c r="G47">
        <v>1</v>
      </c>
      <c r="H47" t="s">
        <v>188</v>
      </c>
      <c r="I47">
        <v>1</v>
      </c>
      <c r="J47">
        <v>1</v>
      </c>
      <c r="K47">
        <v>0</v>
      </c>
      <c r="L47">
        <v>-1</v>
      </c>
      <c r="M47">
        <v>1</v>
      </c>
      <c r="N47">
        <v>1</v>
      </c>
      <c r="O47">
        <v>1</v>
      </c>
      <c r="P47">
        <v>-1</v>
      </c>
      <c r="Q47">
        <v>100</v>
      </c>
      <c r="AZ47">
        <f t="shared" ref="AZ47" si="29">IF(LEN(B47)&gt;=30,1,0)</f>
        <v>0</v>
      </c>
      <c r="BA47">
        <v>8</v>
      </c>
    </row>
    <row r="48" spans="1:53">
      <c r="A48">
        <v>0</v>
      </c>
      <c r="B48" t="s">
        <v>267</v>
      </c>
      <c r="D48" t="s">
        <v>30</v>
      </c>
      <c r="E48" t="str">
        <f t="shared" ref="E48:E49" si="30">B48</f>
        <v>CurPolNoEE</v>
      </c>
      <c r="F48">
        <v>1</v>
      </c>
      <c r="G48">
        <v>1</v>
      </c>
      <c r="H48" t="s">
        <v>188</v>
      </c>
      <c r="I48">
        <v>1</v>
      </c>
      <c r="J48">
        <v>1</v>
      </c>
      <c r="K48">
        <v>0</v>
      </c>
      <c r="L48">
        <v>-1</v>
      </c>
      <c r="M48">
        <f t="shared" ref="M48:M49" si="31">IF(MID(B48,14,2)="EE",1,-1)</f>
        <v>-1</v>
      </c>
      <c r="N48">
        <f t="shared" ref="N48:N49" si="32">IF(MID(B48,14,2)="EE",1,-1)</f>
        <v>-1</v>
      </c>
      <c r="O48">
        <v>1</v>
      </c>
      <c r="P48">
        <v>-1</v>
      </c>
      <c r="Q48">
        <v>100</v>
      </c>
      <c r="AZ48">
        <f t="shared" ref="AZ48:AZ49" si="33">IF(LEN(B48)&gt;=30,1,0)</f>
        <v>0</v>
      </c>
      <c r="BA48">
        <v>9</v>
      </c>
    </row>
    <row r="49" spans="1:53">
      <c r="A49">
        <v>1</v>
      </c>
      <c r="B49" t="s">
        <v>268</v>
      </c>
      <c r="D49" t="s">
        <v>30</v>
      </c>
      <c r="E49" t="str">
        <f t="shared" si="30"/>
        <v>NetZero2050</v>
      </c>
      <c r="F49">
        <v>1</v>
      </c>
      <c r="G49">
        <v>1</v>
      </c>
      <c r="H49" t="s">
        <v>188</v>
      </c>
      <c r="I49">
        <v>1</v>
      </c>
      <c r="J49">
        <v>1</v>
      </c>
      <c r="K49">
        <v>0</v>
      </c>
      <c r="L49">
        <v>-1</v>
      </c>
      <c r="M49">
        <v>1</v>
      </c>
      <c r="N49">
        <v>1</v>
      </c>
      <c r="O49">
        <v>1</v>
      </c>
      <c r="P49">
        <v>-1</v>
      </c>
      <c r="Q49">
        <v>100</v>
      </c>
      <c r="AZ49">
        <f t="shared" si="33"/>
        <v>0</v>
      </c>
      <c r="BA49">
        <v>10</v>
      </c>
    </row>
    <row r="50" spans="1:53">
      <c r="A50" s="17"/>
      <c r="B50" s="20"/>
      <c r="K50">
        <f t="shared" si="8"/>
        <v>1</v>
      </c>
      <c r="M50" s="13"/>
      <c r="N50" s="13"/>
      <c r="Q50" s="19"/>
      <c r="AZ50">
        <f t="shared" si="11"/>
        <v>0</v>
      </c>
    </row>
    <row r="51" spans="1:53">
      <c r="A51" s="17"/>
      <c r="K51">
        <f t="shared" si="8"/>
        <v>1</v>
      </c>
      <c r="Q51" s="19"/>
      <c r="AZ51">
        <f t="shared" si="11"/>
        <v>0</v>
      </c>
    </row>
    <row r="52" spans="1:53">
      <c r="A52" s="17"/>
      <c r="K52">
        <f t="shared" si="8"/>
        <v>1</v>
      </c>
      <c r="Q52" s="19"/>
      <c r="AZ52">
        <f t="shared" si="11"/>
        <v>0</v>
      </c>
    </row>
    <row r="53" spans="1:53">
      <c r="A53" s="17"/>
      <c r="K53">
        <f t="shared" si="8"/>
        <v>1</v>
      </c>
      <c r="Q53" s="19"/>
      <c r="AZ53">
        <f t="shared" si="11"/>
        <v>0</v>
      </c>
    </row>
    <row r="54" spans="1:53">
      <c r="A54" s="17"/>
      <c r="K54">
        <f t="shared" si="8"/>
        <v>1</v>
      </c>
      <c r="Q54" s="19"/>
      <c r="AZ54">
        <f t="shared" si="11"/>
        <v>0</v>
      </c>
    </row>
    <row r="55" spans="1:53">
      <c r="A55" s="17"/>
      <c r="K55">
        <f t="shared" si="8"/>
        <v>1</v>
      </c>
      <c r="Q55" s="19"/>
      <c r="AZ55">
        <f t="shared" si="11"/>
        <v>0</v>
      </c>
    </row>
    <row r="56" spans="1:53">
      <c r="A56" s="17"/>
      <c r="K56">
        <f t="shared" si="8"/>
        <v>1</v>
      </c>
      <c r="Q56" s="19"/>
      <c r="AZ56">
        <f t="shared" si="11"/>
        <v>0</v>
      </c>
    </row>
    <row r="57" spans="1:53">
      <c r="A57" s="17"/>
      <c r="K57">
        <f t="shared" si="8"/>
        <v>1</v>
      </c>
      <c r="Q57" s="19"/>
      <c r="AZ57">
        <f t="shared" si="11"/>
        <v>0</v>
      </c>
    </row>
    <row r="58" spans="1:53">
      <c r="A58" s="17"/>
      <c r="K58">
        <f t="shared" si="8"/>
        <v>1</v>
      </c>
      <c r="M58" s="13"/>
      <c r="N58" s="13"/>
      <c r="Q58" s="19"/>
      <c r="AZ58">
        <f t="shared" si="11"/>
        <v>0</v>
      </c>
    </row>
    <row r="59" spans="1:53">
      <c r="A59" s="17"/>
      <c r="K59">
        <f t="shared" si="8"/>
        <v>1</v>
      </c>
      <c r="M59" s="13"/>
      <c r="N59" s="13"/>
      <c r="Q59" s="19"/>
      <c r="AZ59">
        <f t="shared" si="11"/>
        <v>0</v>
      </c>
    </row>
    <row r="60" spans="1:53">
      <c r="A60" s="17"/>
      <c r="K60">
        <f t="shared" si="8"/>
        <v>1</v>
      </c>
      <c r="M60" s="13"/>
      <c r="N60" s="13"/>
      <c r="Q60" s="19"/>
      <c r="AZ60">
        <f t="shared" si="11"/>
        <v>0</v>
      </c>
    </row>
    <row r="61" spans="1:53">
      <c r="A61" s="17"/>
      <c r="K61">
        <f t="shared" si="8"/>
        <v>1</v>
      </c>
      <c r="Q61" s="19"/>
      <c r="AZ61">
        <f t="shared" si="11"/>
        <v>0</v>
      </c>
    </row>
    <row r="62" spans="1:53">
      <c r="A62" s="17"/>
      <c r="K62">
        <f t="shared" si="8"/>
        <v>1</v>
      </c>
      <c r="M62" s="13"/>
      <c r="N62" s="13"/>
      <c r="Q62" s="19"/>
    </row>
    <row r="63" spans="1:53">
      <c r="A63" s="17"/>
      <c r="K63">
        <f t="shared" si="8"/>
        <v>1</v>
      </c>
      <c r="Q63" s="19"/>
    </row>
    <row r="64" spans="1:53">
      <c r="A64" s="17"/>
      <c r="K64">
        <f t="shared" si="8"/>
        <v>1</v>
      </c>
      <c r="Q64" s="19"/>
    </row>
    <row r="65" spans="1:17">
      <c r="A65" s="17"/>
      <c r="K65">
        <f t="shared" si="8"/>
        <v>1</v>
      </c>
      <c r="Q65" s="19"/>
    </row>
    <row r="66" spans="1:17">
      <c r="A66" s="17"/>
      <c r="K66">
        <f t="shared" si="8"/>
        <v>1</v>
      </c>
      <c r="M66" s="13"/>
      <c r="N66" s="13"/>
      <c r="Q66" s="19"/>
    </row>
    <row r="67" spans="1:17">
      <c r="A67" s="17"/>
      <c r="K67">
        <f t="shared" si="8"/>
        <v>1</v>
      </c>
      <c r="M67" s="13"/>
      <c r="N67" s="13"/>
      <c r="Q67" s="19"/>
    </row>
    <row r="68" spans="1:17">
      <c r="A68" s="17"/>
      <c r="K68">
        <f t="shared" si="8"/>
        <v>1</v>
      </c>
      <c r="M68" s="13"/>
      <c r="N68" s="13"/>
      <c r="Q68" s="19"/>
    </row>
    <row r="69" spans="1:17">
      <c r="A69" s="17"/>
      <c r="K69">
        <f t="shared" si="8"/>
        <v>1</v>
      </c>
      <c r="Q69" s="19"/>
    </row>
    <row r="70" spans="1:17">
      <c r="A70" s="17"/>
      <c r="K70">
        <f t="shared" si="8"/>
        <v>1</v>
      </c>
      <c r="Q70" s="19"/>
    </row>
    <row r="71" spans="1:17">
      <c r="A71" s="17"/>
      <c r="K71">
        <f t="shared" si="8"/>
        <v>1</v>
      </c>
      <c r="Q71" s="19"/>
    </row>
    <row r="72" spans="1:17">
      <c r="A72" s="17"/>
      <c r="K72">
        <f t="shared" si="8"/>
        <v>1</v>
      </c>
      <c r="Q72" s="19"/>
    </row>
    <row r="73" spans="1:17">
      <c r="A73" s="17"/>
      <c r="K73">
        <f t="shared" si="8"/>
        <v>1</v>
      </c>
      <c r="Q73" s="19"/>
    </row>
    <row r="74" spans="1:17">
      <c r="A74" s="17"/>
      <c r="K74">
        <f t="shared" si="8"/>
        <v>1</v>
      </c>
      <c r="Q74" s="19"/>
    </row>
    <row r="75" spans="1:17">
      <c r="A75" s="17"/>
      <c r="K75">
        <f t="shared" si="8"/>
        <v>1</v>
      </c>
      <c r="Q75" s="19"/>
    </row>
    <row r="76" spans="1:17">
      <c r="A76" s="17"/>
      <c r="K76">
        <f t="shared" si="8"/>
        <v>1</v>
      </c>
      <c r="M76" s="13"/>
      <c r="N76" s="13"/>
      <c r="Q76" s="19"/>
    </row>
    <row r="77" spans="1:17">
      <c r="A77" s="17"/>
      <c r="K77">
        <f t="shared" si="8"/>
        <v>1</v>
      </c>
      <c r="M77" s="13"/>
      <c r="N77" s="13"/>
      <c r="Q77" s="19"/>
    </row>
    <row r="78" spans="1:17">
      <c r="A78" s="17"/>
      <c r="K78">
        <f t="shared" si="8"/>
        <v>1</v>
      </c>
      <c r="M78" s="13"/>
      <c r="N78" s="13"/>
      <c r="Q78" s="19"/>
    </row>
    <row r="79" spans="1:17">
      <c r="A79" s="17"/>
      <c r="K79">
        <f t="shared" si="8"/>
        <v>1</v>
      </c>
      <c r="Q79" s="19"/>
    </row>
    <row r="80" spans="1:17">
      <c r="A80" s="17"/>
      <c r="K80">
        <f t="shared" si="8"/>
        <v>1</v>
      </c>
      <c r="M80" s="13"/>
      <c r="N80" s="13"/>
      <c r="Q80" s="19"/>
    </row>
    <row r="81" spans="1:17">
      <c r="A81" s="17"/>
      <c r="K81">
        <f t="shared" ref="K81:K91" si="34">IF(MID(B81,10,1) = "B",2,1)</f>
        <v>1</v>
      </c>
      <c r="Q81" s="19"/>
    </row>
    <row r="82" spans="1:17">
      <c r="A82" s="17"/>
      <c r="K82">
        <f t="shared" si="34"/>
        <v>1</v>
      </c>
      <c r="Q82" s="19"/>
    </row>
    <row r="83" spans="1:17">
      <c r="A83" s="17"/>
      <c r="K83">
        <f t="shared" si="34"/>
        <v>1</v>
      </c>
      <c r="Q83" s="19"/>
    </row>
    <row r="84" spans="1:17">
      <c r="A84" s="17"/>
      <c r="K84">
        <f t="shared" si="34"/>
        <v>1</v>
      </c>
      <c r="M84" s="13"/>
      <c r="N84" s="13"/>
      <c r="Q84" s="19"/>
    </row>
    <row r="85" spans="1:17">
      <c r="A85" s="17"/>
      <c r="K85">
        <f t="shared" si="34"/>
        <v>1</v>
      </c>
      <c r="M85" s="13"/>
      <c r="N85" s="13"/>
      <c r="Q85" s="19"/>
    </row>
    <row r="86" spans="1:17">
      <c r="A86" s="17"/>
      <c r="K86">
        <f t="shared" si="34"/>
        <v>1</v>
      </c>
      <c r="M86" s="13"/>
      <c r="N86" s="13"/>
      <c r="Q86" s="19"/>
    </row>
    <row r="87" spans="1:17">
      <c r="A87" s="17"/>
      <c r="K87">
        <f t="shared" si="34"/>
        <v>1</v>
      </c>
      <c r="Q87" s="19"/>
    </row>
    <row r="88" spans="1:17">
      <c r="A88" s="17"/>
      <c r="K88">
        <f t="shared" si="34"/>
        <v>1</v>
      </c>
      <c r="Q88" s="19"/>
    </row>
    <row r="89" spans="1:17">
      <c r="A89" s="17"/>
      <c r="K89">
        <f t="shared" si="34"/>
        <v>1</v>
      </c>
      <c r="Q89" s="19"/>
    </row>
    <row r="90" spans="1:17">
      <c r="A90" s="17"/>
      <c r="K90">
        <f t="shared" si="34"/>
        <v>1</v>
      </c>
    </row>
    <row r="91" spans="1:17">
      <c r="A91" s="17"/>
      <c r="K91">
        <f t="shared" si="34"/>
        <v>1</v>
      </c>
      <c r="M91" s="13"/>
      <c r="N91" s="13"/>
      <c r="Q91" s="19"/>
    </row>
    <row r="92" spans="1:17">
      <c r="A92" s="17"/>
    </row>
  </sheetData>
  <autoFilter ref="A9:BI91" xr:uid="{00000000-0001-0000-0E00-000000000000}"/>
  <sortState xmlns:xlrd2="http://schemas.microsoft.com/office/spreadsheetml/2017/richdata2" ref="A16:BI53">
    <sortCondition ref="B16:B53"/>
  </sortState>
  <mergeCells count="1">
    <mergeCell ref="S6:AF6"/>
  </mergeCells>
  <phoneticPr fontId="34" type="noConversion"/>
  <conditionalFormatting sqref="A93:A1048576 A1:A9">
    <cfRule type="iconSet" priority="775">
      <iconSet>
        <cfvo type="percent" val="0"/>
        <cfvo type="percent" val="33"/>
        <cfvo type="percent" val="67"/>
      </iconSet>
    </cfRule>
  </conditionalFormatting>
  <conditionalFormatting sqref="A50:A92">
    <cfRule type="iconSet" priority="946">
      <iconSet>
        <cfvo type="percent" val="0"/>
        <cfvo type="percent" val="33"/>
        <cfvo type="percent" val="67"/>
      </iconSet>
    </cfRule>
  </conditionalFormatting>
  <conditionalFormatting sqref="A50:A92">
    <cfRule type="iconSet" priority="947">
      <iconSet>
        <cfvo type="percent" val="0"/>
        <cfvo type="percent" val="33"/>
        <cfvo type="percent" val="67"/>
      </iconSet>
    </cfRule>
  </conditionalFormatting>
  <conditionalFormatting sqref="A50:A92">
    <cfRule type="iconSet" priority="949">
      <iconSet>
        <cfvo type="percent" val="0"/>
        <cfvo type="percent" val="33"/>
        <cfvo type="percent" val="67"/>
      </iconSet>
    </cfRule>
  </conditionalFormatting>
  <conditionalFormatting sqref="A50:A91">
    <cfRule type="iconSet" priority="951">
      <iconSet>
        <cfvo type="percent" val="0"/>
        <cfvo type="percent" val="33"/>
        <cfvo type="percent" val="67"/>
      </iconSet>
    </cfRule>
  </conditionalFormatting>
  <conditionalFormatting sqref="L10:P44">
    <cfRule type="colorScale" priority="9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49">
    <cfRule type="colorScale" priority="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5:P4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2024-02-02T14:41:07Z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