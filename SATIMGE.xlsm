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BD302B57-5EC9-43B5-AC0E-D3BDBC634A48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Scenarios!$A$9:$BI$91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72" r:id="rId9"/>
    <pivotCache cacheId="87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46" i="33" l="1"/>
  <c r="N46" i="33"/>
  <c r="M46" i="33"/>
  <c r="K46" i="33"/>
  <c r="E46" i="33"/>
  <c r="AZ45" i="33"/>
  <c r="N45" i="33"/>
  <c r="M45" i="33"/>
  <c r="K45" i="33"/>
  <c r="E45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3" i="33"/>
  <c r="K43" i="33"/>
  <c r="M43" i="33"/>
  <c r="N43" i="33"/>
  <c r="AZ43" i="33"/>
  <c r="E44" i="33"/>
  <c r="K44" i="33"/>
  <c r="M44" i="33"/>
  <c r="N44" i="33"/>
  <c r="AZ44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47" i="33"/>
  <c r="AZ48" i="33"/>
  <c r="AZ49" i="33"/>
  <c r="AZ50" i="33"/>
  <c r="AZ51" i="33"/>
  <c r="AZ52" i="33"/>
  <c r="AZ53" i="33"/>
  <c r="AZ54" i="33"/>
  <c r="AZ55" i="33"/>
  <c r="AZ56" i="33"/>
  <c r="AZ57" i="33"/>
  <c r="AZ58" i="33"/>
  <c r="AZ59" i="33"/>
  <c r="AZ60" i="33"/>
  <c r="AZ61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<sst xmlns="http://schemas.openxmlformats.org/spreadsheetml/2006/main" count="942" uniqueCount="261">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</sst>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3.068896990742" createdVersion="6" refreshedVersion="8" minRefreshableVersion="3" recordCount="84" xr:uid="{D229C3DF-142A-4D15-BB2C-2EA205AB0203}">
  <cacheSource type="worksheet">
    <worksheetSource ref="A9:Q107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B_99NESSNXCTCLER_IRP"/>
        <s v="NZ10_2099B_99NESSNXCTCLNR_IRP"/>
        <s v="NZ10_2099B_99NESSNXCTCL_HiR"/>
        <s v="NZ10_2099B_99NESSNXCTCLNR_HiR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3.068897685182" createdVersion="6" refreshedVersion="8" minRefreshableVersion="3" recordCount="84" xr:uid="{C0EB43E8-6CC6-4DE4-B7F1-02B09F7BA69A}">
  <cacheSource type="worksheet">
    <worksheetSource ref="A9:Q106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B_99NESSNXCTCLER_IRP"/>
        <s v="NZ10_2099B_99NESSNXCTCLNR_IRP"/>
        <s v="NZ10_2099B_99NESSNXCTCL_HiR"/>
        <s v="NZ10_2099B_99NESSNXCTCLNR_HiR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27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B_99NESSNXCTCLFR"/>
        <s v="NZ10_2050A_09EESSNXCTSCERNC"/>
        <s v="NZ10_2099B_99NESSNXCTCLER_IRP"/>
        <s v="NZ10_2099B_99NESSNXCTCLNR_IRP"/>
        <s v="NZ10_2099B_99NESSNXCTCL_HiR"/>
        <s v="NZ10_2099B_99NESSNXCTCLNR_HiR"/>
        <m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m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B_99NESSNXCTCLFR"/>
    <n v="1"/>
    <n v="1"/>
    <s v="No Pams"/>
    <n v="1"/>
    <n v="1"/>
    <n v="2"/>
    <n v="-1"/>
    <n v="-1"/>
    <n v="-1"/>
    <n v="1"/>
    <n v="-1"/>
    <n v="100"/>
  </r>
  <r>
    <n v="0"/>
    <x v="32"/>
    <m/>
    <s v="base"/>
    <s v="NZ10_2050A_09EESSNXCTSCERNC"/>
    <n v="1"/>
    <n v="1"/>
    <s v="No Pams"/>
    <n v="1"/>
    <n v="1"/>
    <n v="1"/>
    <n v="-1"/>
    <n v="1"/>
    <n v="1"/>
    <n v="1"/>
    <n v="-1"/>
    <n v="100"/>
  </r>
  <r>
    <n v="1"/>
    <x v="33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1"/>
    <x v="34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1"/>
    <x v="35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1"/>
    <x v="36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n v="1"/>
    <m/>
    <m/>
    <m/>
    <m/>
    <m/>
    <m/>
  </r>
  <r>
    <m/>
    <x v="37"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1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m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2"/>
    <n v="-1"/>
    <n v="-1"/>
    <n v="-1"/>
    <n v="1"/>
    <n v="-1"/>
    <n v="100"/>
  </r>
  <r>
    <n v="0"/>
    <x v="32"/>
    <m/>
    <x v="0"/>
    <x v="32"/>
    <n v="1"/>
    <n v="1"/>
    <s v="No Pams"/>
    <n v="1"/>
    <n v="1"/>
    <n v="1"/>
    <n v="-1"/>
    <n v="1"/>
    <n v="1"/>
    <n v="1"/>
    <n v="-1"/>
    <n v="100"/>
  </r>
  <r>
    <n v="1"/>
    <x v="33"/>
    <m/>
    <x v="0"/>
    <x v="33"/>
    <n v="0"/>
    <n v="0"/>
    <s v="No Pams"/>
    <n v="1"/>
    <n v="1"/>
    <n v="2"/>
    <n v="-1"/>
    <n v="-1"/>
    <n v="-1"/>
    <n v="1"/>
    <n v="-1"/>
    <n v="100"/>
  </r>
  <r>
    <n v="1"/>
    <x v="34"/>
    <m/>
    <x v="0"/>
    <x v="34"/>
    <n v="0"/>
    <n v="0"/>
    <s v="No Pams"/>
    <n v="1"/>
    <n v="1"/>
    <n v="2"/>
    <n v="-1"/>
    <n v="-1"/>
    <n v="-1"/>
    <n v="1"/>
    <n v="-1"/>
    <n v="100"/>
  </r>
  <r>
    <n v="1"/>
    <x v="35"/>
    <m/>
    <x v="0"/>
    <x v="35"/>
    <n v="0"/>
    <n v="0"/>
    <s v="No Pams"/>
    <n v="1"/>
    <n v="1"/>
    <n v="2"/>
    <n v="-1"/>
    <n v="-1"/>
    <n v="-1"/>
    <n v="1"/>
    <n v="-1"/>
    <n v="100"/>
  </r>
  <r>
    <n v="1"/>
    <x v="36"/>
    <m/>
    <x v="0"/>
    <x v="36"/>
    <n v="0"/>
    <n v="0"/>
    <s v="No Pams"/>
    <n v="1"/>
    <n v="1"/>
    <n v="2"/>
    <n v="-1"/>
    <n v="-1"/>
    <n v="-1"/>
    <n v="1"/>
    <n v="-1"/>
    <n v="100"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n v="1"/>
    <m/>
    <m/>
    <m/>
    <m/>
    <m/>
    <m/>
  </r>
  <r>
    <m/>
    <x v="37"/>
    <m/>
    <x v="1"/>
    <x v="37"/>
    <m/>
    <m/>
    <m/>
    <m/>
    <m/>
    <m/>
    <m/>
    <m/>
    <m/>
    <m/>
    <m/>
    <m/>
  </r>
  <r>
    <m/>
    <x v="37"/>
    <m/>
    <x v="1"/>
    <x v="37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4" firstHeaderRow="1" firstDataRow="1" firstDataCol="1"/>
  <pivotFields count="17">
    <pivotField showAll="0"/>
    <pivotField showAll="0"/>
    <pivotField showAll="0"/>
    <pivotField showAll="0"/>
    <pivotField axis="axisRow" showAll="0">
      <items count="328">
        <item m="1" x="253"/>
        <item m="1" x="220"/>
        <item m="1" x="210"/>
        <item x="37"/>
        <item m="1" x="219"/>
        <item m="1" x="163"/>
        <item m="1" x="239"/>
        <item m="1" x="260"/>
        <item m="1" x="213"/>
        <item m="1" x="221"/>
        <item m="1" x="214"/>
        <item m="1" x="191"/>
        <item m="1" x="138"/>
        <item m="1" x="235"/>
        <item m="1" x="136"/>
        <item m="1" x="302"/>
        <item m="1" x="182"/>
        <item m="1" x="283"/>
        <item m="1" x="296"/>
        <item m="1" x="192"/>
        <item m="1" x="185"/>
        <item m="1" x="289"/>
        <item m="1" x="246"/>
        <item m="1" x="247"/>
        <item m="1" x="285"/>
        <item m="1" x="205"/>
        <item m="1" x="278"/>
        <item m="1" x="152"/>
        <item m="1" x="173"/>
        <item m="1" x="323"/>
        <item m="1" x="255"/>
        <item m="1" x="297"/>
        <item m="1" x="224"/>
        <item m="1" x="299"/>
        <item m="1" x="310"/>
        <item m="1" x="232"/>
        <item m="1" x="257"/>
        <item m="1" x="251"/>
        <item m="1" x="294"/>
        <item m="1" x="292"/>
        <item m="1" x="178"/>
        <item m="1" x="315"/>
        <item m="1" x="249"/>
        <item m="1" x="274"/>
        <item m="1" x="291"/>
        <item m="1" x="319"/>
        <item m="1" x="326"/>
        <item m="1" x="228"/>
        <item m="1" x="212"/>
        <item m="1" x="211"/>
        <item m="1" x="262"/>
        <item m="1" x="216"/>
        <item m="1" x="271"/>
        <item m="1" x="166"/>
        <item m="1" x="234"/>
        <item m="1" x="269"/>
        <item m="1" x="293"/>
        <item m="1" x="231"/>
        <item m="1" x="222"/>
        <item m="1" x="160"/>
        <item m="1" x="301"/>
        <item m="1" x="180"/>
        <item m="1" x="200"/>
        <item m="1" x="243"/>
        <item m="1" x="254"/>
        <item m="1" x="201"/>
        <item m="1" x="150"/>
        <item m="1" x="248"/>
        <item m="1" x="259"/>
        <item m="1" x="187"/>
        <item m="1" x="282"/>
        <item m="1" x="298"/>
        <item m="1" x="236"/>
        <item m="1" x="190"/>
        <item m="1" x="202"/>
        <item m="1" x="179"/>
        <item m="1" x="264"/>
        <item m="1" x="147"/>
        <item m="1" x="273"/>
        <item m="1" x="290"/>
        <item m="1" x="311"/>
        <item m="1" x="286"/>
        <item m="1" x="304"/>
        <item m="1" x="324"/>
        <item m="1" x="203"/>
        <item m="1" x="281"/>
        <item m="1" x="321"/>
        <item m="1" x="161"/>
        <item m="1" x="175"/>
        <item m="1" x="208"/>
        <item m="1" x="250"/>
        <item m="1" x="153"/>
        <item m="1" x="158"/>
        <item m="1" x="133"/>
        <item m="1" x="144"/>
        <item m="1" x="303"/>
        <item m="1" x="215"/>
        <item m="1" x="300"/>
        <item m="1" x="176"/>
        <item m="1" x="305"/>
        <item m="1" x="268"/>
        <item m="1" x="241"/>
        <item m="1" x="189"/>
        <item m="1" x="267"/>
        <item m="1" x="137"/>
        <item m="1" x="288"/>
        <item m="1" x="218"/>
        <item m="1" x="141"/>
        <item m="1" x="266"/>
        <item m="1" x="149"/>
        <item m="1" x="170"/>
        <item m="1" x="227"/>
        <item m="1" x="193"/>
        <item m="1" x="183"/>
        <item m="1" x="174"/>
        <item m="1" x="320"/>
        <item m="1" x="325"/>
        <item m="1" x="312"/>
        <item m="1" x="318"/>
        <item m="1" x="229"/>
        <item m="1" x="162"/>
        <item m="1" x="151"/>
        <item m="1" x="245"/>
        <item m="1" x="316"/>
        <item m="1" x="209"/>
        <item m="1" x="284"/>
        <item m="1" x="277"/>
        <item m="1" x="276"/>
        <item m="1" x="156"/>
        <item m="1" x="263"/>
        <item m="1" x="195"/>
        <item m="1" x="244"/>
        <item m="1" x="168"/>
        <item m="1" x="143"/>
        <item m="1" x="306"/>
        <item m="1" x="308"/>
        <item m="1" x="207"/>
        <item m="1" x="165"/>
        <item m="1" x="186"/>
        <item m="1" x="181"/>
        <item m="1" x="177"/>
        <item m="1" x="307"/>
        <item m="1" x="148"/>
        <item m="1" x="317"/>
        <item m="1" x="223"/>
        <item m="1" x="272"/>
        <item m="1" x="196"/>
        <item m="1" x="188"/>
        <item m="1" x="197"/>
        <item m="1" x="164"/>
        <item m="1" x="322"/>
        <item m="1" x="242"/>
        <item m="1" x="237"/>
        <item m="1" x="155"/>
        <item m="1" x="287"/>
        <item m="1" x="157"/>
        <item m="1" x="256"/>
        <item m="1" x="233"/>
        <item m="1" x="225"/>
        <item m="1" x="204"/>
        <item m="1" x="184"/>
        <item m="1" x="169"/>
        <item m="1" x="145"/>
        <item m="1" x="139"/>
        <item m="1" x="313"/>
        <item m="1" x="295"/>
        <item m="1" x="154"/>
        <item m="1" x="198"/>
        <item m="1" x="167"/>
        <item m="1" x="140"/>
        <item m="1" x="314"/>
        <item m="1" x="279"/>
        <item m="1" x="261"/>
        <item m="1" x="238"/>
        <item m="1" x="172"/>
        <item m="1" x="142"/>
        <item m="1" x="135"/>
        <item m="1" x="146"/>
        <item m="1" x="159"/>
        <item m="1" x="280"/>
        <item m="1" x="240"/>
        <item m="1" x="199"/>
        <item x="2"/>
        <item m="1" x="217"/>
        <item m="1" x="194"/>
        <item m="1" x="275"/>
        <item m="1" x="171"/>
        <item m="1" x="230"/>
        <item m="1" x="258"/>
        <item m="1" x="206"/>
        <item m="1" x="270"/>
        <item m="1" x="265"/>
        <item m="1" x="134"/>
        <item m="1" x="252"/>
        <item m="1" x="226"/>
        <item m="1" x="126"/>
        <item m="1" x="309"/>
        <item m="1" x="132"/>
        <item m="1" x="128"/>
        <item m="1" x="131"/>
        <item m="1" x="127"/>
        <item m="1" x="130"/>
        <item m="1" x="129"/>
        <item m="1" x="122"/>
        <item m="1" x="112"/>
        <item m="1" x="113"/>
        <item m="1" x="114"/>
        <item m="1" x="115"/>
        <item m="1" x="116"/>
        <item m="1" x="117"/>
        <item m="1" x="118"/>
        <item m="1" x="125"/>
        <item m="1" x="119"/>
        <item m="1" x="124"/>
        <item m="1" x="123"/>
        <item m="1" x="120"/>
        <item m="1" x="121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68"/>
        <item m="1" x="69"/>
        <item m="1" x="45"/>
        <item m="1" x="46"/>
        <item m="1" x="70"/>
        <item m="1" x="48"/>
        <item m="1" x="49"/>
        <item m="1" x="50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51"/>
        <item m="1" x="94"/>
        <item m="1" x="95"/>
        <item m="1" x="90"/>
        <item m="1" x="92"/>
        <item m="1" x="93"/>
        <item m="1" x="91"/>
        <item m="1" x="89"/>
        <item m="1" x="66"/>
        <item m="1" x="67"/>
        <item m="1" x="80"/>
        <item m="1" x="86"/>
        <item m="1" x="87"/>
        <item m="1" x="88"/>
        <item x="0"/>
        <item x="1"/>
        <item m="1" x="74"/>
        <item m="1" x="75"/>
        <item m="1" x="76"/>
        <item m="1" x="77"/>
        <item m="1" x="78"/>
        <item m="1" x="79"/>
        <item m="1" x="71"/>
        <item m="1" x="72"/>
        <item m="1" x="44"/>
        <item m="1" x="82"/>
        <item m="1" x="85"/>
        <item m="1" x="84"/>
        <item m="1" x="83"/>
        <item m="1" x="81"/>
        <item m="1" x="73"/>
        <item x="3"/>
        <item m="1" x="43"/>
        <item m="1" x="47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x="31"/>
        <item x="32"/>
        <item m="1" x="42"/>
        <item m="1" x="41"/>
        <item m="1" x="40"/>
        <item m="1" x="39"/>
        <item x="35"/>
        <item x="36"/>
        <item x="33"/>
        <item m="1" x="38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8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22"/>
    </i>
    <i>
      <x v="323"/>
    </i>
    <i>
      <x v="324"/>
    </i>
    <i>
      <x v="32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7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4" firstHeaderRow="1" firstDataRow="1" firstDataCol="1"/>
  <pivotFields count="17">
    <pivotField dataField="1"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7">
        <item m="1" x="253"/>
        <item m="1" x="220"/>
        <item m="1" x="210"/>
        <item x="37"/>
        <item m="1" x="219"/>
        <item m="1" x="163"/>
        <item m="1" x="239"/>
        <item m="1" x="260"/>
        <item m="1" x="213"/>
        <item m="1" x="221"/>
        <item m="1" x="214"/>
        <item m="1" x="191"/>
        <item m="1" x="138"/>
        <item m="1" x="235"/>
        <item m="1" x="136"/>
        <item m="1" x="302"/>
        <item m="1" x="182"/>
        <item m="1" x="283"/>
        <item m="1" x="296"/>
        <item m="1" x="192"/>
        <item m="1" x="185"/>
        <item m="1" x="289"/>
        <item m="1" x="246"/>
        <item m="1" x="247"/>
        <item m="1" x="285"/>
        <item m="1" x="205"/>
        <item m="1" x="278"/>
        <item m="1" x="152"/>
        <item m="1" x="173"/>
        <item m="1" x="323"/>
        <item m="1" x="255"/>
        <item m="1" x="297"/>
        <item m="1" x="224"/>
        <item m="1" x="299"/>
        <item m="1" x="310"/>
        <item m="1" x="232"/>
        <item m="1" x="257"/>
        <item m="1" x="251"/>
        <item m="1" x="294"/>
        <item m="1" x="292"/>
        <item m="1" x="178"/>
        <item m="1" x="315"/>
        <item m="1" x="249"/>
        <item m="1" x="274"/>
        <item m="1" x="291"/>
        <item m="1" x="319"/>
        <item m="1" x="326"/>
        <item m="1" x="228"/>
        <item m="1" x="212"/>
        <item m="1" x="211"/>
        <item m="1" x="262"/>
        <item m="1" x="216"/>
        <item m="1" x="271"/>
        <item m="1" x="166"/>
        <item m="1" x="234"/>
        <item m="1" x="269"/>
        <item m="1" x="293"/>
        <item m="1" x="231"/>
        <item m="1" x="222"/>
        <item m="1" x="160"/>
        <item m="1" x="301"/>
        <item m="1" x="180"/>
        <item m="1" x="200"/>
        <item m="1" x="243"/>
        <item m="1" x="254"/>
        <item m="1" x="201"/>
        <item m="1" x="150"/>
        <item m="1" x="248"/>
        <item m="1" x="259"/>
        <item m="1" x="187"/>
        <item m="1" x="282"/>
        <item m="1" x="298"/>
        <item m="1" x="236"/>
        <item m="1" x="190"/>
        <item m="1" x="202"/>
        <item m="1" x="179"/>
        <item m="1" x="264"/>
        <item m="1" x="147"/>
        <item m="1" x="273"/>
        <item m="1" x="290"/>
        <item m="1" x="311"/>
        <item m="1" x="286"/>
        <item m="1" x="304"/>
        <item m="1" x="324"/>
        <item m="1" x="203"/>
        <item m="1" x="281"/>
        <item m="1" x="321"/>
        <item m="1" x="161"/>
        <item m="1" x="175"/>
        <item m="1" x="208"/>
        <item m="1" x="250"/>
        <item m="1" x="153"/>
        <item m="1" x="158"/>
        <item m="1" x="133"/>
        <item m="1" x="144"/>
        <item m="1" x="303"/>
        <item m="1" x="215"/>
        <item m="1" x="300"/>
        <item m="1" x="176"/>
        <item m="1" x="305"/>
        <item m="1" x="268"/>
        <item m="1" x="241"/>
        <item m="1" x="189"/>
        <item m="1" x="267"/>
        <item m="1" x="137"/>
        <item m="1" x="288"/>
        <item m="1" x="218"/>
        <item m="1" x="141"/>
        <item m="1" x="266"/>
        <item m="1" x="149"/>
        <item m="1" x="170"/>
        <item m="1" x="227"/>
        <item m="1" x="193"/>
        <item m="1" x="183"/>
        <item m="1" x="174"/>
        <item m="1" x="320"/>
        <item m="1" x="325"/>
        <item m="1" x="312"/>
        <item m="1" x="318"/>
        <item m="1" x="229"/>
        <item m="1" x="162"/>
        <item m="1" x="151"/>
        <item m="1" x="245"/>
        <item m="1" x="316"/>
        <item m="1" x="209"/>
        <item m="1" x="284"/>
        <item m="1" x="277"/>
        <item m="1" x="276"/>
        <item m="1" x="156"/>
        <item m="1" x="263"/>
        <item m="1" x="195"/>
        <item m="1" x="244"/>
        <item m="1" x="168"/>
        <item m="1" x="143"/>
        <item m="1" x="306"/>
        <item m="1" x="308"/>
        <item m="1" x="207"/>
        <item m="1" x="165"/>
        <item m="1" x="186"/>
        <item m="1" x="181"/>
        <item m="1" x="177"/>
        <item m="1" x="307"/>
        <item m="1" x="148"/>
        <item m="1" x="317"/>
        <item m="1" x="223"/>
        <item m="1" x="272"/>
        <item m="1" x="196"/>
        <item m="1" x="188"/>
        <item m="1" x="197"/>
        <item m="1" x="164"/>
        <item m="1" x="322"/>
        <item m="1" x="242"/>
        <item m="1" x="237"/>
        <item m="1" x="155"/>
        <item m="1" x="287"/>
        <item m="1" x="157"/>
        <item m="1" x="256"/>
        <item m="1" x="233"/>
        <item m="1" x="225"/>
        <item m="1" x="204"/>
        <item m="1" x="184"/>
        <item m="1" x="169"/>
        <item m="1" x="145"/>
        <item m="1" x="139"/>
        <item m="1" x="313"/>
        <item m="1" x="295"/>
        <item m="1" x="154"/>
        <item m="1" x="198"/>
        <item m="1" x="167"/>
        <item m="1" x="140"/>
        <item m="1" x="314"/>
        <item m="1" x="279"/>
        <item m="1" x="261"/>
        <item m="1" x="238"/>
        <item m="1" x="172"/>
        <item m="1" x="142"/>
        <item m="1" x="135"/>
        <item m="1" x="146"/>
        <item m="1" x="159"/>
        <item m="1" x="280"/>
        <item m="1" x="240"/>
        <item m="1" x="199"/>
        <item x="2"/>
        <item m="1" x="217"/>
        <item m="1" x="194"/>
        <item m="1" x="275"/>
        <item m="1" x="171"/>
        <item m="1" x="230"/>
        <item m="1" x="258"/>
        <item m="1" x="206"/>
        <item m="1" x="270"/>
        <item m="1" x="265"/>
        <item m="1" x="134"/>
        <item m="1" x="252"/>
        <item m="1" x="226"/>
        <item m="1" x="126"/>
        <item m="1" x="309"/>
        <item m="1" x="132"/>
        <item m="1" x="128"/>
        <item m="1" x="131"/>
        <item m="1" x="127"/>
        <item m="1" x="130"/>
        <item m="1" x="129"/>
        <item m="1" x="122"/>
        <item m="1" x="112"/>
        <item m="1" x="113"/>
        <item m="1" x="114"/>
        <item m="1" x="115"/>
        <item m="1" x="116"/>
        <item m="1" x="117"/>
        <item m="1" x="118"/>
        <item m="1" x="125"/>
        <item m="1" x="119"/>
        <item m="1" x="124"/>
        <item m="1" x="123"/>
        <item m="1" x="120"/>
        <item m="1" x="121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68"/>
        <item m="1" x="69"/>
        <item m="1" x="45"/>
        <item m="1" x="46"/>
        <item m="1" x="70"/>
        <item m="1" x="48"/>
        <item m="1" x="49"/>
        <item m="1" x="50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51"/>
        <item m="1" x="94"/>
        <item m="1" x="95"/>
        <item m="1" x="90"/>
        <item m="1" x="92"/>
        <item m="1" x="93"/>
        <item m="1" x="91"/>
        <item m="1" x="89"/>
        <item m="1" x="66"/>
        <item m="1" x="67"/>
        <item m="1" x="80"/>
        <item m="1" x="86"/>
        <item m="1" x="87"/>
        <item m="1" x="88"/>
        <item x="0"/>
        <item x="1"/>
        <item m="1" x="74"/>
        <item m="1" x="75"/>
        <item m="1" x="76"/>
        <item m="1" x="77"/>
        <item m="1" x="78"/>
        <item m="1" x="79"/>
        <item m="1" x="71"/>
        <item m="1" x="72"/>
        <item m="1" x="44"/>
        <item m="1" x="82"/>
        <item m="1" x="85"/>
        <item m="1" x="84"/>
        <item m="1" x="83"/>
        <item m="1" x="81"/>
        <item m="1" x="73"/>
        <item x="3"/>
        <item m="1" x="43"/>
        <item m="1" x="47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x="31"/>
        <item x="32"/>
        <item m="1" x="42"/>
        <item m="1" x="41"/>
        <item m="1" x="40"/>
        <item m="1" x="39"/>
        <item x="35"/>
        <item x="36"/>
        <item x="33"/>
        <item m="1" x="38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8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6"/>
    </i>
    <i>
      <x v="34"/>
      <x v="317"/>
    </i>
    <i>
      <x v="35"/>
      <x v="322"/>
    </i>
    <i>
      <x v="36"/>
      <x v="323"/>
    </i>
    <i>
      <x v="37"/>
      <x v="324"/>
    </i>
    <i>
      <x v="38"/>
      <x v="32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4" firstHeaderRow="0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7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4" firstHeaderRow="1" firstDataRow="1" firstDataCol="1"/>
  <pivotFields count="17">
    <pivotField showAll="0"/>
    <pivotField axis="axisRow" showAll="0">
      <items count="40">
        <item m="1" x="38"/>
        <item x="37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4" firstHeaderRow="1" firstDataRow="1" firstDataCol="1"/>
  <pivotFields count="17">
    <pivotField showAll="0"/>
    <pivotField axis="axisRow" showAll="0">
      <items count="40">
        <item x="37"/>
        <item m="1" x="38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1"/>
        <item x="32"/>
        <item x="35"/>
        <item x="36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45</v>
      </c>
      <c r="AG7" s="10">
        <v>2019</v>
      </c>
      <c r="AH7" s="10">
        <f>2056-Scenarios!G6</f>
        <v>2055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2">
        <v>0</v>
      </c>
      <c r="G8" s="9" t="s">
        <v>219</v>
      </c>
      <c r="H8" s="22">
        <v>1</v>
      </c>
      <c r="I8" s="9" t="s">
        <v>219</v>
      </c>
      <c r="J8" s="22">
        <v>1</v>
      </c>
      <c r="K8" s="9" t="s">
        <v>219</v>
      </c>
      <c r="L8" s="22">
        <v>1</v>
      </c>
      <c r="M8" s="9" t="s">
        <v>219</v>
      </c>
      <c r="N8" s="22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219</v>
      </c>
      <c r="AB8" s="22">
        <v>100</v>
      </c>
      <c r="AD8" s="9" t="s">
        <v>219</v>
      </c>
      <c r="AE8" s="22">
        <v>1</v>
      </c>
      <c r="AG8" s="10">
        <v>2020</v>
      </c>
      <c r="AH8" s="10" t="str">
        <f>IF(OR(AH7=2055,AH7=""),"",AH7+1)</f>
        <v/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2">
        <v>0</v>
      </c>
      <c r="G9" s="9" t="s">
        <v>220</v>
      </c>
      <c r="H9" s="22">
        <v>1</v>
      </c>
      <c r="I9" s="9" t="s">
        <v>220</v>
      </c>
      <c r="J9" s="22">
        <v>1</v>
      </c>
      <c r="K9" s="9" t="s">
        <v>220</v>
      </c>
      <c r="L9" s="22">
        <v>1</v>
      </c>
      <c r="M9" s="9" t="s">
        <v>220</v>
      </c>
      <c r="N9" s="22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220</v>
      </c>
      <c r="AB9" s="22">
        <v>100</v>
      </c>
      <c r="AD9" s="9" t="s">
        <v>220</v>
      </c>
      <c r="AE9" s="22">
        <v>1</v>
      </c>
      <c r="AG9" s="10">
        <v>2021</v>
      </c>
      <c r="AH9" s="10" t="str">
        <f t="shared" ref="AH9:AH15" si="0">IF(OR(AH8=2055,AH8=""),"",AH8+1)</f>
        <v/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2">
        <v>0</v>
      </c>
      <c r="G10" s="9" t="s">
        <v>221</v>
      </c>
      <c r="H10" s="22">
        <v>1</v>
      </c>
      <c r="I10" s="9" t="s">
        <v>221</v>
      </c>
      <c r="J10" s="22">
        <v>1</v>
      </c>
      <c r="K10" s="9" t="s">
        <v>221</v>
      </c>
      <c r="L10" s="22">
        <v>1</v>
      </c>
      <c r="M10" s="9" t="s">
        <v>221</v>
      </c>
      <c r="N10" s="22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2">
        <v>-1</v>
      </c>
      <c r="U10" s="22">
        <v>1</v>
      </c>
      <c r="V10" s="22">
        <v>1</v>
      </c>
      <c r="W10" s="22">
        <v>1</v>
      </c>
      <c r="X10" s="22">
        <v>-1</v>
      </c>
      <c r="AA10" s="9" t="s">
        <v>221</v>
      </c>
      <c r="AB10" s="22">
        <v>100</v>
      </c>
      <c r="AD10" s="9" t="s">
        <v>221</v>
      </c>
      <c r="AE10" s="22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2">
        <v>0</v>
      </c>
      <c r="G11" s="9" t="s">
        <v>225</v>
      </c>
      <c r="H11" s="22">
        <v>1</v>
      </c>
      <c r="I11" s="9" t="s">
        <v>225</v>
      </c>
      <c r="J11" s="22">
        <v>1</v>
      </c>
      <c r="K11" s="9" t="s">
        <v>225</v>
      </c>
      <c r="L11" s="22">
        <v>1</v>
      </c>
      <c r="M11" s="9" t="s">
        <v>225</v>
      </c>
      <c r="N11" s="22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2">
        <v>-1</v>
      </c>
      <c r="U11" s="22">
        <v>1</v>
      </c>
      <c r="V11" s="22">
        <v>1</v>
      </c>
      <c r="W11" s="22">
        <v>1</v>
      </c>
      <c r="X11" s="22">
        <v>-1</v>
      </c>
      <c r="AA11" s="9" t="s">
        <v>225</v>
      </c>
      <c r="AB11" s="22">
        <v>100</v>
      </c>
      <c r="AD11" s="9" t="s">
        <v>225</v>
      </c>
      <c r="AE11" s="22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2">
        <v>0</v>
      </c>
      <c r="G12" s="9" t="s">
        <v>228</v>
      </c>
      <c r="H12" s="22">
        <v>1</v>
      </c>
      <c r="I12" s="9" t="s">
        <v>228</v>
      </c>
      <c r="J12" s="22">
        <v>1</v>
      </c>
      <c r="K12" s="9" t="s">
        <v>228</v>
      </c>
      <c r="L12" s="22">
        <v>1</v>
      </c>
      <c r="M12" s="9" t="s">
        <v>228</v>
      </c>
      <c r="N12" s="22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228</v>
      </c>
      <c r="AB12" s="22">
        <v>100</v>
      </c>
      <c r="AD12" s="9" t="s">
        <v>228</v>
      </c>
      <c r="AE12" s="22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2">
        <v>0</v>
      </c>
      <c r="G13" s="9" t="s">
        <v>229</v>
      </c>
      <c r="H13" s="22">
        <v>1</v>
      </c>
      <c r="I13" s="9" t="s">
        <v>229</v>
      </c>
      <c r="J13" s="22">
        <v>1</v>
      </c>
      <c r="K13" s="9" t="s">
        <v>229</v>
      </c>
      <c r="L13" s="22">
        <v>1</v>
      </c>
      <c r="M13" s="9" t="s">
        <v>229</v>
      </c>
      <c r="N13" s="22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229</v>
      </c>
      <c r="AB13" s="22">
        <v>100</v>
      </c>
      <c r="AD13" s="9" t="s">
        <v>229</v>
      </c>
      <c r="AE13" s="22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2">
        <v>0</v>
      </c>
      <c r="G14" s="9" t="s">
        <v>230</v>
      </c>
      <c r="H14" s="22">
        <v>1</v>
      </c>
      <c r="I14" s="9" t="s">
        <v>230</v>
      </c>
      <c r="J14" s="22">
        <v>1</v>
      </c>
      <c r="K14" s="9" t="s">
        <v>230</v>
      </c>
      <c r="L14" s="22">
        <v>1</v>
      </c>
      <c r="M14" s="9" t="s">
        <v>230</v>
      </c>
      <c r="N14" s="22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230</v>
      </c>
      <c r="AB14" s="22">
        <v>100</v>
      </c>
      <c r="AD14" s="9" t="s">
        <v>230</v>
      </c>
      <c r="AE14" s="22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2">
        <v>0</v>
      </c>
      <c r="G15" s="9" t="s">
        <v>231</v>
      </c>
      <c r="H15" s="22">
        <v>1</v>
      </c>
      <c r="I15" s="9" t="s">
        <v>231</v>
      </c>
      <c r="J15" s="22">
        <v>1</v>
      </c>
      <c r="K15" s="9" t="s">
        <v>231</v>
      </c>
      <c r="L15" s="22">
        <v>1</v>
      </c>
      <c r="M15" s="9" t="s">
        <v>231</v>
      </c>
      <c r="N15" s="22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2">
        <v>-1</v>
      </c>
      <c r="U15" s="22">
        <v>1</v>
      </c>
      <c r="V15" s="22">
        <v>1</v>
      </c>
      <c r="W15" s="22">
        <v>1</v>
      </c>
      <c r="X15" s="22">
        <v>-1</v>
      </c>
      <c r="AA15" s="9" t="s">
        <v>231</v>
      </c>
      <c r="AB15" s="22">
        <v>100</v>
      </c>
      <c r="AD15" s="9" t="s">
        <v>231</v>
      </c>
      <c r="AE15" s="22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2">
        <v>0</v>
      </c>
      <c r="G16" s="9" t="s">
        <v>232</v>
      </c>
      <c r="H16" s="22">
        <v>1</v>
      </c>
      <c r="I16" s="9" t="s">
        <v>232</v>
      </c>
      <c r="J16" s="22">
        <v>1</v>
      </c>
      <c r="K16" s="9" t="s">
        <v>232</v>
      </c>
      <c r="L16" s="22">
        <v>1</v>
      </c>
      <c r="M16" s="9" t="s">
        <v>232</v>
      </c>
      <c r="N16" s="22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232</v>
      </c>
      <c r="AB16" s="22">
        <v>100</v>
      </c>
      <c r="AD16" s="9" t="s">
        <v>232</v>
      </c>
      <c r="AE16" s="22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2">
        <v>0</v>
      </c>
      <c r="G17" s="9" t="s">
        <v>233</v>
      </c>
      <c r="H17" s="22">
        <v>1</v>
      </c>
      <c r="I17" s="9" t="s">
        <v>233</v>
      </c>
      <c r="J17" s="22">
        <v>1</v>
      </c>
      <c r="K17" s="9" t="s">
        <v>233</v>
      </c>
      <c r="L17" s="22">
        <v>1</v>
      </c>
      <c r="M17" s="9" t="s">
        <v>233</v>
      </c>
      <c r="N17" s="22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2">
        <v>-1</v>
      </c>
      <c r="U17" s="22">
        <v>1</v>
      </c>
      <c r="V17" s="22">
        <v>1</v>
      </c>
      <c r="W17" s="22">
        <v>1</v>
      </c>
      <c r="X17" s="22">
        <v>-1</v>
      </c>
      <c r="AA17" s="9" t="s">
        <v>233</v>
      </c>
      <c r="AB17" s="22">
        <v>100</v>
      </c>
      <c r="AD17" s="9" t="s">
        <v>233</v>
      </c>
      <c r="AE17" s="22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2">
        <v>0</v>
      </c>
      <c r="G18" s="9" t="s">
        <v>234</v>
      </c>
      <c r="H18" s="22">
        <v>1</v>
      </c>
      <c r="I18" s="9" t="s">
        <v>234</v>
      </c>
      <c r="J18" s="22">
        <v>1</v>
      </c>
      <c r="K18" s="9" t="s">
        <v>234</v>
      </c>
      <c r="L18" s="22">
        <v>1</v>
      </c>
      <c r="M18" s="9" t="s">
        <v>234</v>
      </c>
      <c r="N18" s="22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2">
        <v>-1</v>
      </c>
      <c r="U18" s="22">
        <v>1</v>
      </c>
      <c r="V18" s="22">
        <v>1</v>
      </c>
      <c r="W18" s="22">
        <v>1</v>
      </c>
      <c r="X18" s="22">
        <v>-1</v>
      </c>
      <c r="AA18" s="9" t="s">
        <v>234</v>
      </c>
      <c r="AB18" s="22">
        <v>100</v>
      </c>
      <c r="AD18" s="9" t="s">
        <v>234</v>
      </c>
      <c r="AE18" s="22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2">
        <v>0</v>
      </c>
      <c r="G19" s="9" t="s">
        <v>235</v>
      </c>
      <c r="H19" s="22">
        <v>1</v>
      </c>
      <c r="I19" s="9" t="s">
        <v>235</v>
      </c>
      <c r="J19" s="22">
        <v>1</v>
      </c>
      <c r="K19" s="9" t="s">
        <v>235</v>
      </c>
      <c r="L19" s="22">
        <v>1</v>
      </c>
      <c r="M19" s="9" t="s">
        <v>235</v>
      </c>
      <c r="N19" s="22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2">
        <v>-1</v>
      </c>
      <c r="U19" s="22">
        <v>1</v>
      </c>
      <c r="V19" s="22">
        <v>1</v>
      </c>
      <c r="W19" s="22">
        <v>1</v>
      </c>
      <c r="X19" s="22">
        <v>-1</v>
      </c>
      <c r="AA19" s="9" t="s">
        <v>235</v>
      </c>
      <c r="AB19" s="22">
        <v>100</v>
      </c>
      <c r="AD19" s="9" t="s">
        <v>235</v>
      </c>
      <c r="AE19" s="22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2">
        <v>0</v>
      </c>
      <c r="G20" s="9" t="s">
        <v>236</v>
      </c>
      <c r="H20" s="22">
        <v>1</v>
      </c>
      <c r="I20" s="9" t="s">
        <v>236</v>
      </c>
      <c r="J20" s="22">
        <v>1</v>
      </c>
      <c r="K20" s="9" t="s">
        <v>236</v>
      </c>
      <c r="L20" s="22">
        <v>1</v>
      </c>
      <c r="M20" s="9" t="s">
        <v>236</v>
      </c>
      <c r="N20" s="22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236</v>
      </c>
      <c r="AB20" s="22">
        <v>100</v>
      </c>
      <c r="AD20" s="9" t="s">
        <v>236</v>
      </c>
      <c r="AE20" s="22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2">
        <v>0</v>
      </c>
      <c r="G21" s="9" t="s">
        <v>237</v>
      </c>
      <c r="H21" s="22">
        <v>1</v>
      </c>
      <c r="I21" s="9" t="s">
        <v>237</v>
      </c>
      <c r="J21" s="22">
        <v>1</v>
      </c>
      <c r="K21" s="9" t="s">
        <v>237</v>
      </c>
      <c r="L21" s="22">
        <v>1</v>
      </c>
      <c r="M21" s="9" t="s">
        <v>237</v>
      </c>
      <c r="N21" s="22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2">
        <v>-1</v>
      </c>
      <c r="U21" s="22">
        <v>1</v>
      </c>
      <c r="V21" s="22">
        <v>1</v>
      </c>
      <c r="W21" s="22">
        <v>1</v>
      </c>
      <c r="X21" s="22">
        <v>-1</v>
      </c>
      <c r="AA21" s="9" t="s">
        <v>237</v>
      </c>
      <c r="AB21" s="22">
        <v>100</v>
      </c>
      <c r="AD21" s="9" t="s">
        <v>237</v>
      </c>
      <c r="AE21" s="22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2">
        <v>0</v>
      </c>
      <c r="G22" s="9" t="s">
        <v>238</v>
      </c>
      <c r="H22" s="22">
        <v>1</v>
      </c>
      <c r="I22" s="9" t="s">
        <v>238</v>
      </c>
      <c r="J22" s="22">
        <v>1</v>
      </c>
      <c r="K22" s="9" t="s">
        <v>238</v>
      </c>
      <c r="L22" s="22">
        <v>1</v>
      </c>
      <c r="M22" s="9" t="s">
        <v>238</v>
      </c>
      <c r="N22" s="22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2">
        <v>-1</v>
      </c>
      <c r="U22" s="22">
        <v>1</v>
      </c>
      <c r="V22" s="22">
        <v>1</v>
      </c>
      <c r="W22" s="22">
        <v>1</v>
      </c>
      <c r="X22" s="22">
        <v>-1</v>
      </c>
      <c r="AA22" s="9" t="s">
        <v>238</v>
      </c>
      <c r="AB22" s="22">
        <v>100</v>
      </c>
      <c r="AD22" s="9" t="s">
        <v>238</v>
      </c>
      <c r="AE22" s="22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2">
        <v>0</v>
      </c>
      <c r="G23" s="9" t="s">
        <v>239</v>
      </c>
      <c r="H23" s="22">
        <v>1</v>
      </c>
      <c r="I23" s="9" t="s">
        <v>239</v>
      </c>
      <c r="J23" s="22">
        <v>1</v>
      </c>
      <c r="K23" s="9" t="s">
        <v>239</v>
      </c>
      <c r="L23" s="22">
        <v>1</v>
      </c>
      <c r="M23" s="9" t="s">
        <v>239</v>
      </c>
      <c r="N23" s="22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2">
        <v>-1</v>
      </c>
      <c r="U23" s="22">
        <v>1</v>
      </c>
      <c r="V23" s="22">
        <v>1</v>
      </c>
      <c r="W23" s="22">
        <v>1</v>
      </c>
      <c r="X23" s="22">
        <v>-1</v>
      </c>
      <c r="AA23" s="9" t="s">
        <v>239</v>
      </c>
      <c r="AB23" s="22">
        <v>100</v>
      </c>
      <c r="AD23" s="9" t="s">
        <v>239</v>
      </c>
      <c r="AE23" s="22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2">
        <v>0</v>
      </c>
      <c r="G24" s="9" t="s">
        <v>240</v>
      </c>
      <c r="H24" s="22">
        <v>1</v>
      </c>
      <c r="I24" s="9" t="s">
        <v>240</v>
      </c>
      <c r="J24" s="22">
        <v>1</v>
      </c>
      <c r="K24" s="9" t="s">
        <v>240</v>
      </c>
      <c r="L24" s="22">
        <v>1</v>
      </c>
      <c r="M24" s="9" t="s">
        <v>240</v>
      </c>
      <c r="N24" s="22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2">
        <v>-1</v>
      </c>
      <c r="U24" s="22">
        <v>1</v>
      </c>
      <c r="V24" s="22">
        <v>1</v>
      </c>
      <c r="W24" s="22">
        <v>1</v>
      </c>
      <c r="X24" s="22">
        <v>-1</v>
      </c>
      <c r="AA24" s="9" t="s">
        <v>240</v>
      </c>
      <c r="AB24" s="22">
        <v>100</v>
      </c>
      <c r="AD24" s="9" t="s">
        <v>240</v>
      </c>
      <c r="AE24" s="22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2">
        <v>0</v>
      </c>
      <c r="G25" s="9" t="s">
        <v>241</v>
      </c>
      <c r="H25" s="22">
        <v>1</v>
      </c>
      <c r="I25" s="9" t="s">
        <v>241</v>
      </c>
      <c r="J25" s="22">
        <v>1</v>
      </c>
      <c r="K25" s="9" t="s">
        <v>241</v>
      </c>
      <c r="L25" s="22">
        <v>1</v>
      </c>
      <c r="M25" s="9" t="s">
        <v>241</v>
      </c>
      <c r="N25" s="22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2">
        <v>-1</v>
      </c>
      <c r="U25" s="22">
        <v>1</v>
      </c>
      <c r="V25" s="22">
        <v>1</v>
      </c>
      <c r="W25" s="22">
        <v>1</v>
      </c>
      <c r="X25" s="22">
        <v>-1</v>
      </c>
      <c r="AA25" s="9" t="s">
        <v>241</v>
      </c>
      <c r="AB25" s="22">
        <v>100</v>
      </c>
      <c r="AD25" s="9" t="s">
        <v>241</v>
      </c>
      <c r="AE25" s="22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2">
        <v>0</v>
      </c>
      <c r="G26" s="9" t="s">
        <v>242</v>
      </c>
      <c r="H26" s="22">
        <v>1</v>
      </c>
      <c r="I26" s="9" t="s">
        <v>242</v>
      </c>
      <c r="J26" s="22">
        <v>1</v>
      </c>
      <c r="K26" s="9" t="s">
        <v>242</v>
      </c>
      <c r="L26" s="22">
        <v>1</v>
      </c>
      <c r="M26" s="9" t="s">
        <v>242</v>
      </c>
      <c r="N26" s="22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2">
        <v>-1</v>
      </c>
      <c r="U26" s="22">
        <v>1</v>
      </c>
      <c r="V26" s="22">
        <v>1</v>
      </c>
      <c r="W26" s="22">
        <v>1</v>
      </c>
      <c r="X26" s="22">
        <v>-1</v>
      </c>
      <c r="AA26" s="9" t="s">
        <v>242</v>
      </c>
      <c r="AB26" s="22">
        <v>100</v>
      </c>
      <c r="AD26" s="9" t="s">
        <v>242</v>
      </c>
      <c r="AE26" s="22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2">
        <v>0</v>
      </c>
      <c r="G27" s="9" t="s">
        <v>243</v>
      </c>
      <c r="H27" s="22">
        <v>1</v>
      </c>
      <c r="I27" s="9" t="s">
        <v>243</v>
      </c>
      <c r="J27" s="22">
        <v>1</v>
      </c>
      <c r="K27" s="9" t="s">
        <v>243</v>
      </c>
      <c r="L27" s="22">
        <v>1</v>
      </c>
      <c r="M27" s="9" t="s">
        <v>243</v>
      </c>
      <c r="N27" s="22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2">
        <v>-1</v>
      </c>
      <c r="U27" s="22">
        <v>1</v>
      </c>
      <c r="V27" s="22">
        <v>1</v>
      </c>
      <c r="W27" s="22">
        <v>1</v>
      </c>
      <c r="X27" s="22">
        <v>-1</v>
      </c>
      <c r="AA27" s="9" t="s">
        <v>243</v>
      </c>
      <c r="AB27" s="22">
        <v>100</v>
      </c>
      <c r="AD27" s="9" t="s">
        <v>243</v>
      </c>
      <c r="AE27" s="22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2">
        <v>0</v>
      </c>
      <c r="G28" s="9" t="s">
        <v>244</v>
      </c>
      <c r="H28" s="22">
        <v>1</v>
      </c>
      <c r="I28" s="9" t="s">
        <v>244</v>
      </c>
      <c r="J28" s="22">
        <v>1</v>
      </c>
      <c r="K28" s="9" t="s">
        <v>244</v>
      </c>
      <c r="L28" s="22">
        <v>1</v>
      </c>
      <c r="M28" s="9" t="s">
        <v>244</v>
      </c>
      <c r="N28" s="22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2">
        <v>-1</v>
      </c>
      <c r="U28" s="22">
        <v>1</v>
      </c>
      <c r="V28" s="22">
        <v>1</v>
      </c>
      <c r="W28" s="22">
        <v>1</v>
      </c>
      <c r="X28" s="22">
        <v>-1</v>
      </c>
      <c r="AA28" s="9" t="s">
        <v>244</v>
      </c>
      <c r="AB28" s="22">
        <v>100</v>
      </c>
      <c r="AD28" s="9" t="s">
        <v>244</v>
      </c>
      <c r="AE28" s="22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2">
        <v>0</v>
      </c>
      <c r="G29" s="9" t="s">
        <v>245</v>
      </c>
      <c r="H29" s="22">
        <v>1</v>
      </c>
      <c r="I29" s="9" t="s">
        <v>245</v>
      </c>
      <c r="J29" s="22">
        <v>1</v>
      </c>
      <c r="K29" s="9" t="s">
        <v>245</v>
      </c>
      <c r="L29" s="22">
        <v>1</v>
      </c>
      <c r="M29" s="9" t="s">
        <v>245</v>
      </c>
      <c r="N29" s="22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245</v>
      </c>
      <c r="AB29" s="22">
        <v>100</v>
      </c>
      <c r="AD29" s="9" t="s">
        <v>245</v>
      </c>
      <c r="AE29" s="22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2">
        <v>0</v>
      </c>
      <c r="G30" s="9" t="s">
        <v>246</v>
      </c>
      <c r="H30" s="22">
        <v>1</v>
      </c>
      <c r="I30" s="9" t="s">
        <v>246</v>
      </c>
      <c r="J30" s="22">
        <v>1</v>
      </c>
      <c r="K30" s="9" t="s">
        <v>246</v>
      </c>
      <c r="L30" s="22">
        <v>1</v>
      </c>
      <c r="M30" s="9" t="s">
        <v>246</v>
      </c>
      <c r="N30" s="22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246</v>
      </c>
      <c r="AB30" s="22">
        <v>100</v>
      </c>
      <c r="AD30" s="9" t="s">
        <v>246</v>
      </c>
      <c r="AE30" s="22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2">
        <v>0</v>
      </c>
      <c r="G31" s="9" t="s">
        <v>247</v>
      </c>
      <c r="H31" s="22">
        <v>1</v>
      </c>
      <c r="I31" s="9" t="s">
        <v>247</v>
      </c>
      <c r="J31" s="22">
        <v>1</v>
      </c>
      <c r="K31" s="9" t="s">
        <v>247</v>
      </c>
      <c r="L31" s="22">
        <v>1</v>
      </c>
      <c r="M31" s="9" t="s">
        <v>247</v>
      </c>
      <c r="N31" s="22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247</v>
      </c>
      <c r="AB31" s="22">
        <v>100</v>
      </c>
      <c r="AD31" s="9" t="s">
        <v>247</v>
      </c>
      <c r="AE31" s="22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2">
        <v>0</v>
      </c>
      <c r="G32" s="9" t="s">
        <v>248</v>
      </c>
      <c r="H32" s="22">
        <v>1</v>
      </c>
      <c r="I32" s="9" t="s">
        <v>248</v>
      </c>
      <c r="J32" s="22">
        <v>1</v>
      </c>
      <c r="K32" s="9" t="s">
        <v>248</v>
      </c>
      <c r="L32" s="22">
        <v>1</v>
      </c>
      <c r="M32" s="9" t="s">
        <v>248</v>
      </c>
      <c r="N32" s="22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248</v>
      </c>
      <c r="AB32" s="22">
        <v>100</v>
      </c>
      <c r="AD32" s="9" t="s">
        <v>248</v>
      </c>
      <c r="AE32" s="22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2">
        <v>0</v>
      </c>
      <c r="G33" s="9" t="s">
        <v>249</v>
      </c>
      <c r="H33" s="22">
        <v>1</v>
      </c>
      <c r="I33" s="9" t="s">
        <v>249</v>
      </c>
      <c r="J33" s="22">
        <v>1</v>
      </c>
      <c r="K33" s="9" t="s">
        <v>249</v>
      </c>
      <c r="L33" s="22">
        <v>1</v>
      </c>
      <c r="M33" s="9" t="s">
        <v>249</v>
      </c>
      <c r="N33" s="22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249</v>
      </c>
      <c r="AB33" s="22">
        <v>100</v>
      </c>
      <c r="AD33" s="9" t="s">
        <v>249</v>
      </c>
      <c r="AE33" s="22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2">
        <v>0</v>
      </c>
      <c r="G34" s="9" t="s">
        <v>251</v>
      </c>
      <c r="H34" s="22">
        <v>1</v>
      </c>
      <c r="I34" s="9" t="s">
        <v>251</v>
      </c>
      <c r="J34" s="22">
        <v>1</v>
      </c>
      <c r="K34" s="9" t="s">
        <v>251</v>
      </c>
      <c r="L34" s="22">
        <v>1</v>
      </c>
      <c r="M34" s="9" t="s">
        <v>251</v>
      </c>
      <c r="N34" s="22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251</v>
      </c>
      <c r="AB34" s="22">
        <v>100</v>
      </c>
      <c r="AD34" s="9" t="s">
        <v>251</v>
      </c>
      <c r="AE34" s="22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2">
        <v>0</v>
      </c>
      <c r="G35" s="9" t="s">
        <v>250</v>
      </c>
      <c r="H35" s="22">
        <v>1</v>
      </c>
      <c r="I35" s="9" t="s">
        <v>250</v>
      </c>
      <c r="J35" s="22">
        <v>1</v>
      </c>
      <c r="K35" s="9" t="s">
        <v>250</v>
      </c>
      <c r="L35" s="22">
        <v>1</v>
      </c>
      <c r="M35" s="9" t="s">
        <v>250</v>
      </c>
      <c r="N35" s="22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AA35" s="9" t="s">
        <v>250</v>
      </c>
      <c r="AB35" s="22">
        <v>100</v>
      </c>
      <c r="AD35" s="9" t="s">
        <v>250</v>
      </c>
      <c r="AE35" s="22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2">
        <v>0</v>
      </c>
      <c r="G36" s="9" t="s">
        <v>252</v>
      </c>
      <c r="H36" s="22">
        <v>1</v>
      </c>
      <c r="I36" s="9" t="s">
        <v>252</v>
      </c>
      <c r="J36" s="22">
        <v>1</v>
      </c>
      <c r="K36" s="9" t="s">
        <v>252</v>
      </c>
      <c r="L36" s="22">
        <v>1</v>
      </c>
      <c r="M36" s="9" t="s">
        <v>252</v>
      </c>
      <c r="N36" s="22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2">
        <v>-1</v>
      </c>
      <c r="U36" s="22">
        <v>1</v>
      </c>
      <c r="V36" s="22">
        <v>1</v>
      </c>
      <c r="W36" s="22">
        <v>1</v>
      </c>
      <c r="X36" s="22">
        <v>-1</v>
      </c>
      <c r="AA36" s="9" t="s">
        <v>252</v>
      </c>
      <c r="AB36" s="22">
        <v>100</v>
      </c>
      <c r="AD36" s="9" t="s">
        <v>252</v>
      </c>
      <c r="AE36" s="22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2">
        <v>0</v>
      </c>
      <c r="G37" s="9" t="s">
        <v>253</v>
      </c>
      <c r="H37" s="22">
        <v>1</v>
      </c>
      <c r="I37" s="9" t="s">
        <v>253</v>
      </c>
      <c r="J37" s="22">
        <v>1</v>
      </c>
      <c r="K37" s="9" t="s">
        <v>253</v>
      </c>
      <c r="L37" s="22">
        <v>1</v>
      </c>
      <c r="M37" s="9" t="s">
        <v>253</v>
      </c>
      <c r="N37" s="22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2">
        <v>-1</v>
      </c>
      <c r="U37" s="22">
        <v>1</v>
      </c>
      <c r="V37" s="22">
        <v>1</v>
      </c>
      <c r="W37" s="22">
        <v>1</v>
      </c>
      <c r="X37" s="22">
        <v>-1</v>
      </c>
      <c r="AA37" s="9" t="s">
        <v>253</v>
      </c>
      <c r="AB37" s="22">
        <v>100</v>
      </c>
      <c r="AD37" s="9" t="s">
        <v>253</v>
      </c>
      <c r="AE37" s="22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2">
        <v>0</v>
      </c>
      <c r="G38" s="9" t="s">
        <v>254</v>
      </c>
      <c r="H38" s="22">
        <v>1</v>
      </c>
      <c r="I38" s="9" t="s">
        <v>254</v>
      </c>
      <c r="J38" s="22">
        <v>1</v>
      </c>
      <c r="K38" s="9" t="s">
        <v>254</v>
      </c>
      <c r="L38" s="22">
        <v>1</v>
      </c>
      <c r="M38" s="9" t="s">
        <v>254</v>
      </c>
      <c r="N38" s="22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254</v>
      </c>
      <c r="AB38" s="22">
        <v>100</v>
      </c>
      <c r="AD38" s="9" t="s">
        <v>254</v>
      </c>
      <c r="AE38" s="22">
        <v>2</v>
      </c>
      <c r="AG38" s="10">
        <v>2050</v>
      </c>
      <c r="AI38" s="10">
        <v>2048</v>
      </c>
    </row>
    <row r="39" spans="1:39">
      <c r="A39" s="9" t="s">
        <v>255</v>
      </c>
      <c r="B39" s="9" t="s">
        <v>255</v>
      </c>
      <c r="E39" s="9" t="s">
        <v>255</v>
      </c>
      <c r="F39" s="22">
        <v>0</v>
      </c>
      <c r="G39" s="9" t="s">
        <v>255</v>
      </c>
      <c r="H39" s="22">
        <v>1</v>
      </c>
      <c r="I39" s="9" t="s">
        <v>255</v>
      </c>
      <c r="J39" s="22">
        <v>1</v>
      </c>
      <c r="K39" s="9" t="s">
        <v>255</v>
      </c>
      <c r="L39" s="22">
        <v>1</v>
      </c>
      <c r="M39" s="9" t="s">
        <v>255</v>
      </c>
      <c r="N39" s="22">
        <v>1</v>
      </c>
      <c r="O39" t="s">
        <v>255</v>
      </c>
      <c r="P39" t="s">
        <v>255</v>
      </c>
      <c r="Q39" t="s">
        <v>255</v>
      </c>
      <c r="R39" t="s">
        <v>30</v>
      </c>
      <c r="S39" s="9" t="s">
        <v>255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AA39" s="9" t="s">
        <v>255</v>
      </c>
      <c r="AB39" s="22">
        <v>100</v>
      </c>
      <c r="AD39" s="9" t="s">
        <v>255</v>
      </c>
      <c r="AE39" s="22">
        <v>2</v>
      </c>
      <c r="AG39" s="10">
        <v>2051</v>
      </c>
      <c r="AI39" s="10">
        <v>2049</v>
      </c>
    </row>
    <row r="40" spans="1:39">
      <c r="A40" s="9" t="s">
        <v>256</v>
      </c>
      <c r="B40" s="9" t="s">
        <v>256</v>
      </c>
      <c r="E40" s="9" t="s">
        <v>256</v>
      </c>
      <c r="F40" s="22">
        <v>0</v>
      </c>
      <c r="G40" s="9" t="s">
        <v>256</v>
      </c>
      <c r="H40" s="22">
        <v>1</v>
      </c>
      <c r="I40" s="9" t="s">
        <v>256</v>
      </c>
      <c r="J40" s="22">
        <v>1</v>
      </c>
      <c r="K40" s="9" t="s">
        <v>256</v>
      </c>
      <c r="L40" s="22">
        <v>1</v>
      </c>
      <c r="M40" s="9" t="s">
        <v>256</v>
      </c>
      <c r="N40" s="22">
        <v>1</v>
      </c>
      <c r="O40" t="s">
        <v>256</v>
      </c>
      <c r="P40" t="s">
        <v>256</v>
      </c>
      <c r="Q40" t="s">
        <v>256</v>
      </c>
      <c r="R40" t="s">
        <v>30</v>
      </c>
      <c r="S40" s="9" t="s">
        <v>256</v>
      </c>
      <c r="T40" s="22">
        <v>-1</v>
      </c>
      <c r="U40" s="22">
        <v>1</v>
      </c>
      <c r="V40" s="22">
        <v>1</v>
      </c>
      <c r="W40" s="22">
        <v>1</v>
      </c>
      <c r="X40" s="22">
        <v>-1</v>
      </c>
      <c r="AA40" s="9" t="s">
        <v>256</v>
      </c>
      <c r="AB40" s="22">
        <v>100</v>
      </c>
      <c r="AD40" s="9" t="s">
        <v>256</v>
      </c>
      <c r="AE40" s="22">
        <v>1</v>
      </c>
      <c r="AG40" s="10">
        <v>2052</v>
      </c>
      <c r="AI40" s="10">
        <v>2050</v>
      </c>
    </row>
    <row r="41" spans="1:39">
      <c r="A41" s="9" t="s">
        <v>257</v>
      </c>
      <c r="B41" s="9" t="s">
        <v>257</v>
      </c>
      <c r="E41" s="9" t="s">
        <v>257</v>
      </c>
      <c r="F41" s="22">
        <v>1</v>
      </c>
      <c r="G41" s="9" t="s">
        <v>257</v>
      </c>
      <c r="H41" s="22">
        <v>0</v>
      </c>
      <c r="I41" s="9" t="s">
        <v>257</v>
      </c>
      <c r="J41" s="22">
        <v>0</v>
      </c>
      <c r="K41" s="9" t="s">
        <v>257</v>
      </c>
      <c r="L41" s="22">
        <v>1</v>
      </c>
      <c r="M41" s="9" t="s">
        <v>257</v>
      </c>
      <c r="N41" s="22">
        <v>1</v>
      </c>
      <c r="O41" t="s">
        <v>257</v>
      </c>
      <c r="P41" t="s">
        <v>257</v>
      </c>
      <c r="Q41" t="s">
        <v>257</v>
      </c>
      <c r="R41" t="s">
        <v>30</v>
      </c>
      <c r="S41" s="9" t="s">
        <v>257</v>
      </c>
      <c r="T41" s="22">
        <v>-1</v>
      </c>
      <c r="U41" s="22">
        <v>-1</v>
      </c>
      <c r="V41" s="22">
        <v>-1</v>
      </c>
      <c r="W41" s="22">
        <v>1</v>
      </c>
      <c r="X41" s="22">
        <v>-1</v>
      </c>
      <c r="AA41" s="9" t="s">
        <v>257</v>
      </c>
      <c r="AB41" s="22">
        <v>100</v>
      </c>
      <c r="AD41" s="9" t="s">
        <v>257</v>
      </c>
      <c r="AE41" s="22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258</v>
      </c>
      <c r="B42" s="9" t="s">
        <v>258</v>
      </c>
      <c r="E42" s="9" t="s">
        <v>258</v>
      </c>
      <c r="F42" s="22">
        <v>1</v>
      </c>
      <c r="G42" s="9" t="s">
        <v>258</v>
      </c>
      <c r="H42" s="22">
        <v>0</v>
      </c>
      <c r="I42" s="9" t="s">
        <v>258</v>
      </c>
      <c r="J42" s="22">
        <v>0</v>
      </c>
      <c r="K42" s="9" t="s">
        <v>258</v>
      </c>
      <c r="L42" s="22">
        <v>1</v>
      </c>
      <c r="M42" s="9" t="s">
        <v>258</v>
      </c>
      <c r="N42" s="22">
        <v>1</v>
      </c>
      <c r="O42" t="s">
        <v>258</v>
      </c>
      <c r="P42" t="s">
        <v>258</v>
      </c>
      <c r="Q42" t="s">
        <v>258</v>
      </c>
      <c r="R42" t="s">
        <v>30</v>
      </c>
      <c r="S42" s="9" t="s">
        <v>258</v>
      </c>
      <c r="T42" s="22">
        <v>-1</v>
      </c>
      <c r="U42" s="22">
        <v>-1</v>
      </c>
      <c r="V42" s="22">
        <v>-1</v>
      </c>
      <c r="W42" s="22">
        <v>1</v>
      </c>
      <c r="X42" s="22">
        <v>-1</v>
      </c>
      <c r="AA42" s="9" t="s">
        <v>258</v>
      </c>
      <c r="AB42" s="22">
        <v>100</v>
      </c>
      <c r="AD42" s="9" t="s">
        <v>258</v>
      </c>
      <c r="AE42" s="22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259</v>
      </c>
      <c r="B43" s="9" t="s">
        <v>259</v>
      </c>
      <c r="E43" s="9" t="s">
        <v>259</v>
      </c>
      <c r="F43" s="22">
        <v>1</v>
      </c>
      <c r="G43" s="9" t="s">
        <v>259</v>
      </c>
      <c r="H43" s="22">
        <v>0</v>
      </c>
      <c r="I43" s="9" t="s">
        <v>259</v>
      </c>
      <c r="J43" s="22">
        <v>0</v>
      </c>
      <c r="K43" s="9" t="s">
        <v>259</v>
      </c>
      <c r="L43" s="22">
        <v>1</v>
      </c>
      <c r="M43" s="9" t="s">
        <v>259</v>
      </c>
      <c r="N43" s="22">
        <v>1</v>
      </c>
      <c r="O43" t="s">
        <v>259</v>
      </c>
      <c r="P43" t="s">
        <v>259</v>
      </c>
      <c r="Q43" t="s">
        <v>259</v>
      </c>
      <c r="R43" t="s">
        <v>30</v>
      </c>
      <c r="S43" s="9" t="s">
        <v>259</v>
      </c>
      <c r="T43" s="22">
        <v>-1</v>
      </c>
      <c r="U43" s="22">
        <v>-1</v>
      </c>
      <c r="V43" s="22">
        <v>-1</v>
      </c>
      <c r="W43" s="22">
        <v>1</v>
      </c>
      <c r="X43" s="22">
        <v>-1</v>
      </c>
      <c r="AA43" s="9" t="s">
        <v>259</v>
      </c>
      <c r="AB43" s="22">
        <v>100</v>
      </c>
      <c r="AD43" s="9" t="s">
        <v>259</v>
      </c>
      <c r="AE43" s="22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260</v>
      </c>
      <c r="B44" s="9" t="s">
        <v>260</v>
      </c>
      <c r="E44" s="9" t="s">
        <v>260</v>
      </c>
      <c r="F44" s="22">
        <v>1</v>
      </c>
      <c r="G44" s="9" t="s">
        <v>260</v>
      </c>
      <c r="H44" s="22">
        <v>0</v>
      </c>
      <c r="I44" s="9" t="s">
        <v>260</v>
      </c>
      <c r="J44" s="22">
        <v>0</v>
      </c>
      <c r="K44" s="9" t="s">
        <v>260</v>
      </c>
      <c r="L44" s="22">
        <v>1</v>
      </c>
      <c r="M44" s="9" t="s">
        <v>260</v>
      </c>
      <c r="N44" s="22">
        <v>1</v>
      </c>
      <c r="O44" t="s">
        <v>260</v>
      </c>
      <c r="P44" t="s">
        <v>260</v>
      </c>
      <c r="Q44" t="s">
        <v>260</v>
      </c>
      <c r="R44" t="s">
        <v>30</v>
      </c>
      <c r="S44" s="9" t="s">
        <v>260</v>
      </c>
      <c r="T44" s="22">
        <v>-1</v>
      </c>
      <c r="U44" s="22">
        <v>-1</v>
      </c>
      <c r="V44" s="22">
        <v>-1</v>
      </c>
      <c r="W44" s="22">
        <v>1</v>
      </c>
      <c r="X44" s="22">
        <v>-1</v>
      </c>
      <c r="AA44" s="9" t="s">
        <v>260</v>
      </c>
      <c r="AB44" s="22">
        <v>100</v>
      </c>
      <c r="AD44" s="9" t="s">
        <v>260</v>
      </c>
      <c r="AE44" s="22">
        <v>2</v>
      </c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2"/>
  <sheetViews>
    <sheetView tabSelected="1" zoomScale="90" zoomScaleNormal="90" workbookViewId="0">
      <pane xSplit="2" ySplit="9" topLeftCell="C38" activePane="bottomRight" state="frozen"/>
      <selection pane="topRight" activeCell="C1" sqref="C1"/>
      <selection pane="bottomLeft" activeCell="A8" sqref="A8"/>
      <selection pane="bottomRight" activeCell="A47" sqref="A4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4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4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4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4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54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4">
      <c r="A6" s="4">
        <f>SUM(A16:A91)</f>
        <v>4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SUM(AZ16:AZ53)</f>
        <v>0</v>
      </c>
    </row>
    <row r="7" spans="1:54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4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4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54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</row>
    <row r="11" spans="1:54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</row>
    <row r="12" spans="1:54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54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</row>
    <row r="14" spans="1:54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</row>
    <row r="15" spans="1:54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</row>
    <row r="16" spans="1:54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0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1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</row>
    <row r="22" spans="1:68">
      <c r="A22">
        <v>0</v>
      </c>
      <c r="B22" s="18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68" s="18" customFormat="1" ht="17.25" customHeight="1">
      <c r="A25">
        <v>0</v>
      </c>
      <c r="B25" s="18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68" s="18" customFormat="1" ht="17.25" customHeight="1">
      <c r="A26">
        <v>0</v>
      </c>
      <c r="B26" s="18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68" ht="17.25" customHeight="1">
      <c r="A28">
        <v>0</v>
      </c>
      <c r="B28" t="s">
        <v>239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s="18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4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44" si="19">IF(MID(B40,10,1) = "B",2,1)</f>
        <v>2</v>
      </c>
      <c r="L40">
        <v>-1</v>
      </c>
      <c r="M40">
        <f t="shared" ref="M40:M44" si="20">IF(MID(B40,14,2)="EE",1,-1)</f>
        <v>-1</v>
      </c>
      <c r="N40">
        <f t="shared" ref="N40:N44" si="21">IF(MID(B40,14,2)="EE",1,-1)</f>
        <v>-1</v>
      </c>
      <c r="O40">
        <v>1</v>
      </c>
      <c r="P40">
        <v>-1</v>
      </c>
      <c r="Q40">
        <v>100</v>
      </c>
      <c r="AZ40">
        <f t="shared" ref="AZ40:AZ44" si="22">IF(LEN(B40)&gt;=30,1,0)</f>
        <v>0</v>
      </c>
      <c r="BA40">
        <v>3</v>
      </c>
    </row>
    <row r="41" spans="1:53">
      <c r="A41">
        <v>0</v>
      </c>
      <c r="B41" t="s">
        <v>255</v>
      </c>
      <c r="D41" t="s">
        <v>30</v>
      </c>
      <c r="E41" t="str">
        <f t="shared" si="18"/>
        <v>NZ10_2099B_99NESSNXCTCLFR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2</v>
      </c>
      <c r="L41">
        <v>-1</v>
      </c>
      <c r="M41">
        <f t="shared" si="20"/>
        <v>-1</v>
      </c>
      <c r="N41">
        <f t="shared" si="21"/>
        <v>-1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t="s">
        <v>256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1</v>
      </c>
      <c r="B43" t="s">
        <v>259</v>
      </c>
      <c r="D43" t="s">
        <v>30</v>
      </c>
      <c r="E43" t="str">
        <f t="shared" si="18"/>
        <v>NZ10_2099B_99NESSNXCTCLER_IRP</v>
      </c>
      <c r="F43">
        <v>0</v>
      </c>
      <c r="G43">
        <v>0</v>
      </c>
      <c r="H43" t="s">
        <v>188</v>
      </c>
      <c r="I43">
        <v>1</v>
      </c>
      <c r="J43">
        <v>1</v>
      </c>
      <c r="K43">
        <f t="shared" si="19"/>
        <v>2</v>
      </c>
      <c r="L43">
        <v>-1</v>
      </c>
      <c r="M43">
        <f t="shared" si="20"/>
        <v>-1</v>
      </c>
      <c r="N43">
        <f t="shared" si="21"/>
        <v>-1</v>
      </c>
      <c r="O43">
        <v>1</v>
      </c>
      <c r="P43">
        <v>-1</v>
      </c>
      <c r="Q43">
        <v>100</v>
      </c>
      <c r="AZ43">
        <f t="shared" si="22"/>
        <v>0</v>
      </c>
      <c r="BA43">
        <v>6</v>
      </c>
    </row>
    <row r="44" spans="1:53">
      <c r="A44">
        <v>1</v>
      </c>
      <c r="B44" t="s">
        <v>260</v>
      </c>
      <c r="D44" t="s">
        <v>30</v>
      </c>
      <c r="E44" t="str">
        <f t="shared" si="18"/>
        <v>NZ10_2099B_99NESSNXCTCLNR_IRP</v>
      </c>
      <c r="F44">
        <v>0</v>
      </c>
      <c r="G44">
        <v>0</v>
      </c>
      <c r="H44" t="s">
        <v>188</v>
      </c>
      <c r="I44">
        <v>1</v>
      </c>
      <c r="J44">
        <v>1</v>
      </c>
      <c r="K44">
        <f t="shared" si="19"/>
        <v>2</v>
      </c>
      <c r="L44">
        <v>-1</v>
      </c>
      <c r="M44">
        <f t="shared" si="20"/>
        <v>-1</v>
      </c>
      <c r="N44">
        <f t="shared" si="21"/>
        <v>-1</v>
      </c>
      <c r="O44">
        <v>1</v>
      </c>
      <c r="P44">
        <v>-1</v>
      </c>
      <c r="Q44">
        <v>100</v>
      </c>
      <c r="AZ44">
        <f t="shared" si="22"/>
        <v>0</v>
      </c>
      <c r="BA44">
        <v>7</v>
      </c>
    </row>
    <row r="45" spans="1:53">
      <c r="A45">
        <v>1</v>
      </c>
      <c r="B45" t="s">
        <v>257</v>
      </c>
      <c r="D45" t="s">
        <v>30</v>
      </c>
      <c r="E45" t="str">
        <f t="shared" ref="E45:E46" si="23">B45</f>
        <v>NZ10_2099B_99NESSNXCTCL_HiR</v>
      </c>
      <c r="F45">
        <v>0</v>
      </c>
      <c r="G45">
        <v>0</v>
      </c>
      <c r="H45" t="s">
        <v>188</v>
      </c>
      <c r="I45">
        <v>1</v>
      </c>
      <c r="J45">
        <v>1</v>
      </c>
      <c r="K45">
        <f t="shared" ref="K45:K46" si="24">IF(MID(B45,10,1) = "B",2,1)</f>
        <v>2</v>
      </c>
      <c r="L45">
        <v>-1</v>
      </c>
      <c r="M45">
        <f t="shared" ref="M45:M46" si="25">IF(MID(B45,14,2)="EE",1,-1)</f>
        <v>-1</v>
      </c>
      <c r="N45">
        <f t="shared" ref="N45:N46" si="26">IF(MID(B45,14,2)="EE",1,-1)</f>
        <v>-1</v>
      </c>
      <c r="O45">
        <v>1</v>
      </c>
      <c r="P45">
        <v>-1</v>
      </c>
      <c r="Q45">
        <v>100</v>
      </c>
      <c r="AZ45">
        <f t="shared" ref="AZ45:AZ46" si="27">IF(LEN(B45)&gt;=30,1,0)</f>
        <v>0</v>
      </c>
      <c r="BA45">
        <v>6</v>
      </c>
    </row>
    <row r="46" spans="1:53">
      <c r="A46">
        <v>1</v>
      </c>
      <c r="B46" t="s">
        <v>258</v>
      </c>
      <c r="D46" t="s">
        <v>30</v>
      </c>
      <c r="E46" t="str">
        <f t="shared" si="23"/>
        <v>NZ10_2099B_99NESSNXCTCLNR_HiR</v>
      </c>
      <c r="F46">
        <v>0</v>
      </c>
      <c r="G46">
        <v>0</v>
      </c>
      <c r="H46" t="s">
        <v>188</v>
      </c>
      <c r="I46">
        <v>1</v>
      </c>
      <c r="J46">
        <v>1</v>
      </c>
      <c r="K46">
        <f t="shared" si="24"/>
        <v>2</v>
      </c>
      <c r="L46">
        <v>-1</v>
      </c>
      <c r="M46">
        <f t="shared" si="25"/>
        <v>-1</v>
      </c>
      <c r="N46">
        <f t="shared" si="26"/>
        <v>-1</v>
      </c>
      <c r="O46">
        <v>1</v>
      </c>
      <c r="P46">
        <v>-1</v>
      </c>
      <c r="Q46">
        <v>100</v>
      </c>
      <c r="AZ46">
        <f t="shared" si="27"/>
        <v>0</v>
      </c>
      <c r="BA46">
        <v>7</v>
      </c>
    </row>
    <row r="47" spans="1:53">
      <c r="A47" s="17"/>
      <c r="K47">
        <f t="shared" si="8"/>
        <v>1</v>
      </c>
      <c r="Q47" s="19"/>
      <c r="AZ47">
        <f t="shared" si="11"/>
        <v>0</v>
      </c>
    </row>
    <row r="48" spans="1:53">
      <c r="A48" s="17"/>
      <c r="K48">
        <f t="shared" si="8"/>
        <v>1</v>
      </c>
      <c r="M48" s="13"/>
      <c r="N48" s="13"/>
      <c r="Q48" s="19"/>
      <c r="AZ48">
        <f t="shared" si="11"/>
        <v>0</v>
      </c>
    </row>
    <row r="49" spans="1:52">
      <c r="A49" s="17"/>
      <c r="K49">
        <f t="shared" si="8"/>
        <v>1</v>
      </c>
      <c r="M49" s="13"/>
      <c r="N49" s="13"/>
      <c r="Q49" s="19"/>
      <c r="AZ49">
        <f t="shared" si="11"/>
        <v>0</v>
      </c>
    </row>
    <row r="50" spans="1:52">
      <c r="A50" s="17"/>
      <c r="K50">
        <f t="shared" si="8"/>
        <v>1</v>
      </c>
      <c r="M50" s="13"/>
      <c r="N50" s="13"/>
      <c r="Q50" s="19"/>
      <c r="AZ50">
        <f t="shared" si="11"/>
        <v>0</v>
      </c>
    </row>
    <row r="51" spans="1:52">
      <c r="A51" s="17"/>
      <c r="K51">
        <f t="shared" si="8"/>
        <v>1</v>
      </c>
      <c r="Q51" s="19"/>
      <c r="AZ51">
        <f t="shared" si="11"/>
        <v>0</v>
      </c>
    </row>
    <row r="52" spans="1:52">
      <c r="A52" s="17"/>
      <c r="K52">
        <f t="shared" si="8"/>
        <v>1</v>
      </c>
      <c r="Q52" s="19"/>
      <c r="AZ52">
        <f t="shared" si="11"/>
        <v>0</v>
      </c>
    </row>
    <row r="53" spans="1:52">
      <c r="A53" s="17"/>
      <c r="K53">
        <f t="shared" si="8"/>
        <v>1</v>
      </c>
      <c r="Q53" s="19"/>
      <c r="AZ53">
        <f t="shared" si="11"/>
        <v>0</v>
      </c>
    </row>
    <row r="54" spans="1:52">
      <c r="A54" s="17"/>
      <c r="K54">
        <f t="shared" si="8"/>
        <v>1</v>
      </c>
      <c r="Q54" s="19"/>
      <c r="AZ54">
        <f t="shared" si="11"/>
        <v>0</v>
      </c>
    </row>
    <row r="55" spans="1:52">
      <c r="A55" s="17"/>
      <c r="K55">
        <f t="shared" si="8"/>
        <v>1</v>
      </c>
      <c r="Q55" s="19"/>
      <c r="AZ55">
        <f t="shared" si="11"/>
        <v>0</v>
      </c>
    </row>
    <row r="56" spans="1:52">
      <c r="A56" s="17"/>
      <c r="K56">
        <f t="shared" si="8"/>
        <v>1</v>
      </c>
      <c r="Q56" s="19"/>
      <c r="AZ56">
        <f t="shared" si="11"/>
        <v>0</v>
      </c>
    </row>
    <row r="57" spans="1:52">
      <c r="A57" s="17"/>
      <c r="K57">
        <f t="shared" si="8"/>
        <v>1</v>
      </c>
      <c r="Q57" s="19"/>
      <c r="AZ57">
        <f t="shared" si="11"/>
        <v>0</v>
      </c>
    </row>
    <row r="58" spans="1:52">
      <c r="A58" s="17"/>
      <c r="K58">
        <f t="shared" si="8"/>
        <v>1</v>
      </c>
      <c r="M58" s="13"/>
      <c r="N58" s="13"/>
      <c r="Q58" s="19"/>
      <c r="AZ58">
        <f t="shared" si="11"/>
        <v>0</v>
      </c>
    </row>
    <row r="59" spans="1:52">
      <c r="A59" s="17"/>
      <c r="K59">
        <f t="shared" si="8"/>
        <v>1</v>
      </c>
      <c r="M59" s="13"/>
      <c r="N59" s="13"/>
      <c r="Q59" s="19"/>
      <c r="AZ59">
        <f t="shared" si="11"/>
        <v>0</v>
      </c>
    </row>
    <row r="60" spans="1:52">
      <c r="A60" s="17"/>
      <c r="K60">
        <f t="shared" si="8"/>
        <v>1</v>
      </c>
      <c r="M60" s="13"/>
      <c r="N60" s="13"/>
      <c r="Q60" s="19"/>
      <c r="AZ60">
        <f t="shared" si="11"/>
        <v>0</v>
      </c>
    </row>
    <row r="61" spans="1:52">
      <c r="A61" s="17"/>
      <c r="K61">
        <f t="shared" si="8"/>
        <v>1</v>
      </c>
      <c r="Q61" s="19"/>
      <c r="AZ61">
        <f t="shared" si="11"/>
        <v>0</v>
      </c>
    </row>
    <row r="62" spans="1:52">
      <c r="A62" s="17"/>
      <c r="K62">
        <f t="shared" si="8"/>
        <v>1</v>
      </c>
      <c r="M62" s="13"/>
      <c r="N62" s="13"/>
      <c r="Q62" s="19"/>
    </row>
    <row r="63" spans="1:52">
      <c r="A63" s="17"/>
      <c r="K63">
        <f t="shared" si="8"/>
        <v>1</v>
      </c>
      <c r="Q63" s="19"/>
    </row>
    <row r="64" spans="1:52">
      <c r="A64" s="17"/>
      <c r="K64">
        <f t="shared" si="8"/>
        <v>1</v>
      </c>
      <c r="Q64" s="19"/>
    </row>
    <row r="65" spans="1:17">
      <c r="A65" s="17"/>
      <c r="K65">
        <f t="shared" si="8"/>
        <v>1</v>
      </c>
      <c r="Q65" s="19"/>
    </row>
    <row r="66" spans="1:17">
      <c r="A66" s="17"/>
      <c r="K66">
        <f t="shared" si="8"/>
        <v>1</v>
      </c>
      <c r="M66" s="13"/>
      <c r="N66" s="13"/>
      <c r="Q66" s="19"/>
    </row>
    <row r="67" spans="1:17">
      <c r="A67" s="17"/>
      <c r="K67">
        <f t="shared" si="8"/>
        <v>1</v>
      </c>
      <c r="M67" s="13"/>
      <c r="N67" s="13"/>
      <c r="Q67" s="19"/>
    </row>
    <row r="68" spans="1:17">
      <c r="A68" s="17"/>
      <c r="K68">
        <f t="shared" si="8"/>
        <v>1</v>
      </c>
      <c r="M68" s="13"/>
      <c r="N68" s="13"/>
      <c r="Q68" s="19"/>
    </row>
    <row r="69" spans="1:17">
      <c r="A69" s="17"/>
      <c r="K69">
        <f t="shared" si="8"/>
        <v>1</v>
      </c>
      <c r="Q69" s="19"/>
    </row>
    <row r="70" spans="1:17">
      <c r="A70" s="17"/>
      <c r="K70">
        <f t="shared" si="8"/>
        <v>1</v>
      </c>
      <c r="Q70" s="19"/>
    </row>
    <row r="71" spans="1:17">
      <c r="A71" s="17"/>
      <c r="K71">
        <f t="shared" si="8"/>
        <v>1</v>
      </c>
      <c r="Q71" s="19"/>
    </row>
    <row r="72" spans="1:17">
      <c r="A72" s="17"/>
      <c r="K72">
        <f t="shared" si="8"/>
        <v>1</v>
      </c>
      <c r="Q72" s="19"/>
    </row>
    <row r="73" spans="1:17">
      <c r="A73" s="17"/>
      <c r="K73">
        <f t="shared" si="8"/>
        <v>1</v>
      </c>
      <c r="Q73" s="19"/>
    </row>
    <row r="74" spans="1:17">
      <c r="A74" s="17"/>
      <c r="K74">
        <f t="shared" si="8"/>
        <v>1</v>
      </c>
      <c r="Q74" s="19"/>
    </row>
    <row r="75" spans="1:17">
      <c r="A75" s="17"/>
      <c r="K75">
        <f t="shared" si="8"/>
        <v>1</v>
      </c>
      <c r="Q75" s="19"/>
    </row>
    <row r="76" spans="1:17">
      <c r="A76" s="17"/>
      <c r="K76">
        <f t="shared" si="8"/>
        <v>1</v>
      </c>
      <c r="M76" s="13"/>
      <c r="N76" s="13"/>
      <c r="Q76" s="19"/>
    </row>
    <row r="77" spans="1:17">
      <c r="A77" s="17"/>
      <c r="K77">
        <f t="shared" si="8"/>
        <v>1</v>
      </c>
      <c r="M77" s="13"/>
      <c r="N77" s="13"/>
      <c r="Q77" s="19"/>
    </row>
    <row r="78" spans="1:17">
      <c r="A78" s="17"/>
      <c r="K78">
        <f t="shared" si="8"/>
        <v>1</v>
      </c>
      <c r="M78" s="13"/>
      <c r="N78" s="13"/>
      <c r="Q78" s="19"/>
    </row>
    <row r="79" spans="1:17">
      <c r="A79" s="17"/>
      <c r="K79">
        <f t="shared" si="8"/>
        <v>1</v>
      </c>
      <c r="Q79" s="19"/>
    </row>
    <row r="80" spans="1:17">
      <c r="A80" s="17"/>
      <c r="K80">
        <f t="shared" si="8"/>
        <v>1</v>
      </c>
      <c r="M80" s="13"/>
      <c r="N80" s="13"/>
      <c r="Q80" s="19"/>
    </row>
    <row r="81" spans="1:17">
      <c r="A81" s="17"/>
      <c r="K81">
        <f t="shared" ref="K81:K91" si="28">IF(MID(B81,10,1) = "B",2,1)</f>
        <v>1</v>
      </c>
      <c r="Q81" s="19"/>
    </row>
    <row r="82" spans="1:17">
      <c r="A82" s="17"/>
      <c r="K82">
        <f t="shared" si="28"/>
        <v>1</v>
      </c>
      <c r="Q82" s="19"/>
    </row>
    <row r="83" spans="1:17">
      <c r="A83" s="17"/>
      <c r="K83">
        <f t="shared" si="28"/>
        <v>1</v>
      </c>
      <c r="Q83" s="19"/>
    </row>
    <row r="84" spans="1:17">
      <c r="A84" s="17"/>
      <c r="K84">
        <f t="shared" si="28"/>
        <v>1</v>
      </c>
      <c r="M84" s="13"/>
      <c r="N84" s="13"/>
      <c r="Q84" s="19"/>
    </row>
    <row r="85" spans="1:17">
      <c r="A85" s="17"/>
      <c r="K85">
        <f t="shared" si="28"/>
        <v>1</v>
      </c>
      <c r="M85" s="13"/>
      <c r="N85" s="13"/>
      <c r="Q85" s="19"/>
    </row>
    <row r="86" spans="1:17">
      <c r="A86" s="17"/>
      <c r="K86">
        <f t="shared" si="28"/>
        <v>1</v>
      </c>
      <c r="M86" s="13"/>
      <c r="N86" s="13"/>
      <c r="Q86" s="19"/>
    </row>
    <row r="87" spans="1:17">
      <c r="A87" s="17"/>
      <c r="K87">
        <f t="shared" si="28"/>
        <v>1</v>
      </c>
      <c r="Q87" s="19"/>
    </row>
    <row r="88" spans="1:17">
      <c r="A88" s="17"/>
      <c r="K88">
        <f t="shared" si="28"/>
        <v>1</v>
      </c>
      <c r="Q88" s="19"/>
    </row>
    <row r="89" spans="1:17">
      <c r="A89" s="17"/>
      <c r="K89">
        <f t="shared" si="28"/>
        <v>1</v>
      </c>
      <c r="Q89" s="19"/>
    </row>
    <row r="90" spans="1:17">
      <c r="A90" s="17"/>
      <c r="K90">
        <f t="shared" si="28"/>
        <v>1</v>
      </c>
    </row>
    <row r="91" spans="1:17">
      <c r="A91" s="17"/>
      <c r="K91">
        <f t="shared" si="28"/>
        <v>1</v>
      </c>
      <c r="M91" s="13"/>
      <c r="N91" s="13"/>
      <c r="Q91" s="19"/>
    </row>
    <row r="92" spans="1:17">
      <c r="A92" s="17"/>
    </row>
  </sheetData>
  <autoFilter ref="A9:BI91" xr:uid="{00000000-0001-0000-0E00-000000000000}"/>
  <sortState xmlns:xlrd2="http://schemas.microsoft.com/office/spreadsheetml/2017/richdata2" ref="A16:BI53">
    <sortCondition ref="B16:B53"/>
  </sortState>
  <mergeCells count="1">
    <mergeCell ref="S6:AF6"/>
  </mergeCells>
  <phoneticPr fontId="34" type="noConversion"/>
  <conditionalFormatting sqref="A93:A1048576 A1:A9">
    <cfRule type="iconSet" priority="775">
      <iconSet>
        <cfvo type="percent" val="0"/>
        <cfvo type="percent" val="33"/>
        <cfvo type="percent" val="67"/>
      </iconSet>
    </cfRule>
  </conditionalFormatting>
  <conditionalFormatting sqref="A47:A92">
    <cfRule type="iconSet" priority="946">
      <iconSet>
        <cfvo type="percent" val="0"/>
        <cfvo type="percent" val="33"/>
        <cfvo type="percent" val="67"/>
      </iconSet>
    </cfRule>
  </conditionalFormatting>
  <conditionalFormatting sqref="A47:A92">
    <cfRule type="iconSet" priority="947">
      <iconSet>
        <cfvo type="percent" val="0"/>
        <cfvo type="percent" val="33"/>
        <cfvo type="percent" val="67"/>
      </iconSet>
    </cfRule>
  </conditionalFormatting>
  <conditionalFormatting sqref="A47:A92">
    <cfRule type="iconSet" priority="949">
      <iconSet>
        <cfvo type="percent" val="0"/>
        <cfvo type="percent" val="33"/>
        <cfvo type="percent" val="67"/>
      </iconSet>
    </cfRule>
  </conditionalFormatting>
  <conditionalFormatting sqref="A47:A91">
    <cfRule type="iconSet" priority="951">
      <iconSet>
        <cfvo type="percent" val="0"/>
        <cfvo type="percent" val="33"/>
        <cfvo type="percent" val="67"/>
      </iconSet>
    </cfRule>
  </conditionalFormatting>
  <conditionalFormatting sqref="L10:P44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6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5:P4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2024-01-31T23:39:28Z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