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dels\SATIMGE_Veda\suppxls\"/>
    </mc:Choice>
  </mc:AlternateContent>
  <xr:revisionPtr revIDLastSave="0" documentId="8_{808F2EEB-01A8-4D24-B0BB-6459E60C32FC}" xr6:coauthVersionLast="47" xr6:coauthVersionMax="47" xr10:uidLastSave="{00000000-0000-0000-0000-000000000000}"/>
  <bookViews>
    <workbookView xWindow="-1350" yWindow="-18870" windowWidth="23460" windowHeight="14985" xr2:uid="{0AC21F4E-E9F6-4B4C-837E-642D3D11AAD8}"/>
  </bookViews>
  <sheets>
    <sheet name="BUDGET" sheetId="1" r:id="rId1"/>
    <sheet name="cumulative budgets for SATI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16" i="2"/>
  <c r="E16" i="2"/>
  <c r="F10" i="2"/>
  <c r="E12" i="2" s="1"/>
  <c r="E13" i="2" l="1"/>
  <c r="F12" i="2"/>
  <c r="E14" i="2" l="1"/>
  <c r="F13" i="2"/>
  <c r="E15" i="2" l="1"/>
  <c r="F15" i="2" s="1"/>
  <c r="F14" i="2"/>
</calcChain>
</file>

<file path=xl/sharedStrings.xml><?xml version="1.0" encoding="utf-8"?>
<sst xmlns="http://schemas.openxmlformats.org/spreadsheetml/2006/main" count="84" uniqueCount="16">
  <si>
    <t>~TFM_INS</t>
  </si>
  <si>
    <t>Attribute</t>
  </si>
  <si>
    <t>Commodity</t>
  </si>
  <si>
    <t>CO2EQS</t>
  </si>
  <si>
    <t>Year</t>
  </si>
  <si>
    <t>Value</t>
  </si>
  <si>
    <t>COM_CUMNET</t>
  </si>
  <si>
    <t>2021-2055</t>
  </si>
  <si>
    <t>AFOLU AND WASTE</t>
  </si>
  <si>
    <t>ENERGY AND IPPU</t>
  </si>
  <si>
    <t>Growth  /  Year</t>
  </si>
  <si>
    <t>Ref Growth</t>
  </si>
  <si>
    <t>2050CumulativeLimit</t>
  </si>
  <si>
    <t>Scenario</t>
  </si>
  <si>
    <t>NZ10_2050A_99</t>
  </si>
  <si>
    <t>CUMULATIVE 2021-2055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</si>
</sst>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2" fillId="0" borderId="0" xfId="2"/>
    <xf numFmtId="0" fontId="0" fillId="2" borderId="1" xfId="0" applyFill="1" applyBorder="1"/>
    <xf numFmtId="0" fontId="0" fillId="2" borderId="2" xfId="0" applyFill="1" applyBorder="1"/>
  </cellXfs>
  <cellStyles count="3">
    <cellStyle name="Comma" xfId="1" builtinId="3"/>
    <cellStyle name="Heading 4" xfId="2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F95E-6986-46BA-A628-7C8DB3D3D747}">
  <sheetPr>
    <tabColor theme="4"/>
  </sheetPr>
  <dimension ref="B2:E4"/>
  <sheetViews>
    <sheetView tabSelected="1" workbookViewId="0">
      <selection activeCell="E5" sqref="E5"/>
    </sheetView>
  </sheetViews>
  <sheetFormatPr defaultRowHeight="15" x14ac:dyDescent="0.25"/>
  <cols>
    <col min="2" max="2" width="20" customWidth="1"/>
    <col min="4" max="4" width="10.5703125" customWidth="1"/>
    <col min="5" max="5" width="10.5703125" bestFit="1" customWidth="1"/>
  </cols>
  <sheetData>
    <row r="2" spans="2:5" x14ac:dyDescent="0.25">
      <c r="B2" s="2" t="s">
        <v>0</v>
      </c>
      <c r="C2" s="2"/>
      <c r="D2" s="2"/>
    </row>
    <row r="3" spans="2:5" x14ac:dyDescent="0.25">
      <c r="B3" s="2" t="s">
        <v>1</v>
      </c>
      <c r="C3" s="2" t="s">
        <v>2</v>
      </c>
      <c r="D3" s="2" t="s">
        <v>4</v>
      </c>
      <c r="E3" s="2" t="s">
        <v>5</v>
      </c>
    </row>
    <row r="4" spans="2:5" x14ac:dyDescent="0.25">
      <c r="B4" t="s">
        <v>6</v>
      </c>
      <c r="C4" t="s">
        <v>3</v>
      </c>
      <c r="D4" t="s">
        <v>7</v>
      </c>
      <c r="E4" s="1">
        <f>'cumulative budgets for SATIM'!F16*1000</f>
        <v>6254519.9999999991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2492-0D96-4BCC-A5E8-CB54304225CC}">
  <dimension ref="B2:AK16"/>
  <sheetViews>
    <sheetView workbookViewId="0">
      <selection activeCell="F16" sqref="F16"/>
    </sheetView>
  </sheetViews>
  <sheetFormatPr defaultColWidth="8.85546875" defaultRowHeight="15" x14ac:dyDescent="0.25"/>
  <sheetData>
    <row r="2" spans="2:37" x14ac:dyDescent="0.25">
      <c r="B2" t="s">
        <v>8</v>
      </c>
    </row>
    <row r="3" spans="2:37" x14ac:dyDescent="0.25"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10</v>
      </c>
      <c r="AA3" t="s">
        <v>10</v>
      </c>
      <c r="AB3" t="s">
        <v>10</v>
      </c>
      <c r="AC3" t="s">
        <v>10</v>
      </c>
      <c r="AD3" t="s">
        <v>10</v>
      </c>
      <c r="AE3" t="s">
        <v>10</v>
      </c>
      <c r="AF3" t="s">
        <v>10</v>
      </c>
      <c r="AG3" t="s">
        <v>10</v>
      </c>
      <c r="AH3" t="s">
        <v>10</v>
      </c>
      <c r="AI3" t="s">
        <v>10</v>
      </c>
      <c r="AJ3" t="s">
        <v>10</v>
      </c>
      <c r="AK3" t="s">
        <v>10</v>
      </c>
    </row>
    <row r="4" spans="2:37" x14ac:dyDescent="0.25"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t="s">
        <v>11</v>
      </c>
      <c r="T4" t="s">
        <v>11</v>
      </c>
      <c r="U4" t="s">
        <v>11</v>
      </c>
      <c r="V4" t="s">
        <v>11</v>
      </c>
      <c r="W4" t="s">
        <v>11</v>
      </c>
      <c r="X4" t="s">
        <v>11</v>
      </c>
      <c r="Y4" t="s">
        <v>11</v>
      </c>
      <c r="Z4" t="s">
        <v>11</v>
      </c>
      <c r="AA4" t="s">
        <v>11</v>
      </c>
      <c r="AB4" t="s">
        <v>11</v>
      </c>
      <c r="AC4" t="s">
        <v>11</v>
      </c>
      <c r="AD4" t="s">
        <v>11</v>
      </c>
      <c r="AE4" t="s">
        <v>11</v>
      </c>
      <c r="AF4" t="s">
        <v>11</v>
      </c>
      <c r="AG4" t="s">
        <v>11</v>
      </c>
      <c r="AH4" t="s">
        <v>11</v>
      </c>
      <c r="AI4" t="s">
        <v>11</v>
      </c>
      <c r="AJ4" t="s">
        <v>11</v>
      </c>
      <c r="AK4" t="s">
        <v>11</v>
      </c>
    </row>
    <row r="5" spans="2:37" x14ac:dyDescent="0.25">
      <c r="B5" t="s">
        <v>12</v>
      </c>
      <c r="C5" t="s">
        <v>13</v>
      </c>
      <c r="D5">
        <v>2017</v>
      </c>
      <c r="E5">
        <v>2018</v>
      </c>
      <c r="F5">
        <v>2019</v>
      </c>
      <c r="G5">
        <v>2020</v>
      </c>
      <c r="H5">
        <v>2021</v>
      </c>
      <c r="I5">
        <v>2022</v>
      </c>
      <c r="J5">
        <v>2023</v>
      </c>
      <c r="K5">
        <v>2024</v>
      </c>
      <c r="L5">
        <v>2025</v>
      </c>
      <c r="M5">
        <v>2026</v>
      </c>
      <c r="N5">
        <v>2027</v>
      </c>
      <c r="O5">
        <v>2028</v>
      </c>
      <c r="P5">
        <v>2029</v>
      </c>
      <c r="Q5">
        <v>2030</v>
      </c>
      <c r="R5">
        <v>2031</v>
      </c>
      <c r="S5">
        <v>2032</v>
      </c>
      <c r="T5">
        <v>2033</v>
      </c>
      <c r="U5">
        <v>2034</v>
      </c>
      <c r="V5">
        <v>2035</v>
      </c>
      <c r="W5">
        <v>2036</v>
      </c>
      <c r="X5">
        <v>2037</v>
      </c>
      <c r="Y5">
        <v>2038</v>
      </c>
      <c r="Z5">
        <v>2039</v>
      </c>
      <c r="AA5">
        <v>2040</v>
      </c>
      <c r="AB5">
        <v>2041</v>
      </c>
      <c r="AC5">
        <v>2042</v>
      </c>
      <c r="AD5">
        <v>2043</v>
      </c>
      <c r="AE5">
        <v>2044</v>
      </c>
      <c r="AF5">
        <v>2045</v>
      </c>
      <c r="AG5">
        <v>2046</v>
      </c>
      <c r="AH5">
        <v>2047</v>
      </c>
      <c r="AI5">
        <v>2048</v>
      </c>
      <c r="AJ5">
        <v>2049</v>
      </c>
      <c r="AK5">
        <v>2050</v>
      </c>
    </row>
    <row r="6" spans="2:37" x14ac:dyDescent="0.25">
      <c r="B6" t="s">
        <v>14</v>
      </c>
      <c r="C6" t="s">
        <v>14</v>
      </c>
      <c r="D6">
        <v>52.46</v>
      </c>
      <c r="E6">
        <v>71.849999999999994</v>
      </c>
      <c r="F6">
        <v>71.63</v>
      </c>
      <c r="G6">
        <v>67.27</v>
      </c>
      <c r="H6">
        <v>67.849999999999994</v>
      </c>
      <c r="I6">
        <v>67.34</v>
      </c>
      <c r="J6">
        <v>66.23</v>
      </c>
      <c r="K6">
        <v>65.430000000000007</v>
      </c>
      <c r="L6">
        <v>64.69</v>
      </c>
      <c r="M6">
        <v>64.08</v>
      </c>
      <c r="N6">
        <v>63.56</v>
      </c>
      <c r="O6">
        <v>63.04</v>
      </c>
      <c r="P6">
        <v>62.8</v>
      </c>
      <c r="Q6">
        <v>62.73</v>
      </c>
      <c r="R6">
        <v>62.75</v>
      </c>
      <c r="S6">
        <v>62.88</v>
      </c>
      <c r="T6">
        <v>63.08</v>
      </c>
      <c r="U6">
        <v>63.42</v>
      </c>
      <c r="V6">
        <v>63.82</v>
      </c>
      <c r="W6">
        <v>64.28</v>
      </c>
      <c r="X6">
        <v>64.790000000000006</v>
      </c>
      <c r="Y6">
        <v>65.34</v>
      </c>
      <c r="Z6">
        <v>65.92</v>
      </c>
      <c r="AA6">
        <v>66.459999999999994</v>
      </c>
      <c r="AB6">
        <v>66.97</v>
      </c>
      <c r="AC6">
        <v>67.430000000000007</v>
      </c>
      <c r="AD6">
        <v>67.91</v>
      </c>
      <c r="AE6">
        <v>68.44</v>
      </c>
      <c r="AF6">
        <v>69.010000000000005</v>
      </c>
      <c r="AG6">
        <v>69.62</v>
      </c>
      <c r="AH6">
        <v>70.16</v>
      </c>
      <c r="AI6">
        <v>70.75</v>
      </c>
      <c r="AJ6">
        <v>71.44</v>
      </c>
      <c r="AK6">
        <v>72.209999999999994</v>
      </c>
    </row>
    <row r="10" spans="2:37" x14ac:dyDescent="0.25">
      <c r="C10" t="s">
        <v>15</v>
      </c>
      <c r="F10">
        <f>SUM(H6:AK6)+AK6*5</f>
        <v>2345.4800000000005</v>
      </c>
    </row>
    <row r="11" spans="2:37" x14ac:dyDescent="0.25">
      <c r="D11" s="3"/>
      <c r="E11" s="3" t="s">
        <v>8</v>
      </c>
      <c r="F11" s="3" t="s">
        <v>9</v>
      </c>
    </row>
    <row r="12" spans="2:37" x14ac:dyDescent="0.25">
      <c r="D12" s="3">
        <v>8</v>
      </c>
      <c r="E12" s="3">
        <f>F10</f>
        <v>2345.4800000000005</v>
      </c>
      <c r="F12" s="3">
        <f>D12*1000-E12</f>
        <v>5654.5199999999995</v>
      </c>
    </row>
    <row r="13" spans="2:37" x14ac:dyDescent="0.25">
      <c r="D13" s="3">
        <v>9</v>
      </c>
      <c r="E13" s="3">
        <f>E12</f>
        <v>2345.4800000000005</v>
      </c>
      <c r="F13" s="3">
        <f t="shared" ref="F13:F15" si="0">D13*1000-E13</f>
        <v>6654.5199999999995</v>
      </c>
    </row>
    <row r="14" spans="2:37" x14ac:dyDescent="0.25">
      <c r="D14" s="3">
        <v>10</v>
      </c>
      <c r="E14" s="3">
        <f>E13</f>
        <v>2345.4800000000005</v>
      </c>
      <c r="F14" s="3">
        <f t="shared" si="0"/>
        <v>7654.5199999999995</v>
      </c>
    </row>
    <row r="15" spans="2:37" x14ac:dyDescent="0.25">
      <c r="D15" s="3">
        <v>11</v>
      </c>
      <c r="E15" s="3">
        <f>E14</f>
        <v>2345.4800000000005</v>
      </c>
      <c r="F15" s="3">
        <f t="shared" si="0"/>
        <v>8654.52</v>
      </c>
    </row>
    <row r="16" spans="2:37" x14ac:dyDescent="0.25">
      <c r="D16" s="4">
        <v>8.6</v>
      </c>
      <c r="E16">
        <f>E15</f>
        <v>2345.4800000000005</v>
      </c>
      <c r="F16" s="4">
        <f>0.6*(F13-F12)+F12</f>
        <v>6254.5199999999995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cumulative budgets for SATIM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Merven</dc:creator>
  <cp:lastModifiedBy>Bruno Merven</cp:lastModifiedBy>
  <dcterms:created xsi:type="dcterms:W3CDTF">2023-09-26T12:14:46Z</dcterms:created>
  <dcterms:modified xsi:type="dcterms:W3CDTF">2023-10-25T06:51:52Z</dcterms:modified>
</cp:coreProperties>
</file>