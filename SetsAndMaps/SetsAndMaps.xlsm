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E7E3AD38-321B-4392-A708-9C00DFCC5F5E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mapCOM!$A$1:$D$545</definedName>
    <definedName name="_xlnm._FilterDatabase" localSheetId="1" hidden="1">mapPRC!$A$1:$I$1113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6" l="1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590" i="6"/>
  <c r="Z591" i="6"/>
  <c r="Z592" i="6"/>
  <c r="Z593" i="6"/>
  <c r="Z594" i="6"/>
  <c r="Z595" i="6"/>
  <c r="Z596" i="6"/>
  <c r="Z597" i="6"/>
  <c r="Z598" i="6"/>
  <c r="Z599" i="6"/>
  <c r="Z600" i="6"/>
  <c r="Z601" i="6"/>
  <c r="Z602" i="6"/>
  <c r="Z603" i="6"/>
  <c r="Z604" i="6"/>
  <c r="Z605" i="6"/>
  <c r="Z606" i="6"/>
  <c r="Z607" i="6"/>
  <c r="Z608" i="6"/>
  <c r="Z609" i="6"/>
  <c r="Z610" i="6"/>
  <c r="Z611" i="6"/>
  <c r="Z612" i="6"/>
  <c r="Z613" i="6"/>
  <c r="Z614" i="6"/>
  <c r="Z615" i="6"/>
  <c r="Z616" i="6"/>
  <c r="Z617" i="6"/>
  <c r="Z618" i="6"/>
  <c r="Z619" i="6"/>
  <c r="Z620" i="6"/>
  <c r="Z621" i="6"/>
  <c r="Z622" i="6"/>
  <c r="Z623" i="6"/>
  <c r="Z624" i="6"/>
  <c r="Z625" i="6"/>
  <c r="Z626" i="6"/>
  <c r="Z627" i="6"/>
  <c r="Z628" i="6"/>
  <c r="Z629" i="6"/>
  <c r="Z630" i="6"/>
  <c r="Z631" i="6"/>
  <c r="Z632" i="6"/>
  <c r="Z633" i="6"/>
  <c r="Z634" i="6"/>
  <c r="Z635" i="6"/>
  <c r="Z636" i="6"/>
  <c r="Z637" i="6"/>
  <c r="Z638" i="6"/>
  <c r="Z639" i="6"/>
  <c r="Z640" i="6"/>
  <c r="Z641" i="6"/>
  <c r="Z642" i="6"/>
  <c r="Z643" i="6"/>
  <c r="Z644" i="6"/>
  <c r="Z645" i="6"/>
  <c r="Z646" i="6"/>
  <c r="Z647" i="6"/>
  <c r="Z648" i="6"/>
  <c r="Z649" i="6"/>
  <c r="Z650" i="6"/>
  <c r="Z651" i="6"/>
  <c r="Z652" i="6"/>
  <c r="Z653" i="6"/>
  <c r="Z654" i="6"/>
  <c r="Z655" i="6"/>
  <c r="Z656" i="6"/>
  <c r="Z657" i="6"/>
  <c r="Z658" i="6"/>
  <c r="Z659" i="6"/>
  <c r="Z660" i="6"/>
  <c r="Z661" i="6"/>
  <c r="Z662" i="6"/>
  <c r="Z663" i="6"/>
  <c r="Z664" i="6"/>
  <c r="Z665" i="6"/>
  <c r="Z666" i="6"/>
  <c r="Z667" i="6"/>
  <c r="Z668" i="6"/>
  <c r="Z669" i="6"/>
  <c r="Z670" i="6"/>
  <c r="Z671" i="6"/>
  <c r="Z672" i="6"/>
  <c r="Z673" i="6"/>
  <c r="Z674" i="6"/>
  <c r="Z675" i="6"/>
  <c r="Z676" i="6"/>
  <c r="Z677" i="6"/>
  <c r="Z678" i="6"/>
  <c r="Z679" i="6"/>
  <c r="Z680" i="6"/>
  <c r="Z681" i="6"/>
  <c r="Z682" i="6"/>
  <c r="Z683" i="6"/>
  <c r="Z684" i="6"/>
  <c r="Z685" i="6"/>
  <c r="Z686" i="6"/>
  <c r="Z687" i="6"/>
  <c r="Z688" i="6"/>
  <c r="Z689" i="6"/>
  <c r="Z690" i="6"/>
  <c r="Z691" i="6"/>
  <c r="Z692" i="6"/>
  <c r="Z693" i="6"/>
  <c r="Z694" i="6"/>
  <c r="Z695" i="6"/>
  <c r="Z696" i="6"/>
  <c r="Z697" i="6"/>
  <c r="Z698" i="6"/>
  <c r="Z699" i="6"/>
  <c r="Z700" i="6"/>
  <c r="Z701" i="6"/>
  <c r="Z702" i="6"/>
  <c r="Z703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39" i="6"/>
  <c r="Z740" i="6"/>
  <c r="Z741" i="6"/>
  <c r="Z742" i="6"/>
  <c r="Z743" i="6"/>
  <c r="Z744" i="6"/>
  <c r="Z745" i="6"/>
  <c r="Z746" i="6"/>
  <c r="Z747" i="6"/>
  <c r="Z748" i="6"/>
  <c r="Z749" i="6"/>
  <c r="Z750" i="6"/>
  <c r="Z751" i="6"/>
  <c r="Z752" i="6"/>
  <c r="Z753" i="6"/>
  <c r="Z754" i="6"/>
  <c r="Z755" i="6"/>
  <c r="Z756" i="6"/>
  <c r="Z757" i="6"/>
  <c r="Z758" i="6"/>
  <c r="Z759" i="6"/>
  <c r="Z760" i="6"/>
  <c r="Z761" i="6"/>
  <c r="Z762" i="6"/>
  <c r="Z763" i="6"/>
  <c r="Z764" i="6"/>
  <c r="Z765" i="6"/>
  <c r="Z766" i="6"/>
  <c r="Z767" i="6"/>
  <c r="Z768" i="6"/>
  <c r="Z769" i="6"/>
  <c r="Z770" i="6"/>
  <c r="Z771" i="6"/>
  <c r="Z772" i="6"/>
  <c r="Z773" i="6"/>
  <c r="Z774" i="6"/>
  <c r="Z775" i="6"/>
  <c r="Z776" i="6"/>
  <c r="Z777" i="6"/>
  <c r="Z778" i="6"/>
  <c r="Z779" i="6"/>
  <c r="Z780" i="6"/>
  <c r="Z781" i="6"/>
  <c r="Z782" i="6"/>
  <c r="Z783" i="6"/>
  <c r="Z784" i="6"/>
  <c r="Z785" i="6"/>
  <c r="Z786" i="6"/>
  <c r="Z787" i="6"/>
  <c r="Z788" i="6"/>
  <c r="Z789" i="6"/>
  <c r="Z790" i="6"/>
  <c r="Z791" i="6"/>
  <c r="Z792" i="6"/>
  <c r="Z793" i="6"/>
  <c r="Z794" i="6"/>
  <c r="Z795" i="6"/>
  <c r="Z796" i="6"/>
  <c r="Z797" i="6"/>
  <c r="Z798" i="6"/>
  <c r="Z799" i="6"/>
  <c r="Z800" i="6"/>
  <c r="Z801" i="6"/>
  <c r="Z802" i="6"/>
  <c r="Z803" i="6"/>
  <c r="Z804" i="6"/>
  <c r="Z805" i="6"/>
  <c r="Z806" i="6"/>
  <c r="Z807" i="6"/>
  <c r="Z808" i="6"/>
  <c r="Z809" i="6"/>
  <c r="Z810" i="6"/>
  <c r="Z811" i="6"/>
  <c r="Z812" i="6"/>
  <c r="Z813" i="6"/>
  <c r="Z814" i="6"/>
  <c r="Z815" i="6"/>
  <c r="Z816" i="6"/>
  <c r="Z817" i="6"/>
  <c r="Z818" i="6"/>
  <c r="Z819" i="6"/>
  <c r="Z820" i="6"/>
  <c r="Z821" i="6"/>
  <c r="Z822" i="6"/>
  <c r="Z823" i="6"/>
  <c r="Z824" i="6"/>
  <c r="Z825" i="6"/>
  <c r="Z826" i="6"/>
  <c r="Z827" i="6"/>
  <c r="Z828" i="6"/>
  <c r="Z829" i="6"/>
  <c r="Z830" i="6"/>
  <c r="Z831" i="6"/>
  <c r="Z832" i="6"/>
  <c r="Z833" i="6"/>
  <c r="Z834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3" i="6"/>
  <c r="Z864" i="6"/>
  <c r="Z865" i="6"/>
  <c r="Z866" i="6"/>
  <c r="Z867" i="6"/>
  <c r="Z868" i="6"/>
  <c r="Z869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7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3" i="6"/>
  <c r="Y664" i="6"/>
  <c r="Y665" i="6"/>
  <c r="Y666" i="6"/>
  <c r="Y667" i="6"/>
  <c r="Y668" i="6"/>
  <c r="Y669" i="6"/>
  <c r="Y670" i="6"/>
  <c r="Y671" i="6"/>
  <c r="Y672" i="6"/>
  <c r="Y673" i="6"/>
  <c r="Y674" i="6"/>
  <c r="Y675" i="6"/>
  <c r="Y676" i="6"/>
  <c r="Y677" i="6"/>
  <c r="Y678" i="6"/>
  <c r="Y679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86" i="6"/>
  <c r="Y987" i="6"/>
  <c r="Y988" i="6"/>
  <c r="Y989" i="6"/>
  <c r="Y990" i="6"/>
  <c r="Y991" i="6"/>
  <c r="Y992" i="6"/>
  <c r="Y993" i="6"/>
  <c r="Y994" i="6"/>
  <c r="Y995" i="6"/>
  <c r="Y996" i="6"/>
  <c r="Y997" i="6"/>
  <c r="Y998" i="6"/>
  <c r="Y999" i="6"/>
  <c r="Y1000" i="6"/>
  <c r="Y1001" i="6"/>
  <c r="Y1002" i="6"/>
  <c r="Y1003" i="6"/>
  <c r="Y1004" i="6"/>
  <c r="Y1005" i="6"/>
  <c r="Y1006" i="6"/>
  <c r="Y1007" i="6"/>
  <c r="Y1008" i="6"/>
  <c r="I415" i="2"/>
  <c r="H415" i="2"/>
  <c r="G415" i="2"/>
  <c r="F415" i="2"/>
  <c r="Z8" i="6"/>
  <c r="Y8" i="6"/>
  <c r="F405" i="2"/>
  <c r="G405" i="2"/>
  <c r="H405" i="2"/>
  <c r="I405" i="2"/>
  <c r="C691" i="9"/>
  <c r="F403" i="2"/>
  <c r="G403" i="2"/>
  <c r="H403" i="2"/>
  <c r="I403" i="2"/>
  <c r="F404" i="2"/>
  <c r="G404" i="2"/>
  <c r="H404" i="2"/>
  <c r="I404" i="2"/>
  <c r="F406" i="2"/>
  <c r="G406" i="2"/>
  <c r="H406" i="2"/>
  <c r="I406" i="2"/>
  <c r="F407" i="2"/>
  <c r="G407" i="2"/>
  <c r="H407" i="2"/>
  <c r="I407" i="2"/>
  <c r="F408" i="2"/>
  <c r="G408" i="2"/>
  <c r="H408" i="2"/>
  <c r="I408" i="2"/>
  <c r="F409" i="2"/>
  <c r="G409" i="2"/>
  <c r="H409" i="2"/>
  <c r="I409" i="2"/>
  <c r="F410" i="2"/>
  <c r="G410" i="2"/>
  <c r="H410" i="2"/>
  <c r="I410" i="2"/>
  <c r="F411" i="2"/>
  <c r="G411" i="2"/>
  <c r="H411" i="2"/>
  <c r="I411" i="2"/>
  <c r="F412" i="2"/>
  <c r="G412" i="2"/>
  <c r="H412" i="2"/>
  <c r="I412" i="2"/>
  <c r="F413" i="2"/>
  <c r="G413" i="2"/>
  <c r="H413" i="2"/>
  <c r="I413" i="2"/>
  <c r="F414" i="2"/>
  <c r="G414" i="2"/>
  <c r="H414" i="2"/>
  <c r="I414" i="2"/>
  <c r="F416" i="2"/>
  <c r="G416" i="2"/>
  <c r="H416" i="2"/>
  <c r="I416" i="2"/>
  <c r="F417" i="2"/>
  <c r="G417" i="2"/>
  <c r="H417" i="2"/>
  <c r="I417" i="2"/>
  <c r="F440" i="2"/>
  <c r="I883" i="2" l="1"/>
  <c r="H883" i="2"/>
  <c r="G883" i="2"/>
  <c r="F883" i="2"/>
  <c r="AC285" i="6"/>
  <c r="AC283" i="6"/>
  <c r="I936" i="2"/>
  <c r="H936" i="2"/>
  <c r="G936" i="2"/>
  <c r="F936" i="2"/>
  <c r="I629" i="2"/>
  <c r="G629" i="2"/>
  <c r="F629" i="2"/>
  <c r="I567" i="2"/>
  <c r="H567" i="2"/>
  <c r="G567" i="2"/>
  <c r="F567" i="2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J90" i="10" s="1"/>
  <c r="A91" i="10"/>
  <c r="A92" i="10"/>
  <c r="A93" i="10"/>
  <c r="A94" i="10"/>
  <c r="A95" i="10"/>
  <c r="A96" i="10"/>
  <c r="A97" i="10"/>
  <c r="A98" i="10"/>
  <c r="A99" i="10"/>
  <c r="A100" i="10"/>
  <c r="A101" i="10"/>
  <c r="A102" i="10"/>
  <c r="J102" i="10" s="1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J114" i="10" s="1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J138" i="10" s="1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J150" i="10" s="1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J125" i="10" l="1"/>
  <c r="J126" i="10" s="1"/>
  <c r="J127" i="10" s="1"/>
  <c r="J128" i="10" s="1"/>
  <c r="J129" i="10" s="1"/>
  <c r="J130" i="10" s="1"/>
  <c r="J136" i="10"/>
  <c r="J169" i="10"/>
  <c r="J157" i="10"/>
  <c r="J145" i="10"/>
  <c r="J133" i="10"/>
  <c r="J121" i="10"/>
  <c r="J109" i="10"/>
  <c r="J97" i="10"/>
  <c r="J98" i="10" s="1"/>
  <c r="J99" i="10" s="1"/>
  <c r="J100" i="10" s="1"/>
  <c r="J85" i="10"/>
  <c r="H168" i="10"/>
  <c r="J168" i="10"/>
  <c r="H108" i="10"/>
  <c r="J108" i="10"/>
  <c r="H84" i="10"/>
  <c r="J84" i="10"/>
  <c r="J101" i="10"/>
  <c r="J124" i="10"/>
  <c r="H144" i="10"/>
  <c r="J144" i="10"/>
  <c r="J167" i="10"/>
  <c r="J155" i="10"/>
  <c r="J143" i="10"/>
  <c r="J131" i="10"/>
  <c r="J119" i="10"/>
  <c r="J107" i="10"/>
  <c r="J95" i="10"/>
  <c r="H89" i="10"/>
  <c r="J89" i="10"/>
  <c r="J88" i="10"/>
  <c r="H96" i="10"/>
  <c r="J96" i="10"/>
  <c r="J166" i="10"/>
  <c r="J142" i="10"/>
  <c r="J118" i="10"/>
  <c r="J106" i="10"/>
  <c r="J94" i="10"/>
  <c r="H156" i="10"/>
  <c r="J156" i="10"/>
  <c r="J141" i="10"/>
  <c r="J105" i="10"/>
  <c r="J93" i="10"/>
  <c r="J113" i="10"/>
  <c r="H132" i="10"/>
  <c r="J132" i="10"/>
  <c r="J154" i="10"/>
  <c r="J165" i="10"/>
  <c r="J117" i="10"/>
  <c r="J164" i="10"/>
  <c r="J152" i="10"/>
  <c r="J140" i="10"/>
  <c r="J116" i="10"/>
  <c r="J104" i="10"/>
  <c r="J92" i="10"/>
  <c r="J137" i="10"/>
  <c r="J120" i="10"/>
  <c r="J153" i="10"/>
  <c r="J151" i="10"/>
  <c r="J139" i="10"/>
  <c r="J115" i="10"/>
  <c r="J103" i="10"/>
  <c r="J91" i="10"/>
  <c r="J148" i="10"/>
  <c r="J159" i="10"/>
  <c r="J160" i="10" s="1"/>
  <c r="J161" i="10" s="1"/>
  <c r="J162" i="10" s="1"/>
  <c r="J163" i="10" s="1"/>
  <c r="J147" i="10"/>
  <c r="J135" i="10"/>
  <c r="J123" i="10"/>
  <c r="J111" i="10"/>
  <c r="J112" i="10" s="1"/>
  <c r="H87" i="10"/>
  <c r="J87" i="10"/>
  <c r="J149" i="10"/>
  <c r="J170" i="10"/>
  <c r="J158" i="10"/>
  <c r="J146" i="10"/>
  <c r="J134" i="10"/>
  <c r="J122" i="10"/>
  <c r="J110" i="10"/>
  <c r="J86" i="10"/>
  <c r="H95" i="10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I311" i="2" l="1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C33" i="1" l="1"/>
  <c r="C17" i="1"/>
  <c r="C333" i="3"/>
  <c r="C334" i="3"/>
  <c r="C335" i="3"/>
  <c r="C336" i="3"/>
  <c r="C337" i="3"/>
  <c r="C338" i="3"/>
  <c r="C339" i="3"/>
  <c r="C340" i="3"/>
  <c r="C341" i="3"/>
  <c r="C332" i="3"/>
  <c r="K66" i="7" l="1"/>
  <c r="K61" i="7"/>
  <c r="K56" i="7"/>
  <c r="K51" i="7"/>
  <c r="K46" i="7"/>
  <c r="K41" i="7"/>
  <c r="AC237" i="6"/>
  <c r="AC484" i="6"/>
  <c r="AC478" i="6"/>
  <c r="AC218" i="6"/>
  <c r="AC209" i="6"/>
  <c r="I1060" i="2"/>
  <c r="H1060" i="2"/>
  <c r="G1060" i="2"/>
  <c r="F1060" i="2"/>
  <c r="I1055" i="2"/>
  <c r="H1055" i="2"/>
  <c r="G1055" i="2"/>
  <c r="F1055" i="2"/>
  <c r="I982" i="2"/>
  <c r="H982" i="2"/>
  <c r="G982" i="2"/>
  <c r="F982" i="2"/>
  <c r="I976" i="2"/>
  <c r="H976" i="2"/>
  <c r="G976" i="2"/>
  <c r="F976" i="2"/>
  <c r="I974" i="2"/>
  <c r="H974" i="2"/>
  <c r="G974" i="2"/>
  <c r="F974" i="2"/>
  <c r="I968" i="2"/>
  <c r="H968" i="2"/>
  <c r="G968" i="2"/>
  <c r="F968" i="2"/>
  <c r="I801" i="2"/>
  <c r="G801" i="2"/>
  <c r="F801" i="2"/>
  <c r="I796" i="2"/>
  <c r="G796" i="2"/>
  <c r="F796" i="2"/>
  <c r="I791" i="2"/>
  <c r="G791" i="2"/>
  <c r="F791" i="2"/>
  <c r="I786" i="2"/>
  <c r="G786" i="2"/>
  <c r="F786" i="2"/>
  <c r="I781" i="2"/>
  <c r="G781" i="2"/>
  <c r="F781" i="2"/>
  <c r="I776" i="2"/>
  <c r="G776" i="2"/>
  <c r="F776" i="2"/>
  <c r="AC230" i="6" l="1"/>
  <c r="I246" i="2" l="1"/>
  <c r="G246" i="2"/>
  <c r="F246" i="2"/>
  <c r="I247" i="2"/>
  <c r="G247" i="2"/>
  <c r="F247" i="2"/>
  <c r="I722" i="2"/>
  <c r="G722" i="2"/>
  <c r="F722" i="2"/>
  <c r="I684" i="2"/>
  <c r="G684" i="2"/>
  <c r="F684" i="2"/>
  <c r="I917" i="2"/>
  <c r="G917" i="2"/>
  <c r="F917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4" i="2"/>
  <c r="G344" i="2"/>
  <c r="F344" i="2"/>
  <c r="I343" i="2" l="1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AC302" i="6"/>
  <c r="I889" i="2"/>
  <c r="H889" i="2"/>
  <c r="G889" i="2"/>
  <c r="F889" i="2"/>
  <c r="AX55" i="6"/>
  <c r="J38" i="4" l="1"/>
  <c r="I636" i="2"/>
  <c r="G636" i="2"/>
  <c r="F636" i="2"/>
  <c r="I637" i="2"/>
  <c r="G637" i="2"/>
  <c r="F637" i="2"/>
  <c r="I347" i="2"/>
  <c r="H347" i="2"/>
  <c r="G347" i="2"/>
  <c r="F347" i="2"/>
  <c r="I345" i="2"/>
  <c r="H345" i="2"/>
  <c r="G345" i="2"/>
  <c r="F345" i="2"/>
  <c r="I899" i="2"/>
  <c r="H899" i="2"/>
  <c r="G899" i="2"/>
  <c r="F899" i="2"/>
  <c r="F533" i="2"/>
  <c r="G533" i="2"/>
  <c r="H533" i="2"/>
  <c r="I533" i="2"/>
  <c r="F1007" i="2"/>
  <c r="G1007" i="2"/>
  <c r="H1007" i="2"/>
  <c r="I1007" i="2"/>
  <c r="H637" i="2" l="1"/>
  <c r="H629" i="2"/>
  <c r="H636" i="2"/>
  <c r="I921" i="2"/>
  <c r="H921" i="2"/>
  <c r="G921" i="2"/>
  <c r="F921" i="2"/>
  <c r="I920" i="2"/>
  <c r="H920" i="2"/>
  <c r="G920" i="2"/>
  <c r="F920" i="2"/>
  <c r="I443" i="2"/>
  <c r="H443" i="2"/>
  <c r="G443" i="2"/>
  <c r="F443" i="2"/>
  <c r="I895" i="2"/>
  <c r="H895" i="2"/>
  <c r="G895" i="2"/>
  <c r="F895" i="2"/>
  <c r="AC129" i="6"/>
  <c r="AC130" i="6"/>
  <c r="AC131" i="6"/>
  <c r="I346" i="2" l="1"/>
  <c r="H346" i="2"/>
  <c r="G346" i="2"/>
  <c r="F346" i="2"/>
  <c r="AC260" i="6" l="1"/>
  <c r="AC261" i="6"/>
  <c r="AC262" i="6"/>
  <c r="AC167" i="6"/>
  <c r="AC72" i="6"/>
  <c r="AC73" i="6"/>
  <c r="AC74" i="6"/>
  <c r="F990" i="2" l="1"/>
  <c r="G990" i="2"/>
  <c r="H990" i="2"/>
  <c r="I990" i="2"/>
  <c r="F991" i="2"/>
  <c r="G991" i="2"/>
  <c r="H991" i="2"/>
  <c r="I991" i="2"/>
  <c r="F992" i="2"/>
  <c r="G992" i="2"/>
  <c r="H992" i="2"/>
  <c r="I992" i="2"/>
  <c r="G549" i="2"/>
  <c r="AC312" i="6" l="1"/>
  <c r="I520" i="2"/>
  <c r="H520" i="2"/>
  <c r="G520" i="2"/>
  <c r="F520" i="2"/>
  <c r="I647" i="2" l="1"/>
  <c r="G647" i="2"/>
  <c r="F647" i="2"/>
  <c r="I884" i="2" l="1"/>
  <c r="H884" i="2"/>
  <c r="G884" i="2"/>
  <c r="F884" i="2"/>
  <c r="I890" i="2"/>
  <c r="H890" i="2"/>
  <c r="G890" i="2"/>
  <c r="F890" i="2"/>
  <c r="I995" i="2" l="1"/>
  <c r="H995" i="2"/>
  <c r="G995" i="2"/>
  <c r="F995" i="2"/>
  <c r="I519" i="2" l="1"/>
  <c r="H519" i="2"/>
  <c r="G519" i="2"/>
  <c r="F519" i="2"/>
  <c r="I587" i="2" l="1"/>
  <c r="H587" i="2"/>
  <c r="G587" i="2"/>
  <c r="F587" i="2"/>
  <c r="I1005" i="2"/>
  <c r="H1005" i="2"/>
  <c r="G1005" i="2"/>
  <c r="F1005" i="2"/>
  <c r="I997" i="2"/>
  <c r="H997" i="2"/>
  <c r="G997" i="2"/>
  <c r="F997" i="2"/>
  <c r="I514" i="2"/>
  <c r="G514" i="2"/>
  <c r="F514" i="2"/>
  <c r="I513" i="2"/>
  <c r="G513" i="2"/>
  <c r="F513" i="2"/>
  <c r="I393" i="2"/>
  <c r="G393" i="2"/>
  <c r="F393" i="2"/>
  <c r="I392" i="2"/>
  <c r="G392" i="2"/>
  <c r="F392" i="2"/>
  <c r="I432" i="2"/>
  <c r="G432" i="2"/>
  <c r="F432" i="2"/>
  <c r="I431" i="2"/>
  <c r="G431" i="2"/>
  <c r="F431" i="2"/>
  <c r="I364" i="2"/>
  <c r="G364" i="2"/>
  <c r="F364" i="2"/>
  <c r="I363" i="2"/>
  <c r="G363" i="2"/>
  <c r="F363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5" i="6"/>
  <c r="AC236" i="6"/>
  <c r="AC238" i="6"/>
  <c r="AC239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4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7" i="6"/>
  <c r="Z978" i="6"/>
  <c r="Z979" i="6"/>
  <c r="Z980" i="6"/>
  <c r="Z981" i="6"/>
  <c r="Z982" i="6"/>
  <c r="Z983" i="6"/>
  <c r="Z984" i="6"/>
  <c r="Z985" i="6"/>
  <c r="Z874" i="6"/>
  <c r="Z876" i="6"/>
  <c r="Z877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2" i="6"/>
  <c r="Z913" i="6"/>
  <c r="Z914" i="6"/>
  <c r="Z915" i="6"/>
  <c r="Z916" i="6"/>
  <c r="Z917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37" i="2"/>
  <c r="H937" i="2"/>
  <c r="G937" i="2"/>
  <c r="F937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2" i="2"/>
  <c r="H882" i="2"/>
  <c r="G882" i="2"/>
  <c r="F882" i="2"/>
  <c r="I400" i="2"/>
  <c r="G400" i="2"/>
  <c r="F400" i="2"/>
  <c r="I399" i="2"/>
  <c r="G399" i="2"/>
  <c r="F399" i="2"/>
  <c r="I398" i="2"/>
  <c r="G398" i="2"/>
  <c r="F398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3" i="2"/>
  <c r="H1063" i="2"/>
  <c r="G1063" i="2"/>
  <c r="F1063" i="2"/>
  <c r="I1046" i="2"/>
  <c r="H1046" i="2"/>
  <c r="G1046" i="2"/>
  <c r="F1046" i="2"/>
  <c r="I1018" i="2"/>
  <c r="H1018" i="2"/>
  <c r="G1018" i="2"/>
  <c r="F1018" i="2"/>
  <c r="I973" i="2"/>
  <c r="H973" i="2"/>
  <c r="G973" i="2"/>
  <c r="F973" i="2"/>
  <c r="I965" i="2"/>
  <c r="H965" i="2"/>
  <c r="G965" i="2"/>
  <c r="F965" i="2"/>
  <c r="I900" i="2"/>
  <c r="H900" i="2"/>
  <c r="G900" i="2"/>
  <c r="F900" i="2"/>
  <c r="I897" i="2"/>
  <c r="H897" i="2"/>
  <c r="G897" i="2"/>
  <c r="F897" i="2"/>
  <c r="I898" i="2"/>
  <c r="H898" i="2"/>
  <c r="G898" i="2"/>
  <c r="F898" i="2"/>
  <c r="I556" i="2"/>
  <c r="G556" i="2"/>
  <c r="F556" i="2"/>
  <c r="I510" i="2"/>
  <c r="G510" i="2"/>
  <c r="F510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28" i="2"/>
  <c r="G428" i="2"/>
  <c r="F428" i="2"/>
  <c r="I378" i="2"/>
  <c r="G378" i="2"/>
  <c r="F378" i="2"/>
  <c r="I377" i="2"/>
  <c r="G377" i="2"/>
  <c r="F377" i="2"/>
  <c r="I376" i="2"/>
  <c r="G376" i="2"/>
  <c r="F376" i="2"/>
  <c r="I374" i="2"/>
  <c r="H374" i="2"/>
  <c r="G374" i="2"/>
  <c r="F374" i="2"/>
  <c r="I373" i="2"/>
  <c r="G373" i="2"/>
  <c r="F373" i="2"/>
  <c r="I371" i="2"/>
  <c r="G371" i="2"/>
  <c r="F371" i="2"/>
  <c r="I351" i="2"/>
  <c r="G351" i="2"/>
  <c r="F351" i="2"/>
  <c r="I352" i="2"/>
  <c r="G352" i="2"/>
  <c r="F352" i="2"/>
  <c r="I350" i="2"/>
  <c r="G350" i="2"/>
  <c r="F350" i="2"/>
  <c r="I323" i="2" l="1"/>
  <c r="H323" i="2"/>
  <c r="G323" i="2"/>
  <c r="F323" i="2"/>
  <c r="J18" i="4"/>
  <c r="H316" i="2" s="1"/>
  <c r="F316" i="2"/>
  <c r="G316" i="2"/>
  <c r="I316" i="2"/>
  <c r="J16" i="4"/>
  <c r="H312" i="2" s="1"/>
  <c r="C15" i="4"/>
  <c r="F312" i="2"/>
  <c r="G312" i="2"/>
  <c r="I312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29" i="2"/>
  <c r="H1029" i="2"/>
  <c r="G1029" i="2"/>
  <c r="F1029" i="2"/>
  <c r="I1028" i="2"/>
  <c r="H1028" i="2"/>
  <c r="G1028" i="2"/>
  <c r="F1028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22" i="2" l="1"/>
  <c r="F234" i="2"/>
  <c r="F233" i="2"/>
  <c r="F232" i="2"/>
  <c r="F231" i="2"/>
  <c r="F230" i="2"/>
  <c r="F229" i="2"/>
  <c r="F228" i="2"/>
  <c r="F227" i="2"/>
  <c r="F225" i="2"/>
  <c r="C38" i="1" l="1"/>
  <c r="E86" i="2" l="1"/>
  <c r="C21" i="1" l="1"/>
  <c r="C20" i="1"/>
  <c r="C19" i="1"/>
  <c r="E50" i="2"/>
  <c r="E49" i="2"/>
  <c r="E52" i="2"/>
  <c r="E53" i="2"/>
  <c r="E54" i="2"/>
  <c r="E55" i="2"/>
  <c r="E60" i="2"/>
  <c r="E59" i="2"/>
  <c r="E62" i="2"/>
  <c r="E61" i="2"/>
  <c r="E48" i="2"/>
  <c r="E51" i="2"/>
  <c r="E56" i="2"/>
  <c r="E57" i="2"/>
  <c r="E58" i="2"/>
  <c r="E63" i="2"/>
  <c r="E64" i="2"/>
  <c r="E65" i="2"/>
  <c r="E66" i="2"/>
  <c r="E97" i="2" l="1"/>
  <c r="E98" i="2"/>
  <c r="E101" i="2" l="1"/>
  <c r="E100" i="2"/>
  <c r="E99" i="2"/>
  <c r="E96" i="2"/>
  <c r="E95" i="2"/>
  <c r="E94" i="2"/>
  <c r="E93" i="2"/>
  <c r="E92" i="2"/>
  <c r="E91" i="2"/>
  <c r="E68" i="2"/>
  <c r="E69" i="2"/>
  <c r="E70" i="2"/>
  <c r="E71" i="2"/>
  <c r="E72" i="2"/>
  <c r="E73" i="2"/>
  <c r="E74" i="2"/>
  <c r="E75" i="2"/>
  <c r="E76" i="2"/>
  <c r="E77" i="2"/>
  <c r="E78" i="2"/>
  <c r="E79" i="2"/>
  <c r="E67" i="2"/>
  <c r="E103" i="2" l="1"/>
  <c r="E104" i="2"/>
  <c r="E105" i="2"/>
  <c r="E106" i="2"/>
  <c r="E81" i="2" l="1"/>
  <c r="E82" i="2"/>
  <c r="E83" i="2"/>
  <c r="E84" i="2"/>
  <c r="E85" i="2"/>
  <c r="E87" i="2"/>
  <c r="E88" i="2"/>
  <c r="E89" i="2"/>
  <c r="E90" i="2"/>
  <c r="E102" i="2"/>
  <c r="E80" i="2" l="1"/>
  <c r="I1110" i="2" l="1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2" i="2"/>
  <c r="H1062" i="2"/>
  <c r="G1062" i="2"/>
  <c r="F1062" i="2"/>
  <c r="I1061" i="2"/>
  <c r="H1061" i="2"/>
  <c r="G1061" i="2"/>
  <c r="F1061" i="2"/>
  <c r="I1059" i="2"/>
  <c r="G1059" i="2"/>
  <c r="F1059" i="2"/>
  <c r="G1058" i="2"/>
  <c r="F1058" i="2"/>
  <c r="I1057" i="2"/>
  <c r="G1057" i="2"/>
  <c r="F1057" i="2"/>
  <c r="I1056" i="2"/>
  <c r="H1056" i="2"/>
  <c r="G1056" i="2"/>
  <c r="F1056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6" i="2"/>
  <c r="H1006" i="2"/>
  <c r="G1006" i="2"/>
  <c r="F1006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G999" i="2"/>
  <c r="F999" i="2"/>
  <c r="I998" i="2"/>
  <c r="H998" i="2"/>
  <c r="G998" i="2"/>
  <c r="F998" i="2"/>
  <c r="I996" i="2"/>
  <c r="H996" i="2"/>
  <c r="G996" i="2"/>
  <c r="F996" i="2"/>
  <c r="I994" i="2"/>
  <c r="H994" i="2"/>
  <c r="G994" i="2"/>
  <c r="F994" i="2"/>
  <c r="I993" i="2"/>
  <c r="G993" i="2"/>
  <c r="F993" i="2"/>
  <c r="I989" i="2"/>
  <c r="H989" i="2"/>
  <c r="G989" i="2"/>
  <c r="F989" i="2"/>
  <c r="I988" i="2"/>
  <c r="H988" i="2"/>
  <c r="G988" i="2"/>
  <c r="F988" i="2"/>
  <c r="I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G983" i="2"/>
  <c r="F983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5" i="2"/>
  <c r="H975" i="2"/>
  <c r="G975" i="2"/>
  <c r="F975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7" i="2"/>
  <c r="H967" i="2"/>
  <c r="G967" i="2"/>
  <c r="F967" i="2"/>
  <c r="I966" i="2"/>
  <c r="H966" i="2"/>
  <c r="G966" i="2"/>
  <c r="F966" i="2"/>
  <c r="I964" i="2"/>
  <c r="H964" i="2"/>
  <c r="G964" i="2"/>
  <c r="F964" i="2"/>
  <c r="I963" i="2"/>
  <c r="H963" i="2"/>
  <c r="G963" i="2"/>
  <c r="F963" i="2"/>
  <c r="I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G950" i="2"/>
  <c r="F950" i="2"/>
  <c r="I949" i="2"/>
  <c r="H949" i="2"/>
  <c r="G949" i="2"/>
  <c r="F949" i="2"/>
  <c r="I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8" i="2"/>
  <c r="H938" i="2"/>
  <c r="G938" i="2"/>
  <c r="F938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19" i="2"/>
  <c r="G919" i="2"/>
  <c r="F919" i="2"/>
  <c r="I918" i="2"/>
  <c r="G918" i="2"/>
  <c r="F918" i="2"/>
  <c r="I916" i="2"/>
  <c r="G916" i="2"/>
  <c r="F916" i="2"/>
  <c r="I915" i="2"/>
  <c r="G915" i="2"/>
  <c r="F915" i="2"/>
  <c r="I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G891" i="2"/>
  <c r="F891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H755" i="2"/>
  <c r="G755" i="2"/>
  <c r="F755" i="2"/>
  <c r="I754" i="2"/>
  <c r="H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34" i="2"/>
  <c r="G634" i="2"/>
  <c r="F634" i="2"/>
  <c r="I638" i="2"/>
  <c r="G638" i="2"/>
  <c r="F638" i="2"/>
  <c r="I635" i="2"/>
  <c r="H635" i="2"/>
  <c r="G635" i="2"/>
  <c r="F635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2" i="2"/>
  <c r="G512" i="2"/>
  <c r="F512" i="2"/>
  <c r="I511" i="2"/>
  <c r="G511" i="2"/>
  <c r="F511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2" i="2"/>
  <c r="G442" i="2"/>
  <c r="F442" i="2"/>
  <c r="I441" i="2"/>
  <c r="G441" i="2"/>
  <c r="F441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0" i="2"/>
  <c r="G430" i="2"/>
  <c r="F430" i="2"/>
  <c r="I429" i="2"/>
  <c r="G429" i="2"/>
  <c r="F429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02" i="2"/>
  <c r="G402" i="2"/>
  <c r="F402" i="2"/>
  <c r="I401" i="2"/>
  <c r="G401" i="2"/>
  <c r="F401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5" i="2"/>
  <c r="G375" i="2"/>
  <c r="F375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49" i="2"/>
  <c r="G349" i="2"/>
  <c r="F349" i="2"/>
  <c r="I348" i="2"/>
  <c r="G348" i="2"/>
  <c r="F348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5" i="2"/>
  <c r="G315" i="2"/>
  <c r="F315" i="2"/>
  <c r="I314" i="2"/>
  <c r="G314" i="2"/>
  <c r="F314" i="2"/>
  <c r="I313" i="2"/>
  <c r="G313" i="2"/>
  <c r="F313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26" i="2"/>
  <c r="G226" i="2"/>
  <c r="F226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G205" i="2"/>
  <c r="F205" i="2"/>
  <c r="I204" i="2"/>
  <c r="G204" i="2"/>
  <c r="F204" i="2"/>
  <c r="I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19" i="2" s="1"/>
  <c r="J58" i="4"/>
  <c r="J57" i="4"/>
  <c r="H917" i="2" s="1"/>
  <c r="J56" i="4"/>
  <c r="H914" i="2" s="1"/>
  <c r="J55" i="4"/>
  <c r="H915" i="2" s="1"/>
  <c r="J54" i="4"/>
  <c r="J49" i="4"/>
  <c r="J48" i="4"/>
  <c r="J47" i="4"/>
  <c r="J46" i="4"/>
  <c r="J45" i="4"/>
  <c r="J44" i="4"/>
  <c r="J43" i="4"/>
  <c r="J42" i="4"/>
  <c r="J41" i="4"/>
  <c r="H722" i="2" s="1"/>
  <c r="J40" i="4"/>
  <c r="H684" i="2" s="1"/>
  <c r="J39" i="4"/>
  <c r="H647" i="2" s="1"/>
  <c r="H614" i="2"/>
  <c r="H556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791" i="2" l="1"/>
  <c r="H776" i="2"/>
  <c r="H796" i="2"/>
  <c r="H781" i="2"/>
  <c r="H801" i="2"/>
  <c r="H786" i="2"/>
  <c r="H304" i="2"/>
  <c r="H309" i="2"/>
  <c r="H306" i="2"/>
  <c r="H303" i="2"/>
  <c r="H300" i="2"/>
  <c r="H297" i="2"/>
  <c r="H298" i="2"/>
  <c r="H302" i="2"/>
  <c r="H296" i="2"/>
  <c r="H310" i="2"/>
  <c r="H311" i="2"/>
  <c r="H308" i="2"/>
  <c r="H305" i="2"/>
  <c r="H299" i="2"/>
  <c r="H307" i="2"/>
  <c r="H301" i="2"/>
  <c r="H344" i="2"/>
  <c r="H343" i="2"/>
  <c r="H340" i="2"/>
  <c r="H337" i="2"/>
  <c r="H334" i="2"/>
  <c r="H331" i="2"/>
  <c r="H342" i="2"/>
  <c r="H339" i="2"/>
  <c r="H336" i="2"/>
  <c r="H333" i="2"/>
  <c r="H330" i="2"/>
  <c r="H341" i="2"/>
  <c r="H338" i="2"/>
  <c r="H335" i="2"/>
  <c r="H332" i="2"/>
  <c r="H246" i="2"/>
  <c r="H247" i="2"/>
  <c r="H220" i="2"/>
  <c r="H217" i="2"/>
  <c r="H219" i="2"/>
  <c r="H218" i="2"/>
  <c r="H1059" i="2"/>
  <c r="H910" i="2"/>
  <c r="H911" i="2"/>
  <c r="H375" i="2"/>
  <c r="H398" i="2"/>
  <c r="H376" i="2"/>
  <c r="H400" i="2"/>
  <c r="H378" i="2"/>
  <c r="H399" i="2"/>
  <c r="H377" i="2"/>
  <c r="H348" i="2"/>
  <c r="H350" i="2"/>
  <c r="H351" i="2"/>
  <c r="H393" i="2"/>
  <c r="H392" i="2"/>
  <c r="H492" i="2"/>
  <c r="H489" i="2"/>
  <c r="H491" i="2"/>
  <c r="H493" i="2"/>
  <c r="H490" i="2"/>
  <c r="H514" i="2"/>
  <c r="H513" i="2"/>
  <c r="H510" i="2"/>
  <c r="H431" i="2"/>
  <c r="H432" i="2"/>
  <c r="H428" i="2"/>
  <c r="H364" i="2"/>
  <c r="H363" i="2"/>
  <c r="H371" i="2"/>
  <c r="H373" i="2"/>
  <c r="H352" i="2"/>
  <c r="H329" i="2"/>
  <c r="H328" i="2"/>
  <c r="H395" i="2"/>
  <c r="H390" i="2"/>
  <c r="H387" i="2"/>
  <c r="H384" i="2"/>
  <c r="H381" i="2"/>
  <c r="H397" i="2"/>
  <c r="H394" i="2"/>
  <c r="H389" i="2"/>
  <c r="H386" i="2"/>
  <c r="H383" i="2"/>
  <c r="H380" i="2"/>
  <c r="H396" i="2"/>
  <c r="H391" i="2"/>
  <c r="H388" i="2"/>
  <c r="H385" i="2"/>
  <c r="H382" i="2"/>
  <c r="H749" i="2"/>
  <c r="H746" i="2"/>
  <c r="H743" i="2"/>
  <c r="H740" i="2"/>
  <c r="H737" i="2"/>
  <c r="H734" i="2"/>
  <c r="H731" i="2"/>
  <c r="H728" i="2"/>
  <c r="H725" i="2"/>
  <c r="H721" i="2"/>
  <c r="H718" i="2"/>
  <c r="H715" i="2"/>
  <c r="H712" i="2"/>
  <c r="H709" i="2"/>
  <c r="H750" i="2"/>
  <c r="H747" i="2"/>
  <c r="H744" i="2"/>
  <c r="H741" i="2"/>
  <c r="H738" i="2"/>
  <c r="H735" i="2"/>
  <c r="H732" i="2"/>
  <c r="H729" i="2"/>
  <c r="H726" i="2"/>
  <c r="H723" i="2"/>
  <c r="H719" i="2"/>
  <c r="H716" i="2"/>
  <c r="H713" i="2"/>
  <c r="H710" i="2"/>
  <c r="H739" i="2"/>
  <c r="H720" i="2"/>
  <c r="H742" i="2"/>
  <c r="H724" i="2"/>
  <c r="H745" i="2"/>
  <c r="H727" i="2"/>
  <c r="H748" i="2"/>
  <c r="H730" i="2"/>
  <c r="H711" i="2"/>
  <c r="H751" i="2"/>
  <c r="H733" i="2"/>
  <c r="H714" i="2"/>
  <c r="H736" i="2"/>
  <c r="H717" i="2"/>
  <c r="H248" i="2"/>
  <c r="H243" i="2"/>
  <c r="H240" i="2"/>
  <c r="H237" i="2"/>
  <c r="H250" i="2"/>
  <c r="H245" i="2"/>
  <c r="H242" i="2"/>
  <c r="H239" i="2"/>
  <c r="H236" i="2"/>
  <c r="H249" i="2"/>
  <c r="H238" i="2"/>
  <c r="H241" i="2"/>
  <c r="H244" i="2"/>
  <c r="H402" i="2"/>
  <c r="H401" i="2"/>
  <c r="H758" i="2"/>
  <c r="H752" i="2"/>
  <c r="H759" i="2"/>
  <c r="H756" i="2"/>
  <c r="H753" i="2"/>
  <c r="H757" i="2"/>
  <c r="H916" i="2"/>
  <c r="H918" i="2"/>
  <c r="H919" i="2"/>
  <c r="H260" i="2"/>
  <c r="H257" i="2"/>
  <c r="H254" i="2"/>
  <c r="H251" i="2"/>
  <c r="H259" i="2"/>
  <c r="H256" i="2"/>
  <c r="H253" i="2"/>
  <c r="H258" i="2"/>
  <c r="H255" i="2"/>
  <c r="H252" i="2"/>
  <c r="H434" i="2"/>
  <c r="H429" i="2"/>
  <c r="H425" i="2"/>
  <c r="H422" i="2"/>
  <c r="H419" i="2"/>
  <c r="H436" i="2"/>
  <c r="H433" i="2"/>
  <c r="H427" i="2"/>
  <c r="H424" i="2"/>
  <c r="H421" i="2"/>
  <c r="H418" i="2"/>
  <c r="H435" i="2"/>
  <c r="H430" i="2"/>
  <c r="H426" i="2"/>
  <c r="H423" i="2"/>
  <c r="H420" i="2"/>
  <c r="H812" i="2"/>
  <c r="H809" i="2"/>
  <c r="H806" i="2"/>
  <c r="H803" i="2"/>
  <c r="H799" i="2"/>
  <c r="H795" i="2"/>
  <c r="H792" i="2"/>
  <c r="H788" i="2"/>
  <c r="H784" i="2"/>
  <c r="H780" i="2"/>
  <c r="H777" i="2"/>
  <c r="H773" i="2"/>
  <c r="H770" i="2"/>
  <c r="H767" i="2"/>
  <c r="H764" i="2"/>
  <c r="H761" i="2"/>
  <c r="H813" i="2"/>
  <c r="H810" i="2"/>
  <c r="H807" i="2"/>
  <c r="H804" i="2"/>
  <c r="H800" i="2"/>
  <c r="H797" i="2"/>
  <c r="H793" i="2"/>
  <c r="H789" i="2"/>
  <c r="H785" i="2"/>
  <c r="H782" i="2"/>
  <c r="H778" i="2"/>
  <c r="H774" i="2"/>
  <c r="H771" i="2"/>
  <c r="H768" i="2"/>
  <c r="H765" i="2"/>
  <c r="H762" i="2"/>
  <c r="H798" i="2"/>
  <c r="H775" i="2"/>
  <c r="H802" i="2"/>
  <c r="H779" i="2"/>
  <c r="H760" i="2"/>
  <c r="H805" i="2"/>
  <c r="H783" i="2"/>
  <c r="H763" i="2"/>
  <c r="H808" i="2"/>
  <c r="H787" i="2"/>
  <c r="H766" i="2"/>
  <c r="H811" i="2"/>
  <c r="H790" i="2"/>
  <c r="H769" i="2"/>
  <c r="H794" i="2"/>
  <c r="H772" i="2"/>
  <c r="H1057" i="2"/>
  <c r="H1034" i="2"/>
  <c r="H999" i="2"/>
  <c r="H955" i="2"/>
  <c r="H946" i="2"/>
  <c r="H993" i="2"/>
  <c r="H987" i="2"/>
  <c r="H1041" i="2"/>
  <c r="H983" i="2"/>
  <c r="H962" i="2"/>
  <c r="H950" i="2"/>
  <c r="H930" i="2"/>
  <c r="H939" i="2"/>
  <c r="H948" i="2"/>
  <c r="H327" i="2"/>
  <c r="H326" i="2"/>
  <c r="H644" i="2"/>
  <c r="H641" i="2"/>
  <c r="H631" i="2"/>
  <c r="H630" i="2"/>
  <c r="H634" i="2"/>
  <c r="H633" i="2"/>
  <c r="H643" i="2"/>
  <c r="H646" i="2"/>
  <c r="H638" i="2"/>
  <c r="H632" i="2"/>
  <c r="H642" i="2"/>
  <c r="H645" i="2"/>
  <c r="H669" i="2"/>
  <c r="H666" i="2"/>
  <c r="H663" i="2"/>
  <c r="H660" i="2"/>
  <c r="H657" i="2"/>
  <c r="H654" i="2"/>
  <c r="H651" i="2"/>
  <c r="H665" i="2"/>
  <c r="H652" i="2"/>
  <c r="H668" i="2"/>
  <c r="H655" i="2"/>
  <c r="H671" i="2"/>
  <c r="H658" i="2"/>
  <c r="H661" i="2"/>
  <c r="H664" i="2"/>
  <c r="H667" i="2"/>
  <c r="H670" i="2"/>
  <c r="H653" i="2"/>
  <c r="H656" i="2"/>
  <c r="H659" i="2"/>
  <c r="H662" i="2"/>
  <c r="H117" i="2"/>
  <c r="H114" i="2"/>
  <c r="H111" i="2"/>
  <c r="H108" i="2"/>
  <c r="H118" i="2"/>
  <c r="H119" i="2"/>
  <c r="H116" i="2"/>
  <c r="H113" i="2"/>
  <c r="H110" i="2"/>
  <c r="H107" i="2"/>
  <c r="H115" i="2"/>
  <c r="H109" i="2"/>
  <c r="H112" i="2"/>
  <c r="H272" i="2"/>
  <c r="H269" i="2"/>
  <c r="H266" i="2"/>
  <c r="H263" i="2"/>
  <c r="H271" i="2"/>
  <c r="H268" i="2"/>
  <c r="H265" i="2"/>
  <c r="H273" i="2"/>
  <c r="H270" i="2"/>
  <c r="H267" i="2"/>
  <c r="H264" i="2"/>
  <c r="H469" i="2"/>
  <c r="H466" i="2"/>
  <c r="H463" i="2"/>
  <c r="H460" i="2"/>
  <c r="H457" i="2"/>
  <c r="H468" i="2"/>
  <c r="H465" i="2"/>
  <c r="H462" i="2"/>
  <c r="H459" i="2"/>
  <c r="H456" i="2"/>
  <c r="H467" i="2"/>
  <c r="H464" i="2"/>
  <c r="H461" i="2"/>
  <c r="H458" i="2"/>
  <c r="H455" i="2"/>
  <c r="H824" i="2"/>
  <c r="H821" i="2"/>
  <c r="H818" i="2"/>
  <c r="H825" i="2"/>
  <c r="H822" i="2"/>
  <c r="H819" i="2"/>
  <c r="H816" i="2"/>
  <c r="H817" i="2"/>
  <c r="H820" i="2"/>
  <c r="H823" i="2"/>
  <c r="H881" i="2"/>
  <c r="H878" i="2"/>
  <c r="H879" i="2"/>
  <c r="H877" i="2"/>
  <c r="H880" i="2"/>
  <c r="H891" i="2"/>
  <c r="H896" i="2"/>
  <c r="H905" i="2"/>
  <c r="H451" i="2"/>
  <c r="H448" i="2"/>
  <c r="H445" i="2"/>
  <c r="H441" i="2"/>
  <c r="H437" i="2"/>
  <c r="H450" i="2"/>
  <c r="H447" i="2"/>
  <c r="H444" i="2"/>
  <c r="H439" i="2"/>
  <c r="H449" i="2"/>
  <c r="H446" i="2"/>
  <c r="H442" i="2"/>
  <c r="H438" i="2"/>
  <c r="H906" i="2"/>
  <c r="H815" i="2"/>
  <c r="H814" i="2"/>
  <c r="H162" i="2"/>
  <c r="H159" i="2"/>
  <c r="H156" i="2"/>
  <c r="H153" i="2"/>
  <c r="H150" i="2"/>
  <c r="H147" i="2"/>
  <c r="H144" i="2"/>
  <c r="H141" i="2"/>
  <c r="H138" i="2"/>
  <c r="H135" i="2"/>
  <c r="H132" i="2"/>
  <c r="H129" i="2"/>
  <c r="H126" i="2"/>
  <c r="H123" i="2"/>
  <c r="H120" i="2"/>
  <c r="H127" i="2"/>
  <c r="H161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57" i="2"/>
  <c r="H148" i="2"/>
  <c r="H133" i="2"/>
  <c r="H145" i="2"/>
  <c r="H130" i="2"/>
  <c r="H154" i="2"/>
  <c r="H139" i="2"/>
  <c r="H124" i="2"/>
  <c r="H160" i="2"/>
  <c r="H151" i="2"/>
  <c r="H136" i="2"/>
  <c r="H121" i="2"/>
  <c r="H142" i="2"/>
  <c r="H290" i="2"/>
  <c r="H287" i="2"/>
  <c r="H284" i="2"/>
  <c r="H281" i="2"/>
  <c r="H278" i="2"/>
  <c r="H275" i="2"/>
  <c r="H289" i="2"/>
  <c r="H286" i="2"/>
  <c r="H283" i="2"/>
  <c r="H280" i="2"/>
  <c r="H277" i="2"/>
  <c r="H274" i="2"/>
  <c r="H295" i="2"/>
  <c r="H291" i="2"/>
  <c r="H288" i="2"/>
  <c r="H285" i="2"/>
  <c r="H282" i="2"/>
  <c r="H279" i="2"/>
  <c r="H276" i="2"/>
  <c r="H294" i="2"/>
  <c r="H851" i="2"/>
  <c r="H848" i="2"/>
  <c r="H845" i="2"/>
  <c r="H842" i="2"/>
  <c r="H839" i="2"/>
  <c r="H836" i="2"/>
  <c r="H833" i="2"/>
  <c r="H830" i="2"/>
  <c r="H827" i="2"/>
  <c r="H849" i="2"/>
  <c r="H846" i="2"/>
  <c r="H843" i="2"/>
  <c r="H840" i="2"/>
  <c r="H837" i="2"/>
  <c r="H834" i="2"/>
  <c r="H831" i="2"/>
  <c r="H828" i="2"/>
  <c r="H835" i="2"/>
  <c r="H838" i="2"/>
  <c r="H841" i="2"/>
  <c r="H844" i="2"/>
  <c r="H826" i="2"/>
  <c r="H847" i="2"/>
  <c r="H829" i="2"/>
  <c r="H850" i="2"/>
  <c r="H832" i="2"/>
  <c r="H555" i="2"/>
  <c r="H552" i="2"/>
  <c r="H549" i="2"/>
  <c r="H546" i="2"/>
  <c r="H543" i="2"/>
  <c r="H540" i="2"/>
  <c r="H537" i="2"/>
  <c r="H534" i="2"/>
  <c r="H530" i="2"/>
  <c r="H527" i="2"/>
  <c r="H524" i="2"/>
  <c r="H521" i="2"/>
  <c r="H554" i="2"/>
  <c r="H551" i="2"/>
  <c r="H548" i="2"/>
  <c r="H545" i="2"/>
  <c r="H542" i="2"/>
  <c r="H539" i="2"/>
  <c r="H536" i="2"/>
  <c r="H532" i="2"/>
  <c r="H529" i="2"/>
  <c r="H526" i="2"/>
  <c r="H523" i="2"/>
  <c r="H553" i="2"/>
  <c r="H550" i="2"/>
  <c r="H547" i="2"/>
  <c r="H544" i="2"/>
  <c r="H541" i="2"/>
  <c r="H538" i="2"/>
  <c r="H535" i="2"/>
  <c r="H531" i="2"/>
  <c r="H528" i="2"/>
  <c r="H525" i="2"/>
  <c r="H522" i="2"/>
  <c r="H204" i="2"/>
  <c r="H201" i="2"/>
  <c r="H198" i="2"/>
  <c r="H195" i="2"/>
  <c r="H192" i="2"/>
  <c r="H189" i="2"/>
  <c r="H186" i="2"/>
  <c r="H183" i="2"/>
  <c r="H180" i="2"/>
  <c r="H177" i="2"/>
  <c r="H174" i="2"/>
  <c r="H171" i="2"/>
  <c r="H168" i="2"/>
  <c r="H165" i="2"/>
  <c r="H203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87" i="2"/>
  <c r="H172" i="2"/>
  <c r="H205" i="2"/>
  <c r="H193" i="2"/>
  <c r="H178" i="2"/>
  <c r="H163" i="2"/>
  <c r="H196" i="2"/>
  <c r="H181" i="2"/>
  <c r="H169" i="2"/>
  <c r="H199" i="2"/>
  <c r="H190" i="2"/>
  <c r="H175" i="2"/>
  <c r="H202" i="2"/>
  <c r="H184" i="2"/>
  <c r="H166" i="2"/>
  <c r="H222" i="2"/>
  <c r="H221" i="2"/>
  <c r="H366" i="2"/>
  <c r="H361" i="2"/>
  <c r="H358" i="2"/>
  <c r="H355" i="2"/>
  <c r="H349" i="2"/>
  <c r="H368" i="2"/>
  <c r="H365" i="2"/>
  <c r="H360" i="2"/>
  <c r="H357" i="2"/>
  <c r="H354" i="2"/>
  <c r="H367" i="2"/>
  <c r="H362" i="2"/>
  <c r="H359" i="2"/>
  <c r="H356" i="2"/>
  <c r="H353" i="2"/>
  <c r="H262" i="2"/>
  <c r="H261" i="2"/>
  <c r="H321" i="2"/>
  <c r="H318" i="2"/>
  <c r="H320" i="2"/>
  <c r="H317" i="2"/>
  <c r="H319" i="2"/>
  <c r="H315" i="2"/>
  <c r="H498" i="2"/>
  <c r="H495" i="2"/>
  <c r="H487" i="2"/>
  <c r="H484" i="2"/>
  <c r="H481" i="2"/>
  <c r="H478" i="2"/>
  <c r="H475" i="2"/>
  <c r="H472" i="2"/>
  <c r="H497" i="2"/>
  <c r="H494" i="2"/>
  <c r="H486" i="2"/>
  <c r="H483" i="2"/>
  <c r="H480" i="2"/>
  <c r="H477" i="2"/>
  <c r="H474" i="2"/>
  <c r="H471" i="2"/>
  <c r="H499" i="2"/>
  <c r="H496" i="2"/>
  <c r="H488" i="2"/>
  <c r="H485" i="2"/>
  <c r="H482" i="2"/>
  <c r="H479" i="2"/>
  <c r="H476" i="2"/>
  <c r="H473" i="2"/>
  <c r="H470" i="2"/>
  <c r="H872" i="2"/>
  <c r="H869" i="2"/>
  <c r="H866" i="2"/>
  <c r="H863" i="2"/>
  <c r="H860" i="2"/>
  <c r="H857" i="2"/>
  <c r="H854" i="2"/>
  <c r="H873" i="2"/>
  <c r="H870" i="2"/>
  <c r="H867" i="2"/>
  <c r="H864" i="2"/>
  <c r="H861" i="2"/>
  <c r="H858" i="2"/>
  <c r="H855" i="2"/>
  <c r="H852" i="2"/>
  <c r="H871" i="2"/>
  <c r="H853" i="2"/>
  <c r="H874" i="2"/>
  <c r="H856" i="2"/>
  <c r="H859" i="2"/>
  <c r="H862" i="2"/>
  <c r="H865" i="2"/>
  <c r="H868" i="2"/>
  <c r="H313" i="2"/>
  <c r="H292" i="2"/>
  <c r="H325" i="2"/>
  <c r="H324" i="2"/>
  <c r="H516" i="2"/>
  <c r="H511" i="2"/>
  <c r="H507" i="2"/>
  <c r="H504" i="2"/>
  <c r="H501" i="2"/>
  <c r="H518" i="2"/>
  <c r="H515" i="2"/>
  <c r="H509" i="2"/>
  <c r="H506" i="2"/>
  <c r="H503" i="2"/>
  <c r="H500" i="2"/>
  <c r="H517" i="2"/>
  <c r="H512" i="2"/>
  <c r="H508" i="2"/>
  <c r="H505" i="2"/>
  <c r="H502" i="2"/>
  <c r="H875" i="2"/>
  <c r="H876" i="2"/>
  <c r="K62" i="4"/>
  <c r="I1058" i="2" s="1"/>
  <c r="H1058" i="2"/>
  <c r="H224" i="2"/>
  <c r="H223" i="2"/>
  <c r="H907" i="2"/>
  <c r="H908" i="2"/>
  <c r="H909" i="2"/>
  <c r="H226" i="2"/>
  <c r="H235" i="2"/>
  <c r="H706" i="2"/>
  <c r="H703" i="2"/>
  <c r="H700" i="2"/>
  <c r="H697" i="2"/>
  <c r="H694" i="2"/>
  <c r="H691" i="2"/>
  <c r="H688" i="2"/>
  <c r="H685" i="2"/>
  <c r="H681" i="2"/>
  <c r="H678" i="2"/>
  <c r="H675" i="2"/>
  <c r="H672" i="2"/>
  <c r="H707" i="2"/>
  <c r="H704" i="2"/>
  <c r="H701" i="2"/>
  <c r="H689" i="2"/>
  <c r="H702" i="2"/>
  <c r="H692" i="2"/>
  <c r="H695" i="2"/>
  <c r="H705" i="2"/>
  <c r="H698" i="2"/>
  <c r="H674" i="2"/>
  <c r="H677" i="2"/>
  <c r="H708" i="2"/>
  <c r="H680" i="2"/>
  <c r="H683" i="2"/>
  <c r="H687" i="2"/>
  <c r="H673" i="2"/>
  <c r="H690" i="2"/>
  <c r="H676" i="2"/>
  <c r="H693" i="2"/>
  <c r="H679" i="2"/>
  <c r="H696" i="2"/>
  <c r="H682" i="2"/>
  <c r="H699" i="2"/>
  <c r="H686" i="2"/>
  <c r="H314" i="2"/>
  <c r="H293" i="2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2" i="6"/>
  <c r="AD53" i="6"/>
  <c r="AD54" i="6"/>
  <c r="AD55" i="6"/>
  <c r="AD56" i="6" s="1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 s="1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5" i="6"/>
  <c r="AD236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60" i="6" s="1"/>
  <c r="AD258" i="6"/>
  <c r="AD259" i="6"/>
  <c r="AD261" i="6" s="1"/>
  <c r="AD263" i="6"/>
  <c r="AD264" i="6"/>
  <c r="AD265" i="6"/>
  <c r="AD266" i="6"/>
  <c r="AD267" i="6"/>
  <c r="AD262" i="6" s="1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4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AX58" i="6"/>
  <c r="AX57" i="6"/>
  <c r="AX56" i="6"/>
  <c r="AX54" i="6"/>
  <c r="AX53" i="6"/>
  <c r="AX52" i="6"/>
  <c r="Z918" i="6" l="1"/>
  <c r="Z911" i="6"/>
  <c r="Z933" i="6"/>
  <c r="Z878" i="6"/>
  <c r="Z873" i="6"/>
  <c r="AX51" i="6"/>
  <c r="AX50" i="6"/>
  <c r="AX48" i="6"/>
  <c r="AX47" i="6"/>
  <c r="AX46" i="6"/>
  <c r="AX45" i="6"/>
  <c r="AX44" i="6"/>
  <c r="AX43" i="6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AX35" i="6" l="1"/>
  <c r="Z7" i="6"/>
  <c r="AX13" i="6" l="1"/>
  <c r="AX14" i="6" l="1"/>
  <c r="AX15" i="6" l="1"/>
  <c r="AX16" i="6" l="1"/>
  <c r="AX17" i="6" l="1"/>
  <c r="AX18" i="6" l="1"/>
  <c r="AX19" i="6" l="1"/>
  <c r="AX20" i="6" l="1"/>
  <c r="AX21" i="6" l="1"/>
  <c r="AX22" i="6"/>
  <c r="AX23" i="6" l="1"/>
  <c r="AX25" i="6"/>
  <c r="AX24" i="6" l="1"/>
  <c r="AX26" i="6"/>
  <c r="AX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<sst xmlns="http://schemas.openxmlformats.org/spreadsheetml/2006/main" count="18456" uniqueCount="6321">
  <si>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</si>
  <si>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</si>
  <si>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</si>
  <si>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</si>
  <si>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</si>
  <si>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</si>
  <si>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</si>
  <si>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</si>
  <si>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</si>
  <si>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</si>
  <si>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</si>
  <si>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</si>
  <si>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</si>
  <si>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</si>
  <si>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</si>
  <si>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</si>
  <si>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</si>
  <si>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</si>
  <si>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</si>
  <si>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</si>
  <si>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</si>
  <si>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</si>
  <si>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</si>
  <si>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</si>
  <si>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</si>
  <si>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</si>
  <si>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</si>
  <si>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</si>
  <si>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</si>
  <si>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</si>
  <si>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</si>
  <si>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</si>
  <si>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</si>
  <si>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</si>
  <si>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</si>
  <si>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</si>
  <si>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</si>
  <si>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</si>
  <si>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</si>
  <si>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</si>
  <si>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</si>
  <si>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</si>
  <si>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</si>
  <si>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</si>
  <si>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</si>
  <si>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</si>
  <si>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</si>
  <si>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</si>
  <si>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</si>
  <si>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</si>
  <si>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</si>
  <si>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</si>
  <si>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</si>
  <si>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</si>
  <si>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</si>
  <si>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</si>
  <si>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</si>
  <si>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</si>
  <si>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</si>
  <si>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</si>
  <si>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</si>
  <si>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</si>
  <si>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</si>
  <si>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</si>
  <si>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</si>
  <si>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</si>
  <si>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</si>
  <si>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</si>
  <si>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</si>
  <si>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</si>
  <si>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</si>
  <si>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</si>
  <si>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</si>
  <si>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</si>
  <si>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</si>
  <si>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</si>
  <si>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</si>
  <si>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</si>
  <si>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</si>
  <si>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</si>
  <si>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</si>
  <si>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</si>
  <si>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</si>
  <si>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</si>
  <si>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</si>
  <si>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</si>
  <si>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</si>
  <si>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</si>
  <si>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</si>
  <si>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</si>
  <si>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</si>
  <si>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</si>
  <si>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</si>
  <si>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</si>
  <si>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</si>
  <si>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</si>
  <si>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</si>
  <si>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</si>
  <si>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</si>
  <si>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</si>
  <si>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</si>
  <si>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</si>
  <si>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</si>
  <si>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</si>
  <si>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</si>
  <si>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</si>
  <si>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</si>
  <si>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</si>
  <si>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</si>
  <si>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</si>
  <si>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</si>
  <si>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</si>
  <si>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</si>
  <si>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</si>
  <si>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</si>
  <si>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</si>
  <si>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</si>
  <si>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</si>
  <si>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</si>
  <si>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</si>
  <si>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</si>
  <si>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</si>
  <si>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</si>
  <si>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</si>
  <si>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</si>
  <si>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</si>
  <si>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</si>
  <si>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</si>
  <si>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</si>
  <si>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</si>
  <si>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</si>
  <si>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</si>
  <si>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</si>
  <si>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</si>
  <si>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</si>
  <si>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</si>
  <si>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</si>
  <si>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</si>
  <si>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</si>
  <si>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</si>
  <si>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</si>
  <si>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</si>
  <si>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</si>
  <si>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</si>
  <si>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</si>
  <si>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</si>
  <si>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</si>
  <si>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</si>
  <si>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</si>
  <si>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</si>
  <si>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</si>
  <si>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</si>
  <si>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</si>
  <si>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</si>
  <si>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</si>
  <si>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</si>
  <si>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</si>
  <si>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</si>
  <si>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</si>
  <si>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</si>
  <si>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</si>
  <si>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</si>
  <si>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</si>
  <si>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</si>
  <si>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</si>
  <si>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</si>
  <si>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</si>
  <si>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</si>
  <si>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</si>
  <si>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</si>
  <si>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</si>
  <si>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</si>
  <si>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</si>
  <si>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</si>
  <si>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</si>
  <si>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</si>
  <si>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</si>
  <si>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</si>
  <si>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</si>
  <si>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</si>
  <si>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</si>
  <si>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</si>
  <si>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</si>
  <si>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</si>
  <si>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</si>
  <si>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</si>
  <si>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</si>
  <si>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</si>
  <si>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</si>
  <si>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</si>
  <si>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</si>
  <si>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</si>
  <si>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</si>
  <si>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</si>
  <si>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</si>
  <si>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</si>
  <si>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</si>
  <si>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</si>
  <si>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</si>
  <si>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</si>
  <si>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</si>
  <si>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</si>
  <si>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</si>
  <si>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</si>
  <si>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</si>
  <si>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</si>
  <si>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</si>
  <si>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</si>
  <si>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</si>
  <si>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</si>
  <si>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</si>
  <si>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</si>
  <si>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</si>
  <si>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</si>
  <si>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</si>
  <si>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</si>
  <si>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</si>
  <si>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</si>
  <si>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</si>
  <si>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</si>
  <si>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</si>
  <si>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</si>
  <si>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</si>
  <si>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</si>
  <si>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</si>
  <si>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</si>
  <si>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</si>
  <si>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</si>
  <si>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</si>
  <si>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</si>
  <si>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</si>
  <si>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</si>
  <si>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</si>
  <si>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</si>
  <si>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</si>
  <si>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</si>
  <si>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</si>
  <si>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</si>
  <si>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</si>
  <si>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</si>
  <si>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</si>
  <si>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</si>
  <si>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</si>
  <si>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</si>
  <si>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</si>
  <si>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</si>
  <si>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</si>
  <si>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</si>
  <si>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</si>
  <si>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</si>
  <si>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</si>
  <si>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</si>
  <si>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</si>
  <si>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</si>
  <si>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</si>
  <si>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</si>
  <si>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</si>
  <si>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</si>
  <si>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</si>
  <si>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</si>
  <si>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</si>
  <si>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</si>
  <si>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</si>
  <si>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</si>
  <si>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</si>
  <si>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</si>
  <si>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</si>
  <si>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</si>
  <si>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</si>
  <si>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</si>
  <si>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</si>
  <si>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</si>
  <si>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</si>
  <si>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</si>
  <si>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</si>
  <si>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</si>
  <si>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</si>
  <si>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</si>
  <si>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</si>
  <si>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</si>
  <si>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</si>
  <si>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</si>
  <si>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</si>
  <si>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</si>
  <si>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</si>
  <si>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</si>
  <si>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</si>
  <si>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</si>
  <si>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</si>
  <si>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</si>
  <si>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</si>
  <si>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</si>
  <si>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</si>
  <si>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</si>
  <si>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</si>
  <si>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</si>
  <si>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</si>
  <si>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</si>
  <si>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</si>
  <si>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</si>
  <si>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</si>
  <si>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</si>
  <si>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</si>
  <si>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</si>
  <si>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</si>
  <si>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</si>
  <si>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</si>
  <si>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</si>
  <si>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</si>
  <si>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</si>
  <si>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</si>
  <si>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</si>
  <si>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</si>
  <si>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</si>
  <si>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</si>
  <si>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</si>
  <si>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</si>
  <si>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</si>
  <si>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</si>
  <si>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</si>
  <si>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</si>
  <si>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</si>
  <si>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</si>
  <si>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</si>
  <si>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</si>
  <si>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</si>
  <si>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</si>
  <si>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</si>
  <si>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</si>
  <si>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</si>
  <si>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</si>
  <si>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</si>
  <si>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</si>
  <si>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</si>
  <si>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</si>
  <si>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</si>
  <si>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</si>
  <si>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</si>
  <si>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</si>
  <si>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</si>
  <si>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</si>
  <si>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</si>
  <si>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</si>
  <si>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</si>
  <si>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</si>
  <si>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</si>
  <si>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</si>
  <si>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</si>
  <si>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</si>
  <si>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</si>
  <si>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</si>
  <si>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</si>
  <si>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</si>
  <si>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</si>
  <si>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</si>
  <si>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</si>
  <si>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</si>
  <si>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</si>
  <si>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</si>
  <si>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</si>
  <si>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</si>
  <si>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</si>
  <si>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</si>
  <si>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</si>
  <si>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</si>
  <si>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</si>
  <si>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</si>
  <si>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</si>
  <si>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</si>
  <si>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</si>
  <si>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</si>
  <si>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</si>
  <si>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</si>
  <si>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</si>
  <si>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</si>
  <si>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</si>
  <si>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</si>
  <si>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</si>
  <si>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</si>
  <si>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</si>
  <si>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</si>
  <si>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</si>
  <si>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</si>
  <si>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</si>
  <si>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</si>
  <si>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</si>
  <si>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</si>
  <si>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</si>
  <si>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</si>
  <si>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</si>
  <si>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</si>
  <si>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</si>
  <si>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</si>
  <si>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</si>
  <si>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</si>
  <si>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</si>
  <si>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</si>
  <si>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</si>
  <si>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</si>
  <si>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</si>
  <si>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</si>
  <si>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</si>
  <si>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</si>
  <si>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</si>
  <si>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</si>
  <si>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</si>
  <si>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</si>
  <si>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</si>
  <si>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</si>
  <si>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</si>
  <si>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</si>
  <si>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</si>
  <si>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</si>
  <si>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</si>
  <si>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</si>
  <si>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</si>
  <si>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</si>
  <si>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</si>
  <si>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</si>
  <si>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</si>
  <si>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</si>
  <si>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</si>
  <si>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</si>
  <si>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</si>
  <si>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</si>
  <si>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</si>
  <si>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</si>
  <si>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</si>
  <si>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</si>
  <si>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</si>
  <si>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</si>
  <si>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</si>
  <si>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</si>
  <si>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</si>
  <si>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</si>
  <si>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</si>
  <si>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</si>
  <si>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</si>
  <si>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</si>
  <si>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</si>
  <si>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</si>
  <si>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</si>
  <si>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</si>
  <si>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</si>
  <si>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</si>
  <si>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</si>
  <si>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</si>
  <si>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</si>
  <si>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</si>
  <si>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</si>
  <si>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</si>
  <si>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</si>
  <si>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</si>
  <si>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</si>
  <si>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</si>
  <si>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</si>
  <si>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</si>
  <si>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</si>
  <si>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</si>
  <si>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</si>
  <si>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</si>
  <si>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</si>
  <si>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</si>
  <si>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</si>
  <si>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</si>
  <si>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</si>
  <si>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</si>
  <si>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</si>
  <si>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</si>
  <si>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</si>
  <si>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</si>
  <si>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</si>
  <si>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</si>
  <si>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</si>
  <si>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</si>
  <si>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</si>
  <si>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</si>
  <si>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</si>
  <si>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</si>
  <si>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</si>
  <si>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</si>
  <si>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</si>
  <si>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</si>
  <si>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</si>
  <si>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</si>
  <si>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</si>
  <si>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</si>
  <si>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</si>
  <si>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</si>
  <si>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</si>
  <si>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</si>
  <si>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</si>
  <si>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</si>
  <si>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</si>
  <si>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</si>
  <si>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</si>
  <si>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</si>
  <si>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</si>
  <si>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</si>
  <si>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</si>
  <si>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</si>
  <si>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</si>
  <si>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</si>
  <si>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</si>
  <si>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</si>
  <si>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</si>
  <si>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</si>
  <si>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</si>
  <si>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</si>
  <si>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</si>
  <si>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</si>
  <si>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</si>
  <si>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</si>
  <si>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</si>
  <si>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</si>
  <si>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</si>
  <si>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</si>
  <si>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</si>
  <si>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</si>
  <si>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</si>
  <si>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</si>
  <si>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</si>
  <si>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</si>
  <si>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</si>
  <si>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</si>
  <si>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</si>
  <si>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</si>
  <si>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</si>
  <si>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</si>
  <si>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</si>
  <si>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</si>
  <si>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</si>
  <si>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</si>
  <si>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</si>
  <si>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</si>
  <si>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</si>
  <si>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</si>
  <si>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</si>
  <si>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</si>
  <si>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</si>
  <si>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</si>
  <si>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</si>
  <si>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</si>
  <si>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</si>
  <si>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</si>
  <si>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</si>
  <si>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</si>
  <si>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</si>
  <si>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</si>
  <si>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</si>
  <si>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</si>
  <si>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</si>
  <si>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</si>
  <si>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</si>
  <si>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</si>
  <si>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</si>
  <si>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</si>
  <si>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</si>
  <si>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</si>
  <si>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</si>
  <si>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</si>
  <si>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</si>
  <si>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</si>
  <si>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</si>
  <si>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</si>
  <si>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</si>
  <si>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</si>
  <si>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</si>
  <si>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</si>
  <si>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</si>
  <si>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</si>
  <si>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</si>
  <si>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</si>
  <si>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</si>
  <si>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</si>
  <si>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</si>
  <si>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</si>
  <si>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</si>
  <si>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</si>
  <si>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</si>
  <si>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</si>
  <si>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</si>
  <si>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</si>
  <si>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</si>
  <si>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</si>
  <si>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</si>
  <si>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</si>
  <si>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</si>
  <si>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</si>
  <si>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</si>
  <si>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</si>
  <si>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</si>
  <si>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</si>
  <si>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</si>
  <si>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</si>
  <si>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</si>
  <si>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</si>
  <si>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</si>
  <si>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</si>
  <si>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</si>
  <si>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</si>
  <si>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</si>
  <si>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</si>
  <si>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</si>
  <si>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</si>
  <si>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</si>
  <si>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</si>
  <si>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</si>
  <si>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</si>
  <si>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</si>
  <si>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</si>
  <si>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</si>
  <si>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</si>
  <si>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</si>
  <si>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</si>
  <si>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</si>
  <si>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</si>
  <si>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</si>
  <si>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</si>
  <si>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</si>
  <si>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</si>
  <si>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</si>
  <si>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</si>
  <si>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</si>
  <si>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</si>
  <si>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</si>
  <si>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</si>
  <si>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</si>
  <si>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</si>
  <si>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</si>
  <si>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</si>
  <si>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</si>
  <si>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</si>
  <si>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</si>
  <si>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</si>
  <si>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</si>
  <si>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</si>
  <si>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</si>
  <si>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</si>
  <si>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</si>
  <si>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</si>
  <si>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</si>
  <si>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</si>
  <si>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</si>
  <si>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</si>
  <si>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</si>
  <si>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</si>
  <si>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</si>
  <si>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</si>
  <si>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</si>
  <si>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</si>
  <si>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</si>
  <si>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</si>
  <si>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</si>
  <si>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</si>
  <si>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</si>
  <si>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</si>
  <si>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</si>
  <si>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</si>
  <si>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</si>
  <si>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</si>
  <si>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</si>
  <si>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</si>
  <si>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</si>
  <si>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</si>
  <si>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</si>
  <si>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</si>
  <si>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</si>
  <si>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</si>
  <si>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</si>
  <si>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</si>
  <si>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</si>
  <si>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</si>
  <si>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</si>
  <si>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</si>
  <si>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</si>
  <si>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</si>
  <si>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</si>
  <si>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</si>
  <si>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</si>
  <si>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</si>
  <si>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</si>
  <si>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</si>
  <si>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</si>
  <si>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</si>
  <si>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</si>
  <si>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</si>
  <si>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</si>
  <si>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</si>
  <si>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</si>
  <si>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</si>
  <si>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</si>
  <si>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</si>
  <si>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</si>
  <si>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</si>
  <si>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</si>
  <si>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</si>
  <si>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</si>
  <si>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</si>
  <si>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</si>
  <si>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</si>
  <si>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</si>
  <si>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</si>
  <si>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</si>
  <si>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</si>
  <si>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</si>
  <si>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</si>
  <si>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</si>
  <si>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</si>
  <si>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</si>
  <si>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</si>
  <si>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</si>
  <si>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</si>
  <si>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</si>
  <si>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</si>
  <si>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</si>
  <si>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</si>
  <si>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</si>
  <si>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</si>
  <si>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</si>
  <si>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</si>
  <si>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</si>
  <si>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</si>
  <si>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</si>
  <si>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</si>
  <si>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</si>
  <si>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</si>
  <si>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</si>
  <si>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</si>
  <si>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</si>
  <si>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</si>
  <si>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</si>
  <si>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</si>
  <si>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</si>
  <si>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</si>
  <si>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</si>
  <si>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</si>
  <si>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</si>
  <si>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</si>
  <si>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</si>
  <si>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</si>
  <si>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</si>
  <si>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</si>
  <si>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</si>
  <si>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</si>
  <si>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</si>
  <si>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</si>
  <si>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</si>
  <si>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</si>
  <si>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</si>
  <si>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</si>
  <si>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</si>
  <si>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</si>
  <si>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</si>
  <si>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</si>
  <si>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</si>
  <si>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</si>
  <si>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</si>
  <si>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</si>
  <si>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</si>
  <si>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</si>
  <si>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</si>
  <si>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</si>
  <si>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</si>
  <si>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</si>
  <si>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</si>
  <si>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</si>
  <si>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</si>
  <si>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</si>
  <si>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</si>
  <si>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</si>
  <si>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</si>
  <si>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</si>
  <si>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</si>
  <si>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</si>
  <si>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</si>
  <si>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</si>
  <si>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</si>
  <si>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</si>
  <si>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</si>
  <si>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</si>
  <si>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</si>
  <si>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</si>
  <si>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</si>
  <si>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</si>
  <si>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</si>
  <si>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</si>
  <si>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</si>
  <si>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</si>
  <si>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</si>
  <si>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</si>
  <si>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</si>
  <si>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</si>
  <si>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</si>
  <si>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</si>
  <si>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</si>
  <si>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</si>
  <si>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</si>
  <si>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</si>
  <si>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</si>
  <si>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</si>
  <si>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</si>
  <si>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</si>
  <si>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</si>
  <si>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</si>
  <si>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</si>
  <si>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</si>
  <si>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</si>
  <si>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</si>
  <si>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</si>
  <si>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</si>
  <si>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</si>
  <si>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</si>
  <si>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</si>
  <si>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</si>
  <si>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</si>
  <si>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</si>
  <si>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</si>
  <si>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</si>
  <si>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</si>
  <si>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</si>
  <si>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</si>
  <si>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</si>
  <si>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</si>
  <si>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</si>
  <si>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</si>
  <si>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</si>
  <si>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</si>
  <si>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</si>
  <si>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</si>
  <si>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</si>
  <si>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</si>
  <si>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</si>
  <si>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</si>
  <si>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</si>
  <si>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</si>
  <si>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</si>
  <si>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</si>
  <si>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</si>
  <si>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</si>
  <si>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</si>
  <si>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</si>
  <si>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</si>
  <si>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</si>
  <si>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</si>
  <si>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</si>
  <si>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</si>
  <si>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</si>
  <si>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</si>
  <si>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</si>
  <si>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</si>
  <si>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</si>
  <si>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</si>
  <si>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</si>
  <si>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</si>
  <si>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</si>
  <si>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</si>
  <si>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</si>
  <si>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</si>
  <si>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</si>
  <si>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</si>
  <si>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</si>
  <si>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</si>
  <si>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</si>
  <si>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</si>
  <si>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</si>
  <si>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</si>
  <si>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</si>
  <si>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</si>
  <si>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</si>
  <si>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</si>
  <si>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</si>
  <si>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</si>
  <si>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</si>
  <si>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</si>
  <si>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</si>
  <si>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</si>
  <si>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</si>
  <si>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</si>
  <si>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</si>
  <si>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</si>
  <si>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</si>
  <si>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</si>
  <si>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</si>
  <si>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</si>
  <si>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</si>
  <si>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</si>
  <si>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</si>
  <si>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</si>
  <si>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</si>
  <si>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</si>
  <si>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</si>
  <si>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</si>
  <si>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</si>
  <si>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</si>
  <si>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</si>
  <si>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</si>
  <si>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</si>
  <si>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</si>
  <si>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</si>
  <si>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</si>
  <si>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</si>
  <si>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</si>
  <si>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</si>
  <si>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</si>
  <si>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</si>
  <si>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</si>
  <si>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</si>
  <si>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</si>
  <si>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</si>
  <si>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</si>
  <si>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</si>
  <si>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</si>
  <si>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</si>
  <si>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</si>
  <si>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</si>
  <si>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</si>
  <si>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</si>
  <si>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</si>
  <si>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</si>
  <si>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</si>
  <si>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</si>
  <si>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</si>
  <si>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</si>
  <si>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</si>
  <si>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</si>
  <si>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</si>
  <si>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</si>
  <si>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</si>
  <si>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</si>
  <si>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</si>
  <si>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</si>
  <si>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</si>
  <si>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</si>
  <si>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</si>
  <si>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</si>
  <si>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</si>
  <si>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</si>
  <si>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</si>
  <si>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</si>
  <si>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</si>
  <si>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</si>
  <si>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</si>
  <si>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</si>
  <si>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</si>
  <si>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</si>
  <si>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</si>
  <si>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</si>
  <si>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</si>
  <si>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</si>
  <si>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</si>
  <si>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</si>
  <si>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</si>
  <si>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</si>
  <si>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</si>
  <si>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</si>
  <si>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</si>
  <si>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</si>
  <si>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</si>
  <si>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</si>
  <si>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</si>
  <si>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</si>
  <si>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</si>
  <si>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</si>
  <si>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</si>
  <si>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</si>
  <si>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</si>
  <si>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</si>
  <si>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</si>
  <si>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</si>
  <si>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</si>
  <si>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</si>
  <si>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</si>
  <si>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</si>
  <si>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</si>
  <si>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</si>
  <si>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</si>
  <si>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</si>
  <si>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</si>
  <si>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</si>
  <si>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</si>
  <si>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</si>
  <si>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</si>
  <si>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</si>
  <si>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</si>
  <si>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</si>
  <si>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</si>
  <si>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</si>
  <si>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</si>
  <si>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</si>
  <si>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</si>
  <si>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</si>
  <si>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</si>
  <si>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</si>
  <si>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</si>
  <si>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</si>
  <si>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</si>
  <si>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</si>
  <si>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</si>
  <si>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</si>
  <si>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</si>
  <si>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</si>
  <si>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</si>
  <si>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</si>
  <si>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</si>
  <si>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</si>
  <si>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</si>
  <si>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</si>
  <si>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</si>
  <si>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</si>
  <si>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</si>
  <si>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</si>
  <si>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</si>
  <si>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</si>
  <si>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</si>
  <si>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</si>
  <si>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</si>
  <si>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</si>
  <si>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</si>
  <si>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</si>
  <si>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</si>
  <si>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</si>
  <si>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</si>
  <si>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</si>
  <si>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</si>
  <si>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</si>
  <si>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</si>
  <si>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</si>
  <si>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</si>
  <si>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</si>
  <si>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</si>
  <si>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</si>
  <si>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</si>
  <si>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</si>
  <si>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</si>
  <si>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</si>
  <si>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</si>
  <si>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</si>
  <si>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</si>
  <si>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</si>
  <si>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</si>
  <si>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</si>
  <si>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</si>
  <si>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</si>
  <si>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</si>
  <si>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</si>
  <si>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</si>
  <si>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</si>
  <si>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</si>
  <si>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</si>
  <si>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</si>
  <si>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</si>
  <si>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</si>
  <si>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</si>
  <si>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</si>
  <si>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</si>
  <si>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</si>
  <si>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</si>
  <si>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</si>
  <si>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</si>
  <si>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</si>
  <si>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</si>
  <si>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</si>
  <si>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</si>
  <si>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</si>
  <si>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</si>
  <si>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</si>
  <si>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</si>
  <si>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</si>
  <si>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</si>
  <si>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</si>
  <si>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</si>
  <si>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</si>
  <si>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</si>
  <si>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</si>
  <si>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</si>
  <si>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</si>
  <si>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</si>
  <si>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</si>
  <si>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</si>
  <si>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</si>
  <si>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</si>
  <si>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</si>
  <si>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</si>
  <si>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</si>
  <si>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</si>
  <si>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</si>
  <si>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</si>
  <si>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</si>
  <si>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</si>
  <si>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</si>
  <si>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</si>
  <si>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</si>
  <si>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</si>
  <si>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</si>
  <si>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</si>
  <si>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</si>
  <si>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</si>
  <si>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</si>
  <si>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</si>
  <si>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</si>
  <si>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</si>
  <si>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</si>
  <si>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</si>
  <si>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</si>
  <si>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</si>
  <si>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</si>
  <si>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</si>
  <si>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</si>
  <si>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</si>
  <si>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</si>
  <si>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</si>
  <si>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</si>
  <si>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</si>
  <si>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</si>
  <si>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</si>
  <si>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</si>
  <si>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</si>
  <si>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</si>
  <si>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</si>
  <si>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</si>
  <si>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</si>
  <si>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</si>
  <si>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</si>
  <si>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</si>
  <si>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</si>
  <si>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</si>
  <si>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</si>
  <si>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</si>
  <si>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</si>
  <si>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</si>
  <si>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</si>
  <si>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</si>
  <si>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</si>
  <si>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</si>
  <si>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</si>
  <si>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</si>
  <si>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</si>
  <si>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</si>
  <si>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</si>
  <si>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</si>
  <si>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</si>
  <si>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</si>
  <si>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</si>
  <si>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</si>
  <si>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</si>
  <si>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</si>
  <si>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</si>
  <si>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</si>
  <si>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</si>
  <si>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</si>
  <si>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</si>
  <si>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</si>
  <si>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</si>
  <si>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</si>
  <si>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</si>
  <si>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</si>
  <si>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</si>
  <si>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</si>
  <si>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</si>
  <si>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</si>
  <si>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</si>
  <si>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</si>
  <si>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</si>
  <si>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</si>
  <si>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</si>
  <si>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</si>
  <si>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</si>
  <si>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</si>
  <si>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</si>
  <si>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</si>
  <si>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</si>
  <si>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</si>
  <si>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</si>
  <si>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</si>
  <si>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</si>
  <si>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</si>
  <si>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</si>
  <si>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</si>
  <si>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</si>
  <si>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</si>
  <si>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</si>
  <si>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</si>
  <si>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</si>
  <si>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</si>
  <si>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</si>
  <si>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</si>
  <si>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</si>
  <si>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</si>
  <si>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</si>
  <si>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</si>
  <si>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</si>
  <si>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</si>
  <si>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</si>
  <si>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</si>
  <si>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</si>
  <si>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</si>
  <si>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</si>
  <si>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</si>
  <si>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</si>
  <si>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</si>
  <si>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</si>
  <si>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</si>
  <si>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</si>
  <si>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</si>
  <si>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</si>
  <si>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</si>
  <si>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</si>
  <si>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</si>
  <si>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</si>
  <si>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</si>
  <si>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</si>
  <si>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</si>
  <si>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</si>
  <si>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</si>
  <si>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</si>
  <si>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</si>
  <si>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</si>
  <si>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</si>
  <si>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</si>
  <si>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</si>
  <si>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</si>
  <si>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</si>
  <si>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</si>
  <si>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</si>
  <si>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</si>
  <si>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</si>
  <si>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</si>
  <si>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</si>
  <si>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</si>
  <si>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</si>
  <si>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</si>
  <si>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</si>
  <si>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</si>
  <si>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</si>
  <si>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</si>
  <si>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</si>
  <si>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</si>
  <si>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</si>
  <si>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</si>
  <si>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</si>
  <si>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</si>
  <si>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</si>
  <si>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</si>
  <si>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</si>
  <si>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</si>
  <si>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</si>
  <si>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</si>
  <si>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</si>
  <si>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</si>
  <si>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</si>
  <si>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</si>
  <si>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</si>
  <si>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</si>
  <si>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</si>
  <si>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</si>
  <si>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</si>
  <si>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</si>
  <si>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</si>
  <si>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</si>
  <si>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</si>
  <si>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</si>
  <si>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</si>
  <si>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</si>
  <si>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</si>
  <si>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</si>
  <si>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</si>
  <si>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</si>
  <si>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</si>
  <si>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</si>
  <si>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</si>
  <si>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</si>
  <si>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</si>
  <si>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</si>
  <si>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</si>
  <si>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</si>
  <si>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</si>
  <si>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</si>
  <si>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</si>
  <si>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</si>
  <si>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</si>
  <si>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</si>
  <si>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</si>
  <si>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</si>
  <si>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</si>
  <si>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</si>
  <si>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</si>
  <si>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</si>
  <si>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</si>
  <si>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</si>
  <si>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</si>
  <si>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</si>
  <si>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</si>
  <si>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</si>
  <si>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</si>
  <si>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</si>
  <si>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</si>
  <si>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</si>
  <si>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</si>
  <si>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</si>
  <si>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</si>
  <si>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</si>
  <si>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</si>
  <si>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</si>
  <si>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</si>
  <si>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</si>
  <si>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</si>
  <si>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</si>
  <si>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</si>
  <si>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</si>
  <si>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</si>
  <si>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</si>
  <si>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</si>
  <si>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</si>
  <si>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</si>
  <si>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</si>
  <si>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</si>
  <si>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</si>
  <si>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</si>
  <si>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</si>
  <si>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</si>
  <si>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</si>
  <si>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</si>
  <si>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</si>
  <si>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</si>
  <si>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</si>
  <si>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</si>
  <si>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</si>
  <si>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</si>
  <si>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</si>
  <si>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</si>
  <si>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</si>
  <si>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</si>
  <si>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</si>
  <si>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</si>
  <si>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</si>
  <si>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</si>
  <si>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</si>
  <si>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</si>
  <si>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</si>
  <si>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</si>
  <si>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</si>
  <si>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</si>
  <si>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</si>
  <si>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</si>
  <si>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</si>
  <si>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</si>
  <si>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</si>
  <si>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</si>
  <si>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</si>
  <si>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</si>
  <si>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</si>
  <si>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</si>
  <si>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</si>
  <si>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</si>
  <si>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</si>
  <si>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</si>
  <si>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</si>
  <si>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</si>
  <si>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</si>
  <si>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</si>
  <si>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</si>
  <si>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</si>
  <si>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</si>
  <si>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</si>
  <si>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</si>
  <si>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</si>
  <si>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</si>
  <si>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</si>
  <si>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</si>
  <si>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</si>
  <si>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</si>
  <si>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</si>
  <si>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</si>
  <si>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</si>
  <si>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</si>
  <si>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</si>
  <si>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</si>
  <si>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</si>
  <si>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</si>
  <si>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</si>
  <si>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</si>
  <si>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</si>
  <si>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</si>
  <si>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</si>
  <si>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</si>
  <si>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</si>
  <si>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</si>
  <si>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</si>
  <si>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</si>
  <si>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</si>
  <si>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</si>
  <si>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</si>
  <si>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</si>
  <si>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</si>
  <si>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</si>
  <si>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</si>
  <si>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</si>
  <si>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</si>
  <si>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</si>
  <si>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</si>
  <si>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</si>
  <si>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</si>
  <si>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</si>
  <si>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</si>
  <si>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</si>
  <si>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</si>
  <si>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</si>
  <si>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</si>
  <si>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</si>
  <si>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</si>
  <si>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</si>
  <si>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</si>
  <si>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</si>
  <si>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</si>
  <si>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</si>
  <si>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</si>
  <si>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</si>
  <si>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</si>
  <si>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</si>
  <si>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</si>
  <si>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</si>
  <si>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</si>
  <si>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</si>
  <si>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</si>
  <si>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</si>
  <si>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</si>
  <si>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</si>
  <si>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</si>
  <si>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</si>
  <si>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</si>
  <si>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</si>
  <si>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</si>
  <si>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</si>
  <si>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</si>
  <si>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</si>
  <si>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</si>
  <si>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</si>
  <si>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</si>
  <si>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</si>
  <si>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</si>
  <si>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</si>
  <si>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</si>
  <si>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</si>
  <si>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</si>
  <si>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</si>
  <si>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</si>
  <si>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</si>
  <si>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</si>
  <si>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</si>
  <si>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</si>
  <si>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</si>
  <si>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</si>
  <si>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</si>
  <si>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</si>
  <si>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</si>
  <si>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</si>
  <si>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</si>
  <si>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</si>
  <si>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</si>
  <si>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</si>
  <si>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</si>
  <si>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</si>
  <si>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</si>
  <si>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</si>
  <si>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</si>
  <si>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</si>
  <si>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</si>
  <si>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</si>
  <si>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</si>
  <si>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</si>
  <si>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</si>
  <si>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</si>
  <si>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</si>
  <si>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</si>
  <si>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</si>
  <si>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</si>
  <si>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</si>
  <si>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</si>
  <si>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</si>
  <si>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</si>
  <si>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</si>
  <si>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</si>
  <si>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</si>
  <si>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</si>
  <si>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</si>
  <si>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</si>
  <si>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</si>
  <si>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</si>
  <si>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</si>
  <si>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</si>
  <si>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</si>
  <si>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</si>
  <si>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</si>
  <si>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</si>
  <si>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</si>
  <si>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</si>
  <si>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</si>
  <si>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</si>
  <si>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</si>
  <si>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</si>
  <si>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</si>
  <si>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</si>
  <si>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</si>
  <si>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</si>
  <si>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</si>
  <si>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</si>
  <si>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</si>
  <si>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</si>
  <si>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</si>
  <si>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</si>
  <si>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</si>
  <si>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</si>
  <si>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</si>
  <si>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</si>
  <si>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</si>
  <si>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</si>
  <si>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</si>
  <si>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</si>
  <si>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</si>
  <si>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</si>
  <si>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</si>
  <si>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</si>
  <si>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</si>
  <si>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</si>
  <si>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</si>
  <si>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</si>
  <si>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</si>
  <si>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</si>
  <si>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</si>
  <si>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</si>
  <si>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</si>
  <si>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</si>
  <si>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</si>
  <si>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</si>
  <si>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</si>
  <si>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</si>
  <si>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</si>
  <si>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</si>
  <si>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</si>
  <si>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</si>
  <si>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</si>
  <si>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</si>
  <si>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</si>
  <si>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</si>
  <si>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</si>
  <si>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</si>
  <si>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</si>
  <si>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</si>
  <si>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</si>
  <si>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</si>
  <si>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</si>
  <si>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</si>
  <si>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</si>
  <si>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</si>
  <si>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</si>
  <si>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</si>
  <si>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</si>
  <si>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</si>
  <si>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</si>
  <si>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</si>
  <si>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</si>
  <si>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</si>
  <si>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</si>
  <si>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</si>
  <si>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</si>
  <si>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</si>
  <si>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</si>
  <si>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</si>
  <si>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</si>
  <si>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</si>
  <si>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</si>
  <si>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</si>
  <si>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</si>
  <si>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</si>
  <si>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</si>
  <si>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</si>
  <si>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</si>
  <si>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</si>
  <si>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</si>
  <si>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</si>
  <si>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</si>
  <si>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</si>
  <si>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</si>
  <si>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</si>
  <si>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</si>
  <si>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</si>
  <si>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</si>
  <si>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</si>
  <si>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</si>
  <si>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</si>
  <si>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</si>
  <si>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</si>
  <si>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</si>
  <si>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</si>
  <si>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</si>
  <si>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</si>
  <si>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</si>
  <si>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</si>
  <si>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</si>
  <si>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</si>
  <si>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</si>
  <si>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</si>
  <si>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</si>
  <si>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</si>
  <si>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</si>
  <si>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</si>
  <si>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</si>
  <si>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</si>
  <si>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</si>
  <si>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</si>
  <si>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</si>
  <si>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</si>
  <si>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</si>
  <si>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</si>
  <si>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</si>
  <si>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</si>
  <si>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</si>
  <si>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</si>
  <si>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</si>
  <si>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</si>
  <si>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</si>
  <si>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</si>
  <si>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</si>
  <si>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</si>
  <si>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</si>
  <si>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</si>
  <si>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</si>
  <si>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</si>
  <si>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</si>
  <si>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</si>
  <si>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</si>
  <si>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</si>
  <si>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</si>
  <si>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</si>
  <si>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</si>
  <si>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</si>
  <si>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</si>
  <si>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</si>
  <si>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</si>
  <si>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</si>
  <si>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</si>
  <si>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</si>
  <si>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</si>
  <si>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</si>
  <si>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</si>
  <si>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</si>
  <si>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</si>
  <si>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</si>
  <si>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</si>
  <si>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</si>
  <si>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</si>
  <si>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</si>
  <si>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</si>
  <si>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</si>
  <si>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</si>
  <si>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</si>
  <si>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</si>
  <si>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</si>
  <si>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</si>
  <si>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</si>
  <si>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</si>
  <si>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</si>
  <si>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</si>
  <si>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</si>
  <si>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</si>
  <si>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</si>
  <si>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</si>
  <si>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</si>
  <si>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</si>
  <si>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</si>
  <si>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</si>
  <si>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</si>
  <si>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</si>
  <si>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</si>
  <si>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</si>
  <si>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</si>
  <si>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</si>
  <si>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</si>
  <si>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</si>
  <si>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</si>
  <si>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</si>
  <si>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</si>
  <si>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</si>
  <si>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</si>
  <si>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</si>
  <si>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</si>
  <si>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</si>
  <si>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</si>
  <si>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</si>
  <si>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</si>
  <si>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</si>
  <si>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</si>
  <si>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</si>
  <si>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</si>
  <si>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</si>
  <si>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</si>
  <si>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</si>
  <si>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</si>
  <si>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</si>
  <si>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</si>
  <si>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</si>
  <si>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</si>
  <si>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</si>
  <si>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</si>
  <si>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</si>
  <si>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</si>
  <si>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</si>
  <si>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</si>
  <si>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</si>
  <si>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</si>
  <si>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</si>
  <si>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</si>
  <si>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</si>
  <si>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</si>
  <si>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</si>
  <si>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</si>
  <si>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</si>
  <si>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</si>
  <si>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</si>
  <si>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</si>
  <si>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</si>
  <si>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</si>
  <si>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</si>
  <si>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</si>
  <si>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</si>
  <si>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</si>
  <si>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</si>
  <si>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</si>
  <si>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</si>
  <si>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</si>
  <si>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</si>
  <si>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</si>
  <si>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</si>
  <si>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</si>
  <si>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</si>
  <si>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</si>
  <si>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</si>
  <si>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</si>
  <si>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</si>
  <si>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</si>
  <si>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</si>
  <si>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</si>
  <si>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</si>
  <si>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</si>
  <si>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</si>
  <si>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</si>
  <si>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</si>
  <si>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</si>
  <si>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</si>
  <si>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</si>
  <si>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</si>
  <si>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</si>
  <si>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</si>
  <si>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</si>
  <si>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</si>
  <si>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</si>
  <si>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</si>
  <si>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</si>
  <si>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</si>
  <si>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</si>
  <si>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</si>
  <si>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</si>
  <si>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</si>
  <si>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</si>
  <si>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</si>
  <si>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</si>
  <si>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</si>
  <si>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</si>
  <si>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</si>
  <si>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</si>
  <si>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</si>
  <si>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</si>
  <si>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</si>
  <si>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</si>
  <si>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</si>
  <si>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</si>
  <si>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</si>
  <si>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</si>
  <si>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</si>
  <si>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</si>
  <si>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</si>
  <si>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</si>
  <si>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</si>
  <si>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</si>
  <si>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</si>
  <si>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</si>
  <si>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</si>
  <si>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</si>
  <si>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</si>
  <si>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</si>
  <si>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</si>
  <si>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</si>
  <si>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</si>
  <si>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</si>
  <si>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</si>
  <si>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</si>
  <si>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</si>
  <si>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</si>
  <si>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</si>
  <si>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</si>
  <si>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</si>
  <si>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</si>
  <si>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</si>
  <si>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</si>
  <si>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</si>
  <si>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</si>
  <si>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</si>
  <si>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</si>
  <si>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</si>
  <si>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</si>
  <si>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</si>
  <si>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</si>
  <si>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</si>
  <si>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</si>
  <si>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</si>
  <si>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</si>
  <si>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</si>
  <si>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</si>
  <si>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</si>
  <si>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</si>
  <si>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</si>
  <si>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</si>
  <si>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</si>
  <si>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</si>
  <si>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</si>
  <si>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</si>
  <si>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</si>
  <si>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</si>
  <si>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</si>
  <si>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</si>
  <si>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</si>
  <si>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</si>
  <si>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</si>
  <si>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</si>
  <si>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</si>
  <si>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</si>
  <si>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</si>
  <si>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</si>
  <si>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</si>
  <si>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</si>
  <si>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</si>
  <si>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</si>
  <si>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</si>
  <si>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</si>
  <si>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</si>
  <si>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</si>
  <si>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</si>
  <si>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</si>
  <si>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</si>
  <si>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</si>
  <si>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</si>
  <si>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</si>
  <si>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</si>
  <si>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</si>
  <si>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</si>
  <si>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</si>
  <si>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</si>
  <si>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</si>
  <si>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</si>
  <si>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</si>
  <si>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</si>
  <si>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</si>
  <si>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</si>
  <si>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</si>
  <si>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</si>
  <si>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</si>
  <si>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</si>
  <si>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</si>
  <si>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</si>
  <si>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</si>
  <si>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</si>
  <si>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</si>
  <si>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</si>
  <si>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</si>
  <si>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</si>
  <si>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</si>
  <si>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</si>
  <si>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</si>
  <si>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</si>
  <si>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</si>
  <si>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</si>
  <si>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</si>
  <si>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</si>
  <si>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</si>
  <si>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</si>
  <si>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</si>
  <si>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</si>
  <si>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</si>
  <si>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</si>
  <si>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</si>
  <si>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</si>
  <si>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</si>
  <si>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</si>
  <si>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</si>
  <si>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</si>
  <si>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</si>
  <si>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</si>
  <si>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</si>
  <si>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</si>
  <si>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</si>
  <si>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</si>
  <si>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</si>
  <si>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</si>
  <si>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</si>
  <si>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</si>
  <si>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</si>
  <si>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</si>
  <si>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</si>
  <si>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</si>
  <si>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</si>
  <si>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</si>
  <si>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</si>
  <si>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</si>
  <si>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</si>
  <si>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</si>
  <si>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</si>
  <si>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</si>
  <si>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</si>
  <si>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</si>
  <si>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</si>
  <si>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</si>
  <si>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</si>
  <si>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</si>
  <si>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</si>
  <si>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</si>
  <si>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</si>
  <si>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</si>
  <si>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</si>
  <si>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</si>
  <si>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</si>
  <si>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</si>
  <si>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</si>
  <si>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</si>
  <si>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</si>
  <si>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</si>
  <si>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</si>
  <si>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</si>
  <si>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</si>
  <si>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</si>
  <si>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</si>
  <si>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</si>
  <si>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</si>
  <si>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</si>
  <si>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</si>
  <si>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</si>
  <si>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</si>
  <si>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</si>
  <si>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</si>
  <si>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</si>
  <si>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</si>
  <si>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</si>
  <si>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</si>
  <si>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</si>
  <si>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</si>
  <si>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</si>
  <si>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</si>
  <si>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</si>
  <si>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</si>
  <si>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</si>
  <si>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</si>
  <si>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</si>
  <si>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</si>
  <si>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</si>
  <si>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</si>
  <si>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</si>
  <si>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</si>
  <si>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</si>
  <si>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</si>
  <si>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</si>
  <si>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</si>
  <si>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</si>
  <si>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</si>
  <si>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</si>
  <si>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</si>
  <si>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</si>
  <si>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</si>
  <si>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</si>
  <si>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</si>
  <si>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</si>
  <si>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</si>
  <si>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</si>
  <si>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</si>
  <si>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</si>
  <si>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</si>
  <si>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</si>
  <si>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</si>
  <si>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</si>
  <si>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</si>
  <si>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</si>
  <si>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</si>
  <si>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</si>
  <si>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</si>
  <si>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</si>
  <si>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</si>
  <si>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</si>
  <si>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</si>
  <si>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</si>
  <si>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</si>
  <si>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</si>
  <si>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</si>
  <si>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</si>
  <si>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</si>
  <si>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</si>
  <si>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</si>
  <si>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</si>
  <si>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</si>
  <si>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</si>
  <si>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</si>
  <si>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</si>
  <si>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</si>
  <si>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</si>
  <si>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</si>
  <si>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</si>
  <si>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</si>
  <si>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</si>
  <si>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</si>
  <si>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</si>
  <si>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</si>
  <si>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</si>
  <si>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</si>
  <si>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</si>
  <si>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</si>
  <si>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</si>
  <si>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</si>
  <si>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</si>
  <si>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</si>
  <si>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</si>
  <si>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</si>
  <si>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</si>
  <si>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</si>
  <si>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</si>
  <si>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</si>
  <si>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</si>
  <si>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</si>
  <si>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</si>
  <si>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</si>
  <si>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</si>
  <si>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</si>
  <si>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</si>
  <si>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</si>
  <si>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</si>
  <si>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</si>
  <si>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</si>
  <si>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</si>
  <si>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</si>
  <si>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</si>
  <si>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</si>
  <si>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</si>
  <si>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</si>
  <si>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</si>
  <si>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</si>
  <si>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</si>
  <si>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</si>
  <si>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</si>
  <si>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</si>
  <si>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</si>
  <si>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</si>
  <si>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</si>
  <si>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</si>
  <si>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</si>
  <si>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</si>
  <si>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</si>
  <si>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</si>
  <si>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</si>
  <si>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</si>
  <si>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</si>
  <si>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</si>
  <si>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</si>
  <si>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</si>
  <si>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</si>
  <si>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</si>
  <si>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</si>
  <si>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</si>
  <si>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</si>
  <si>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</si>
  <si>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</si>
  <si>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</si>
  <si>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</si>
  <si>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</si>
  <si>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</si>
  <si>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</si>
  <si>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</si>
  <si>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</si>
  <si>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</si>
  <si>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</si>
  <si>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</si>
  <si>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</si>
  <si>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</si>
  <si>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</si>
  <si>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</si>
  <si>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</si>
  <si>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</si>
  <si>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</si>
  <si>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</si>
  <si>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</si>
  <si>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</si>
  <si>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</si>
  <si>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</si>
  <si>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</si>
  <si>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</si>
  <si>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</si>
  <si>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</si>
  <si>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</si>
  <si>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</si>
  <si>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</si>
  <si>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</si>
  <si>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</si>
  <si>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</si>
  <si>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</si>
  <si>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</si>
  <si>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</si>
  <si>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</si>
  <si>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</si>
  <si>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</si>
  <si>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</si>
  <si>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</si>
  <si>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</si>
  <si>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</si>
  <si>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</si>
  <si>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</si>
  <si>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</si>
  <si>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</si>
  <si>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</si>
  <si>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</si>
  <si>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</si>
  <si>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</si>
  <si>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</si>
  <si>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</si>
  <si>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</si>
  <si>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</si>
  <si>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</si>
  <si>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</si>
  <si>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</si>
  <si>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</si>
  <si>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</si>
  <si>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</si>
  <si>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</si>
  <si>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</si>
  <si>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</si>
  <si>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</si>
  <si>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</si>
  <si>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</si>
  <si>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</si>
  <si>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</si>
  <si>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</si>
  <si>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</si>
  <si>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</si>
  <si>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</si>
  <si>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</si>
  <si>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</si>
  <si>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</si>
  <si>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</si>
  <si>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</si>
  <si>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</si>
  <si>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</si>
  <si>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</si>
  <si>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</si>
  <si>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</si>
  <si>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</si>
  <si>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</si>
  <si>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</si>
  <si>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</si>
  <si>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</si>
  <si>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</si>
  <si>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</si>
  <si>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</si>
  <si>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</si>
  <si>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</si>
  <si>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</si>
  <si>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</si>
  <si>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</si>
  <si>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</si>
  <si>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</si>
  <si>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</si>
  <si>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</si>
  <si>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</si>
  <si>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</si>
  <si>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</si>
  <si>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</si>
  <si>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</si>
  <si>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</si>
  <si>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</si>
  <si>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</si>
  <si>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</si>
  <si>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</si>
  <si>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</si>
  <si>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</si>
  <si>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</si>
  <si>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</si>
  <si>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</si>
  <si>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</si>
  <si>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</si>
  <si>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</si>
  <si>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</si>
  <si>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</si>
  <si>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</si>
  <si>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</si>
  <si>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</si>
  <si>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</si>
  <si>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</si>
  <si>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</si>
  <si>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</si>
  <si>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</si>
  <si>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</si>
  <si>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</si>
  <si>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</si>
  <si>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</si>
  <si>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</si>
  <si>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</si>
  <si>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</si>
  <si>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</si>
  <si>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</si>
  <si>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</si>
  <si>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</si>
  <si>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</si>
  <si>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</si>
  <si>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</si>
  <si>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</si>
  <si>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</si>
  <si>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</si>
  <si>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</si>
  <si>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</si>
  <si>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</si>
  <si>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</si>
  <si>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</si>
  <si>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</si>
  <si>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</si>
  <si>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</si>
  <si>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</si>
  <si>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</si>
  <si>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</si>
  <si>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</si>
  <si>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</si>
  <si>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</si>
  <si>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</si>
  <si>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</si>
  <si>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</si>
  <si>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</si>
  <si>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</si>
  <si>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</si>
  <si>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</si>
  <si>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</si>
  <si>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</si>
  <si>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</si>
  <si>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</si>
  <si>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</si>
  <si>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</si>
  <si>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</si>
  <si>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</si>
  <si>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</si>
  <si>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</si>
  <si>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</si>
  <si>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</si>
  <si>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</si>
  <si>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</si>
  <si>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</si>
  <si>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</si>
  <si>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</si>
  <si>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</si>
  <si>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</si>
  <si>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</si>
  <si>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</si>
  <si>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</si>
  <si>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</si>
  <si>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</si>
  <si>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</si>
  <si>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</si>
  <si>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</si>
  <si>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</si>
  <si>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</si>
  <si>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</si>
  <si>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</si>
  <si>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</si>
  <si>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</si>
  <si>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</si>
  <si>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</si>
  <si>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</si>
  <si>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</si>
  <si>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</si>
  <si>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</si>
  <si>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</si>
  <si>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</si>
  <si>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</si>
  <si>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</si>
  <si>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</si>
  <si>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</si>
  <si>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</si>
  <si>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</si>
  <si>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</si>
  <si>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</si>
  <si>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</si>
  <si>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</si>
  <si>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</si>
  <si>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</si>
  <si>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</si>
  <si>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</si>
  <si>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</si>
  <si>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</si>
  <si>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</si>
  <si>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</si>
  <si>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</si>
  <si>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</si>
  <si>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</si>
  <si>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</si>
  <si>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</si>
  <si>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</si>
  <si>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</si>
  <si>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</si>
  <si>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</si>
  <si>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</si>
  <si>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</si>
  <si>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</si>
  <si>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</si>
  <si>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</si>
  <si>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</si>
  <si>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</si>
  <si>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</si>
  <si>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</si>
  <si>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</si>
  <si>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</si>
  <si>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</si>
  <si>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</si>
  <si>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</si>
  <si>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</si>
  <si>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</si>
  <si>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</si>
  <si>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</si>
  <si>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</si>
  <si>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</si>
  <si>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</si>
  <si>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</si>
  <si>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</si>
  <si>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</si>
  <si>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</si>
  <si>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</si>
  <si>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</si>
  <si>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</si>
  <si>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</si>
  <si>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</si>
  <si>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</si>
  <si>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</si>
  <si>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</si>
  <si>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</si>
  <si>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</si>
  <si>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</si>
  <si>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</si>
  <si>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</si>
  <si>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</si>
  <si>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</si>
  <si>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</si>
  <si>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</si>
  <si>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</si>
  <si>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</si>
  <si>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</si>
  <si>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</si>
  <si>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</si>
  <si>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</si>
  <si>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</si>
  <si>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</si>
  <si>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</si>
  <si>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</si>
  <si>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</si>
  <si>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</si>
  <si>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</si>
  <si>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</si>
  <si>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</si>
  <si>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</si>
  <si>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</si>
  <si>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</si>
  <si>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</si>
  <si>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</si>
  <si>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</si>
  <si>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</si>
  <si>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</si>
  <si>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</si>
  <si>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</si>
  <si>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</si>
  <si>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</si>
  <si>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</si>
  <si>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</si>
  <si>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</si>
  <si>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</si>
  <si>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</si>
  <si>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</si>
  <si>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</si>
  <si>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</si>
  <si>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</si>
  <si>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</si>
  <si>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</si>
  <si>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</si>
  <si>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</si>
  <si>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</si>
  <si>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</si>
  <si>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</si>
  <si>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</si>
  <si>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</si>
  <si>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</si>
  <si>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</si>
  <si>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</si>
  <si>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</si>
  <si>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</si>
  <si>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</si>
  <si>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</si>
  <si>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</si>
  <si>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</si>
  <si>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</si>
  <si>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</si>
  <si>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</si>
  <si>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</si>
  <si>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</si>
  <si>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</si>
  <si>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</si>
  <si>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</si>
  <si>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</si>
  <si>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</si>
  <si>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</si>
  <si>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</si>
  <si>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</si>
  <si>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</si>
  <si>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</si>
  <si>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</si>
  <si>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</si>
  <si>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</si>
  <si>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</si>
  <si>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</si>
  <si>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</si>
  <si>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</si>
  <si>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</si>
  <si>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</si>
  <si>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</si>
  <si>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</si>
  <si>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</si>
  <si>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</si>
  <si>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</si>
  <si>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</si>
  <si>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</si>
  <si>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</si>
  <si>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</si>
  <si>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</si>
  <si>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</si>
  <si>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</si>
  <si>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</si>
  <si>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</si>
  <si>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</si>
  <si>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</si>
  <si>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</si>
  <si>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</si>
  <si>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</si>
  <si>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</si>
  <si>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</si>
  <si>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</si>
  <si>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</si>
  <si>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</si>
  <si>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</si>
  <si>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</si>
  <si>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</si>
  <si>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</si>
  <si>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</si>
  <si>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</si>
  <si>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</si>
  <si>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</si>
  <si>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</si>
  <si>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</si>
  <si>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</si>
  <si>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</si>
  <si>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</si>
  <si>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</si>
  <si>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</si>
  <si>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</si>
  <si>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</si>
  <si>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</si>
  <si>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</si>
  <si>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</si>
  <si>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</si>
  <si>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</si>
  <si>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</si>
  <si>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</si>
  <si>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</si>
  <si>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</si>
  <si>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</si>
  <si>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</si>
  <si>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</si>
  <si>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</si>
  <si>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</si>
  <si>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</si>
  <si>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</si>
  <si>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</si>
  <si>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</si>
  <si>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</si>
  <si>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</si>
  <si>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</si>
  <si>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</si>
  <si>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</si>
  <si>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</si>
  <si>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</si>
  <si>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</si>
  <si>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</si>
  <si>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</si>
  <si>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</si>
  <si>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</si>
  <si>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</si>
  <si>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</si>
  <si>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</si>
  <si>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</si>
  <si>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</si>
  <si>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</si>
  <si>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</si>
  <si>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</si>
  <si>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</si>
  <si>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</si>
  <si>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</si>
  <si>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</si>
  <si>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</si>
  <si>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</si>
  <si>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</si>
  <si>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</si>
  <si>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</si>
  <si>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</si>
  <si>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</si>
  <si>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</si>
  <si>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</si>
  <si>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</si>
  <si>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</si>
  <si>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</si>
  <si>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</si>
  <si>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</si>
  <si>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</si>
  <si>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</si>
  <si>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</si>
  <si>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</si>
  <si>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</si>
  <si>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</si>
  <si>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</si>
  <si>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</si>
  <si>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</si>
  <si>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</si>
  <si>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</si>
  <si>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</si>
  <si>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</si>
  <si>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</si>
  <si>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</si>
  <si>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</si>
  <si>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</si>
  <si>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</si>
  <si>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</si>
  <si>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</si>
  <si>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</si>
  <si>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</si>
  <si>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</si>
  <si>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</si>
  <si>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</si>
  <si>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</si>
  <si>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</si>
  <si>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</si>
  <si>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</si>
  <si>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</si>
  <si>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</si>
  <si>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</si>
  <si>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</si>
  <si>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</si>
  <si>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</si>
  <si>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</si>
  <si>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</si>
  <si>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</si>
  <si>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</si>
  <si>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</si>
  <si>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</si>
  <si>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</si>
  <si>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</si>
  <si>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</si>
  <si>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</si>
  <si>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</si>
  <si>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</si>
  <si>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</si>
  <si>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</si>
  <si>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</si>
  <si>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</si>
  <si>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</si>
  <si>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</si>
  <si>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</si>
  <si>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</si>
  <si>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</si>
  <si>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</si>
  <si>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</si>
  <si>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</si>
  <si>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</si>
  <si>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</si>
  <si>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</si>
  <si>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</si>
  <si>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</si>
  <si>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</si>
  <si>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</si>
  <si>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</si>
  <si>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</si>
  <si>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</si>
  <si>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</si>
  <si>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</si>
  <si>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</si>
  <si>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</si>
  <si>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</si>
  <si>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</si>
  <si>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</si>
  <si>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</si>
  <si>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</si>
  <si>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</si>
  <si>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</si>
  <si>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</si>
  <si>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</si>
  <si>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</si>
  <si>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</si>
  <si>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</si>
  <si>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</si>
  <si>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</si>
  <si>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</si>
  <si>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</si>
  <si>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</si>
  <si>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</si>
  <si>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</si>
  <si>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</si>
  <si>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</si>
  <si>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</si>
  <si>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</si>
  <si>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</si>
  <si>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</si>
  <si>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</si>
  <si>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</si>
  <si>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</si>
  <si>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</si>
  <si>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</si>
  <si>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</si>
  <si>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</si>
  <si>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</si>
  <si>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</si>
  <si>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</si>
  <si>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</si>
  <si>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</si>
  <si>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</si>
  <si>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</si>
  <si>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</si>
  <si>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</si>
  <si>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</si>
  <si>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</si>
  <si>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</si>
  <si>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</si>
  <si>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</si>
  <si>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</si>
  <si>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</si>
  <si>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</si>
  <si>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</si>
  <si>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</si>
  <si>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</si>
  <si>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</si>
  <si>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</si>
  <si>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</si>
  <si>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</si>
  <si>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</si>
  <si>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</si>
  <si>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</si>
  <si>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</si>
  <si>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</si>
  <si>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</si>
  <si>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</si>
  <si>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</si>
  <si>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</si>
  <si>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</si>
  <si>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</si>
  <si>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</si>
  <si>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</si>
  <si>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</si>
  <si>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</si>
  <si>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</si>
  <si>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</si>
  <si>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</si>
  <si>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</si>
  <si>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</si>
  <si>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</si>
  <si>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</si>
  <si>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</si>
  <si>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</si>
  <si>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</si>
  <si>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</si>
  <si>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</si>
  <si>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</si>
  <si>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</si>
  <si>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</si>
  <si>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</si>
  <si>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</si>
  <si>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</si>
  <si>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</si>
  <si>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</si>
  <si>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</si>
  <si>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</si>
  <si>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</si>
  <si>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</si>
  <si>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</si>
  <si>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</si>
  <si>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</si>
  <si>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</si>
  <si>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</si>
  <si>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</si>
  <si>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</si>
  <si>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</si>
  <si>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</si>
  <si>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</si>
  <si>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</si>
  <si>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</si>
  <si>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</si>
  <si>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</si>
  <si>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</si>
  <si>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</si>
  <si>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</si>
  <si>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</si>
  <si>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</si>
  <si>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</si>
  <si>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</si>
  <si>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</si>
  <si>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</si>
  <si>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</si>
  <si>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</si>
  <si>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</si>
  <si>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</si>
  <si>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</si>
  <si>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</si>
  <si>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</si>
  <si>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</si>
  <si>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</si>
  <si>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</si>
  <si>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</si>
  <si>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</si>
  <si>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</si>
  <si>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</si>
  <si>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</si>
  <si>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</si>
  <si>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</si>
  <si>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</si>
  <si>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</si>
  <si>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</si>
  <si>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</si>
  <si>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</si>
  <si>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</si>
  <si>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</si>
  <si>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</si>
  <si>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</si>
  <si>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</si>
  <si>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</si>
  <si>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</si>
  <si>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</si>
  <si>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</si>
  <si>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</si>
  <si>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</si>
  <si>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</si>
  <si>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</si>
  <si>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</si>
  <si>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</si>
  <si>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</si>
  <si>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</si>
  <si>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</si>
  <si>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</si>
  <si>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</si>
  <si>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</si>
  <si>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</si>
  <si>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</si>
  <si>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</si>
  <si>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</si>
  <si>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</si>
  <si>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</si>
  <si>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</si>
  <si>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</si>
  <si>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</si>
  <si>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</si>
  <si>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</si>
  <si>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</si>
  <si>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</si>
  <si>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</si>
  <si>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</si>
  <si>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</si>
  <si>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</si>
  <si>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</si>
  <si>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</si>
  <si>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</si>
  <si>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</si>
  <si>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</si>
  <si>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</si>
  <si>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</si>
  <si>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</si>
  <si>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</si>
  <si>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</si>
  <si>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</si>
  <si>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</si>
  <si>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</si>
  <si>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</si>
  <si>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</si>
  <si>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</si>
  <si>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</si>
  <si>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</si>
  <si>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</si>
  <si>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</si>
  <si>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</si>
  <si>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</si>
  <si>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</si>
  <si>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</si>
  <si>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</si>
  <si>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</si>
  <si>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</si>
  <si>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</si>
  <si>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</si>
  <si>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</si>
  <si>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</si>
  <si>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</si>
  <si>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</si>
  <si>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</si>
  <si>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</si>
  <si>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</si>
  <si>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</si>
  <si>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</si>
  <si>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</si>
  <si>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</si>
  <si>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</si>
  <si>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</si>
  <si>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</si>
  <si>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</si>
  <si>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</si>
  <si>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</si>
  <si>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</si>
  <si>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</si>
  <si>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</si>
  <si>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</si>
  <si>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</si>
  <si>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</si>
  <si>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</si>
  <si>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</si>
  <si>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</si>
  <si>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</si>
  <si>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</si>
  <si>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</si>
  <si>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</si>
  <si>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</si>
  <si>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</si>
  <si>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</si>
  <si>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</si>
  <si>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</si>
  <si>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</si>
  <si>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</si>
  <si>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</si>
  <si>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</si>
  <si>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</si>
  <si>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</si>
  <si>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</si>
  <si>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</si>
  <si>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</si>
  <si>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</si>
  <si>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</si>
  <si>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</si>
  <si>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</si>
  <si>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</si>
  <si>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</si>
  <si>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</si>
  <si>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</si>
  <si>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</si>
  <si>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</si>
  <si>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</si>
  <si>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</si>
  <si>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</si>
  <si>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</si>
  <si>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</si>
  <si>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</si>
  <si>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</si>
  <si>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</si>
  <si>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</si>
  <si>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</si>
  <si>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</si>
  <si>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</si>
  <si>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</si>
  <si>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</si>
  <si>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</si>
  <si>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</si>
  <si>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</si>
  <si>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</si>
  <si>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</si>
  <si>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</si>
  <si>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</si>
  <si>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</si>
  <si>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</si>
  <si>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</si>
  <si>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</si>
  <si>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</si>
  <si>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</si>
  <si>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</si>
  <si>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</si>
  <si>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</si>
  <si>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</si>
  <si>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</si>
  <si>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</si>
  <si>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</si>
  <si>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</si>
  <si>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</si>
  <si>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</si>
  <si>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</si>
  <si>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</si>
  <si>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</si>
  <si>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</si>
  <si>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</si>
  <si>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</si>
  <si>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</si>
  <si>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</si>
  <si>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</si>
  <si>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</si>
  <si>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</si>
  <si>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</si>
  <si>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</si>
  <si>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</si>
  <si>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</si>
  <si>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</si>
  <si>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</si>
  <si>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</si>
  <si>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</si>
  <si>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</si>
  <si>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</si>
  <si>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</si>
  <si>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</si>
  <si>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</si>
  <si>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</si>
  <si>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</si>
  <si>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</si>
  <si>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</si>
  <si>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</si>
  <si>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</si>
  <si>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</si>
  <si>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</si>
  <si>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</si>
  <si>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</si>
  <si>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</si>
  <si>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</si>
  <si>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</si>
  <si>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</si>
  <si>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</si>
  <si>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</si>
  <si>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</si>
  <si>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</si>
  <si>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</si>
  <si>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</si>
  <si>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</si>
  <si>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</si>
  <si>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</si>
  <si>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</si>
  <si>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</si>
  <si>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</si>
  <si>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</si>
  <si>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</si>
  <si>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</si>
  <si>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</si>
  <si>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</si>
  <si>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</si>
  <si>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</si>
  <si>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</si>
  <si>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</si>
  <si>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</si>
  <si>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</si>
  <si>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</si>
  <si>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</si>
  <si>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</si>
  <si>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</si>
  <si>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</si>
  <si>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</si>
  <si>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</si>
  <si>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</si>
  <si>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</si>
  <si>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</si>
  <si>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</si>
  <si>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</si>
  <si>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</si>
  <si>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</si>
  <si>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</si>
  <si>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</si>
  <si>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</si>
  <si>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</si>
  <si>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</si>
  <si>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</si>
  <si>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</si>
  <si>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</si>
  <si>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</si>
  <si>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</si>
  <si>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</si>
  <si>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</si>
  <si>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</si>
  <si>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</si>
  <si>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</si>
  <si>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</si>
  <si>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</si>
  <si>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</si>
  <si>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</si>
  <si>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</si>
  <si>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</si>
  <si>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</si>
  <si>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</si>
  <si>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</si>
  <si>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</si>
  <si>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</si>
  <si>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</si>
  <si>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</si>
  <si>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</si>
  <si>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</si>
  <si>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</si>
  <si>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</si>
  <si>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</si>
  <si>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</si>
  <si>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</si>
  <si>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</si>
  <si>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</si>
  <si>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</si>
  <si>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</si>
  <si>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</si>
  <si>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</si>
  <si>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</si>
  <si>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</si>
  <si>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</si>
  <si>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</si>
  <si>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</si>
  <si>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</si>
  <si>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</si>
  <si>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</si>
  <si>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</si>
  <si>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</si>
  <si>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</si>
  <si>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</si>
  <si>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</si>
  <si>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</si>
  <si>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</si>
  <si>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</si>
  <si>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</si>
  <si>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</si>
  <si>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</si>
  <si>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</si>
  <si>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</si>
  <si>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</si>
  <si>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</si>
  <si>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</si>
  <si>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</si>
  <si>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</si>
  <si>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</si>
  <si>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</si>
  <si>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</si>
  <si>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</si>
  <si>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</si>
  <si>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</si>
  <si>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</si>
  <si>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</si>
  <si>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</si>
  <si>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</si>
  <si>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</si>
  <si>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</si>
  <si>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</si>
  <si>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</si>
  <si>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</si>
  <si>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</si>
  <si>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</si>
  <si>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</si>
  <si>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</si>
  <si>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</si>
  <si>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</si>
  <si>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</si>
  <si>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</si>
  <si>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</si>
  <si>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</si>
  <si>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</si>
  <si>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</si>
  <si>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</si>
  <si>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</si>
  <si>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</si>
  <si>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</si>
  <si>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</si>
  <si>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</si>
  <si>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</si>
  <si>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</si>
  <si>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</si>
  <si>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</si>
  <si>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</si>
  <si>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</si>
  <si>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</si>
  <si>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</si>
  <si>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</si>
  <si>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</si>
  <si>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</si>
  <si>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</si>
  <si>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</si>
  <si>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</si>
  <si>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</si>
  <si>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</si>
  <si>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</si>
  <si>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</si>
  <si>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</si>
  <si>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</si>
  <si>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</si>
  <si>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</si>
  <si>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</si>
  <si>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</si>
  <si>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</si>
  <si>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</si>
  <si>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</si>
  <si>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</si>
  <si>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</si>
  <si>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</si>
  <si>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</si>
  <si>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</si>
  <si>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</si>
  <si>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</si>
  <si>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</si>
  <si>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</si>
  <si>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</si>
  <si>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</si>
  <si>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</si>
  <si>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</si>
  <si>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</si>
  <si>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</si>
  <si>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</si>
  <si>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</si>
  <si>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</si>
  <si>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</si>
  <si>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</si>
  <si>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</si>
  <si>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</si>
  <si>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</si>
  <si>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</si>
  <si>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</si>
  <si>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</si>
  <si>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</si>
  <si>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</si>
  <si>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</si>
  <si>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</si>
  <si>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</si>
  <si>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</si>
  <si>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</si>
  <si>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</si>
  <si>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</si>
  <si>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</si>
  <si>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</si>
  <si>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</si>
  <si>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</si>
  <si>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</si>
  <si>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</si>
  <si>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</si>
  <si>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</si>
  <si>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</si>
  <si>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</si>
  <si>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</si>
  <si>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</si>
  <si>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</si>
  <si>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</si>
  <si>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</si>
  <si>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</si>
  <si>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</si>
  <si>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</si>
  <si>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</si>
  <si>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</si>
  <si>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</si>
  <si>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</si>
  <si>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</si>
  <si>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</si>
  <si>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</si>
  <si>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</si>
  <si>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</si>
  <si>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</si>
  <si>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</si>
  <si>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</si>
  <si>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</si>
  <si>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</si>
  <si>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</si>
  <si>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</si>
  <si>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</si>
  <si>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</si>
  <si>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</si>
  <si>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</si>
  <si>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</si>
  <si>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</si>
  <si>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</si>
  <si>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</si>
  <si>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</si>
  <si>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</si>
  <si>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</si>
  <si>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</si>
  <si>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</si>
  <si>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</si>
  <si>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</si>
  <si>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</si>
  <si>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</si>
  <si>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</si>
  <si>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</si>
  <si>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</si>
  <si>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</si>
  <si>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</si>
  <si>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</si>
  <si>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</si>
  <si>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</si>
  <si>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</si>
  <si>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</si>
  <si>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</si>
  <si>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</si>
  <si>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</si>
  <si>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</si>
  <si>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</si>
  <si>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</si>
  <si>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</si>
  <si>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</si>
  <si>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</si>
  <si>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</si>
  <si>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</si>
  <si>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</si>
  <si>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</si>
  <si>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</si>
  <si>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</si>
  <si>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</si>
  <si>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</si>
  <si>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</si>
  <si>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</si>
  <si>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</si>
  <si>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</si>
  <si>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</si>
  <si>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</si>
  <si>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</si>
  <si>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</si>
  <si>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</si>
  <si>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</si>
  <si>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</si>
  <si>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</si>
  <si>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</si>
  <si>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</si>
  <si>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</si>
  <si>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</si>
  <si>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</si>
  <si>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</si>
  <si>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</si>
  <si>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</si>
  <si>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</si>
  <si>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</si>
  <si>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</si>
  <si>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</si>
  <si>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</si>
  <si>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</si>
  <si>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</si>
  <si>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</si>
  <si>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</si>
  <si>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</si>
  <si>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</si>
  <si>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</si>
  <si>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</si>
  <si>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</si>
  <si>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</si>
  <si>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</si>
  <si>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</si>
  <si>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</si>
  <si>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</si>
  <si>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</si>
  <si>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</si>
  <si>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</si>
  <si>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</si>
  <si>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</si>
  <si>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</si>
  <si>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</si>
  <si>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</si>
  <si>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</si>
  <si>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</si>
  <si>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</si>
  <si>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</si>
  <si>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</si>
  <si>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</si>
  <si>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</si>
  <si>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</si>
  <si>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</si>
  <si>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</si>
  <si>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</si>
  <si>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</si>
  <si>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</si>
  <si>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</si>
  <si>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</si>
  <si>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</si>
  <si>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</si>
  <si>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</si>
  <si>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</si>
  <si>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</si>
  <si>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</si>
  <si>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</si>
  <si>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</si>
  <si>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</si>
  <si>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</si>
  <si>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</si>
  <si>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</si>
  <si>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</si>
  <si>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</si>
  <si>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</si>
  <si>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</si>
  <si>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</si>
  <si>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</si>
  <si>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</si>
  <si>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</si>
  <si>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</si>
  <si>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</si>
  <si>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</si>
  <si>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</si>
  <si>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</si>
  <si>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</si>
  <si>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</si>
  <si>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</si>
  <si>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</si>
  <si>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</si>
  <si>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</si>
  <si>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</si>
  <si>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</si>
  <si>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</si>
  <si>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</si>
  <si>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</si>
  <si>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</si>
  <si>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</si>
  <si>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</si>
  <si>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</si>
  <si>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</si>
  <si>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</si>
  <si>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</si>
  <si>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</si>
  <si>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</si>
  <si>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</si>
  <si>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</si>
  <si>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</si>
  <si>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</si>
  <si>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</si>
  <si>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</si>
  <si>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</si>
  <si>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</si>
  <si>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</si>
  <si>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</si>
  <si>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</si>
  <si>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</si>
  <si>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</si>
  <si>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</si>
  <si>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</si>
  <si>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</si>
  <si>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</si>
  <si>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</si>
  <si>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</si>
  <si>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</si>
  <si>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</si>
  <si>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</si>
  <si>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</si>
  <si>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</si>
  <si>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</si>
  <si>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</si>
  <si>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</si>
  <si>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</si>
  <si>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</si>
  <si>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</si>
  <si>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</si>
  <si>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</si>
  <si>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</si>
  <si>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</si>
  <si>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</si>
  <si>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</si>
  <si>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</si>
  <si>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</si>
  <si>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</si>
  <si>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</si>
  <si>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</si>
  <si>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</si>
  <si>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</si>
  <si>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</si>
  <si>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</si>
  <si>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</si>
  <si>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</si>
  <si>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</si>
  <si>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</si>
  <si>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</si>
  <si>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</si>
  <si>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</si>
  <si>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</si>
  <si>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</si>
  <si>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</si>
  <si>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</si>
  <si>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</si>
  <si>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</si>
  <si>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</si>
  <si>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</si>
  <si>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</si>
  <si>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</si>
  <si>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</si>
  <si>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</si>
  <si>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</si>
  <si>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</si>
  <si>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</si>
  <si>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</si>
  <si>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</si>
  <si>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</si>
  <si>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</si>
  <si>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</si>
  <si>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</si>
  <si>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</si>
  <si>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</si>
  <si>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</si>
  <si>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</si>
  <si>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</si>
  <si>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</si>
  <si>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</si>
  <si>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</si>
  <si>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</si>
  <si>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</si>
  <si>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</si>
  <si>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</si>
  <si>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</si>
  <si>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</si>
  <si>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</si>
  <si>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</si>
  <si>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</si>
  <si>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</si>
  <si>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</si>
  <si>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</si>
  <si>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</si>
  <si>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</si>
  <si>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</si>
  <si>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</si>
  <si>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</si>
  <si>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</si>
  <si>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</si>
  <si>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</si>
  <si>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</si>
  <si>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</si>
  <si>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</si>
  <si>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</si>
  <si>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</si>
  <si>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</si>
  <si>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</si>
  <si>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</si>
  <si>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</si>
  <si>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</si>
  <si>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</si>
  <si>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</si>
  <si>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</si>
  <si>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</si>
  <si>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</si>
  <si>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</si>
  <si>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</si>
  <si>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</si>
  <si>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</si>
  <si>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</si>
  <si>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</si>
  <si>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</si>
  <si>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</si>
  <si>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</si>
  <si>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</si>
  <si>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</si>
  <si>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</si>
  <si>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</si>
  <si>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</si>
  <si>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</si>
  <si>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</si>
  <si>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</si>
  <si>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</si>
  <si>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</si>
  <si>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</si>
  <si>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</si>
  <si>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</si>
  <si>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</si>
  <si>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</si>
  <si>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</si>
  <si>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</si>
  <si>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</si>
  <si>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</si>
  <si>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</si>
  <si>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</si>
  <si>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</si>
  <si>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</si>
  <si>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</si>
  <si>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</si>
  <si>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</si>
  <si>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</si>
  <si>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</si>
  <si>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</si>
  <si>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</si>
  <si>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</si>
  <si>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</si>
  <si>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</si>
  <si>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</si>
  <si>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</si>
  <si>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</si>
  <si>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</si>
  <si>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</si>
  <si>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</si>
  <si>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</si>
  <si>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</si>
  <si>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</si>
  <si>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</si>
  <si>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</si>
  <si>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</si>
  <si>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</si>
  <si>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</si>
  <si>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</si>
  <si>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</si>
  <si>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</si>
  <si>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</si>
  <si>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</si>
  <si>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</si>
  <si>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</si>
  <si>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</si>
  <si>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</si>
  <si>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</si>
  <si>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</si>
  <si>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</si>
  <si>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</si>
  <si>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</si>
  <si>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</si>
  <si>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</si>
  <si>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</si>
  <si>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</si>
  <si>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</si>
  <si>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</si>
  <si>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</si>
  <si>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</si>
  <si>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</si>
  <si>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</si>
  <si>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</si>
  <si>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</si>
  <si>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</si>
  <si>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</si>
  <si>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</si>
  <si>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</si>
  <si>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</si>
  <si>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</si>
  <si>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</si>
  <si>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</si>
  <si>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</si>
  <si>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</si>
  <si>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</si>
  <si>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</si>
  <si>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</si>
  <si>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</si>
  <si>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</si>
  <si>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</si>
  <si>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</si>
  <si>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</si>
  <si>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</si>
  <si>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</si>
  <si>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</si>
  <si>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</si>
  <si>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</si>
  <si>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</si>
  <si>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</si>
  <si>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</si>
  <si>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</si>
  <si>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</si>
  <si>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</si>
  <si>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</si>
  <si>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</si>
  <si>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</si>
  <si>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</si>
  <si>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</si>
  <si>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</si>
  <si>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</si>
  <si>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</si>
  <si>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</si>
  <si>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</si>
  <si>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</si>
  <si>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</si>
  <si>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</si>
  <si>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</si>
  <si>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</si>
  <si>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</si>
  <si>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</si>
  <si>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</si>
  <si>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</si>
  <si>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</si>
  <si>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</si>
  <si>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</si>
  <si>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</si>
  <si>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</si>
  <si>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</si>
  <si>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</si>
  <si>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</si>
  <si>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</si>
  <si>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</si>
  <si>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</si>
  <si>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</si>
  <si>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</si>
  <si>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</si>
  <si>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</si>
  <si>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</si>
  <si>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</si>
  <si>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</si>
  <si>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</si>
  <si>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</si>
  <si>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</si>
  <si>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</si>
  <si>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</si>
  <si>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</si>
  <si>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</si>
  <si>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</si>
  <si>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</si>
  <si>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</si>
  <si>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</si>
  <si>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</si>
  <si>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</si>
  <si>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</si>
  <si>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</si>
  <si>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</si>
  <si>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</si>
  <si>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</si>
  <si>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</si>
  <si>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</si>
  <si>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</si>
  <si>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</si>
  <si>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</si>
  <si>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</si>
  <si>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</si>
  <si>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</si>
  <si>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</si>
  <si>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</si>
  <si>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</si>
  <si>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</si>
  <si>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</si>
  <si>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</si>
  <si>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</si>
  <si>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</si>
  <si>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</si>
  <si>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</si>
  <si>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</si>
  <si>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</si>
  <si>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</si>
  <si>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</si>
  <si>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</si>
  <si>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</si>
  <si>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</si>
  <si>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</si>
  <si>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</si>
  <si>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</si>
  <si>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</si>
  <si>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</si>
  <si>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</si>
  <si>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</si>
  <si>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</si>
  <si>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</si>
  <si>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</si>
  <si>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</si>
  <si>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</si>
  <si>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</si>
  <si>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</si>
  <si>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</si>
  <si>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</si>
  <si>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</si>
  <si>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</si>
  <si>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</si>
  <si>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</si>
  <si>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</si>
  <si>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</si>
  <si>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</si>
  <si>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</si>
  <si>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</si>
  <si>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</si>
  <si>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</si>
  <si>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</si>
  <si>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</si>
  <si>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</si>
  <si>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</si>
  <si>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</si>
  <si>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</si>
  <si>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</si>
  <si>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</si>
  <si>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</si>
  <si>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</si>
  <si>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</si>
  <si>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</si>
  <si>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</si>
  <si>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</si>
  <si>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</si>
  <si>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</si>
  <si>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</si>
  <si>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</si>
  <si>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</si>
  <si>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</si>
  <si>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</si>
  <si>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</si>
  <si>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</si>
  <si>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</si>
  <si>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</si>
  <si>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</si>
  <si>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</si>
  <si>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</si>
  <si>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</si>
  <si>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</si>
  <si>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</si>
  <si>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</si>
  <si>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</si>
  <si>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</si>
  <si>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</si>
  <si>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</si>
  <si>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</si>
  <si>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</si>
  <si>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</si>
  <si>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</si>
  <si>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</si>
  <si>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</si>
  <si>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</si>
  <si>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</si>
  <si>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</si>
  <si>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</si>
  <si>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</si>
  <si>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</si>
  <si>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</si>
  <si>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</si>
  <si>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</si>
  <si>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</si>
  <si>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</si>
  <si>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</si>
  <si>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</si>
  <si>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</si>
  <si>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</si>
  <si>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</si>
  <si>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</si>
  <si>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</si>
  <si>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</si>
  <si>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</si>
  <si>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</si>
  <si>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</si>
  <si>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</si>
  <si>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</si>
  <si>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</si>
  <si>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</si>
  <si>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</si>
  <si>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</si>
  <si>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</si>
  <si>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</si>
  <si>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</si>
  <si>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</si>
  <si>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</si>
  <si>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</si>
  <si>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</si>
  <si>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</si>
  <si>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</si>
  <si>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</si>
  <si>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</si>
  <si>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</si>
  <si>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</si>
  <si>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</si>
  <si>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</si>
  <si>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</si>
  <si>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</si>
  <si>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</si>
  <si>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</si>
  <si>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</si>
  <si>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</si>
  <si>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</si>
  <si>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</si>
  <si>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</si>
  <si>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</si>
  <si>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</si>
  <si>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</si>
  <si>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</si>
  <si>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</si>
  <si>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</si>
  <si>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</si>
  <si>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</si>
  <si>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</si>
  <si>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</si>
  <si>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</si>
  <si>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</si>
  <si>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</si>
  <si>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</si>
  <si>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</si>
  <si>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</si>
  <si>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</si>
  <si>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</si>
  <si>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</si>
  <si>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</si>
  <si>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</si>
  <si>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</si>
  <si>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</si>
  <si>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</si>
  <si>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</si>
  <si>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</si>
  <si>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</si>
  <si>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</si>
  <si>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</si>
  <si>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</si>
  <si>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</si>
  <si>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</si>
  <si>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</si>
  <si>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</si>
  <si>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</si>
  <si>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</si>
  <si>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</si>
  <si>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</si>
  <si>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</si>
  <si>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</si>
  <si>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</si>
  <si>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</si>
  <si>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</si>
  <si>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</si>
  <si>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</si>
  <si>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</si>
  <si>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</si>
  <si>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</si>
  <si>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</si>
  <si>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</si>
  <si>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</si>
  <si>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</si>
  <si>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</si>
  <si>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</si>
  <si>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</si>
  <si>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</si>
  <si>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</si>
  <si>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</si>
  <si>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</si>
  <si>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</si>
  <si>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</si>
  <si>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</si>
  <si>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</si>
  <si>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</si>
  <si>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</si>
  <si>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</si>
  <si>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</si>
  <si>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</si>
  <si>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</si>
  <si>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</si>
  <si>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</si>
  <si>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</si>
  <si>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</si>
  <si>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</si>
  <si>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</si>
  <si>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</si>
  <si>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</si>
  <si>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</si>
  <si>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</si>
  <si>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</si>
  <si>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</si>
  <si>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</si>
  <si>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</si>
  <si>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</si>
  <si>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</si>
  <si>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</si>
  <si>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</si>
  <si>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</si>
  <si>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</si>
  <si>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</si>
  <si>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</si>
  <si>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</si>
  <si>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</si>
  <si>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</si>
  <si>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</si>
  <si>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</si>
  <si>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</si>
  <si>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</si>
  <si>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</si>
  <si>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</si>
  <si>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</si>
  <si>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</si>
  <si>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</si>
  <si>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</si>
  <si>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</si>
  <si>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</si>
  <si>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</si>
  <si>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</si>
  <si>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</si>
  <si>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</si>
  <si>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</si>
  <si>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</si>
  <si>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</si>
  <si>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</si>
  <si>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</si>
  <si>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</si>
  <si>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</si>
  <si>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</si>
  <si>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</si>
  <si>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</si>
  <si>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</si>
  <si>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</si>
  <si>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</si>
  <si>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</si>
  <si>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</si>
  <si>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</si>
  <si>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</si>
  <si>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</si>
  <si>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</si>
  <si>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</si>
  <si>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</si>
  <si>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</si>
  <si>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</si>
  <si>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</si>
  <si>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</si>
  <si>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</si>
  <si>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</si>
  <si>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</si>
  <si>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</si>
  <si>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</si>
  <si>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</si>
  <si>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</si>
  <si>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</si>
  <si>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</si>
  <si>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</si>
  <si>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</si>
  <si>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</si>
  <si>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</si>
  <si>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</si>
  <si>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</si>
  <si>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</si>
  <si>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</si>
  <si>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</si>
  <si>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</si>
  <si>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</si>
  <si>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</si>
  <si>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</si>
  <si>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</si>
  <si>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</si>
  <si>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</si>
  <si>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</si>
  <si>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</si>
  <si>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</si>
  <si>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</si>
  <si>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</si>
  <si>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</si>
  <si>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</si>
  <si>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</si>
  <si>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</si>
  <si>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</si>
  <si>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</si>
  <si>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</si>
  <si>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</si>
  <si>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</si>
  <si>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</si>
  <si>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</si>
  <si>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</si>
  <si>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</si>
  <si>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</si>
  <si>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</si>
  <si>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</si>
  <si>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</si>
  <si>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</si>
  <si>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</si>
  <si>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</si>
  <si>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</si>
  <si>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</si>
  <si>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</si>
  <si>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</si>
  <si>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</si>
  <si>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</si>
  <si>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</si>
  <si>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</si>
  <si>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</si>
  <si>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</si>
  <si>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</si>
  <si>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</si>
  <si>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</si>
  <si>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</si>
  <si>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</si>
  <si>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</si>
  <si>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</si>
  <si>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</si>
  <si>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</si>
  <si>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</si>
  <si>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</si>
  <si>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</si>
  <si>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</si>
  <si>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</si>
  <si>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</si>
  <si>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</si>
  <si>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</si>
  <si>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</si>
  <si>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</si>
  <si>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</si>
  <si>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</si>
  <si>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</si>
  <si>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</si>
  <si>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</si>
  <si>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</si>
  <si>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</si>
  <si>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</si>
  <si>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</si>
  <si>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</si>
  <si>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</si>
  <si>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</si>
  <si>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</si>
  <si>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</si>
  <si>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</si>
  <si>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</si>
  <si>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</si>
  <si>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</si>
  <si>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</si>
  <si>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</si>
  <si>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</si>
  <si>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</si>
  <si>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</si>
  <si>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</si>
  <si>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</si>
  <si>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</si>
  <si>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</si>
  <si>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</si>
  <si>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</si>
  <si>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</si>
  <si>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</si>
  <si>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</si>
  <si>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</si>
  <si>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</si>
  <si>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</si>
  <si>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</si>
  <si>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</si>
  <si>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</si>
  <si>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</si>
  <si>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</si>
  <si>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</si>
  <si>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</si>
  <si>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</si>
  <si>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</si>
  <si>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</si>
  <si>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</si>
  <si>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</si>
  <si>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</si>
  <si>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</si>
  <si>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</si>
  <si>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</si>
  <si>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</si>
  <si>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</si>
  <si>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</si>
  <si>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</si>
  <si>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</si>
  <si>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</si>
  <si>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</si>
  <si>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</si>
  <si>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</si>
  <si>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</si>
  <si>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</si>
  <si>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</si>
  <si>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</si>
  <si>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</si>
  <si>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</si>
  <si>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</si>
  <si>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</si>
  <si>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</si>
  <si>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</si>
  <si>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</si>
  <si>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</si>
  <si>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</si>
  <si>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</si>
  <si>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</si>
  <si>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</si>
  <si>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</si>
  <si>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</si>
  <si>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</si>
  <si>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</si>
  <si>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</si>
  <si>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</si>
  <si>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</si>
  <si>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</si>
  <si>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</si>
  <si>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</si>
  <si>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</si>
  <si>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</si>
  <si>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</si>
  <si>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</si>
  <si>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</si>
  <si>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</si>
  <si>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</si>
  <si>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</si>
  <si>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</si>
  <si>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</si>
  <si>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</si>
  <si>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</si>
  <si>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</si>
  <si>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</si>
  <si>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</si>
  <si>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</si>
  <si>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</si>
  <si>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</si>
  <si>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</si>
  <si>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</si>
  <si>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</si>
  <si>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</si>
  <si>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</si>
  <si>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</si>
  <si>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</si>
  <si>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</si>
  <si>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</si>
  <si>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</si>
  <si>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</si>
  <si>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</si>
  <si>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</si>
  <si>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</si>
  <si>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</si>
  <si>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</si>
  <si>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</si>
  <si>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</si>
  <si>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</si>
  <si>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</si>
  <si>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</si>
  <si>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</si>
  <si>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</si>
  <si>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</si>
  <si>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</si>
  <si>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</si>
  <si>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</si>
  <si>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</si>
  <si>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</si>
  <si>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</si>
  <si>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</si>
  <si>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</si>
  <si>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</si>
  <si>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</si>
  <si>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</si>
  <si>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</si>
  <si>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</si>
  <si>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</si>
  <si>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</si>
  <si>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</si>
  <si>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</si>
  <si>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</si>
  <si>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</si>
  <si>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</si>
  <si>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</si>
  <si>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</si>
  <si>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</si>
  <si>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</si>
  <si>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</si>
  <si>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</si>
  <si>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</si>
  <si>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</si>
  <si>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</si>
  <si>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</si>
  <si>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</si>
  <si>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</si>
  <si>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</si>
  <si>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</si>
  <si>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</si>
  <si>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</si>
  <si>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</si>
  <si>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</si>
  <si>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</si>
  <si>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</si>
  <si>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</si>
  <si>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</si>
  <si>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</si>
  <si>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</si>
  <si>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</si>
  <si>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</si>
  <si>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</si>
  <si>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</si>
  <si>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</si>
  <si>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</si>
  <si>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</si>
  <si>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</si>
  <si>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</si>
  <si>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</si>
  <si>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</si>
  <si>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</si>
  <si>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</si>
  <si>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</si>
  <si>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</si>
  <si>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</si>
  <si>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</si>
  <si>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</si>
  <si>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</si>
  <si>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</si>
  <si>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</si>
  <si>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</si>
  <si>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</si>
  <si>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</si>
  <si>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</si>
  <si>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</si>
  <si>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</si>
  <si>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</si>
  <si>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</si>
  <si>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</si>
  <si>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</si>
  <si>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</si>
  <si>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</si>
  <si>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</si>
  <si>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</si>
  <si>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</si>
  <si>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</si>
  <si>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</si>
  <si>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</si>
  <si>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</si>
  <si>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</si>
  <si>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</si>
  <si>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</si>
  <si>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</si>
  <si>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</si>
  <si>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</si>
  <si>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</si>
  <si>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</si>
  <si>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</si>
  <si>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</si>
  <si>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</si>
  <si>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</si>
  <si>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</si>
  <si>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</si>
  <si>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</si>
  <si>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</si>
  <si>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</si>
  <si>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</si>
  <si>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</si>
  <si>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</si>
  <si>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</si>
  <si>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</si>
  <si>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</si>
  <si>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</si>
  <si>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</si>
  <si>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</si>
  <si>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</si>
  <si>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</si>
  <si>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</si>
  <si>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</si>
  <si>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</si>
  <si>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</si>
  <si>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</si>
  <si>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</si>
  <si>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</si>
  <si>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</si>
  <si>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</si>
  <si>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</si>
  <si>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</si>
  <si>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</si>
  <si>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</si>
  <si>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</si>
  <si>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</si>
  <si>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</si>
  <si>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</si>
  <si>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</si>
  <si>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</si>
  <si>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</si>
  <si>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</si>
  <si>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</si>
  <si>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</si>
  <si>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</si>
  <si>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</si>
  <si>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</si>
  <si>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</si>
  <si>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</si>
  <si>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</si>
  <si>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</si>
  <si>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</si>
  <si>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</si>
  <si>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</si>
  <si>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</si>
  <si>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</si>
  <si>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</si>
  <si>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</si>
  <si>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</si>
  <si>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</si>
  <si>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</si>
  <si>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</si>
  <si>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</si>
  <si>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</si>
  <si>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</si>
  <si>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</si>
  <si>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</si>
  <si>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</si>
  <si>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</si>
  <si>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</si>
  <si>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</si>
  <si>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</si>
  <si>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</si>
  <si>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</si>
  <si>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</si>
  <si>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</si>
  <si>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</si>
  <si>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</si>
  <si>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</si>
  <si>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</si>
  <si>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</si>
  <si>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</si>
  <si>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</si>
  <si>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</si>
  <si>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</si>
  <si>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</si>
  <si>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</si>
  <si>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</si>
  <si>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</si>
  <si>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</si>
  <si>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</si>
  <si>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</si>
  <si>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</si>
  <si>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</si>
  <si>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</si>
  <si>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</si>
  <si>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</si>
  <si>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</si>
  <si>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</si>
  <si>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</si>
  <si>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</si>
  <si>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</si>
  <si>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</si>
  <si>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</si>
  <si>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</si>
  <si>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</si>
  <si>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</si>
  <si>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</si>
  <si>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</si>
  <si>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</si>
  <si>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</si>
  <si>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</si>
  <si>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</si>
  <si>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</si>
  <si>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</si>
  <si>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</si>
  <si>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</si>
  <si>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</si>
  <si>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</si>
  <si>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</si>
  <si>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</si>
  <si>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</si>
  <si>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</si>
  <si>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</si>
  <si>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</si>
  <si>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</si>
  <si>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</si>
  <si>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</si>
  <si>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</si>
  <si>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</si>
  <si>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</si>
  <si>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</si>
  <si>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</si>
  <si>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</si>
  <si>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</si>
  <si>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</si>
  <si>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</si>
  <si>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</si>
  <si>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</si>
  <si>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</si>
  <si>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</si>
  <si>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</si>
  <si>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</si>
  <si>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</si>
  <si>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</si>
  <si>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</si>
  <si>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</si>
  <si>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</si>
  <si>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</si>
  <si>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</si>
  <si>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</si>
  <si>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</si>
  <si>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</si>
  <si>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</si>
  <si>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</si>
  <si>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</si>
  <si>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</si>
  <si>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</si>
  <si>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</si>
  <si>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</si>
  <si>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</si>
  <si>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</si>
  <si>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</si>
  <si>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</si>
  <si>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</si>
  <si>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</si>
  <si>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</si>
  <si>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</si>
  <si>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</si>
  <si>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</si>
  <si>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</si>
  <si>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</si>
  <si>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</si>
  <si>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</si>
  <si>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</si>
  <si>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</si>
  <si>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</si>
  <si>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</si>
  <si>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</si>
  <si>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</si>
  <si>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</si>
  <si>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</si>
  <si>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</si>
  <si>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</si>
  <si>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</si>
  <si>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</si>
  <si>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</si>
  <si>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</si>
  <si>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</si>
  <si>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</si>
  <si>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</si>
  <si>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</si>
  <si>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</si>
  <si>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</si>
  <si>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</si>
  <si>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</si>
  <si>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</si>
  <si>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</si>
  <si>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</si>
  <si>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</si>
  <si>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</si>
  <si>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</si>
  <si>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</si>
  <si>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</si>
  <si>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</si>
  <si>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</si>
  <si>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</si>
  <si>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</si>
  <si>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</si>
  <si>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</si>
  <si>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</si>
  <si>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</si>
  <si>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</si>
  <si>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</si>
  <si>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</si>
  <si>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</si>
  <si>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</si>
  <si>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</si>
  <si>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</si>
  <si>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</si>
  <si>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</si>
  <si>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</si>
  <si>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</si>
  <si>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</si>
  <si>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</si>
  <si>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</si>
  <si>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</si>
  <si>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</si>
  <si>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</si>
  <si>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</si>
  <si>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</si>
  <si>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</si>
  <si>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</si>
  <si>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</si>
  <si>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</si>
  <si>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</si>
  <si>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</si>
  <si>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</si>
  <si>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</si>
  <si>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</si>
  <si>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</si>
  <si>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</si>
  <si>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</si>
  <si>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</si>
  <si>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</si>
  <si>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</si>
  <si>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</si>
  <si>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</si>
  <si>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</si>
  <si>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</si>
  <si>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</si>
  <si>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</si>
  <si>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</si>
  <si>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</si>
  <si>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</si>
  <si>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</si>
  <si>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</si>
  <si>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</si>
  <si>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</si>
  <si>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</si>
  <si>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</si>
  <si>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</si>
  <si>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</si>
  <si>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</si>
  <si>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</si>
  <si>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</si>
  <si>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</si>
  <si>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</si>
  <si>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</si>
  <si>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</si>
  <si>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</si>
  <si>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</si>
  <si>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</si>
  <si>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</si>
  <si>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</si>
  <si>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</si>
  <si>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</si>
  <si>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</si>
  <si>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</si>
  <si>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</si>
  <si>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</si>
  <si>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</si>
  <si>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</si>
  <si>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</si>
  <si>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</si>
  <si>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</si>
  <si>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</si>
  <si>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</si>
  <si>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</si>
  <si>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</si>
  <si>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</si>
  <si>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</si>
  <si>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</si>
  <si>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</si>
  <si>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</si>
  <si>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</si>
  <si>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</si>
  <si>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</si>
  <si>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</si>
  <si>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</si>
  <si>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</si>
  <si>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</si>
  <si>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</si>
  <si>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</si>
  <si>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</si>
  <si>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</si>
  <si>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</si>
  <si>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</si>
  <si>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</si>
  <si>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</si>
  <si>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</si>
  <si>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</si>
  <si>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</si>
  <si>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</si>
  <si>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</si>
  <si>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</si>
  <si>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</si>
  <si>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</si>
  <si>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</si>
  <si>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</si>
  <si>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</si>
  <si>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</si>
  <si>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</si>
  <si>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</si>
  <si>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</si>
  <si>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</si>
  <si>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</si>
  <si>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</si>
  <si>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</si>
  <si>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</si>
  <si>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</si>
  <si>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</si>
  <si>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</si>
  <si>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</si>
  <si>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</si>
  <si>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</si>
  <si>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</si>
  <si>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</si>
  <si>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</si>
  <si>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</si>
  <si>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</si>
  <si>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</si>
  <si>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</si>
  <si>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</si>
  <si>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</si>
  <si>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</si>
  <si>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</si>
  <si>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</si>
  <si>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</si>
  <si>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</si>
  <si>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</si>
  <si>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</si>
  <si>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</si>
  <si>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</si>
  <si>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</si>
  <si>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</si>
  <si>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</si>
  <si>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</si>
  <si>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</si>
  <si>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</si>
  <si>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</si>
  <si>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</si>
  <si>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</si>
  <si>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</si>
  <si>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</si>
  <si>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</si>
  <si>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</si>
  <si>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</si>
  <si>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</si>
  <si>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</si>
  <si>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</si>
  <si>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</si>
  <si>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</si>
  <si>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</si>
  <si>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</si>
  <si>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</si>
  <si>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</si>
  <si>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</si>
  <si>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</si>
  <si>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</si>
  <si>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</si>
  <si>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</si>
  <si>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</si>
  <si>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</si>
  <si>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</si>
  <si>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</si>
  <si>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</si>
  <si>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</si>
  <si>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</si>
  <si>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</si>
  <si>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</si>
  <si>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</si>
  <si>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</si>
  <si>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</si>
  <si>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</si>
  <si>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</si>
  <si>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</si>
  <si>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</si>
  <si>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</si>
  <si>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</si>
  <si>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</si>
  <si>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</si>
  <si>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</si>
  <si>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</si>
  <si>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</si>
  <si>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</si>
  <si>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</si>
  <si>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</si>
  <si>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</si>
  <si>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</si>
  <si>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</si>
  <si>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</si>
  <si>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</si>
  <si>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</si>
  <si>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</si>
  <si>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</si>
  <si>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</si>
  <si>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</si>
  <si>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</si>
  <si>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</si>
  <si>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</si>
  <si>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</si>
  <si>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</si>
  <si>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</si>
  <si>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</si>
  <si>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</si>
  <si>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</si>
  <si>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</si>
  <si>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</si>
  <si>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</si>
  <si>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</si>
  <si>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</si>
  <si>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</si>
  <si>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</si>
  <si>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</si>
  <si>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</si>
  <si>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</si>
  <si>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</si>
  <si>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</si>
  <si>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</si>
  <si>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</si>
  <si>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</si>
  <si>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</si>
  <si>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</si>
  <si>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</si>
  <si>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</si>
  <si>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</si>
  <si>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</si>
  <si>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</si>
  <si>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</si>
  <si>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</si>
  <si>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</si>
  <si>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</si>
  <si>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</si>
  <si>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</si>
  <si>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</si>
  <si>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</si>
  <si>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</si>
  <si>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</si>
  <si>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</si>
  <si>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</si>
  <si>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</si>
  <si>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</si>
  <si>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</si>
  <si>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</si>
  <si>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</si>
  <si>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</si>
  <si>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</si>
  <si>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</si>
  <si>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</si>
  <si>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</si>
  <si>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</si>
  <si>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</si>
  <si>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</si>
  <si>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</si>
  <si>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</si>
  <si>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</si>
  <si>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</si>
  <si>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</si>
  <si>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</si>
  <si>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</si>
  <si>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</si>
  <si>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</si>
  <si>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</si>
  <si>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</si>
  <si>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</si>
  <si>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</si>
  <si>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</si>
  <si>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</si>
  <si>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</si>
  <si>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</si>
  <si>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</si>
  <si>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</si>
  <si>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</si>
  <si>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</si>
  <si>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</si>
  <si>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</si>
  <si>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</si>
  <si>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</si>
  <si>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</si>
  <si>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</si>
  <si>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</si>
  <si>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</si>
  <si>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</si>
  <si>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</si>
  <si>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</si>
  <si>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</si>
  <si>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</si>
  <si>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</si>
  <si>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</si>
  <si>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</si>
  <si>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</si>
  <si>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</si>
  <si>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</si>
  <si>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</si>
  <si>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</si>
  <si>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</si>
  <si>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</si>
  <si>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</si>
  <si>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</si>
  <si>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</si>
  <si>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</si>
  <si>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</si>
  <si>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</si>
  <si>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</si>
  <si>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</si>
  <si>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</si>
  <si>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</si>
  <si>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</si>
  <si>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</si>
  <si>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</si>
  <si>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</si>
  <si>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</si>
  <si>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</si>
  <si>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</si>
  <si>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</si>
  <si>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</si>
  <si>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</si>
  <si>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</si>
  <si>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</si>
  <si>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</si>
  <si>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</si>
  <si>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</si>
  <si>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</si>
  <si>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</si>
  <si>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</si>
  <si>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</si>
  <si>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</si>
  <si>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</si>
  <si>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</si>
  <si>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</si>
  <si>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</si>
  <si>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</si>
  <si>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</si>
  <si>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</si>
  <si>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</si>
  <si>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</si>
  <si>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</si>
  <si>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</si>
  <si>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</si>
  <si>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</si>
  <si>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</si>
  <si>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</si>
  <si>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</si>
  <si>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</si>
  <si>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</si>
  <si>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</si>
  <si>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</si>
  <si>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</si>
  <si>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</si>
  <si>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</si>
  <si>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</si>
  <si>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</si>
  <si>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</si>
  <si>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</si>
  <si>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</si>
  <si>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</si>
  <si>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</si>
  <si>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</si>
  <si>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</si>
  <si>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</si>
  <si>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</si>
  <si>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</si>
  <si>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</si>
  <si>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</si>
  <si>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</si>
  <si>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</si>
  <si>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</si>
  <si>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</si>
  <si>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</si>
  <si>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</si>
  <si>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</si>
  <si>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</si>
  <si>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</si>
  <si>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</si>
  <si>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</si>
  <si>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</si>
  <si>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</si>
  <si>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</si>
  <si>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</si>
  <si>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</si>
  <si>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</si>
  <si>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</si>
  <si>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</si>
  <si>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</si>
  <si>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</si>
  <si>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</si>
  <si>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</si>
  <si>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</si>
  <si>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</si>
  <si>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</si>
  <si>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</si>
  <si>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</si>
  <si>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</si>
  <si>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</si>
  <si>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</si>
  <si>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</si>
  <si>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</si>
  <si>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</si>
  <si>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</si>
  <si>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</si>
  <si>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</si>
  <si>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</si>
  <si>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</si>
  <si>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</si>
  <si>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</si>
  <si>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</si>
  <si>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</si>
  <si>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</si>
  <si>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</si>
  <si>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</si>
  <si>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</si>
  <si>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</si>
  <si>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</si>
  <si>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</si>
  <si>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</si>
  <si>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</si>
  <si>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</si>
  <si>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</si>
  <si>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</si>
  <si>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</si>
  <si>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</si>
  <si>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</si>
  <si>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</si>
  <si>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</si>
  <si>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</si>
  <si>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</si>
  <si>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</si>
  <si>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</si>
  <si>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</si>
  <si>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</si>
  <si>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</si>
  <si>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</si>
  <si>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</si>
  <si>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</si>
  <si>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</si>
  <si>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</si>
  <si>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</si>
  <si>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</si>
  <si>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</si>
  <si>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</si>
  <si>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</si>
  <si>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</si>
  <si>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</si>
  <si>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</si>
  <si>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</si>
  <si>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</si>
  <si>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</si>
  <si>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</si>
  <si>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</si>
  <si>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</si>
  <si>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</si>
  <si>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</si>
  <si>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</si>
  <si>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</si>
  <si>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</si>
  <si>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</si>
  <si>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</si>
  <si>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</si>
  <si>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</si>
  <si>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</si>
  <si>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</si>
  <si>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</si>
  <si>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</si>
  <si>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</si>
  <si>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</si>
  <si>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</si>
  <si>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</si>
  <si>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</si>
  <si>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</si>
  <si>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</si>
  <si>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</si>
  <si>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</si>
  <si>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</si>
  <si>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</si>
  <si>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</si>
  <si>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</si>
  <si>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</si>
  <si>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</si>
  <si>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</si>
  <si>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</si>
  <si>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</si>
  <si>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</si>
  <si>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</si>
  <si>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</si>
  <si>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</si>
  <si>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</si>
  <si>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</si>
  <si>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</si>
  <si>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</si>
  <si>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</si>
  <si>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</si>
  <si>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</si>
  <si>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</si>
  <si>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</si>
  <si>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</si>
  <si>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</si>
  <si>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</si>
  <si>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</si>
  <si>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</si>
  <si>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</si>
  <si>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</si>
  <si>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</si>
  <si>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</si>
  <si>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</si>
  <si>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</si>
  <si>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</si>
  <si>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</si>
  <si>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</si>
  <si>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</si>
  <si>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</si>
  <si>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</si>
  <si>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</si>
  <si>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</si>
  <si>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</si>
  <si>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</si>
  <si>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</si>
  <si>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</si>
  <si>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</si>
  <si>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</si>
  <si>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</si>
  <si>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</si>
  <si>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</si>
  <si>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</si>
  <si>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</si>
  <si>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</si>
  <si>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</si>
  <si>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</si>
  <si>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</si>
  <si>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</si>
  <si>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</si>
  <si>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</si>
  <si>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</si>
  <si>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</si>
  <si>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</si>
  <si>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</si>
  <si>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</si>
  <si>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</si>
  <si>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</si>
  <si>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</si>
  <si>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</si>
  <si>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</si>
  <si>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</si>
  <si>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</si>
  <si>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</si>
  <si>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</si>
  <si>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</si>
  <si>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</si>
  <si>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</si>
  <si>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</si>
  <si>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</si>
  <si>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</si>
  <si>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</si>
  <si>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</si>
  <si>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</si>
  <si>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</si>
  <si>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</si>
  <si>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</si>
  <si>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</si>
  <si>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</si>
  <si>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</si>
  <si>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</si>
  <si>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</si>
  <si>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</si>
  <si>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</si>
  <si>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</si>
  <si>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</si>
  <si>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</si>
  <si>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</si>
  <si>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</si>
  <si>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</si>
  <si>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</si>
  <si>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</si>
  <si>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</si>
  <si>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</si>
  <si>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</si>
  <si>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</si>
  <si>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</si>
  <si>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</si>
  <si>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</si>
  <si>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</si>
  <si>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</si>
  <si>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</si>
  <si>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</si>
  <si>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</si>
  <si>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</si>
  <si>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</si>
  <si>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</si>
  <si>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</si>
  <si>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</si>
  <si>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</si>
  <si>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</si>
  <si>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</si>
  <si>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</si>
  <si>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</si>
  <si>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</si>
  <si>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</si>
  <si>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</si>
  <si>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</si>
  <si>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</si>
  <si>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</si>
  <si>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</si>
  <si>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</si>
  <si>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</si>
  <si>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</si>
  <si>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</si>
  <si>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</si>
  <si>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</si>
  <si>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</si>
  <si>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</si>
  <si>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</si>
  <si>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</si>
  <si>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</si>
  <si>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</si>
  <si>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</si>
  <si>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</si>
  <si>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</si>
  <si>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</si>
  <si>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</si>
  <si>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</si>
  <si>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</si>
  <si>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</si>
  <si>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</si>
  <si>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</si>
  <si>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</si>
  <si>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</si>
  <si>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</si>
  <si>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</si>
  <si>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</si>
  <si>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</si>
  <si>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</si>
  <si>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</si>
  <si>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</si>
  <si>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</si>
  <si>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</si>
  <si>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</si>
  <si>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</si>
  <si>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</si>
  <si>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</si>
  <si>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</si>
  <si>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</si>
  <si>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</si>
  <si>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</si>
  <si>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</si>
  <si>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</si>
  <si>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</si>
  <si>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</si>
  <si>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</si>
  <si>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</si>
  <si>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</si>
  <si>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</si>
  <si>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</si>
  <si>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</si>
  <si>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</si>
  <si>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</si>
  <si>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</si>
  <si>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</si>
  <si>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</si>
  <si>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</si>
  <si>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</si>
  <si>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</si>
  <si>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</si>
  <si>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</si>
  <si>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</si>
  <si>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</si>
  <si>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</si>
  <si>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</si>
  <si>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</si>
  <si>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</si>
  <si>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</si>
  <si>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</si>
  <si>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</si>
  <si>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</si>
  <si>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</si>
  <si>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</si>
  <si>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</si>
  <si>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</si>
  <si>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</si>
  <si>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</si>
  <si>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</si>
  <si>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</si>
  <si>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</si>
  <si>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</si>
  <si>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</si>
  <si>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</si>
  <si>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</si>
  <si>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</si>
  <si>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</si>
  <si>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</si>
  <si>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</si>
  <si>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</si>
  <si>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</si>
  <si>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</si>
  <si>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</si>
  <si>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</si>
  <si>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</si>
  <si>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</si>
  <si>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</si>
  <si>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</si>
  <si>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</si>
  <si>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</si>
  <si>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</si>
  <si>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</si>
  <si>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</si>
  <si>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</si>
  <si>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</si>
  <si>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</si>
  <si>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</si>
  <si>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</si>
  <si>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</si>
  <si>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</si>
  <si>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</si>
  <si>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</si>
  <si>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</si>
  <si>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</si>
  <si>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</si>
  <si>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</si>
  <si>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</si>
  <si>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</si>
  <si>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</si>
  <si>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</si>
  <si>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</si>
  <si>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</si>
  <si>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</si>
  <si>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</si>
  <si>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</si>
  <si>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</si>
  <si>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</si>
  <si>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</si>
  <si>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</si>
  <si>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</si>
  <si>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</si>
  <si>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</si>
  <si>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</si>
  <si>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</si>
  <si>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</si>
  <si>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</si>
  <si>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</si>
  <si>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</si>
  <si>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</si>
  <si>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</si>
  <si>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</si>
  <si>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</si>
  <si>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</si>
  <si>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</si>
  <si>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</si>
  <si>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</si>
  <si>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</si>
  <si>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</si>
  <si>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</si>
  <si>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</si>
  <si>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</si>
  <si>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</si>
  <si>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</si>
  <si>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</si>
  <si>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</si>
  <si>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</si>
  <si>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</si>
  <si>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</si>
  <si>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</si>
  <si>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</si>
  <si>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</si>
  <si>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</si>
  <si>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</si>
  <si>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</si>
  <si>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</si>
  <si>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</si>
  <si>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</si>
  <si>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</si>
  <si>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</si>
  <si>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</si>
  <si>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</si>
  <si>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</si>
  <si>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</si>
  <si>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</si>
  <si>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</si>
  <si>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</si>
  <si>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</si>
  <si>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</si>
  <si>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</si>
  <si>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</si>
  <si>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</si>
  <si>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</si>
  <si>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</si>
  <si>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</si>
  <si>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</si>
  <si>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</si>
  <si>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</si>
  <si>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</si>
  <si>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</si>
  <si>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</si>
  <si>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</si>
  <si>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</si>
  <si>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</si>
  <si>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</si>
  <si>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</si>
  <si>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</si>
  <si>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</si>
  <si>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</si>
  <si>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</si>
  <si>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</si>
  <si>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</si>
  <si>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</si>
  <si>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</si>
  <si>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</si>
  <si>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</si>
  <si>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</si>
  <si>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</si>
  <si>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</si>
  <si>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</si>
  <si>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</si>
  <si>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</si>
  <si>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</si>
  <si>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</si>
  <si>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</si>
  <si>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</si>
  <si>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</si>
  <si>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</si>
  <si>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</si>
  <si>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</si>
  <si>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</si>
  <si>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</si>
  <si>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</si>
  <si>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</si>
  <si>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</si>
  <si>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</si>
  <si>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</si>
  <si>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</si>
  <si>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</si>
  <si>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</si>
  <si>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</si>
  <si>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</si>
  <si>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</si>
  <si>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</si>
  <si>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</si>
  <si>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</si>
  <si>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</si>
  <si>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</si>
  <si>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</si>
  <si>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</si>
  <si>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</si>
  <si>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</si>
  <si>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</si>
  <si>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</si>
  <si>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</si>
  <si>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</si>
  <si>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</si>
  <si>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</si>
  <si>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</si>
  <si>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</si>
  <si>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</si>
  <si>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</si>
  <si>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</si>
  <si>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</si>
  <si>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</si>
  <si>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</si>
  <si>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</si>
  <si>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</si>
  <si>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</si>
  <si>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</si>
  <si>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</si>
  <si>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</si>
  <si>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</si>
  <si>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</si>
  <si>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</si>
  <si>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</si>
  <si>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</si>
  <si>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</si>
  <si>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</si>
  <si>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</si>
  <si>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</si>
  <si>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</si>
  <si>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</si>
  <si>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</si>
  <si>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</si>
  <si>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</si>
  <si>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</si>
  <si>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</si>
  <si>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</si>
  <si>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</si>
  <si>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</si>
  <si>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</si>
  <si>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</si>
  <si>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</si>
  <si>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</si>
  <si>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</si>
  <si>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</si>
  <si>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</si>
  <si>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</si>
  <si>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</si>
  <si>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</si>
  <si>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</si>
  <si>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</si>
  <si>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</si>
  <si>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</si>
  <si>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</si>
  <si>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</si>
  <si>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</si>
  <si>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</si>
  <si>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</si>
  <si>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</si>
  <si>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</si>
  <si>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</si>
  <si>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</si>
  <si>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</si>
  <si>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</si>
  <si>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</si>
  <si>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</si>
  <si>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</si>
  <si>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</si>
  <si>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</si>
  <si>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</si>
  <si>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</si>
  <si>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</si>
  <si>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</si>
  <si>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</si>
  <si>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</si>
  <si>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</si>
  <si>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</si>
  <si>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</si>
  <si>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</si>
  <si>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</si>
  <si>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</si>
  <si>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</si>
  <si>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</si>
  <si>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</si>
  <si>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</si>
  <si>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</si>
  <si>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</si>
  <si>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</si>
  <si>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</si>
  <si>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</si>
  <si>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</si>
  <si>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</si>
  <si>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</si>
  <si>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</si>
  <si>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</si>
  <si>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</si>
  <si>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</si>
  <si>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</si>
  <si>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</si>
  <si>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</si>
  <si>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</si>
  <si>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</si>
  <si>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</si>
  <si>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</si>
  <si>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</si>
  <si>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</si>
  <si>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</si>
  <si>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</si>
  <si>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</si>
  <si>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</si>
  <si>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</si>
  <si>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</si>
  <si>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</si>
  <si>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</si>
  <si>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</si>
  <si>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</si>
  <si>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</si>
  <si>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</si>
  <si>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</si>
  <si>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</si>
  <si>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</si>
  <si>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</si>
  <si>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</si>
  <si>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</si>
  <si>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</si>
  <si>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</si>
  <si>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</si>
  <si>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</si>
  <si>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</si>
  <si>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</si>
  <si>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</si>
  <si>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</si>
  <si>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</si>
  <si>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</si>
  <si>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</si>
  <si>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</si>
  <si>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</si>
  <si>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</si>
  <si>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</si>
  <si>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</si>
  <si>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</si>
  <si>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</si>
  <si>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</si>
  <si>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</si>
  <si>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</si>
  <si>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</si>
  <si>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</si>
  <si>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</si>
  <si>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</si>
  <si>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</si>
  <si>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</si>
  <si>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</si>
  <si>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</si>
  <si>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</si>
  <si>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</si>
  <si>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</si>
  <si>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</si>
  <si>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</si>
  <si>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</si>
  <si>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</si>
  <si>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</si>
  <si>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</si>
  <si>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</si>
  <si>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</si>
  <si>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</si>
  <si>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</si>
  <si>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</si>
  <si>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</si>
  <si>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</si>
  <si>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</si>
  <si>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</si>
  <si>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</si>
  <si>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</si>
  <si>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</si>
  <si>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</si>
  <si>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</si>
  <si>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</si>
  <si>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</si>
  <si>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</si>
  <si>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</si>
  <si>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</si>
  <si>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</si>
  <si>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</si>
  <si>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</si>
  <si>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</si>
  <si>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</si>
  <si>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</si>
  <si>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</si>
  <si>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</si>
  <si>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</si>
  <si>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</si>
  <si>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</si>
  <si>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</si>
  <si>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</si>
  <si>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</si>
  <si>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</si>
  <si>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</si>
  <si>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</si>
  <si>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</si>
  <si>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</si>
  <si>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</si>
  <si>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</si>
  <si>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</si>
  <si>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</si>
  <si>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</si>
  <si>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</si>
  <si>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</si>
  <si>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</si>
  <si>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</si>
  <si>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</si>
  <si>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</si>
  <si>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</si>
  <si>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</si>
  <si>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</si>
  <si>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</si>
  <si>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</si>
  <si>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</si>
  <si>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</si>
  <si>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</si>
  <si>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</si>
  <si>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</si>
  <si>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</si>
  <si>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</si>
  <si>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</si>
  <si>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</si>
  <si>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</si>
  <si>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</si>
  <si>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</si>
  <si>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</si>
  <si>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</si>
  <si>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</si>
  <si>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</si>
  <si>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</si>
  <si>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</si>
  <si>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</si>
  <si>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</si>
  <si>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</si>
  <si>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</si>
  <si>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</si>
  <si>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</si>
  <si>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</si>
  <si>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</si>
  <si>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</si>
  <si>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</si>
  <si>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</si>
  <si>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</si>
  <si>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</si>
  <si>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</si>
  <si>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</si>
  <si>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</si>
  <si>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</si>
  <si>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</si>
  <si>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</si>
  <si>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</si>
  <si>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</si>
  <si>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</si>
  <si>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</si>
  <si>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</si>
  <si>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</si>
  <si>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</si>
  <si>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</si>
  <si>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</si>
  <si>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</si>
  <si>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</si>
  <si>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</si>
  <si>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</si>
  <si>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</si>
  <si>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</si>
  <si>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</si>
  <si>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</si>
  <si>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</si>
  <si>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</si>
  <si>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</si>
  <si>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</si>
  <si>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</si>
  <si>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</si>
  <si>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</si>
  <si>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</si>
  <si>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</si>
  <si>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</si>
  <si>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</si>
  <si>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</si>
  <si>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</si>
  <si>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</si>
  <si>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</si>
  <si>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</si>
  <si>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</si>
  <si>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</si>
  <si>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</si>
  <si>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</si>
  <si>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</si>
  <si>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</si>
  <si>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</si>
  <si>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</si>
  <si>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</si>
  <si>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</si>
  <si>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</si>
  <si>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</si>
  <si>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</si>
  <si>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</si>
  <si>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</si>
  <si>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</si>
  <si>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</si>
  <si>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</si>
  <si>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</si>
  <si>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</si>
  <si>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</si>
  <si>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</si>
  <si>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</si>
  <si>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</si>
  <si>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</si>
  <si>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</si>
  <si>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</si>
  <si>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</si>
  <si>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</si>
  <si>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</si>
  <si>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</si>
  <si>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</si>
  <si>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</si>
  <si>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</si>
  <si>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</si>
  <si>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</si>
  <si>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</si>
  <si>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</si>
  <si>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</si>
  <si>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</si>
  <si>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</si>
  <si>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</si>
  <si>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</si>
  <si>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</si>
  <si>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</si>
  <si>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</si>
  <si>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</si>
  <si>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</si>
  <si>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</si>
  <si>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</si>
  <si>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</si>
  <si>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</si>
  <si>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</si>
  <si>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</si>
  <si>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</si>
  <si>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</si>
  <si>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</si>
  <si>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</si>
  <si>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</si>
  <si>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</si>
  <si>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</si>
  <si>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</si>
  <si>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</si>
  <si>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</si>
  <si>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</si>
  <si>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</si>
  <si>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</si>
  <si>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</si>
  <si>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</si>
  <si>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</si>
  <si>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</si>
  <si>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</si>
  <si>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</si>
  <si>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</si>
  <si>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</si>
  <si>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</si>
  <si>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</si>
  <si>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</si>
  <si>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</si>
  <si>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</si>
  <si>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</si>
  <si>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</si>
  <si>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</si>
  <si>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</si>
  <si>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</si>
  <si>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</si>
  <si>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</si>
  <si>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</si>
  <si>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</si>
  <si>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</si>
  <si>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</si>
  <si>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</si>
  <si>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</si>
  <si>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</si>
  <si>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</si>
  <si>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</si>
  <si>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</si>
  <si>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</si>
  <si>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</si>
  <si>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</si>
  <si>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</si>
  <si>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</si>
  <si>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</si>
  <si>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</si>
  <si>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</si>
  <si>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</si>
  <si>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</si>
  <si>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</si>
  <si>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</si>
  <si>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</si>
  <si>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</si>
  <si>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</si>
  <si>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</si>
  <si>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</si>
  <si>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</si>
  <si>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</si>
  <si>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</si>
  <si>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</si>
  <si>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</si>
  <si>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</si>
  <si>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</si>
  <si>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</si>
  <si>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</si>
  <si>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</si>
  <si>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</si>
  <si>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</si>
  <si>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</si>
  <si>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</si>
  <si>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</si>
  <si>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</si>
  <si>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</si>
  <si>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</si>
  <si>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</si>
  <si>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</si>
  <si>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</si>
  <si>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</si>
  <si>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</si>
  <si>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</si>
  <si>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</si>
  <si>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</si>
  <si>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</si>
  <si>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</si>
  <si>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</si>
  <si>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</si>
  <si>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</si>
  <si>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</si>
  <si>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</si>
  <si>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</si>
  <si>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</si>
  <si>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</si>
  <si>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</si>
  <si>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</si>
  <si>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</si>
  <si>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</si>
  <si>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</si>
  <si>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</si>
  <si>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</si>
  <si>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</si>
  <si>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</si>
  <si>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</si>
  <si>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</si>
  <si>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</si>
  <si>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</si>
  <si>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</si>
  <si>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</si>
  <si>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</si>
  <si>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</si>
  <si>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</si>
  <si>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</si>
  <si>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</si>
  <si>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</si>
  <si>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</si>
  <si>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</si>
  <si>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</si>
  <si>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</si>
  <si>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</si>
  <si>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</si>
  <si>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</si>
  <si>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</si>
  <si>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</si>
  <si>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</si>
  <si>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</si>
  <si>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</si>
  <si>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</si>
  <si>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</si>
  <si>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</si>
  <si>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</si>
  <si>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</si>
  <si>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</si>
  <si>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</si>
  <si>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</si>
  <si>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</si>
  <si>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</si>
  <si>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</si>
  <si>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</si>
  <si>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</si>
  <si>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</si>
  <si>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</si>
  <si>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</si>
  <si>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</si>
  <si>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</si>
  <si>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</si>
  <si>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</si>
  <si>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</si>
  <si>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</si>
  <si>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</si>
  <si>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</si>
  <si>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</si>
  <si>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</si>
  <si>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</si>
  <si>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</si>
  <si>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</si>
  <si>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</si>
  <si>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</si>
  <si>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</si>
  <si>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</si>
  <si>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</si>
  <si>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</si>
  <si>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</si>
  <si>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</si>
  <si>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</si>
  <si>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</si>
  <si>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</si>
  <si>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</si>
  <si>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</si>
  <si>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</si>
  <si>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</si>
  <si>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</si>
  <si>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</si>
  <si>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</si>
  <si>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</si>
  <si>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</si>
  <si>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</si>
  <si>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</si>
  <si>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</si>
  <si>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</si>
  <si>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</si>
  <si>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</si>
  <si>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</si>
  <si>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</si>
  <si>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</si>
  <si>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</si>
  <si>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</si>
  <si>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</si>
  <si>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</si>
  <si>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</si>
  <si>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</si>
  <si>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</si>
  <si>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</si>
  <si>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</si>
  <si>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</si>
  <si>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</si>
  <si>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</si>
  <si>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</si>
  <si>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</si>
  <si>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</si>
  <si>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</si>
  <si>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</si>
  <si>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</si>
  <si>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</si>
  <si>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</si>
  <si>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</si>
  <si>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</si>
  <si>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</si>
  <si>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</si>
  <si>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</si>
  <si>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</si>
  <si>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</si>
  <si>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</si>
  <si>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</si>
  <si>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</si>
  <si>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</si>
  <si>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</si>
  <si>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</si>
  <si>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</si>
  <si>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</si>
  <si>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</si>
  <si>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</si>
  <si>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</si>
  <si>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</si>
  <si>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</si>
  <si>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</si>
  <si>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</si>
  <si>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</si>
  <si>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</si>
  <si>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</si>
  <si>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</si>
  <si>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</si>
  <si>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</si>
  <si>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</si>
  <si>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</si>
  <si>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</si>
  <si>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</si>
  <si>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</si>
  <si>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</si>
  <si>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</si>
  <si>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</si>
  <si>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</si>
  <si>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</si>
  <si>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</si>
  <si>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</si>
  <si>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</si>
  <si>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</si>
  <si>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</si>
  <si>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</si>
  <si>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</si>
  <si>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</si>
  <si>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</si>
  <si>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</si>
  <si>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</si>
  <si>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</si>
  <si>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</si>
  <si>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</si>
  <si>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</si>
  <si>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</si>
  <si>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</si>
  <si>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</si>
  <si>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</si>
  <si>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</si>
  <si>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</si>
  <si>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</si>
  <si>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</si>
  <si>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</si>
  <si>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</si>
  <si>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</si>
  <si>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</si>
  <si>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</si>
  <si>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</si>
  <si>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</si>
  <si>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</si>
  <si>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</si>
  <si>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</si>
  <si>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</si>
  <si>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</si>
  <si>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</si>
  <si>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</si>
  <si>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</si>
  <si>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</si>
  <si>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</si>
  <si>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</si>
  <si>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</si>
  <si>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</si>
  <si>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</si>
  <si>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</si>
  <si>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</si>
  <si>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</si>
  <si>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</si>
  <si>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</si>
  <si>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</si>
  <si>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</si>
  <si>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</si>
  <si>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</si>
  <si>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</si>
  <si>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</si>
  <si>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</si>
  <si>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</si>
  <si>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</si>
  <si>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</si>
  <si>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</si>
  <si>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</si>
  <si>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</si>
  <si>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</si>
  <si>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</si>
  <si>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</si>
  <si>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</si>
  <si>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</si>
  <si>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</si>
  <si>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</si>
  <si>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</si>
  <si>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</si>
  <si>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</si>
  <si>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</si>
  <si>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</si>
  <si>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</si>
  <si>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</si>
  <si>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</si>
  <si>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</si>
  <si>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</si>
  <si>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</si>
  <si>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</si>
  <si>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</si>
  <si>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</si>
  <si>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</si>
  <si>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</si>
  <si>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</si>
  <si>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</si>
  <si>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</si>
  <si>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</si>
  <si>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</si>
  <si>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</si>
  <si>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</si>
  <si>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</si>
  <si>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</si>
  <si>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</si>
  <si>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</si>
  <si>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</si>
  <si>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</si>
  <si>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</si>
  <si>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</si>
  <si>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</si>
  <si>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</si>
  <si>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</si>
  <si>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</si>
  <si>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</si>
  <si>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</si>
  <si>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</si>
  <si>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</si>
  <si>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</si>
  <si>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</si>
  <si>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</si>
  <si>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</si>
  <si>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</si>
  <si>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</si>
  <si>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</si>
  <si>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</si>
  <si>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</si>
  <si>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</si>
  <si>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</si>
  <si>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</si>
  <si>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</si>
  <si>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</si>
  <si>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</si>
  <si>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</si>
  <si>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</si>
  <si>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</si>
  <si>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</si>
  <si>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</si>
  <si>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</si>
  <si>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</si>
  <si>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</si>
  <si>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</si>
  <si>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</si>
  <si>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</si>
  <si>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</si>
  <si>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</si>
  <si>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</si>
  <si>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</si>
  <si>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</si>
  <si>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</si>
  <si>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</si>
  <si>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</si>
  <si>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</si>
  <si>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</si>
  <si>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</si>
  <si>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</si>
  <si>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</si>
  <si>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</si>
  <si>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</si>
  <si>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</si>
  <si>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</si>
  <si>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</si>
  <si>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</si>
  <si>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</si>
  <si>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</si>
  <si>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</si>
  <si>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</si>
  <si>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</si>
  <si>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</si>
  <si>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</si>
  <si>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</si>
  <si>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</si>
  <si>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</si>
  <si>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</si>
  <si>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</si>
  <si>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</si>
  <si>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</si>
  <si>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</si>
  <si>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</si>
  <si>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</si>
  <si>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</si>
  <si>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</si>
  <si>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</si>
  <si>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</si>
  <si>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</si>
  <si>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</si>
  <si>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</si>
  <si>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</si>
  <si>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</si>
  <si>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</si>
  <si>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</si>
  <si>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</si>
  <si>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</si>
  <si>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</si>
  <si>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</si>
  <si>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</si>
  <si>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</si>
  <si>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</si>
  <si>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</si>
  <si>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</si>
  <si>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</si>
  <si>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</si>
  <si>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</si>
  <si>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</si>
  <si>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</si>
  <si>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</si>
  <si>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</si>
  <si>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</si>
  <si>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</si>
  <si>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</si>
  <si>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</si>
  <si>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</si>
  <si>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</si>
  <si>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</si>
  <si>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</si>
  <si>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</si>
  <si>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</si>
  <si>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</si>
  <si>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</si>
  <si>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</si>
  <si>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</si>
  <si>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</si>
  <si>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</si>
  <si>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</si>
  <si>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</si>
  <si>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</si>
  <si>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</si>
  <si>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</si>
  <si>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</si>
  <si>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</si>
  <si>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</si>
  <si>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</si>
  <si>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</si>
  <si>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</si>
  <si>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</si>
  <si>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</si>
  <si>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</si>
  <si>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</si>
  <si>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</si>
  <si>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</si>
  <si>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</si>
  <si>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</si>
  <si>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</si>
  <si>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</si>
  <si>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</si>
  <si>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</si>
  <si>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</si>
  <si>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</si>
  <si>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</si>
  <si>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</si>
  <si>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</si>
  <si>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</si>
  <si>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</si>
  <si>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</si>
  <si>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</si>
  <si>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</si>
  <si>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</si>
  <si>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</si>
  <si>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</si>
  <si>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</si>
  <si>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</si>
  <si>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</si>
  <si>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</si>
  <si>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</si>
  <si>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</si>
  <si>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</si>
  <si>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</si>
  <si>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</si>
  <si>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</si>
  <si>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</si>
  <si>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</si>
  <si>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</si>
  <si>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</si>
  <si>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</si>
  <si>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</si>
  <si>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</si>
  <si>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</si>
  <si>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</si>
  <si>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</si>
  <si>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</si>
  <si>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</si>
  <si>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</si>
  <si>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</si>
  <si>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</si>
  <si>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</si>
  <si>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</si>
  <si>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</si>
  <si>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</si>
  <si>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</si>
  <si>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</si>
  <si>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</si>
  <si>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</si>
  <si>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</si>
  <si>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</si>
  <si>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</si>
  <si>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</si>
  <si>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</si>
  <si>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</si>
  <si>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</si>
  <si>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</si>
  <si>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</si>
  <si>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</si>
  <si>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</si>
  <si>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</si>
  <si>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</si>
  <si>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</si>
  <si>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</si>
  <si>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</si>
  <si>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</si>
  <si>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</si>
  <si>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</si>
  <si>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</si>
  <si>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</si>
  <si>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</si>
  <si>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</si>
  <si>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</si>
  <si>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</si>
  <si>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</si>
  <si>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</si>
  <si>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</si>
  <si>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</si>
  <si>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</si>
  <si>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</si>
  <si>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</si>
  <si>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</si>
  <si>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</si>
  <si>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</si>
  <si>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</si>
  <si>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</si>
  <si>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</si>
  <si>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</si>
  <si>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</si>
  <si>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</si>
  <si>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</si>
  <si>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</si>
  <si>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</si>
  <si>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</si>
  <si>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</si>
  <si>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</si>
  <si>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</si>
  <si>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</si>
  <si>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</si>
  <si>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</si>
  <si>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</si>
  <si>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</si>
  <si>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</si>
  <si>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</si>
  <si>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</si>
  <si>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</si>
  <si>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</si>
  <si>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</si>
  <si>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</si>
  <si>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</si>
  <si>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</si>
  <si>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</si>
  <si>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</si>
  <si>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</si>
  <si>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</si>
  <si>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</si>
  <si>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</si>
  <si>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</si>
  <si>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</si>
  <si>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</si>
  <si>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</si>
  <si>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</si>
  <si>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</si>
  <si>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</si>
  <si>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</si>
  <si>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</si>
  <si>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</si>
  <si>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</si>
  <si>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</si>
  <si>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</si>
  <si>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</si>
  <si>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</si>
  <si>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</si>
  <si>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</si>
  <si>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</si>
  <si>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</si>
  <si>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</si>
  <si>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</si>
  <si>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</si>
  <si>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</si>
  <si>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</si>
  <si>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</si>
  <si>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</si>
  <si>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</si>
  <si>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</si>
  <si>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</si>
  <si>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</si>
  <si>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</si>
  <si>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</si>
  <si>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</si>
  <si>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</si>
  <si>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</si>
  <si>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</si>
  <si>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</si>
  <si>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</si>
  <si>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</si>
  <si>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</si>
  <si>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</si>
  <si>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</si>
  <si>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</si>
  <si>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</si>
  <si>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</si>
  <si>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</si>
  <si>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</si>
  <si>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</si>
  <si>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</si>
  <si>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</si>
  <si>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</si>
  <si>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</si>
  <si>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</si>
  <si>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</si>
  <si>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</si>
  <si>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</si>
  <si>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</si>
  <si>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</si>
  <si>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</si>
  <si>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</si>
  <si>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</si>
  <si>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</si>
  <si>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</si>
  <si>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</si>
  <si>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</si>
  <si>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</si>
  <si>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</si>
  <si>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</si>
  <si>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</si>
  <si>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</si>
  <si>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</si>
  <si>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</si>
  <si>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</si>
  <si>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</si>
  <si>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</si>
  <si>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</si>
  <si>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</si>
  <si>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</si>
  <si>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</si>
  <si>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</si>
  <si>
    <t>Industry - FA - FerroChrome existing</t>
  </si>
  <si>
    <t>Industry - FA - FerroChrome New</t>
  </si>
  <si>
    <t>IFCEAFP-N</t>
  </si>
  <si>
    <t>Industry - FA - FerroChrome New Premus</t>
  </si>
  <si>
    <t>IFCEAFPB-N</t>
  </si>
  <si>
    <t>Industry - FA - FerroChrome New Premus with Bio</t>
  </si>
  <si>
    <t>IFABIOCHAR</t>
  </si>
  <si>
    <t>Industry - FA - Biocharring plant</t>
  </si>
  <si>
    <t>IISSCRP</t>
  </si>
  <si>
    <t xml:space="preserve">Industry - Iron and Steel - Scrap Steel             </t>
  </si>
  <si>
    <t>BF-BOF</t>
  </si>
  <si>
    <t>Industry - I&amp;S - BF-BOF-Existing</t>
  </si>
  <si>
    <t>Industry - I&amp;S - BFBOF-N</t>
  </si>
  <si>
    <t>IISCDRI-E</t>
  </si>
  <si>
    <t>Coal DRI kilns</t>
  </si>
  <si>
    <t>Industry - I&amp;S - Coal DRI kilns-Existing</t>
  </si>
  <si>
    <t>IISCDRI-N</t>
  </si>
  <si>
    <t>Coal DRI</t>
  </si>
  <si>
    <t>Industry - I&amp;S - Coal DRI-N</t>
  </si>
  <si>
    <t>DRIEAF</t>
  </si>
  <si>
    <t>IISEAF-N</t>
  </si>
  <si>
    <t>EAF</t>
  </si>
  <si>
    <t>Industry - I&amp;S - EAF-N</t>
  </si>
  <si>
    <t>IISGDRI-N</t>
  </si>
  <si>
    <t>Gas DRI</t>
  </si>
  <si>
    <t>Industry - I&amp;S - Gas DRI-N</t>
  </si>
  <si>
    <t>IISHALKHGN</t>
  </si>
  <si>
    <t>Industry - I&amp;S - ALK water electrolyser</t>
  </si>
  <si>
    <t>IISHDRI-N</t>
  </si>
  <si>
    <t>IISHGNSTOR-N</t>
  </si>
  <si>
    <t>IISMOE-N</t>
  </si>
  <si>
    <t>MOE</t>
  </si>
  <si>
    <t>Industry - I&amp;S - MO Electrolysis</t>
  </si>
  <si>
    <t>IISPELTS-N</t>
  </si>
  <si>
    <t>Pellet plant</t>
  </si>
  <si>
    <t>Industry - I&amp;S - Pellet plant-N</t>
  </si>
  <si>
    <t>IISSALD-E</t>
  </si>
  <si>
    <t>Saldanha</t>
  </si>
  <si>
    <t>Industry - I&amp;S - Saldanha-Existing</t>
  </si>
  <si>
    <t>Secondary EAFs</t>
  </si>
  <si>
    <t>Industry - I&amp;S - Secondary EAFs-Existing</t>
  </si>
  <si>
    <t>Scrap-EAF</t>
  </si>
  <si>
    <t>Industry - I&amp;S - Scrap-EAF-N</t>
  </si>
  <si>
    <t>IMPCRS</t>
  </si>
  <si>
    <t>Imports of steel</t>
  </si>
  <si>
    <t>IISPLTS</t>
  </si>
  <si>
    <t>Industry - I&amp;S - Pellets</t>
  </si>
  <si>
    <t>Iron ore pellets</t>
  </si>
  <si>
    <t>IISHDRI</t>
  </si>
  <si>
    <t>Industry - I&amp;S - Hydrogen DRI</t>
  </si>
  <si>
    <t>IISDRI</t>
  </si>
  <si>
    <t>Industry - I&amp;S - DRI</t>
  </si>
  <si>
    <t>DRI</t>
  </si>
  <si>
    <t>IISCOV-E</t>
  </si>
  <si>
    <t>Coke ovens</t>
  </si>
  <si>
    <t>IISSALDHGN</t>
  </si>
  <si>
    <t>Industry - I&amp;S - Saldanha-H2-R</t>
  </si>
  <si>
    <t>Saldanha with H2</t>
  </si>
  <si>
    <t>Econ_GDPFactorCosts_NOM</t>
  </si>
  <si>
    <t>Econ_NetTaxes_NOM</t>
  </si>
  <si>
    <t>Econ_NetTaxes</t>
  </si>
  <si>
    <t>Econ_GDPMarketPrices_NOM</t>
  </si>
  <si>
    <t>Econ_GDPMarketPrices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</si>
</sst>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 * #,##0.00_ ;_ * \-#,##0.00_ ;_ * &quot;-&quot;??_ ;_ @_ "/>
    <numFmt numFmtId="165" formatCode="[$£-809]#,##0.000;[Red]&quot;-&quot;[$£-809]#,##0.000"/>
  </numFmts>
  <fonts count="34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Verdana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11"/>
      <color indexed="8"/>
      <name val="Calibri"/>
      <family val="2"/>
    </font>
    <font>
      <sz val="10"/>
      <name val="Courier"/>
      <family val="3"/>
    </font>
    <font>
      <sz val="11"/>
      <color rgb="FF9C65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CC6600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32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6" fillId="0" borderId="0"/>
    <xf numFmtId="164" fontId="5" fillId="0" borderId="0" applyFont="0" applyFill="0" applyBorder="0" applyAlignment="0" applyProtection="0"/>
    <xf numFmtId="0" fontId="21" fillId="0" borderId="0"/>
    <xf numFmtId="0" fontId="22" fillId="0" borderId="0"/>
    <xf numFmtId="0" fontId="24" fillId="0" borderId="0" applyNumberFormat="0" applyFill="0" applyBorder="0" applyAlignment="0" applyProtection="0"/>
    <xf numFmtId="0" fontId="23" fillId="14" borderId="3" applyNumberFormat="0" applyAlignment="0" applyProtection="0"/>
    <xf numFmtId="9" fontId="22" fillId="0" borderId="0" applyFont="0" applyFill="0" applyBorder="0" applyAlignment="0" applyProtection="0"/>
    <xf numFmtId="0" fontId="25" fillId="6" borderId="0" applyNumberFormat="0" applyBorder="0" applyAlignment="0" applyProtection="0"/>
    <xf numFmtId="0" fontId="22" fillId="15" borderId="0" applyNumberFormat="0" applyBorder="0" applyAlignment="0" applyProtection="0"/>
    <xf numFmtId="0" fontId="25" fillId="16" borderId="0" applyNumberFormat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15" fillId="18" borderId="0" applyAlignment="0" applyProtection="0"/>
    <xf numFmtId="0" fontId="28" fillId="0" borderId="0" applyNumberForma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0" fontId="20" fillId="0" borderId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65" fontId="6" fillId="0" borderId="0"/>
    <xf numFmtId="0" fontId="22" fillId="0" borderId="0"/>
    <xf numFmtId="0" fontId="30" fillId="0" borderId="0"/>
    <xf numFmtId="0" fontId="5" fillId="0" borderId="0"/>
    <xf numFmtId="0" fontId="27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9" fillId="13" borderId="2" applyNumberFormat="0" applyAlignment="0" applyProtection="0"/>
    <xf numFmtId="0" fontId="18" fillId="12" borderId="2" applyNumberFormat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15" fillId="17" borderId="0" applyNumberFormat="0" applyBorder="0" applyAlignment="0" applyProtection="0"/>
    <xf numFmtId="43" fontId="5" fillId="0" borderId="0" applyFont="0" applyFill="0" applyBorder="0" applyAlignment="0" applyProtection="0"/>
    <xf numFmtId="0" fontId="33" fillId="4" borderId="0" applyNumberFormat="0" applyBorder="0" applyAlignment="0" applyProtection="0"/>
    <xf numFmtId="0" fontId="6" fillId="0" borderId="0"/>
    <xf numFmtId="0" fontId="6" fillId="0" borderId="0"/>
    <xf numFmtId="0" fontId="5" fillId="0" borderId="0"/>
    <xf numFmtId="0" fontId="6" fillId="0" borderId="0"/>
    <xf numFmtId="0" fontId="32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22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  <xf numFmtId="0" fontId="6" fillId="0" borderId="0" xfId="34"/>
  </cellXfs>
  <cellStyles count="132">
    <cellStyle name="20% - Accent5" xfId="32" builtinId="46"/>
    <cellStyle name="20% - Accent5 2" xfId="90" xr:uid="{7B8EE248-D332-4D1D-82A1-1A8C2FDA9414}"/>
    <cellStyle name="40% - Accent1 2" xfId="42" xr:uid="{FC9ED923-CBC8-4972-831B-11518A126871}"/>
    <cellStyle name="40% - Accent4" xfId="31" builtinId="43"/>
    <cellStyle name="60% - Accent1 2" xfId="43" xr:uid="{D7456EE5-B202-4DD5-8703-2D5FA2FBCDDD}"/>
    <cellStyle name="60% - Accent2 2" xfId="91" xr:uid="{1B6C9B0C-3B07-4764-A17F-2E0120668B18}"/>
    <cellStyle name="60% - Accent3" xfId="29" builtinId="40"/>
    <cellStyle name="60% - Accent6" xfId="33" builtinId="52"/>
    <cellStyle name="Accent1" xfId="28" builtinId="29"/>
    <cellStyle name="Accent1 2" xfId="41" xr:uid="{8ACC9296-27A9-4118-B8A7-FF5D5285CE73}"/>
    <cellStyle name="Accent4" xfId="30" builtinId="41"/>
    <cellStyle name="Bad" xfId="1" builtinId="27"/>
    <cellStyle name="Calculation 2" xfId="81" xr:uid="{D4A9A13A-2893-48E9-967B-34E121BADFCA}"/>
    <cellStyle name="Check Cell 2" xfId="39" xr:uid="{F78300B5-F37C-44E8-B081-88BFDFFA3B6A}"/>
    <cellStyle name="Comma 2" xfId="9" xr:uid="{102A8F4A-42CF-4C35-8EE1-6331DD50DF6A}"/>
    <cellStyle name="Comma 2 2" xfId="17" xr:uid="{66F28C81-4279-4365-AEE4-1F1DB7D67325}"/>
    <cellStyle name="Comma 2 2 2" xfId="79" xr:uid="{1DE73F0C-5501-44BB-9DBA-FF115D373D46}"/>
    <cellStyle name="Comma 2 2 2 2" xfId="123" xr:uid="{808AFECE-7B72-4DE0-BABB-4FD322D095CD}"/>
    <cellStyle name="Comma 2 2 3" xfId="64" xr:uid="{A812FB2F-AB9C-4A0F-A463-DD917F771A0A}"/>
    <cellStyle name="Comma 2 2 3 2" xfId="119" xr:uid="{CA68450A-6A00-42E5-8475-0B2A36076C9A}"/>
    <cellStyle name="Comma 2 2 4" xfId="109" xr:uid="{10718D9C-2352-4821-83BD-94A47471B64E}"/>
    <cellStyle name="Comma 2 2 4 2" xfId="128" xr:uid="{CA195DCE-EE90-42D0-83BD-D54D35960F72}"/>
    <cellStyle name="Comma 2 2 5" xfId="49" xr:uid="{B1632043-A715-452B-B099-C2D8AB478581}"/>
    <cellStyle name="Comma 2 3" xfId="8" xr:uid="{8DBFCE54-F445-4609-BC31-E87D05164B89}"/>
    <cellStyle name="Comma 2 3 2" xfId="117" xr:uid="{3506C43F-C700-4D5C-B174-7D7E8347F31F}"/>
    <cellStyle name="Comma 2 3 3" xfId="58" xr:uid="{A0782940-7864-40FA-AC7E-AD77536C6D92}"/>
    <cellStyle name="Comma 2 4" xfId="78" xr:uid="{0B5533B0-9066-48B3-8501-AC2D76DC181F}"/>
    <cellStyle name="Comma 2 4 2" xfId="110" xr:uid="{66646F76-1841-4EB7-8788-1569747FAA1E}"/>
    <cellStyle name="Comma 2 4 2 2" xfId="129" xr:uid="{AB1C715F-0582-4A3C-842C-91FA090EFDE1}"/>
    <cellStyle name="Comma 2 4 3" xfId="122" xr:uid="{C668FD60-19DF-4242-96A5-5A85665AEEA4}"/>
    <cellStyle name="Comma 2 5" xfId="92" xr:uid="{14E4F5F9-7B3D-4247-B359-439DD0E67CD8}"/>
    <cellStyle name="Comma 2 5 2" xfId="112" xr:uid="{268E25A2-3CF2-4056-BD22-FDB12F7B519F}"/>
    <cellStyle name="Comma 2 5 2 2" xfId="131" xr:uid="{17A7FDF7-6E64-472F-8BE8-550CD70BED6D}"/>
    <cellStyle name="Comma 2 5 3" xfId="126" xr:uid="{5C96624F-4677-4DE3-9900-3196A4F77417}"/>
    <cellStyle name="Comma 2 6" xfId="59" xr:uid="{8063DEE9-BE99-44F6-80B7-8099F35A913D}"/>
    <cellStyle name="Comma 2 6 2" xfId="118" xr:uid="{754363DD-C668-4074-99BD-A8B9CF2C3240}"/>
    <cellStyle name="Comma 2 7" xfId="108" xr:uid="{A2CC4963-59D9-484B-B38F-58C4E2AA582F}"/>
    <cellStyle name="Comma 2 7 2" xfId="127" xr:uid="{555062E4-E232-4F66-9E5A-ACCF66B4B610}"/>
    <cellStyle name="Comma 2 8" xfId="114" xr:uid="{E470C2F4-211F-4C62-824F-2AD46479745D}"/>
    <cellStyle name="Comma 2 9" xfId="48" xr:uid="{E118AF35-4A28-4F39-8997-FC52583407FB}"/>
    <cellStyle name="Comma 3" xfId="18" xr:uid="{E910A923-3044-46E2-BCFD-A170DDA442D8}"/>
    <cellStyle name="Comma 3 2" xfId="76" xr:uid="{9B735C0D-224C-4F38-A2CE-F748AD0B71E6}"/>
    <cellStyle name="Comma 3 2 2" xfId="121" xr:uid="{94117BFE-006B-4C6C-8B6F-3DCC5A7DADCE}"/>
    <cellStyle name="Comma 3 3" xfId="65" xr:uid="{04224BF6-6E0C-451F-A5D9-F4AFD6A97F55}"/>
    <cellStyle name="Comma 3 3 2" xfId="120" xr:uid="{00032676-DB41-40EA-AD0F-93DFAC4BC430}"/>
    <cellStyle name="Comma 3 4" xfId="116" xr:uid="{92BDD706-0058-4868-928E-08806C0DB404}"/>
    <cellStyle name="Comma 3 5" xfId="54" xr:uid="{7AE167AD-3C35-4E96-B2B3-8337BA023D5C}"/>
    <cellStyle name="Comma 4" xfId="21" xr:uid="{7AF7E3CC-CA49-4FAB-9498-C5AB562E34F6}"/>
    <cellStyle name="Comma 4 2" xfId="125" xr:uid="{D3D91472-FECF-4D5A-9CDE-B5B2D8B7EFEC}"/>
    <cellStyle name="Comma 4 3" xfId="89" xr:uid="{E5E97C41-3482-479F-B2ED-D7F4EB019E2D}"/>
    <cellStyle name="Comma 5" xfId="85" xr:uid="{3BEFB93D-3C72-4605-BD10-1C5FF9BCFC5E}"/>
    <cellStyle name="Comma 5 2" xfId="124" xr:uid="{58510AC1-196C-4385-AC0B-0313BD305981}"/>
    <cellStyle name="Comma 6" xfId="111" xr:uid="{7845D905-7672-4838-A009-A1825851D260}"/>
    <cellStyle name="Comma 6 2" xfId="130" xr:uid="{CBC47CDA-ECAF-4691-8041-3856A37020E7}"/>
    <cellStyle name="Comma 7" xfId="35" xr:uid="{8B3F868B-F626-4148-9809-9B47B8D41545}"/>
    <cellStyle name="Explanatory Text 2" xfId="24" xr:uid="{B0998AFB-A2BC-4304-A5DA-FE07CD7F041C}"/>
    <cellStyle name="Explanatory Text 2 2" xfId="38" xr:uid="{BAF3DE09-49A8-4C33-BFD6-94424FEC4ACF}"/>
    <cellStyle name="Good" xfId="25" builtinId="26"/>
    <cellStyle name="Heading 4 2" xfId="23" xr:uid="{BEF114F5-3BCE-4DFC-ADEF-FDF70A02EE15}"/>
    <cellStyle name="Hyperlink 2" xfId="13" xr:uid="{51413CC3-C671-438D-B676-001E8DF58B6F}"/>
    <cellStyle name="Hyperlink 2 2" xfId="77" xr:uid="{A6753D87-D62C-49B5-99F5-0E5E9989C057}"/>
    <cellStyle name="Hyperlink 2 2 2" xfId="83" xr:uid="{9C941AA9-E6BA-4676-91D4-83DE2AC7F2C6}"/>
    <cellStyle name="Hyperlink 2 3" xfId="61" xr:uid="{3CCE3309-4E13-4188-84A2-566CB66A0095}"/>
    <cellStyle name="Hyperlink 2 4" xfId="47" xr:uid="{3496FCD6-4A6D-45A0-A68F-734EF4235A17}"/>
    <cellStyle name="Hyperlink 3" xfId="67" xr:uid="{9FD06682-8C70-42FD-A966-424EA339947F}"/>
    <cellStyle name="Input 2" xfId="82" xr:uid="{6943343C-57F7-4486-B71E-DEAFFDEDB336}"/>
    <cellStyle name="IPCC" xfId="46" xr:uid="{A0D98CE6-9A26-4E7A-8B7A-C045BF24C4A9}"/>
    <cellStyle name="Neutral" xfId="26" builtinId="28"/>
    <cellStyle name="Neutral 2" xfId="93" xr:uid="{47D977EA-FEDF-4C98-8DA4-7F9E5C302BCF}"/>
    <cellStyle name="Normal" xfId="0" builtinId="0"/>
    <cellStyle name="Normal 10" xfId="34" xr:uid="{C8A9DADF-9EC5-4DAC-AB50-B62CD3867EF9}"/>
    <cellStyle name="Normal 10 4" xfId="12" xr:uid="{92BC6FFE-EFAC-498F-90CA-143D41FA82A3}"/>
    <cellStyle name="Normal 11" xfId="53" xr:uid="{3FDFE6EC-8EFA-4624-A9C7-598A0F85EC8E}"/>
    <cellStyle name="Normal 12" xfId="52" xr:uid="{1481A7C3-DFA4-4B92-9D34-8C8AAB733C61}"/>
    <cellStyle name="Normal 12 2" xfId="70" xr:uid="{19B39770-F693-418C-AB03-DB15EA30432F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2 3" xfId="68" xr:uid="{B2719399-C0A3-4FF4-92EC-CB8995A3309C}"/>
    <cellStyle name="Normal 2 2 4" xfId="56" xr:uid="{8C69CB60-6909-4819-B559-C3D8852632C7}"/>
    <cellStyle name="Normal 2 3" xfId="16" xr:uid="{FBC43B76-920E-44B5-A73F-A9EB68255900}"/>
    <cellStyle name="Normal 2 3 2" xfId="80" xr:uid="{3C4651CD-3E2B-45BA-A60F-BE2F5B997D57}"/>
    <cellStyle name="Normal 2 4" xfId="36" xr:uid="{94694345-8513-47FF-A841-58722B30F0A4}"/>
    <cellStyle name="Normal 3" xfId="7" xr:uid="{C8821F10-FF89-46A2-AB5C-A62A37E9C297}"/>
    <cellStyle name="Normal 3 2" xfId="69" xr:uid="{F9A6FBBA-F36E-44A3-9C02-559BF9C96047}"/>
    <cellStyle name="Normal 3 3" xfId="57" xr:uid="{3591BC52-22E8-49D2-922A-BF96EBDA21DC}"/>
    <cellStyle name="Normal 3 4" xfId="37" xr:uid="{32715210-F38E-4E17-BA5D-479519AC5AB1}"/>
    <cellStyle name="Normal 4" xfId="14" xr:uid="{9F1B8CE9-8C05-425C-8BED-37C2C65B41FC}"/>
    <cellStyle name="Normal 4 2" xfId="95" xr:uid="{05D7AEF2-A50E-4F4F-9592-3434C238887E}"/>
    <cellStyle name="Normal 4 3" xfId="75" xr:uid="{C60BE4B3-0ADB-49B6-87BF-FA1AAB1A02B9}"/>
    <cellStyle name="Normal 4 4" xfId="94" xr:uid="{E1C08A7B-93D4-4F7B-BBBD-87D3B95B1F83}"/>
    <cellStyle name="Normal 4 5" xfId="62" xr:uid="{7F84A033-D91A-4D45-8FEF-C73B761374F2}"/>
    <cellStyle name="Normal 4 6" xfId="115" xr:uid="{24774B3C-8170-4EBC-96B3-59D203BFAC8C}"/>
    <cellStyle name="Normal 4 7" xfId="51" xr:uid="{75503EC5-CD56-4EB8-8B71-10E38439222A}"/>
    <cellStyle name="Normal 5" xfId="22" xr:uid="{FD322941-F901-4468-82B1-1C8432AB5B33}"/>
    <cellStyle name="Normal 5 2" xfId="72" xr:uid="{07C8D201-D1AA-4181-BC5B-B8AD7B7B916E}"/>
    <cellStyle name="Normal 5 3" xfId="50" xr:uid="{E1AF2786-CE49-40E4-A328-B07BED991ACA}"/>
    <cellStyle name="Normal 6" xfId="71" xr:uid="{54676838-B604-4A07-B9C6-97CBB4A7FAA4}"/>
    <cellStyle name="Normal 7" xfId="44" xr:uid="{AD3EBFEB-2A1B-48A1-AA7F-390D23479020}"/>
    <cellStyle name="Normal 7 2" xfId="73" xr:uid="{BE1962DE-B940-4C7B-9B8F-E1EEEEA9926D}"/>
    <cellStyle name="Normal 8" xfId="2" xr:uid="{039B083D-5C17-4554-B1CE-691111DA79EC}"/>
    <cellStyle name="Normal 8 2" xfId="96" xr:uid="{CA1AE0B7-6ED9-4631-9FEB-13668A60E152}"/>
    <cellStyle name="Normal 9" xfId="87" xr:uid="{36949D5A-DECE-4501-B8A1-5C0D9B5D5B24}"/>
    <cellStyle name="Normal 9 2" xfId="97" xr:uid="{099BF2D0-8D45-4E26-B124-C2A4A2BB52BA}"/>
    <cellStyle name="Normale_B2020" xfId="98" xr:uid="{99CF9E2A-8227-4C16-B3D2-CA852F449E5E}"/>
    <cellStyle name="Note" xfId="27" builtinId="10"/>
    <cellStyle name="Percent 2" xfId="15" xr:uid="{9CAC6D90-A358-407A-ACD0-9378BB256E60}"/>
    <cellStyle name="Percent 2 2" xfId="19" xr:uid="{CA4F9033-E965-452C-87A3-C6A7DEC19A82}"/>
    <cellStyle name="Percent 2 2 2" xfId="66" xr:uid="{A711776F-40F8-48B0-87B5-BCF89AA18AA9}"/>
    <cellStyle name="Percent 2 2 3" xfId="45" xr:uid="{76113BF9-5DF6-43D3-A886-9C828B134B75}"/>
    <cellStyle name="Percent 2 3" xfId="74" xr:uid="{E30C6FD7-C629-487B-BB13-95CF4B562AFE}"/>
    <cellStyle name="Percent 2 4" xfId="99" xr:uid="{AB271AB5-9B4F-4D0A-B629-808DFB1039C2}"/>
    <cellStyle name="Percent 2 5" xfId="63" xr:uid="{08D05F51-B4B3-4FFA-A0AF-02A95104E117}"/>
    <cellStyle name="Percent 2 6" xfId="40" xr:uid="{3675C53D-91A4-4A01-8DDD-E9A9D2F7A16D}"/>
    <cellStyle name="Percent 3" xfId="10" xr:uid="{375A546E-8521-4E51-85F8-0C2416E5109E}"/>
    <cellStyle name="Percent 3 2" xfId="100" xr:uid="{8E76DB30-3775-46B3-BB86-AA47D49379D9}"/>
    <cellStyle name="Percent 3 3" xfId="101" xr:uid="{B633FA7B-0508-4A51-9A28-AE8389746B7B}"/>
    <cellStyle name="Percent 3 4" xfId="60" xr:uid="{29B36E7A-7CA4-4C7E-ACB6-344DB30EE688}"/>
    <cellStyle name="Percent 3 5" xfId="55" xr:uid="{6DCB3AFC-B6E4-4821-8372-9359633BDFCB}"/>
    <cellStyle name="Percent 4" xfId="20" xr:uid="{3CF1012A-2EA2-4388-B219-C2A6064AC71A}"/>
    <cellStyle name="Percent 4 2" xfId="103" xr:uid="{1242B900-5EF3-4893-B02A-9217278456C5}"/>
    <cellStyle name="Percent 4 3" xfId="104" xr:uid="{57B94884-AB1D-4F64-B101-B091E10048D3}"/>
    <cellStyle name="Percent 4 4" xfId="102" xr:uid="{7C663AC4-83BC-47D9-A1F7-C43C43736855}"/>
    <cellStyle name="Percent 4 5" xfId="86" xr:uid="{8B1EA088-AF44-4190-922B-34D90369090D}"/>
    <cellStyle name="Percent 5" xfId="88" xr:uid="{532A90AC-5E93-4AF3-92FC-3C3B133F472C}"/>
    <cellStyle name="Percent 5 2" xfId="105" xr:uid="{0F95A6C6-9942-499B-AD8E-15A64371DD2B}"/>
    <cellStyle name="Percent 6" xfId="106" xr:uid="{7C214136-8640-403E-82CD-70D8CAC133FD}"/>
    <cellStyle name="Percent 7" xfId="84" xr:uid="{164826F1-C333-4B5E-9214-1362AC801589}"/>
    <cellStyle name="Percent 7 2" xfId="113" xr:uid="{60E28376-5ED3-4AB2-8FC4-C7BA500468BA}"/>
    <cellStyle name="Standard_Sce_D_Extraction" xfId="107" xr:uid="{F5B3CB5F-94AE-4AFE-93C1-9C46B49D153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2448</v>
      </c>
      <c r="E6" t="s">
        <v>3039</v>
      </c>
      <c r="F6" t="s">
        <v>3040</v>
      </c>
    </row>
    <row r="7" spans="1:6" x14ac:dyDescent="0.25">
      <c r="A7" t="s">
        <v>3038</v>
      </c>
      <c r="B7" t="s">
        <v>2446</v>
      </c>
      <c r="C7" t="s">
        <v>2447</v>
      </c>
      <c r="D7">
        <v>1</v>
      </c>
    </row>
    <row r="8" spans="1:6" x14ac:dyDescent="0.25">
      <c r="A8" t="s">
        <v>3038</v>
      </c>
      <c r="B8" t="s">
        <v>2449</v>
      </c>
      <c r="C8" t="s">
        <v>2450</v>
      </c>
      <c r="D8">
        <v>1</v>
      </c>
    </row>
    <row r="9" spans="1:6" x14ac:dyDescent="0.25">
      <c r="A9" t="s">
        <v>3038</v>
      </c>
      <c r="B9" t="s">
        <v>3035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3038</v>
      </c>
      <c r="B10" t="s">
        <v>3392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3038</v>
      </c>
      <c r="B11" t="s">
        <v>3393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3038</v>
      </c>
      <c r="B12" t="s">
        <v>3394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3038</v>
      </c>
      <c r="B13" t="s">
        <v>2828</v>
      </c>
      <c r="C13" t="s">
        <v>2829</v>
      </c>
      <c r="D13">
        <v>1</v>
      </c>
    </row>
    <row r="14" spans="1:6" x14ac:dyDescent="0.25">
      <c r="A14" t="s">
        <v>2445</v>
      </c>
      <c r="B14" t="s">
        <v>2968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3038</v>
      </c>
      <c r="B15" t="s">
        <v>2830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2445</v>
      </c>
      <c r="B16" t="s">
        <v>2832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2445</v>
      </c>
      <c r="B17" t="s">
        <v>5928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2445</v>
      </c>
      <c r="B18" t="s">
        <v>2831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3038</v>
      </c>
      <c r="B19" t="s">
        <v>3128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3038</v>
      </c>
      <c r="B20" t="s">
        <v>3268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3038</v>
      </c>
      <c r="B21" t="s">
        <v>3269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2445</v>
      </c>
      <c r="B22" t="s">
        <v>3267</v>
      </c>
      <c r="C22" t="s">
        <v>2447</v>
      </c>
      <c r="D22">
        <v>2</v>
      </c>
      <c r="G22" t="s">
        <v>3041</v>
      </c>
    </row>
    <row r="23" spans="1:7" x14ac:dyDescent="0.25">
      <c r="A23" t="s">
        <v>2445</v>
      </c>
      <c r="B23" t="s">
        <v>3270</v>
      </c>
      <c r="C23" t="s">
        <v>2447</v>
      </c>
      <c r="D23">
        <v>3</v>
      </c>
      <c r="G23" t="s">
        <v>3041</v>
      </c>
    </row>
    <row r="24" spans="1:7" x14ac:dyDescent="0.25">
      <c r="A24" t="s">
        <v>2445</v>
      </c>
      <c r="B24" t="s">
        <v>3271</v>
      </c>
      <c r="C24" t="s">
        <v>2447</v>
      </c>
      <c r="D24">
        <v>4</v>
      </c>
      <c r="G24" t="s">
        <v>3041</v>
      </c>
    </row>
    <row r="25" spans="1:7" x14ac:dyDescent="0.25">
      <c r="A25" t="s">
        <v>2445</v>
      </c>
      <c r="B25" t="s">
        <v>3362</v>
      </c>
      <c r="C25" t="str">
        <f>"OtherSets!"&amp;ADDRESS(ROW(OtherSets!AQ7),COLUMN(OtherSets!AQ7),4)</f>
        <v>OtherSets!AQ7</v>
      </c>
      <c r="D25">
        <v>2</v>
      </c>
      <c r="G25" t="s">
        <v>3041</v>
      </c>
    </row>
    <row r="26" spans="1:7" x14ac:dyDescent="0.25">
      <c r="A26" t="s">
        <v>2445</v>
      </c>
      <c r="B26" t="s">
        <v>3369</v>
      </c>
      <c r="C26" t="str">
        <f>"OtherSets!"&amp;ADDRESS(ROW(OtherSets!AT7),COLUMN(OtherSets!AT7),4)</f>
        <v>OtherSets!AT7</v>
      </c>
      <c r="D26">
        <v>2</v>
      </c>
      <c r="G26" t="s">
        <v>3041</v>
      </c>
    </row>
    <row r="27" spans="1:7" x14ac:dyDescent="0.25">
      <c r="A27" t="s">
        <v>2445</v>
      </c>
      <c r="B27" t="s">
        <v>2906</v>
      </c>
      <c r="C27" t="str">
        <f>"OtherSets!"&amp;ADDRESS(ROW(OtherSets!AK7),COLUMN(OtherSets!AK7),4)</f>
        <v>OtherSets!AK7</v>
      </c>
      <c r="D27">
        <v>2</v>
      </c>
      <c r="G27" t="s">
        <v>3041</v>
      </c>
    </row>
    <row r="28" spans="1:7" x14ac:dyDescent="0.25">
      <c r="A28" t="s">
        <v>2445</v>
      </c>
      <c r="B28" t="s">
        <v>2907</v>
      </c>
      <c r="C28" t="str">
        <f>"OtherSets!"&amp;ADDRESS(ROW(OtherSets!AN7),COLUMN(OtherSets!AN7),4)</f>
        <v>OtherSets!AN7</v>
      </c>
      <c r="D28">
        <v>2</v>
      </c>
      <c r="G28" t="s">
        <v>3041</v>
      </c>
    </row>
    <row r="29" spans="1:7" x14ac:dyDescent="0.25">
      <c r="A29" t="s">
        <v>2445</v>
      </c>
      <c r="B29" t="s">
        <v>2971</v>
      </c>
      <c r="C29" t="str">
        <f>"OtherSets!"&amp;ADDRESS(ROW(OtherSets!Y7),COLUMN(OtherSets!Y7),4)</f>
        <v>OtherSets!Y7</v>
      </c>
      <c r="D29">
        <v>2</v>
      </c>
      <c r="G29" t="s">
        <v>3041</v>
      </c>
    </row>
    <row r="30" spans="1:7" x14ac:dyDescent="0.25">
      <c r="A30" t="s">
        <v>2445</v>
      </c>
      <c r="B30" t="s">
        <v>2970</v>
      </c>
      <c r="C30" t="str">
        <f>"OtherSets!"&amp;ADDRESS(ROW(OtherSets!AA7),COLUMN(OtherSets!AA7),4)</f>
        <v>OtherSets!AA7</v>
      </c>
      <c r="D30">
        <v>2</v>
      </c>
      <c r="G30" t="s">
        <v>3041</v>
      </c>
    </row>
    <row r="31" spans="1:7" x14ac:dyDescent="0.25">
      <c r="A31" t="s">
        <v>2445</v>
      </c>
      <c r="B31" t="s">
        <v>2992</v>
      </c>
      <c r="C31" t="str">
        <f>"OtherSets!"&amp;ADDRESS(ROW(OtherSets!AC7),COLUMN(OtherSets!AC7),4)</f>
        <v>OtherSets!AC7</v>
      </c>
      <c r="D31">
        <v>2</v>
      </c>
      <c r="G31" t="s">
        <v>3041</v>
      </c>
    </row>
    <row r="32" spans="1:7" x14ac:dyDescent="0.25">
      <c r="A32" t="s">
        <v>2445</v>
      </c>
      <c r="B32" t="s">
        <v>3042</v>
      </c>
      <c r="C32" t="str">
        <f>"OtherSets!"&amp;ADDRESS(ROW(OtherSets!AE7),COLUMN(OtherSets!AE7),4)</f>
        <v>OtherSets!AE7</v>
      </c>
      <c r="D32">
        <v>2</v>
      </c>
      <c r="G32" t="s">
        <v>3041</v>
      </c>
    </row>
    <row r="33" spans="1:7" x14ac:dyDescent="0.25">
      <c r="A33" t="s">
        <v>2445</v>
      </c>
      <c r="B33" t="s">
        <v>5925</v>
      </c>
      <c r="C33" t="str">
        <f>"OtherSets!"&amp;ADDRESS(ROW(OtherSets!AH7),COLUMN(OtherSets!AH7),4)</f>
        <v>OtherSets!AH7</v>
      </c>
      <c r="D33">
        <v>2</v>
      </c>
      <c r="G33" t="s">
        <v>3041</v>
      </c>
    </row>
    <row r="34" spans="1:7" x14ac:dyDescent="0.25">
      <c r="A34" t="s">
        <v>3038</v>
      </c>
      <c r="B34" t="s">
        <v>3361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3038</v>
      </c>
      <c r="B35" t="s">
        <v>3366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3038</v>
      </c>
      <c r="B36" t="s">
        <v>3124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3038</v>
      </c>
      <c r="B37" t="s">
        <v>3739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3288</v>
      </c>
      <c r="B38" t="s">
        <v>3289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3288</v>
      </c>
      <c r="B39" t="s">
        <v>3388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3288</v>
      </c>
      <c r="B40" t="s">
        <v>3389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3288</v>
      </c>
      <c r="B41" t="s">
        <v>3391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0"/>
  <sheetViews>
    <sheetView tabSelected="1" workbookViewId="0">
      <pane ySplit="1" topLeftCell="A2" activePane="bottomLeft" state="frozen"/>
      <selection pane="bottomLeft" activeCell="A9" sqref="A9:E11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58" customWidth="1"/>
    <col min="9" max="9" width="41.85546875" bestFit="1" customWidth="1"/>
  </cols>
  <sheetData>
    <row r="1" spans="1:9" x14ac:dyDescent="0.25">
      <c r="A1" t="s">
        <v>3126</v>
      </c>
      <c r="B1" t="s">
        <v>3128</v>
      </c>
      <c r="C1" t="s">
        <v>1653</v>
      </c>
      <c r="D1" t="s">
        <v>3129</v>
      </c>
      <c r="E1" t="s">
        <v>3127</v>
      </c>
      <c r="F1" t="s">
        <v>1652</v>
      </c>
      <c r="G1" t="s">
        <v>1651</v>
      </c>
      <c r="H1" t="s">
        <v>1650</v>
      </c>
      <c r="I1" t="s">
        <v>1649</v>
      </c>
    </row>
    <row r="2" spans="1:9" x14ac:dyDescent="0.25">
      <c r="A2" t="s">
        <v>3441</v>
      </c>
      <c r="B2" t="s">
        <v>43</v>
      </c>
      <c r="C2" t="s">
        <v>43</v>
      </c>
      <c r="D2" t="s">
        <v>43</v>
      </c>
      <c r="E2" t="s">
        <v>3442</v>
      </c>
    </row>
    <row r="3" spans="1:9" x14ac:dyDescent="0.25">
      <c r="A3" t="s">
        <v>3370</v>
      </c>
      <c r="B3" t="s">
        <v>43</v>
      </c>
      <c r="C3" t="s">
        <v>43</v>
      </c>
      <c r="D3" t="s">
        <v>43</v>
      </c>
      <c r="E3" t="s">
        <v>3371</v>
      </c>
    </row>
    <row r="4" spans="1:9" x14ac:dyDescent="0.25">
      <c r="A4" t="s">
        <v>5963</v>
      </c>
      <c r="B4" t="s">
        <v>5963</v>
      </c>
      <c r="C4" t="s">
        <v>5963</v>
      </c>
      <c r="D4" t="s">
        <v>5963</v>
      </c>
      <c r="E4" t="s">
        <v>5963</v>
      </c>
    </row>
    <row r="5" spans="1:9" x14ac:dyDescent="0.25">
      <c r="A5" t="s">
        <v>5964</v>
      </c>
      <c r="B5" t="s">
        <v>5964</v>
      </c>
      <c r="C5" t="s">
        <v>5964</v>
      </c>
      <c r="D5" t="s">
        <v>5964</v>
      </c>
      <c r="E5" t="s">
        <v>5964</v>
      </c>
    </row>
    <row r="6" spans="1:9" x14ac:dyDescent="0.25">
      <c r="A6" t="s">
        <v>6316</v>
      </c>
      <c r="B6" t="s">
        <v>6316</v>
      </c>
      <c r="C6" t="s">
        <v>6316</v>
      </c>
      <c r="D6" t="s">
        <v>6316</v>
      </c>
      <c r="E6" t="s">
        <v>6316</v>
      </c>
    </row>
    <row r="7" spans="1:9" x14ac:dyDescent="0.25">
      <c r="A7" t="s">
        <v>5965</v>
      </c>
      <c r="B7" t="s">
        <v>5965</v>
      </c>
      <c r="C7" t="s">
        <v>5965</v>
      </c>
      <c r="D7" t="s">
        <v>5965</v>
      </c>
      <c r="E7" t="s">
        <v>5965</v>
      </c>
    </row>
    <row r="8" spans="1:9" x14ac:dyDescent="0.25">
      <c r="A8" t="s">
        <v>6317</v>
      </c>
      <c r="B8" t="s">
        <v>6317</v>
      </c>
      <c r="C8" t="s">
        <v>6317</v>
      </c>
      <c r="D8" t="s">
        <v>6317</v>
      </c>
      <c r="E8" t="s">
        <v>6317</v>
      </c>
    </row>
    <row r="9" spans="1:9" x14ac:dyDescent="0.25">
      <c r="A9" t="s">
        <v>6318</v>
      </c>
      <c r="B9" t="s">
        <v>6318</v>
      </c>
      <c r="C9" t="s">
        <v>6318</v>
      </c>
      <c r="D9" t="s">
        <v>6318</v>
      </c>
      <c r="E9" t="s">
        <v>6318</v>
      </c>
    </row>
    <row r="10" spans="1:9" x14ac:dyDescent="0.25">
      <c r="A10" t="s">
        <v>6319</v>
      </c>
      <c r="B10" t="s">
        <v>6319</v>
      </c>
      <c r="C10" t="s">
        <v>6319</v>
      </c>
      <c r="D10" t="s">
        <v>6319</v>
      </c>
      <c r="E10" t="s">
        <v>6319</v>
      </c>
    </row>
    <row r="11" spans="1:9" x14ac:dyDescent="0.25">
      <c r="A11" t="s">
        <v>6320</v>
      </c>
      <c r="B11" t="s">
        <v>6320</v>
      </c>
      <c r="C11" t="s">
        <v>6320</v>
      </c>
      <c r="D11" t="s">
        <v>6320</v>
      </c>
      <c r="E11" t="s">
        <v>6320</v>
      </c>
    </row>
    <row r="12" spans="1:9" x14ac:dyDescent="0.25">
      <c r="A12" t="s">
        <v>5966</v>
      </c>
      <c r="B12" t="s">
        <v>5966</v>
      </c>
      <c r="C12" t="s">
        <v>5966</v>
      </c>
      <c r="D12" t="s">
        <v>5966</v>
      </c>
      <c r="E12" t="s">
        <v>5966</v>
      </c>
    </row>
    <row r="13" spans="1:9" x14ac:dyDescent="0.25">
      <c r="A13" t="s">
        <v>5967</v>
      </c>
      <c r="B13" t="s">
        <v>5967</v>
      </c>
      <c r="C13" t="s">
        <v>5967</v>
      </c>
      <c r="D13" t="s">
        <v>5967</v>
      </c>
      <c r="E13" t="s">
        <v>5967</v>
      </c>
    </row>
    <row r="14" spans="1:9" x14ac:dyDescent="0.25">
      <c r="A14" t="s">
        <v>5968</v>
      </c>
      <c r="B14" t="s">
        <v>5968</v>
      </c>
      <c r="C14" t="s">
        <v>5968</v>
      </c>
      <c r="D14" t="s">
        <v>5968</v>
      </c>
      <c r="E14" t="s">
        <v>5968</v>
      </c>
    </row>
    <row r="15" spans="1:9" x14ac:dyDescent="0.25">
      <c r="A15" t="s">
        <v>5969</v>
      </c>
      <c r="B15" t="s">
        <v>5969</v>
      </c>
      <c r="C15" t="s">
        <v>5969</v>
      </c>
      <c r="D15" t="s">
        <v>5969</v>
      </c>
      <c r="E15" t="s">
        <v>5969</v>
      </c>
    </row>
    <row r="16" spans="1:9" x14ac:dyDescent="0.25">
      <c r="A16" t="s">
        <v>5970</v>
      </c>
      <c r="B16" t="s">
        <v>5970</v>
      </c>
      <c r="C16" t="s">
        <v>5970</v>
      </c>
      <c r="D16" t="s">
        <v>5970</v>
      </c>
      <c r="E16" t="s">
        <v>5970</v>
      </c>
    </row>
    <row r="17" spans="1:9" x14ac:dyDescent="0.25">
      <c r="A17" t="s">
        <v>5971</v>
      </c>
      <c r="B17" t="s">
        <v>5971</v>
      </c>
      <c r="C17" t="s">
        <v>5971</v>
      </c>
      <c r="D17" t="s">
        <v>5971</v>
      </c>
      <c r="E17" t="s">
        <v>5971</v>
      </c>
    </row>
    <row r="18" spans="1:9" x14ac:dyDescent="0.25">
      <c r="A18" t="s">
        <v>5972</v>
      </c>
      <c r="B18" t="s">
        <v>5972</v>
      </c>
      <c r="C18" t="s">
        <v>5972</v>
      </c>
      <c r="D18" t="s">
        <v>5972</v>
      </c>
      <c r="E18" t="s">
        <v>5972</v>
      </c>
    </row>
    <row r="19" spans="1:9" x14ac:dyDescent="0.25">
      <c r="A19" t="s">
        <v>5973</v>
      </c>
      <c r="B19" t="s">
        <v>5973</v>
      </c>
      <c r="C19" t="s">
        <v>5973</v>
      </c>
      <c r="D19" t="s">
        <v>5973</v>
      </c>
      <c r="E19" t="s">
        <v>5973</v>
      </c>
    </row>
    <row r="20" spans="1:9" x14ac:dyDescent="0.25">
      <c r="A20" t="s">
        <v>5974</v>
      </c>
      <c r="B20" t="s">
        <v>5974</v>
      </c>
      <c r="C20" t="s">
        <v>5974</v>
      </c>
      <c r="D20" t="s">
        <v>5974</v>
      </c>
      <c r="E20" t="s">
        <v>5974</v>
      </c>
    </row>
    <row r="21" spans="1:9" x14ac:dyDescent="0.25">
      <c r="A21" t="s">
        <v>5983</v>
      </c>
      <c r="B21" t="s">
        <v>5983</v>
      </c>
      <c r="C21" t="s">
        <v>5983</v>
      </c>
      <c r="D21" t="s">
        <v>5983</v>
      </c>
      <c r="E21" t="s">
        <v>5983</v>
      </c>
    </row>
    <row r="22" spans="1:9" x14ac:dyDescent="0.25">
      <c r="A22" t="s">
        <v>5975</v>
      </c>
      <c r="B22" t="s">
        <v>5975</v>
      </c>
      <c r="C22" t="s">
        <v>5975</v>
      </c>
      <c r="D22" t="s">
        <v>5975</v>
      </c>
      <c r="E22" t="s">
        <v>5975</v>
      </c>
    </row>
    <row r="23" spans="1:9" x14ac:dyDescent="0.25">
      <c r="A23" t="s">
        <v>5976</v>
      </c>
      <c r="B23" t="s">
        <v>5976</v>
      </c>
      <c r="C23" t="s">
        <v>5976</v>
      </c>
      <c r="D23" t="s">
        <v>5976</v>
      </c>
      <c r="E23" t="s">
        <v>5976</v>
      </c>
    </row>
    <row r="24" spans="1:9" x14ac:dyDescent="0.25">
      <c r="A24" t="s">
        <v>5977</v>
      </c>
      <c r="B24" t="s">
        <v>5977</v>
      </c>
      <c r="C24" t="s">
        <v>5977</v>
      </c>
      <c r="D24" t="s">
        <v>5977</v>
      </c>
      <c r="E24" t="s">
        <v>5977</v>
      </c>
    </row>
    <row r="25" spans="1:9" x14ac:dyDescent="0.25">
      <c r="A25" t="s">
        <v>5978</v>
      </c>
      <c r="B25" t="s">
        <v>5978</v>
      </c>
      <c r="C25" t="s">
        <v>5978</v>
      </c>
      <c r="D25" t="s">
        <v>5978</v>
      </c>
      <c r="E25" t="s">
        <v>5978</v>
      </c>
    </row>
    <row r="26" spans="1:9" x14ac:dyDescent="0.25">
      <c r="A26" t="s">
        <v>5984</v>
      </c>
      <c r="B26" t="s">
        <v>5984</v>
      </c>
      <c r="C26" t="s">
        <v>5984</v>
      </c>
      <c r="D26" t="s">
        <v>5984</v>
      </c>
      <c r="E26" t="s">
        <v>5984</v>
      </c>
    </row>
    <row r="27" spans="1:9" x14ac:dyDescent="0.25">
      <c r="A27" t="s">
        <v>5979</v>
      </c>
      <c r="B27" t="s">
        <v>5979</v>
      </c>
      <c r="C27" t="s">
        <v>5979</v>
      </c>
      <c r="D27" t="s">
        <v>5979</v>
      </c>
      <c r="E27" t="s">
        <v>5979</v>
      </c>
    </row>
    <row r="28" spans="1:9" x14ac:dyDescent="0.25">
      <c r="A28" t="s">
        <v>5980</v>
      </c>
      <c r="B28" t="s">
        <v>5980</v>
      </c>
      <c r="C28" t="s">
        <v>5980</v>
      </c>
      <c r="D28" t="s">
        <v>5980</v>
      </c>
      <c r="E28" t="s">
        <v>5980</v>
      </c>
    </row>
    <row r="29" spans="1:9" x14ac:dyDescent="0.25">
      <c r="A29" t="s">
        <v>5981</v>
      </c>
      <c r="B29" t="s">
        <v>5981</v>
      </c>
      <c r="C29" t="s">
        <v>5981</v>
      </c>
      <c r="D29" t="s">
        <v>5981</v>
      </c>
      <c r="E29" t="s">
        <v>5981</v>
      </c>
    </row>
    <row r="30" spans="1:9" x14ac:dyDescent="0.25">
      <c r="A30" t="s">
        <v>5982</v>
      </c>
      <c r="B30" t="s">
        <v>5982</v>
      </c>
      <c r="C30" t="s">
        <v>5982</v>
      </c>
      <c r="D30" t="s">
        <v>5982</v>
      </c>
      <c r="E30" t="s">
        <v>5982</v>
      </c>
    </row>
    <row r="31" spans="1:9" x14ac:dyDescent="0.25">
      <c r="A31" t="s">
        <v>2910</v>
      </c>
      <c r="B31" t="s">
        <v>3304</v>
      </c>
      <c r="C31" t="s">
        <v>3294</v>
      </c>
      <c r="D31" t="s">
        <v>3294</v>
      </c>
      <c r="E31" t="s">
        <v>3294</v>
      </c>
      <c r="F31" t="s">
        <v>2424</v>
      </c>
      <c r="G31" t="s">
        <v>2424</v>
      </c>
      <c r="H31" t="s">
        <v>2424</v>
      </c>
      <c r="I31" t="s">
        <v>2424</v>
      </c>
    </row>
    <row r="32" spans="1:9" x14ac:dyDescent="0.25">
      <c r="A32" t="s">
        <v>2911</v>
      </c>
      <c r="B32" t="s">
        <v>3304</v>
      </c>
      <c r="C32" t="s">
        <v>3295</v>
      </c>
      <c r="D32" t="s">
        <v>3295</v>
      </c>
      <c r="E32" t="s">
        <v>3295</v>
      </c>
      <c r="F32" t="s">
        <v>2424</v>
      </c>
      <c r="G32" t="s">
        <v>2424</v>
      </c>
      <c r="H32" t="s">
        <v>2424</v>
      </c>
      <c r="I32" t="s">
        <v>2424</v>
      </c>
    </row>
    <row r="33" spans="1:9" x14ac:dyDescent="0.25">
      <c r="A33" t="s">
        <v>2913</v>
      </c>
      <c r="B33" t="s">
        <v>3304</v>
      </c>
      <c r="C33" t="s">
        <v>3296</v>
      </c>
      <c r="D33" t="s">
        <v>3296</v>
      </c>
      <c r="E33" t="s">
        <v>3296</v>
      </c>
      <c r="F33" t="s">
        <v>2424</v>
      </c>
      <c r="G33" t="s">
        <v>2424</v>
      </c>
      <c r="H33" t="s">
        <v>2424</v>
      </c>
      <c r="I33" t="s">
        <v>2424</v>
      </c>
    </row>
    <row r="34" spans="1:9" x14ac:dyDescent="0.25">
      <c r="A34" t="s">
        <v>2915</v>
      </c>
      <c r="B34" t="s">
        <v>3304</v>
      </c>
      <c r="C34" t="s">
        <v>3297</v>
      </c>
      <c r="D34" t="s">
        <v>3297</v>
      </c>
      <c r="E34" t="s">
        <v>3297</v>
      </c>
      <c r="F34" t="s">
        <v>2424</v>
      </c>
      <c r="G34" t="s">
        <v>2424</v>
      </c>
      <c r="H34" t="s">
        <v>2424</v>
      </c>
      <c r="I34" t="s">
        <v>2424</v>
      </c>
    </row>
    <row r="35" spans="1:9" x14ac:dyDescent="0.25">
      <c r="A35" t="s">
        <v>2917</v>
      </c>
      <c r="B35" t="s">
        <v>3304</v>
      </c>
      <c r="C35" t="s">
        <v>3298</v>
      </c>
      <c r="D35" t="s">
        <v>3298</v>
      </c>
      <c r="E35" t="s">
        <v>3298</v>
      </c>
      <c r="F35" t="s">
        <v>2424</v>
      </c>
      <c r="G35" t="s">
        <v>2424</v>
      </c>
      <c r="H35" t="s">
        <v>2424</v>
      </c>
      <c r="I35" t="s">
        <v>2424</v>
      </c>
    </row>
    <row r="36" spans="1:9" x14ac:dyDescent="0.25">
      <c r="A36" t="s">
        <v>2919</v>
      </c>
      <c r="B36" t="s">
        <v>3304</v>
      </c>
      <c r="C36" t="s">
        <v>3299</v>
      </c>
      <c r="D36" t="s">
        <v>3299</v>
      </c>
      <c r="E36" t="s">
        <v>3299</v>
      </c>
      <c r="F36" t="s">
        <v>2424</v>
      </c>
      <c r="G36" t="s">
        <v>2424</v>
      </c>
      <c r="H36" t="s">
        <v>2424</v>
      </c>
      <c r="I36" t="s">
        <v>2424</v>
      </c>
    </row>
    <row r="37" spans="1:9" x14ac:dyDescent="0.25">
      <c r="A37" t="s">
        <v>2921</v>
      </c>
      <c r="B37" t="s">
        <v>3304</v>
      </c>
      <c r="C37" t="s">
        <v>3300</v>
      </c>
      <c r="D37" t="s">
        <v>3300</v>
      </c>
      <c r="E37" t="s">
        <v>3300</v>
      </c>
      <c r="F37" t="s">
        <v>2424</v>
      </c>
      <c r="G37" t="s">
        <v>2424</v>
      </c>
      <c r="H37" t="s">
        <v>2424</v>
      </c>
      <c r="I37" t="s">
        <v>2424</v>
      </c>
    </row>
    <row r="38" spans="1:9" x14ac:dyDescent="0.25">
      <c r="A38" t="s">
        <v>2922</v>
      </c>
      <c r="B38" t="s">
        <v>3304</v>
      </c>
      <c r="C38" t="s">
        <v>3301</v>
      </c>
      <c r="D38" t="s">
        <v>3301</v>
      </c>
      <c r="E38" t="s">
        <v>3301</v>
      </c>
      <c r="F38" t="s">
        <v>2424</v>
      </c>
      <c r="G38" t="s">
        <v>2424</v>
      </c>
      <c r="H38" t="s">
        <v>2424</v>
      </c>
      <c r="I38" t="s">
        <v>2424</v>
      </c>
    </row>
    <row r="39" spans="1:9" x14ac:dyDescent="0.25">
      <c r="A39" t="s">
        <v>2924</v>
      </c>
      <c r="B39" t="s">
        <v>3304</v>
      </c>
      <c r="C39" t="s">
        <v>3302</v>
      </c>
      <c r="D39" t="s">
        <v>3302</v>
      </c>
      <c r="E39" t="s">
        <v>3302</v>
      </c>
      <c r="F39" t="s">
        <v>2424</v>
      </c>
      <c r="G39" t="s">
        <v>2424</v>
      </c>
      <c r="H39" t="s">
        <v>2424</v>
      </c>
      <c r="I39" t="s">
        <v>2424</v>
      </c>
    </row>
    <row r="40" spans="1:9" x14ac:dyDescent="0.25">
      <c r="A40" t="s">
        <v>2967</v>
      </c>
      <c r="B40" t="s">
        <v>3304</v>
      </c>
      <c r="C40" t="s">
        <v>3303</v>
      </c>
      <c r="D40" t="s">
        <v>3303</v>
      </c>
      <c r="E40" t="s">
        <v>3303</v>
      </c>
      <c r="F40" t="s">
        <v>2424</v>
      </c>
      <c r="G40" t="s">
        <v>2424</v>
      </c>
      <c r="H40" t="s">
        <v>2424</v>
      </c>
      <c r="I40" t="s">
        <v>2424</v>
      </c>
    </row>
    <row r="41" spans="1:9" x14ac:dyDescent="0.25">
      <c r="A41" t="s">
        <v>2833</v>
      </c>
      <c r="B41" t="s">
        <v>3290</v>
      </c>
      <c r="C41" t="s">
        <v>3291</v>
      </c>
      <c r="D41" t="s">
        <v>3291</v>
      </c>
      <c r="E41" t="s">
        <v>3291</v>
      </c>
    </row>
    <row r="42" spans="1:9" x14ac:dyDescent="0.25">
      <c r="A42" t="s">
        <v>2835</v>
      </c>
      <c r="B42" t="s">
        <v>3290</v>
      </c>
      <c r="C42" t="s">
        <v>3292</v>
      </c>
      <c r="D42" t="s">
        <v>3292</v>
      </c>
      <c r="E42" t="s">
        <v>3292</v>
      </c>
    </row>
    <row r="43" spans="1:9" x14ac:dyDescent="0.25">
      <c r="A43" t="s">
        <v>2838</v>
      </c>
      <c r="B43" t="s">
        <v>3290</v>
      </c>
      <c r="C43" t="s">
        <v>3293</v>
      </c>
      <c r="D43" t="s">
        <v>3293</v>
      </c>
      <c r="E43" t="s">
        <v>3293</v>
      </c>
    </row>
    <row r="44" spans="1:9" x14ac:dyDescent="0.25">
      <c r="A44" t="s">
        <v>3278</v>
      </c>
      <c r="B44" t="s">
        <v>3280</v>
      </c>
      <c r="C44" t="s">
        <v>3280</v>
      </c>
      <c r="D44" t="s">
        <v>3280</v>
      </c>
      <c r="E44" t="s">
        <v>3281</v>
      </c>
    </row>
    <row r="45" spans="1:9" x14ac:dyDescent="0.25">
      <c r="A45" t="s">
        <v>3279</v>
      </c>
      <c r="B45" t="s">
        <v>3280</v>
      </c>
      <c r="C45" t="s">
        <v>3280</v>
      </c>
      <c r="D45" t="s">
        <v>3280</v>
      </c>
      <c r="E45" t="s">
        <v>3282</v>
      </c>
    </row>
    <row r="46" spans="1:9" x14ac:dyDescent="0.25">
      <c r="A46" t="s">
        <v>3283</v>
      </c>
      <c r="B46" t="s">
        <v>3280</v>
      </c>
      <c r="C46" t="s">
        <v>3280</v>
      </c>
      <c r="D46" t="s">
        <v>3280</v>
      </c>
      <c r="E46" t="s">
        <v>3281</v>
      </c>
    </row>
    <row r="47" spans="1:9" x14ac:dyDescent="0.25">
      <c r="A47" t="s">
        <v>3284</v>
      </c>
      <c r="B47" t="s">
        <v>3280</v>
      </c>
      <c r="C47" t="s">
        <v>3280</v>
      </c>
      <c r="D47" t="s">
        <v>3280</v>
      </c>
      <c r="E47" t="s">
        <v>3282</v>
      </c>
    </row>
    <row r="48" spans="1:9" x14ac:dyDescent="0.25">
      <c r="A48" t="s">
        <v>3262</v>
      </c>
      <c r="B48" t="s">
        <v>3165</v>
      </c>
      <c r="C48" t="s">
        <v>3165</v>
      </c>
      <c r="D48" t="s">
        <v>3165</v>
      </c>
      <c r="E48" t="str">
        <f t="shared" ref="E48:E66" si="0">"Process Emissions "&amp;RIGHT(A48,LEN(A48)-1)</f>
        <v>Process Emissions 2A1</v>
      </c>
      <c r="F48" t="s">
        <v>2420</v>
      </c>
      <c r="G48" t="s">
        <v>264</v>
      </c>
      <c r="H48" t="s">
        <v>3166</v>
      </c>
      <c r="I48" t="s">
        <v>3166</v>
      </c>
    </row>
    <row r="49" spans="1:9" x14ac:dyDescent="0.25">
      <c r="A49" t="s">
        <v>3263</v>
      </c>
      <c r="B49" t="s">
        <v>3165</v>
      </c>
      <c r="C49" t="s">
        <v>3165</v>
      </c>
      <c r="D49" t="s">
        <v>3165</v>
      </c>
      <c r="E49" t="str">
        <f t="shared" si="0"/>
        <v>Process Emissions 2A2</v>
      </c>
      <c r="F49" t="s">
        <v>2420</v>
      </c>
      <c r="G49" t="s">
        <v>264</v>
      </c>
      <c r="H49" t="s">
        <v>3265</v>
      </c>
      <c r="I49" t="s">
        <v>3265</v>
      </c>
    </row>
    <row r="50" spans="1:9" x14ac:dyDescent="0.25">
      <c r="A50" t="s">
        <v>3264</v>
      </c>
      <c r="B50" t="s">
        <v>3165</v>
      </c>
      <c r="C50" t="s">
        <v>3165</v>
      </c>
      <c r="D50" t="s">
        <v>3165</v>
      </c>
      <c r="E50" t="str">
        <f t="shared" si="0"/>
        <v>Process Emissions 2A3</v>
      </c>
      <c r="F50" t="s">
        <v>2420</v>
      </c>
      <c r="G50" t="s">
        <v>264</v>
      </c>
      <c r="H50" t="s">
        <v>3266</v>
      </c>
      <c r="I50" t="s">
        <v>3266</v>
      </c>
    </row>
    <row r="51" spans="1:9" x14ac:dyDescent="0.25">
      <c r="A51" t="s">
        <v>3253</v>
      </c>
      <c r="B51" t="s">
        <v>3165</v>
      </c>
      <c r="C51" t="s">
        <v>3165</v>
      </c>
      <c r="D51" t="s">
        <v>3165</v>
      </c>
      <c r="E51" t="str">
        <f t="shared" si="0"/>
        <v>Process Emissions 2B1</v>
      </c>
      <c r="F51" t="s">
        <v>2420</v>
      </c>
      <c r="G51" t="s">
        <v>334</v>
      </c>
      <c r="H51" t="s">
        <v>3167</v>
      </c>
      <c r="I51" t="s">
        <v>3167</v>
      </c>
    </row>
    <row r="52" spans="1:9" x14ac:dyDescent="0.25">
      <c r="A52" t="s">
        <v>3254</v>
      </c>
      <c r="B52" t="s">
        <v>3165</v>
      </c>
      <c r="C52" t="s">
        <v>3165</v>
      </c>
      <c r="D52" t="s">
        <v>3165</v>
      </c>
      <c r="E52" t="str">
        <f t="shared" si="0"/>
        <v>Process Emissions 2B2</v>
      </c>
      <c r="F52" t="s">
        <v>2420</v>
      </c>
      <c r="G52" t="s">
        <v>334</v>
      </c>
      <c r="H52" t="s">
        <v>3258</v>
      </c>
      <c r="I52" t="s">
        <v>3258</v>
      </c>
    </row>
    <row r="53" spans="1:9" x14ac:dyDescent="0.25">
      <c r="A53" t="s">
        <v>3255</v>
      </c>
      <c r="B53" t="s">
        <v>3165</v>
      </c>
      <c r="C53" t="s">
        <v>3165</v>
      </c>
      <c r="D53" t="s">
        <v>3165</v>
      </c>
      <c r="E53" t="str">
        <f t="shared" si="0"/>
        <v>Process Emissions 2B5</v>
      </c>
      <c r="F53" t="s">
        <v>2420</v>
      </c>
      <c r="G53" t="s">
        <v>334</v>
      </c>
      <c r="H53" t="s">
        <v>3259</v>
      </c>
      <c r="I53" t="s">
        <v>3259</v>
      </c>
    </row>
    <row r="54" spans="1:9" x14ac:dyDescent="0.25">
      <c r="A54" t="s">
        <v>3256</v>
      </c>
      <c r="B54" t="s">
        <v>3165</v>
      </c>
      <c r="C54" t="s">
        <v>3165</v>
      </c>
      <c r="D54" t="s">
        <v>3165</v>
      </c>
      <c r="E54" t="str">
        <f t="shared" si="0"/>
        <v>Process Emissions 2B6</v>
      </c>
      <c r="F54" t="s">
        <v>2420</v>
      </c>
      <c r="G54" t="s">
        <v>334</v>
      </c>
      <c r="H54" t="s">
        <v>3260</v>
      </c>
      <c r="I54" t="s">
        <v>3260</v>
      </c>
    </row>
    <row r="55" spans="1:9" x14ac:dyDescent="0.25">
      <c r="A55" t="s">
        <v>3257</v>
      </c>
      <c r="B55" t="s">
        <v>3165</v>
      </c>
      <c r="C55" t="s">
        <v>3165</v>
      </c>
      <c r="D55" t="s">
        <v>3165</v>
      </c>
      <c r="E55" t="str">
        <f t="shared" si="0"/>
        <v>Process Emissions 2B8</v>
      </c>
      <c r="F55" t="s">
        <v>2420</v>
      </c>
      <c r="G55" t="s">
        <v>334</v>
      </c>
      <c r="H55" t="s">
        <v>3261</v>
      </c>
      <c r="I55" t="s">
        <v>3261</v>
      </c>
    </row>
    <row r="56" spans="1:9" x14ac:dyDescent="0.25">
      <c r="A56" t="s">
        <v>3162</v>
      </c>
      <c r="B56" t="s">
        <v>3165</v>
      </c>
      <c r="C56" t="s">
        <v>3165</v>
      </c>
      <c r="D56" t="s">
        <v>3165</v>
      </c>
      <c r="E56" t="str">
        <f t="shared" si="0"/>
        <v>Process Emissions 2C1</v>
      </c>
      <c r="F56" t="s">
        <v>2420</v>
      </c>
      <c r="G56" t="s">
        <v>2421</v>
      </c>
      <c r="H56" t="s">
        <v>314</v>
      </c>
      <c r="I56" t="s">
        <v>314</v>
      </c>
    </row>
    <row r="57" spans="1:9" x14ac:dyDescent="0.25">
      <c r="A57" t="s">
        <v>3163</v>
      </c>
      <c r="B57" t="s">
        <v>3165</v>
      </c>
      <c r="C57" t="s">
        <v>3165</v>
      </c>
      <c r="D57" t="s">
        <v>3165</v>
      </c>
      <c r="E57" t="str">
        <f t="shared" si="0"/>
        <v>Process Emissions 2C2</v>
      </c>
      <c r="F57" t="s">
        <v>2420</v>
      </c>
      <c r="G57" t="s">
        <v>2421</v>
      </c>
      <c r="H57" t="s">
        <v>329</v>
      </c>
      <c r="I57" t="s">
        <v>329</v>
      </c>
    </row>
    <row r="58" spans="1:9" x14ac:dyDescent="0.25">
      <c r="A58" t="s">
        <v>3164</v>
      </c>
      <c r="B58" t="s">
        <v>3165</v>
      </c>
      <c r="C58" t="s">
        <v>3165</v>
      </c>
      <c r="D58" t="s">
        <v>3165</v>
      </c>
      <c r="E58" t="str">
        <f t="shared" si="0"/>
        <v>Process Emissions 2C3</v>
      </c>
      <c r="F58" t="s">
        <v>2420</v>
      </c>
      <c r="G58" t="s">
        <v>2421</v>
      </c>
      <c r="H58" t="s">
        <v>273</v>
      </c>
      <c r="I58" t="s">
        <v>273</v>
      </c>
    </row>
    <row r="59" spans="1:9" x14ac:dyDescent="0.25">
      <c r="A59" t="s">
        <v>3249</v>
      </c>
      <c r="B59" t="s">
        <v>3165</v>
      </c>
      <c r="C59" t="s">
        <v>3165</v>
      </c>
      <c r="D59" t="s">
        <v>3165</v>
      </c>
      <c r="E59" t="str">
        <f t="shared" si="0"/>
        <v>Process Emissions 2C5</v>
      </c>
      <c r="F59" t="s">
        <v>2420</v>
      </c>
      <c r="G59" t="s">
        <v>2421</v>
      </c>
      <c r="H59" t="s">
        <v>3251</v>
      </c>
      <c r="I59" t="s">
        <v>3251</v>
      </c>
    </row>
    <row r="60" spans="1:9" x14ac:dyDescent="0.25">
      <c r="A60" t="s">
        <v>3250</v>
      </c>
      <c r="B60" t="s">
        <v>3165</v>
      </c>
      <c r="C60" t="s">
        <v>3165</v>
      </c>
      <c r="D60" t="s">
        <v>3165</v>
      </c>
      <c r="E60" t="str">
        <f t="shared" si="0"/>
        <v>Process Emissions 2C6</v>
      </c>
      <c r="F60" t="s">
        <v>2420</v>
      </c>
      <c r="G60" t="s">
        <v>2421</v>
      </c>
      <c r="H60" t="s">
        <v>3252</v>
      </c>
      <c r="I60" t="s">
        <v>3252</v>
      </c>
    </row>
    <row r="61" spans="1:9" x14ac:dyDescent="0.25">
      <c r="A61" t="s">
        <v>3272</v>
      </c>
      <c r="B61" t="s">
        <v>3165</v>
      </c>
      <c r="C61" t="s">
        <v>3165</v>
      </c>
      <c r="D61" t="s">
        <v>3165</v>
      </c>
      <c r="E61" t="str">
        <f t="shared" si="0"/>
        <v>Process Emissions 2D1</v>
      </c>
      <c r="F61" t="s">
        <v>2420</v>
      </c>
      <c r="G61" t="s">
        <v>3246</v>
      </c>
      <c r="H61" t="s">
        <v>3247</v>
      </c>
      <c r="I61" t="s">
        <v>3247</v>
      </c>
    </row>
    <row r="62" spans="1:9" x14ac:dyDescent="0.25">
      <c r="A62" t="s">
        <v>3273</v>
      </c>
      <c r="B62" t="s">
        <v>3165</v>
      </c>
      <c r="C62" t="s">
        <v>3165</v>
      </c>
      <c r="D62" t="s">
        <v>3165</v>
      </c>
      <c r="E62" t="str">
        <f t="shared" si="0"/>
        <v>Process Emissions 2D2</v>
      </c>
      <c r="F62" t="s">
        <v>2420</v>
      </c>
      <c r="G62" t="s">
        <v>3246</v>
      </c>
      <c r="H62" t="s">
        <v>3248</v>
      </c>
      <c r="I62" t="s">
        <v>3248</v>
      </c>
    </row>
    <row r="63" spans="1:9" x14ac:dyDescent="0.25">
      <c r="A63" t="s">
        <v>3242</v>
      </c>
      <c r="B63" t="s">
        <v>3165</v>
      </c>
      <c r="C63" t="s">
        <v>3165</v>
      </c>
      <c r="D63" t="s">
        <v>3165</v>
      </c>
      <c r="E63" t="str">
        <f t="shared" si="0"/>
        <v>Process Emissions 2F1</v>
      </c>
      <c r="F63" t="s">
        <v>2420</v>
      </c>
      <c r="G63" t="s">
        <v>257</v>
      </c>
      <c r="H63" t="s">
        <v>3168</v>
      </c>
      <c r="I63" t="s">
        <v>3168</v>
      </c>
    </row>
    <row r="64" spans="1:9" x14ac:dyDescent="0.25">
      <c r="A64" t="s">
        <v>3243</v>
      </c>
      <c r="B64" t="s">
        <v>3165</v>
      </c>
      <c r="C64" t="s">
        <v>3165</v>
      </c>
      <c r="D64" t="s">
        <v>3165</v>
      </c>
      <c r="E64" t="str">
        <f t="shared" si="0"/>
        <v>Process Emissions 2F2</v>
      </c>
      <c r="F64" t="s">
        <v>2420</v>
      </c>
      <c r="G64" t="s">
        <v>257</v>
      </c>
      <c r="H64" t="s">
        <v>3240</v>
      </c>
      <c r="I64" t="s">
        <v>3240</v>
      </c>
    </row>
    <row r="65" spans="1:9" x14ac:dyDescent="0.25">
      <c r="A65" t="s">
        <v>3244</v>
      </c>
      <c r="B65" t="s">
        <v>3165</v>
      </c>
      <c r="C65" t="s">
        <v>3165</v>
      </c>
      <c r="D65" t="s">
        <v>3165</v>
      </c>
      <c r="E65" t="str">
        <f t="shared" si="0"/>
        <v>Process Emissions 2F3</v>
      </c>
      <c r="F65" t="s">
        <v>2420</v>
      </c>
      <c r="G65" t="s">
        <v>257</v>
      </c>
      <c r="H65" t="s">
        <v>3241</v>
      </c>
      <c r="I65" t="s">
        <v>3241</v>
      </c>
    </row>
    <row r="66" spans="1:9" x14ac:dyDescent="0.25">
      <c r="A66" t="s">
        <v>3245</v>
      </c>
      <c r="B66" t="s">
        <v>3165</v>
      </c>
      <c r="C66" t="s">
        <v>3165</v>
      </c>
      <c r="D66" t="s">
        <v>3165</v>
      </c>
      <c r="E66" t="str">
        <f t="shared" si="0"/>
        <v>Process Emissions 2F4</v>
      </c>
      <c r="F66" t="s">
        <v>2420</v>
      </c>
      <c r="G66" t="s">
        <v>257</v>
      </c>
      <c r="H66" t="s">
        <v>3239</v>
      </c>
      <c r="I66" t="s">
        <v>3239</v>
      </c>
    </row>
    <row r="67" spans="1:9" x14ac:dyDescent="0.25">
      <c r="A67" t="s">
        <v>3183</v>
      </c>
      <c r="B67" t="s">
        <v>3196</v>
      </c>
      <c r="C67" t="s">
        <v>3196</v>
      </c>
      <c r="D67" t="s">
        <v>3196</v>
      </c>
      <c r="E67" t="str">
        <f t="shared" ref="E67:E79" si="1">"Agri Emissions "&amp;RIGHT(A67,LEN(A67)-1)</f>
        <v>Agri Emissions 3A1a</v>
      </c>
      <c r="F67" t="s">
        <v>3145</v>
      </c>
      <c r="G67" t="s">
        <v>3198</v>
      </c>
      <c r="H67" t="s">
        <v>3199</v>
      </c>
      <c r="I67" t="s">
        <v>3200</v>
      </c>
    </row>
    <row r="68" spans="1:9" x14ac:dyDescent="0.25">
      <c r="A68" t="s">
        <v>3184</v>
      </c>
      <c r="B68" t="s">
        <v>3196</v>
      </c>
      <c r="C68" t="s">
        <v>3196</v>
      </c>
      <c r="D68" t="s">
        <v>3196</v>
      </c>
      <c r="E68" t="str">
        <f t="shared" si="1"/>
        <v>Agri Emissions 3A1c</v>
      </c>
      <c r="F68" t="s">
        <v>3145</v>
      </c>
      <c r="G68" t="s">
        <v>3198</v>
      </c>
      <c r="H68" t="s">
        <v>3199</v>
      </c>
      <c r="I68" t="s">
        <v>3201</v>
      </c>
    </row>
    <row r="69" spans="1:9" x14ac:dyDescent="0.25">
      <c r="A69" t="s">
        <v>3185</v>
      </c>
      <c r="B69" t="s">
        <v>3196</v>
      </c>
      <c r="C69" t="s">
        <v>3196</v>
      </c>
      <c r="D69" t="s">
        <v>3196</v>
      </c>
      <c r="E69" t="str">
        <f t="shared" si="1"/>
        <v>Agri Emissions 3A1d</v>
      </c>
      <c r="F69" t="s">
        <v>3145</v>
      </c>
      <c r="G69" t="s">
        <v>3198</v>
      </c>
      <c r="H69" t="s">
        <v>3199</v>
      </c>
      <c r="I69" t="s">
        <v>3202</v>
      </c>
    </row>
    <row r="70" spans="1:9" x14ac:dyDescent="0.25">
      <c r="A70" t="s">
        <v>3186</v>
      </c>
      <c r="B70" t="s">
        <v>3196</v>
      </c>
      <c r="C70" t="s">
        <v>3196</v>
      </c>
      <c r="D70" t="s">
        <v>3196</v>
      </c>
      <c r="E70" t="str">
        <f t="shared" si="1"/>
        <v>Agri Emissions 3A1f</v>
      </c>
      <c r="F70" t="s">
        <v>3145</v>
      </c>
      <c r="G70" t="s">
        <v>3198</v>
      </c>
      <c r="H70" t="s">
        <v>3199</v>
      </c>
      <c r="I70" t="s">
        <v>3203</v>
      </c>
    </row>
    <row r="71" spans="1:9" x14ac:dyDescent="0.25">
      <c r="A71" t="s">
        <v>3187</v>
      </c>
      <c r="B71" t="s">
        <v>3196</v>
      </c>
      <c r="C71" t="s">
        <v>3196</v>
      </c>
      <c r="D71" t="s">
        <v>3196</v>
      </c>
      <c r="E71" t="str">
        <f t="shared" si="1"/>
        <v>Agri Emissions 3A1g</v>
      </c>
      <c r="F71" t="s">
        <v>3145</v>
      </c>
      <c r="G71" t="s">
        <v>3198</v>
      </c>
      <c r="H71" t="s">
        <v>3199</v>
      </c>
      <c r="I71" t="s">
        <v>3204</v>
      </c>
    </row>
    <row r="72" spans="1:9" x14ac:dyDescent="0.25">
      <c r="A72" t="s">
        <v>3188</v>
      </c>
      <c r="B72" t="s">
        <v>3196</v>
      </c>
      <c r="C72" t="s">
        <v>3196</v>
      </c>
      <c r="D72" t="s">
        <v>3196</v>
      </c>
      <c r="E72" t="str">
        <f t="shared" si="1"/>
        <v>Agri Emissions 3A1h</v>
      </c>
      <c r="F72" t="s">
        <v>3145</v>
      </c>
      <c r="G72" t="s">
        <v>3198</v>
      </c>
      <c r="H72" t="s">
        <v>3199</v>
      </c>
      <c r="I72" t="s">
        <v>3205</v>
      </c>
    </row>
    <row r="73" spans="1:9" x14ac:dyDescent="0.25">
      <c r="A73" t="s">
        <v>3189</v>
      </c>
      <c r="B73" t="s">
        <v>3196</v>
      </c>
      <c r="C73" t="s">
        <v>3196</v>
      </c>
      <c r="D73" t="s">
        <v>3196</v>
      </c>
      <c r="E73" t="str">
        <f t="shared" si="1"/>
        <v>Agri Emissions 3A2a</v>
      </c>
      <c r="F73" t="s">
        <v>3145</v>
      </c>
      <c r="G73" t="s">
        <v>3198</v>
      </c>
      <c r="H73" t="s">
        <v>3206</v>
      </c>
      <c r="I73" t="s">
        <v>3207</v>
      </c>
    </row>
    <row r="74" spans="1:9" x14ac:dyDescent="0.25">
      <c r="A74" t="s">
        <v>3190</v>
      </c>
      <c r="B74" t="s">
        <v>3196</v>
      </c>
      <c r="C74" t="s">
        <v>3196</v>
      </c>
      <c r="D74" t="s">
        <v>3196</v>
      </c>
      <c r="E74" t="str">
        <f t="shared" si="1"/>
        <v>Agri Emissions 3A2c</v>
      </c>
      <c r="F74" t="s">
        <v>3145</v>
      </c>
      <c r="G74" t="s">
        <v>3198</v>
      </c>
      <c r="H74" t="s">
        <v>3206</v>
      </c>
      <c r="I74" t="s">
        <v>3208</v>
      </c>
    </row>
    <row r="75" spans="1:9" x14ac:dyDescent="0.25">
      <c r="A75" t="s">
        <v>3191</v>
      </c>
      <c r="B75" t="s">
        <v>3196</v>
      </c>
      <c r="C75" t="s">
        <v>3196</v>
      </c>
      <c r="D75" t="s">
        <v>3196</v>
      </c>
      <c r="E75" t="str">
        <f t="shared" si="1"/>
        <v>Agri Emissions 3A2d</v>
      </c>
      <c r="F75" t="s">
        <v>3145</v>
      </c>
      <c r="G75" t="s">
        <v>3198</v>
      </c>
      <c r="H75" t="s">
        <v>3206</v>
      </c>
      <c r="I75" t="s">
        <v>3209</v>
      </c>
    </row>
    <row r="76" spans="1:9" x14ac:dyDescent="0.25">
      <c r="A76" t="s">
        <v>3192</v>
      </c>
      <c r="B76" t="s">
        <v>3196</v>
      </c>
      <c r="C76" t="s">
        <v>3196</v>
      </c>
      <c r="D76" t="s">
        <v>3196</v>
      </c>
      <c r="E76" t="str">
        <f t="shared" si="1"/>
        <v>Agri Emissions 3A2f</v>
      </c>
      <c r="F76" t="s">
        <v>3145</v>
      </c>
      <c r="G76" t="s">
        <v>3198</v>
      </c>
      <c r="H76" t="s">
        <v>3206</v>
      </c>
      <c r="I76" t="s">
        <v>3210</v>
      </c>
    </row>
    <row r="77" spans="1:9" x14ac:dyDescent="0.25">
      <c r="A77" t="s">
        <v>3193</v>
      </c>
      <c r="B77" t="s">
        <v>3196</v>
      </c>
      <c r="C77" t="s">
        <v>3196</v>
      </c>
      <c r="D77" t="s">
        <v>3196</v>
      </c>
      <c r="E77" t="str">
        <f t="shared" si="1"/>
        <v>Agri Emissions 3A2g</v>
      </c>
      <c r="F77" t="s">
        <v>3145</v>
      </c>
      <c r="G77" t="s">
        <v>3198</v>
      </c>
      <c r="H77" t="s">
        <v>3206</v>
      </c>
      <c r="I77" t="s">
        <v>3211</v>
      </c>
    </row>
    <row r="78" spans="1:9" x14ac:dyDescent="0.25">
      <c r="A78" t="s">
        <v>3194</v>
      </c>
      <c r="B78" t="s">
        <v>3196</v>
      </c>
      <c r="C78" t="s">
        <v>3196</v>
      </c>
      <c r="D78" t="s">
        <v>3196</v>
      </c>
      <c r="E78" t="str">
        <f t="shared" si="1"/>
        <v>Agri Emissions 3A2h</v>
      </c>
      <c r="F78" t="s">
        <v>3145</v>
      </c>
      <c r="G78" t="s">
        <v>3198</v>
      </c>
      <c r="H78" t="s">
        <v>3206</v>
      </c>
      <c r="I78" t="s">
        <v>3212</v>
      </c>
    </row>
    <row r="79" spans="1:9" x14ac:dyDescent="0.25">
      <c r="A79" t="s">
        <v>3195</v>
      </c>
      <c r="B79" t="s">
        <v>3196</v>
      </c>
      <c r="C79" t="s">
        <v>3196</v>
      </c>
      <c r="D79" t="s">
        <v>3196</v>
      </c>
      <c r="E79" t="str">
        <f t="shared" si="1"/>
        <v>Agri Emissions 3A2i</v>
      </c>
      <c r="F79" t="s">
        <v>3145</v>
      </c>
      <c r="G79" t="s">
        <v>3198</v>
      </c>
      <c r="H79" t="s">
        <v>3206</v>
      </c>
      <c r="I79" t="s">
        <v>3213</v>
      </c>
    </row>
    <row r="80" spans="1:9" x14ac:dyDescent="0.25">
      <c r="A80" t="s">
        <v>3130</v>
      </c>
      <c r="B80" t="s">
        <v>3197</v>
      </c>
      <c r="C80" t="s">
        <v>3197</v>
      </c>
      <c r="D80" t="s">
        <v>3197</v>
      </c>
      <c r="E80" t="str">
        <f t="shared" ref="E80:E90" si="2">"Land Emissions "&amp;RIGHT(A80,LEN(A80)-1)</f>
        <v>Land Emissions 3B1a</v>
      </c>
      <c r="F80" t="s">
        <v>3145</v>
      </c>
      <c r="G80" t="s">
        <v>3141</v>
      </c>
      <c r="H80" t="s">
        <v>3146</v>
      </c>
      <c r="I80" t="s">
        <v>3142</v>
      </c>
    </row>
    <row r="81" spans="1:9" x14ac:dyDescent="0.25">
      <c r="A81" t="s">
        <v>3131</v>
      </c>
      <c r="B81" t="s">
        <v>3197</v>
      </c>
      <c r="C81" t="s">
        <v>3197</v>
      </c>
      <c r="D81" t="s">
        <v>3197</v>
      </c>
      <c r="E81" t="str">
        <f t="shared" si="2"/>
        <v>Land Emissions 3B1b</v>
      </c>
      <c r="F81" t="s">
        <v>3145</v>
      </c>
      <c r="G81" t="s">
        <v>3141</v>
      </c>
      <c r="H81" t="s">
        <v>3147</v>
      </c>
      <c r="I81" t="s">
        <v>3143</v>
      </c>
    </row>
    <row r="82" spans="1:9" x14ac:dyDescent="0.25">
      <c r="A82" t="s">
        <v>3132</v>
      </c>
      <c r="B82" t="s">
        <v>3197</v>
      </c>
      <c r="C82" t="s">
        <v>3197</v>
      </c>
      <c r="D82" t="s">
        <v>3197</v>
      </c>
      <c r="E82" t="str">
        <f t="shared" si="2"/>
        <v>Land Emissions 3B2a</v>
      </c>
      <c r="F82" t="s">
        <v>3145</v>
      </c>
      <c r="G82" t="s">
        <v>3141</v>
      </c>
      <c r="H82" t="s">
        <v>3148</v>
      </c>
      <c r="I82" t="s">
        <v>3149</v>
      </c>
    </row>
    <row r="83" spans="1:9" x14ac:dyDescent="0.25">
      <c r="A83" t="s">
        <v>3133</v>
      </c>
      <c r="B83" t="s">
        <v>3197</v>
      </c>
      <c r="C83" t="s">
        <v>3197</v>
      </c>
      <c r="D83" t="s">
        <v>3197</v>
      </c>
      <c r="E83" t="str">
        <f t="shared" si="2"/>
        <v>Land Emissions 3B2b</v>
      </c>
      <c r="F83" t="s">
        <v>3145</v>
      </c>
      <c r="G83" t="s">
        <v>3141</v>
      </c>
      <c r="H83" t="s">
        <v>3148</v>
      </c>
      <c r="I83" t="s">
        <v>3150</v>
      </c>
    </row>
    <row r="84" spans="1:9" x14ac:dyDescent="0.25">
      <c r="A84" t="s">
        <v>3134</v>
      </c>
      <c r="B84" t="s">
        <v>3197</v>
      </c>
      <c r="C84" t="s">
        <v>3197</v>
      </c>
      <c r="D84" t="s">
        <v>3197</v>
      </c>
      <c r="E84" t="str">
        <f t="shared" si="2"/>
        <v>Land Emissions 3B3a</v>
      </c>
      <c r="F84" t="s">
        <v>3145</v>
      </c>
      <c r="G84" t="s">
        <v>3141</v>
      </c>
      <c r="H84" t="s">
        <v>3151</v>
      </c>
      <c r="I84" t="s">
        <v>3152</v>
      </c>
    </row>
    <row r="85" spans="1:9" x14ac:dyDescent="0.25">
      <c r="A85" t="s">
        <v>3135</v>
      </c>
      <c r="B85" t="s">
        <v>3197</v>
      </c>
      <c r="C85" t="s">
        <v>3197</v>
      </c>
      <c r="D85" t="s">
        <v>3197</v>
      </c>
      <c r="E85" t="str">
        <f t="shared" si="2"/>
        <v>Land Emissions 3B3b</v>
      </c>
      <c r="F85" t="s">
        <v>3145</v>
      </c>
      <c r="G85" t="s">
        <v>3141</v>
      </c>
      <c r="H85" t="s">
        <v>3153</v>
      </c>
      <c r="I85" t="s">
        <v>3154</v>
      </c>
    </row>
    <row r="86" spans="1:9" x14ac:dyDescent="0.25">
      <c r="A86" t="s">
        <v>3276</v>
      </c>
      <c r="B86" t="s">
        <v>3197</v>
      </c>
      <c r="C86" t="s">
        <v>3197</v>
      </c>
      <c r="D86" t="s">
        <v>3197</v>
      </c>
      <c r="E86" t="str">
        <f t="shared" si="2"/>
        <v>Land Emissions 3B4</v>
      </c>
      <c r="F86" t="s">
        <v>3145</v>
      </c>
      <c r="G86" t="s">
        <v>3141</v>
      </c>
      <c r="H86" t="s">
        <v>3277</v>
      </c>
      <c r="I86" t="s">
        <v>3277</v>
      </c>
    </row>
    <row r="87" spans="1:9" x14ac:dyDescent="0.25">
      <c r="A87" t="s">
        <v>3136</v>
      </c>
      <c r="B87" t="s">
        <v>3197</v>
      </c>
      <c r="C87" t="s">
        <v>3197</v>
      </c>
      <c r="D87" t="s">
        <v>3197</v>
      </c>
      <c r="E87" t="str">
        <f t="shared" si="2"/>
        <v>Land Emissions 3B5a</v>
      </c>
      <c r="F87" t="s">
        <v>3145</v>
      </c>
      <c r="G87" t="s">
        <v>3141</v>
      </c>
      <c r="H87" t="s">
        <v>3155</v>
      </c>
      <c r="I87" t="s">
        <v>3156</v>
      </c>
    </row>
    <row r="88" spans="1:9" x14ac:dyDescent="0.25">
      <c r="A88" t="s">
        <v>3137</v>
      </c>
      <c r="B88" t="s">
        <v>3197</v>
      </c>
      <c r="C88" t="s">
        <v>3197</v>
      </c>
      <c r="D88" t="s">
        <v>3197</v>
      </c>
      <c r="E88" t="str">
        <f t="shared" si="2"/>
        <v>Land Emissions 3B5b</v>
      </c>
      <c r="F88" t="s">
        <v>3145</v>
      </c>
      <c r="G88" t="s">
        <v>3141</v>
      </c>
      <c r="H88" t="s">
        <v>3155</v>
      </c>
      <c r="I88" t="s">
        <v>3157</v>
      </c>
    </row>
    <row r="89" spans="1:9" x14ac:dyDescent="0.25">
      <c r="A89" t="s">
        <v>3138</v>
      </c>
      <c r="B89" t="s">
        <v>3197</v>
      </c>
      <c r="C89" t="s">
        <v>3197</v>
      </c>
      <c r="D89" t="s">
        <v>3197</v>
      </c>
      <c r="E89" t="str">
        <f t="shared" si="2"/>
        <v>Land Emissions 3B6a</v>
      </c>
      <c r="F89" t="s">
        <v>3145</v>
      </c>
      <c r="G89" t="s">
        <v>3141</v>
      </c>
      <c r="H89" t="s">
        <v>3158</v>
      </c>
      <c r="I89" t="s">
        <v>3159</v>
      </c>
    </row>
    <row r="90" spans="1:9" x14ac:dyDescent="0.25">
      <c r="A90" t="s">
        <v>3139</v>
      </c>
      <c r="B90" t="s">
        <v>3197</v>
      </c>
      <c r="C90" t="s">
        <v>3197</v>
      </c>
      <c r="D90" t="s">
        <v>3197</v>
      </c>
      <c r="E90" t="str">
        <f t="shared" si="2"/>
        <v>Land Emissions 3B6b</v>
      </c>
      <c r="F90" t="s">
        <v>3145</v>
      </c>
      <c r="G90" t="s">
        <v>3141</v>
      </c>
      <c r="H90" t="s">
        <v>3158</v>
      </c>
      <c r="I90" t="s">
        <v>3160</v>
      </c>
    </row>
    <row r="91" spans="1:9" x14ac:dyDescent="0.25">
      <c r="A91" t="s">
        <v>3214</v>
      </c>
      <c r="B91" t="s">
        <v>3196</v>
      </c>
      <c r="C91" t="s">
        <v>3196</v>
      </c>
      <c r="D91" t="s">
        <v>3196</v>
      </c>
      <c r="E91" t="str">
        <f t="shared" ref="E91:E101" si="3">"Agri Emissions "&amp;RIGHT(A91,LEN(A91)-1)</f>
        <v>Agri Emissions 3C1a</v>
      </c>
      <c r="F91" t="s">
        <v>3145</v>
      </c>
      <c r="G91" t="s">
        <v>3225</v>
      </c>
      <c r="H91" t="s">
        <v>3232</v>
      </c>
      <c r="I91" t="s">
        <v>3233</v>
      </c>
    </row>
    <row r="92" spans="1:9" x14ac:dyDescent="0.25">
      <c r="A92" t="s">
        <v>3215</v>
      </c>
      <c r="B92" t="s">
        <v>3196</v>
      </c>
      <c r="C92" t="s">
        <v>3196</v>
      </c>
      <c r="D92" t="s">
        <v>3196</v>
      </c>
      <c r="E92" t="str">
        <f t="shared" si="3"/>
        <v>Agri Emissions 3C1b</v>
      </c>
      <c r="F92" t="s">
        <v>3145</v>
      </c>
      <c r="G92" t="s">
        <v>3225</v>
      </c>
      <c r="H92" t="s">
        <v>3232</v>
      </c>
      <c r="I92" t="s">
        <v>3234</v>
      </c>
    </row>
    <row r="93" spans="1:9" x14ac:dyDescent="0.25">
      <c r="A93" t="s">
        <v>3216</v>
      </c>
      <c r="B93" t="s">
        <v>3196</v>
      </c>
      <c r="C93" t="s">
        <v>3196</v>
      </c>
      <c r="D93" t="s">
        <v>3196</v>
      </c>
      <c r="E93" t="str">
        <f t="shared" si="3"/>
        <v>Agri Emissions 3C1c</v>
      </c>
      <c r="F93" t="s">
        <v>3145</v>
      </c>
      <c r="G93" t="s">
        <v>3225</v>
      </c>
      <c r="H93" t="s">
        <v>3232</v>
      </c>
      <c r="I93" t="s">
        <v>3235</v>
      </c>
    </row>
    <row r="94" spans="1:9" x14ac:dyDescent="0.25">
      <c r="A94" t="s">
        <v>3217</v>
      </c>
      <c r="B94" t="s">
        <v>3196</v>
      </c>
      <c r="C94" t="s">
        <v>3196</v>
      </c>
      <c r="D94" t="s">
        <v>3196</v>
      </c>
      <c r="E94" t="str">
        <f t="shared" si="3"/>
        <v>Agri Emissions 3C1d</v>
      </c>
      <c r="F94" t="s">
        <v>3145</v>
      </c>
      <c r="G94" t="s">
        <v>3225</v>
      </c>
      <c r="H94" t="s">
        <v>3232</v>
      </c>
      <c r="I94" t="s">
        <v>3236</v>
      </c>
    </row>
    <row r="95" spans="1:9" x14ac:dyDescent="0.25">
      <c r="A95" t="s">
        <v>3218</v>
      </c>
      <c r="B95" t="s">
        <v>3196</v>
      </c>
      <c r="C95" t="s">
        <v>3196</v>
      </c>
      <c r="D95" t="s">
        <v>3196</v>
      </c>
      <c r="E95" t="str">
        <f t="shared" si="3"/>
        <v>Agri Emissions 3C1e</v>
      </c>
      <c r="F95" t="s">
        <v>3145</v>
      </c>
      <c r="G95" t="s">
        <v>3225</v>
      </c>
      <c r="H95" t="s">
        <v>3232</v>
      </c>
      <c r="I95" t="s">
        <v>3237</v>
      </c>
    </row>
    <row r="96" spans="1:9" x14ac:dyDescent="0.25">
      <c r="A96" t="s">
        <v>3219</v>
      </c>
      <c r="B96" t="s">
        <v>3196</v>
      </c>
      <c r="C96" t="s">
        <v>3196</v>
      </c>
      <c r="D96" t="s">
        <v>3196</v>
      </c>
      <c r="E96" t="str">
        <f t="shared" si="3"/>
        <v>Agri Emissions 3C1f</v>
      </c>
      <c r="F96" t="s">
        <v>3145</v>
      </c>
      <c r="G96" t="s">
        <v>3225</v>
      </c>
      <c r="H96" t="s">
        <v>3232</v>
      </c>
      <c r="I96" t="s">
        <v>3238</v>
      </c>
    </row>
    <row r="97" spans="1:9" x14ac:dyDescent="0.25">
      <c r="A97" t="s">
        <v>3223</v>
      </c>
      <c r="B97" t="s">
        <v>3196</v>
      </c>
      <c r="C97" t="s">
        <v>3196</v>
      </c>
      <c r="D97" t="s">
        <v>3196</v>
      </c>
      <c r="E97" t="str">
        <f t="shared" si="3"/>
        <v>Agri Emissions 3C2</v>
      </c>
      <c r="F97" t="s">
        <v>3145</v>
      </c>
      <c r="G97" t="s">
        <v>3225</v>
      </c>
      <c r="H97" t="s">
        <v>3226</v>
      </c>
      <c r="I97" t="s">
        <v>3226</v>
      </c>
    </row>
    <row r="98" spans="1:9" x14ac:dyDescent="0.25">
      <c r="A98" t="s">
        <v>3224</v>
      </c>
      <c r="B98" t="s">
        <v>3196</v>
      </c>
      <c r="C98" t="s">
        <v>3196</v>
      </c>
      <c r="D98" t="s">
        <v>3196</v>
      </c>
      <c r="E98" t="str">
        <f t="shared" si="3"/>
        <v>Agri Emissions 3C3</v>
      </c>
      <c r="F98" t="s">
        <v>3145</v>
      </c>
      <c r="G98" t="s">
        <v>3225</v>
      </c>
      <c r="H98" t="s">
        <v>3227</v>
      </c>
      <c r="I98" t="s">
        <v>3227</v>
      </c>
    </row>
    <row r="99" spans="1:9" x14ac:dyDescent="0.25">
      <c r="A99" t="s">
        <v>3220</v>
      </c>
      <c r="B99" t="s">
        <v>3196</v>
      </c>
      <c r="C99" t="s">
        <v>3196</v>
      </c>
      <c r="D99" t="s">
        <v>3196</v>
      </c>
      <c r="E99" t="str">
        <f t="shared" si="3"/>
        <v>Agri Emissions 3C4</v>
      </c>
      <c r="F99" t="s">
        <v>3145</v>
      </c>
      <c r="G99" t="s">
        <v>3225</v>
      </c>
      <c r="H99" t="s">
        <v>3228</v>
      </c>
      <c r="I99" t="s">
        <v>3228</v>
      </c>
    </row>
    <row r="100" spans="1:9" x14ac:dyDescent="0.25">
      <c r="A100" t="s">
        <v>3221</v>
      </c>
      <c r="B100" t="s">
        <v>3196</v>
      </c>
      <c r="C100" t="s">
        <v>3196</v>
      </c>
      <c r="D100" t="s">
        <v>3196</v>
      </c>
      <c r="E100" t="str">
        <f t="shared" si="3"/>
        <v>Agri Emissions 3C5</v>
      </c>
      <c r="F100" t="s">
        <v>3145</v>
      </c>
      <c r="G100" t="s">
        <v>3225</v>
      </c>
      <c r="H100" t="s">
        <v>3229</v>
      </c>
      <c r="I100" t="s">
        <v>3229</v>
      </c>
    </row>
    <row r="101" spans="1:9" x14ac:dyDescent="0.25">
      <c r="A101" t="s">
        <v>3222</v>
      </c>
      <c r="B101" t="s">
        <v>3196</v>
      </c>
      <c r="C101" t="s">
        <v>3196</v>
      </c>
      <c r="D101" t="s">
        <v>3196</v>
      </c>
      <c r="E101" t="str">
        <f t="shared" si="3"/>
        <v>Agri Emissions 3C6</v>
      </c>
      <c r="F101" t="s">
        <v>3145</v>
      </c>
      <c r="G101" t="s">
        <v>3225</v>
      </c>
      <c r="H101" t="s">
        <v>3230</v>
      </c>
      <c r="I101" t="s">
        <v>3231</v>
      </c>
    </row>
    <row r="102" spans="1:9" x14ac:dyDescent="0.25">
      <c r="A102" t="s">
        <v>3140</v>
      </c>
      <c r="B102" t="s">
        <v>3197</v>
      </c>
      <c r="C102" t="s">
        <v>3197</v>
      </c>
      <c r="D102" t="s">
        <v>3197</v>
      </c>
      <c r="E102" t="str">
        <f>"Land Emissions "&amp;RIGHT(A102,LEN(A102)-1)</f>
        <v>Land Emissions 3D1</v>
      </c>
      <c r="F102" t="s">
        <v>3145</v>
      </c>
      <c r="G102" t="s">
        <v>3144</v>
      </c>
      <c r="H102" t="s">
        <v>3161</v>
      </c>
      <c r="I102" t="s">
        <v>3161</v>
      </c>
    </row>
    <row r="103" spans="1:9" x14ac:dyDescent="0.25">
      <c r="A103" t="s">
        <v>3175</v>
      </c>
      <c r="B103" t="s">
        <v>1772</v>
      </c>
      <c r="C103" t="s">
        <v>1772</v>
      </c>
      <c r="D103" t="s">
        <v>1772</v>
      </c>
      <c r="E103" t="str">
        <f>"Waste Emissions "&amp;RIGHT(A103,LEN(A103)-1)</f>
        <v>Waste Emissions 4A</v>
      </c>
      <c r="F103" t="s">
        <v>3178</v>
      </c>
      <c r="G103" t="s">
        <v>3179</v>
      </c>
      <c r="H103" t="s">
        <v>3179</v>
      </c>
      <c r="I103" t="s">
        <v>3179</v>
      </c>
    </row>
    <row r="104" spans="1:9" x14ac:dyDescent="0.25">
      <c r="A104" t="s">
        <v>3176</v>
      </c>
      <c r="B104" t="s">
        <v>1772</v>
      </c>
      <c r="C104" t="s">
        <v>1772</v>
      </c>
      <c r="D104" t="s">
        <v>1772</v>
      </c>
      <c r="E104" t="str">
        <f>"Waste Emissions "&amp;RIGHT(A104,LEN(A104)-1)</f>
        <v>Waste Emissions 4B</v>
      </c>
      <c r="F104" t="s">
        <v>3178</v>
      </c>
      <c r="G104" t="s">
        <v>3182</v>
      </c>
      <c r="H104" t="s">
        <v>3182</v>
      </c>
      <c r="I104" t="s">
        <v>3182</v>
      </c>
    </row>
    <row r="105" spans="1:9" x14ac:dyDescent="0.25">
      <c r="A105" t="s">
        <v>3174</v>
      </c>
      <c r="B105" t="s">
        <v>1772</v>
      </c>
      <c r="C105" t="s">
        <v>1772</v>
      </c>
      <c r="D105" t="s">
        <v>1772</v>
      </c>
      <c r="E105" t="str">
        <f>"Waste Emissions "&amp;RIGHT(A105,LEN(A105)-1)</f>
        <v>Waste Emissions 4C2</v>
      </c>
      <c r="F105" t="s">
        <v>3178</v>
      </c>
      <c r="G105" t="s">
        <v>3180</v>
      </c>
      <c r="H105" t="s">
        <v>3180</v>
      </c>
      <c r="I105" t="s">
        <v>3180</v>
      </c>
    </row>
    <row r="106" spans="1:9" x14ac:dyDescent="0.25">
      <c r="A106" t="s">
        <v>3177</v>
      </c>
      <c r="B106" t="s">
        <v>1772</v>
      </c>
      <c r="C106" t="s">
        <v>1772</v>
      </c>
      <c r="D106" t="s">
        <v>1772</v>
      </c>
      <c r="E106" t="str">
        <f>"Waste Emissions "&amp;RIGHT(A106,LEN(A106)-1)</f>
        <v>Waste Emissions 4D1</v>
      </c>
      <c r="F106" t="s">
        <v>3178</v>
      </c>
      <c r="G106" t="s">
        <v>3181</v>
      </c>
      <c r="H106" t="s">
        <v>3181</v>
      </c>
      <c r="I106" t="s">
        <v>3181</v>
      </c>
    </row>
    <row r="107" spans="1:9" x14ac:dyDescent="0.25">
      <c r="A107" t="s">
        <v>1648</v>
      </c>
      <c r="B107" t="s">
        <v>1622</v>
      </c>
      <c r="C107" t="s">
        <v>1622</v>
      </c>
      <c r="D107" t="s">
        <v>0</v>
      </c>
      <c r="E107" t="s">
        <v>1647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25">
      <c r="A108" t="s">
        <v>1646</v>
      </c>
      <c r="B108" t="s">
        <v>1622</v>
      </c>
      <c r="C108" t="s">
        <v>1622</v>
      </c>
      <c r="D108" t="s">
        <v>0</v>
      </c>
      <c r="E108" t="s">
        <v>1645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25">
      <c r="A109" t="s">
        <v>1644</v>
      </c>
      <c r="B109" t="s">
        <v>1622</v>
      </c>
      <c r="C109" t="s">
        <v>1622</v>
      </c>
      <c r="D109" t="s">
        <v>0</v>
      </c>
      <c r="E109" t="s">
        <v>1643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25">
      <c r="A110" t="s">
        <v>1642</v>
      </c>
      <c r="B110" t="s">
        <v>1622</v>
      </c>
      <c r="C110" t="s">
        <v>1622</v>
      </c>
      <c r="D110" t="s">
        <v>0</v>
      </c>
      <c r="E110" t="s">
        <v>1641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25">
      <c r="A111" t="s">
        <v>1640</v>
      </c>
      <c r="B111" t="s">
        <v>1622</v>
      </c>
      <c r="C111" t="s">
        <v>1622</v>
      </c>
      <c r="D111" t="s">
        <v>0</v>
      </c>
      <c r="E111" t="s">
        <v>1639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25">
      <c r="A112" t="s">
        <v>1638</v>
      </c>
      <c r="B112" t="s">
        <v>1622</v>
      </c>
      <c r="C112" t="s">
        <v>1622</v>
      </c>
      <c r="D112" t="s">
        <v>0</v>
      </c>
      <c r="E112" t="s">
        <v>1637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25">
      <c r="A113" t="s">
        <v>1636</v>
      </c>
      <c r="B113" t="s">
        <v>1622</v>
      </c>
      <c r="C113" t="s">
        <v>1622</v>
      </c>
      <c r="D113" t="s">
        <v>0</v>
      </c>
      <c r="E113" t="s">
        <v>1635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25">
      <c r="A114" t="s">
        <v>1634</v>
      </c>
      <c r="B114" t="s">
        <v>1622</v>
      </c>
      <c r="C114" t="s">
        <v>1622</v>
      </c>
      <c r="D114" t="s">
        <v>0</v>
      </c>
      <c r="E114" t="s">
        <v>1633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25">
      <c r="A115" t="s">
        <v>1632</v>
      </c>
      <c r="B115" t="s">
        <v>1622</v>
      </c>
      <c r="C115" t="s">
        <v>1622</v>
      </c>
      <c r="D115" t="s">
        <v>0</v>
      </c>
      <c r="E115" t="s">
        <v>1631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25">
      <c r="A116" t="s">
        <v>1630</v>
      </c>
      <c r="B116" t="s">
        <v>1622</v>
      </c>
      <c r="C116" t="s">
        <v>1622</v>
      </c>
      <c r="D116" t="s">
        <v>0</v>
      </c>
      <c r="E116" t="s">
        <v>1629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1A4c Agriculture/Forestry/Fishing/Fish Farms</v>
      </c>
    </row>
    <row r="117" spans="1:9" x14ac:dyDescent="0.25">
      <c r="A117" t="s">
        <v>1628</v>
      </c>
      <c r="B117" t="s">
        <v>1622</v>
      </c>
      <c r="C117" t="s">
        <v>1622</v>
      </c>
      <c r="D117" t="s">
        <v>0</v>
      </c>
      <c r="E117" t="s">
        <v>1627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1A4c Agriculture/Forestry/Fishing/Fish Farms</v>
      </c>
    </row>
    <row r="118" spans="1:9" x14ac:dyDescent="0.25">
      <c r="A118" t="s">
        <v>1626</v>
      </c>
      <c r="B118" t="s">
        <v>1622</v>
      </c>
      <c r="C118" t="s">
        <v>1622</v>
      </c>
      <c r="D118" t="s">
        <v>0</v>
      </c>
      <c r="E118" t="s">
        <v>1625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1A4c Agriculture/Forestry/Fishing/Fish Farms</v>
      </c>
    </row>
    <row r="119" spans="1:9" x14ac:dyDescent="0.25">
      <c r="A119" t="s">
        <v>1624</v>
      </c>
      <c r="B119" t="s">
        <v>1622</v>
      </c>
      <c r="C119" t="s">
        <v>1622</v>
      </c>
      <c r="D119" t="s">
        <v>0</v>
      </c>
      <c r="E119" t="s">
        <v>1623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1A4c Agriculture/Forestry/Fishing/Fish Farms</v>
      </c>
    </row>
    <row r="120" spans="1:9" x14ac:dyDescent="0.25">
      <c r="A120" t="s">
        <v>1621</v>
      </c>
      <c r="B120" t="s">
        <v>1472</v>
      </c>
      <c r="C120" t="s">
        <v>1578</v>
      </c>
      <c r="D120" t="s">
        <v>1057</v>
      </c>
      <c r="E120" t="s">
        <v>1576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1620</v>
      </c>
      <c r="B121" t="s">
        <v>1472</v>
      </c>
      <c r="C121" t="s">
        <v>1578</v>
      </c>
      <c r="D121" t="s">
        <v>1057</v>
      </c>
      <c r="E121" t="s">
        <v>1574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1619</v>
      </c>
      <c r="B122" t="s">
        <v>1472</v>
      </c>
      <c r="C122" t="s">
        <v>1578</v>
      </c>
      <c r="D122" t="s">
        <v>1057</v>
      </c>
      <c r="E122" t="s">
        <v>1572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1618</v>
      </c>
      <c r="B123" t="s">
        <v>1472</v>
      </c>
      <c r="C123" t="s">
        <v>1578</v>
      </c>
      <c r="D123" t="s">
        <v>1057</v>
      </c>
      <c r="E123" t="s">
        <v>1570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1617</v>
      </c>
      <c r="B124" t="s">
        <v>1472</v>
      </c>
      <c r="C124" t="s">
        <v>1578</v>
      </c>
      <c r="D124" t="s">
        <v>1057</v>
      </c>
      <c r="E124" t="s">
        <v>1568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1616</v>
      </c>
      <c r="B125" t="s">
        <v>1472</v>
      </c>
      <c r="C125" t="s">
        <v>1578</v>
      </c>
      <c r="D125" t="s">
        <v>1057</v>
      </c>
      <c r="E125" t="s">
        <v>1566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1615</v>
      </c>
      <c r="B126" t="s">
        <v>1472</v>
      </c>
      <c r="C126" t="s">
        <v>1578</v>
      </c>
      <c r="D126" t="s">
        <v>1553</v>
      </c>
      <c r="E126" t="s">
        <v>1564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1614</v>
      </c>
      <c r="B127" t="s">
        <v>1472</v>
      </c>
      <c r="C127" t="s">
        <v>1578</v>
      </c>
      <c r="D127" t="s">
        <v>1553</v>
      </c>
      <c r="E127" t="s">
        <v>1562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1613</v>
      </c>
      <c r="B128" t="s">
        <v>1472</v>
      </c>
      <c r="C128" t="s">
        <v>1578</v>
      </c>
      <c r="D128" t="s">
        <v>1553</v>
      </c>
      <c r="E128" t="s">
        <v>1560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1612</v>
      </c>
      <c r="B129" t="s">
        <v>1472</v>
      </c>
      <c r="C129" t="s">
        <v>1578</v>
      </c>
      <c r="D129" t="s">
        <v>1553</v>
      </c>
      <c r="E129" t="s">
        <v>1558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1611</v>
      </c>
      <c r="B130" t="s">
        <v>1472</v>
      </c>
      <c r="C130" t="s">
        <v>1578</v>
      </c>
      <c r="D130" t="s">
        <v>1553</v>
      </c>
      <c r="E130" t="s">
        <v>1556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1610</v>
      </c>
      <c r="B131" t="s">
        <v>1472</v>
      </c>
      <c r="C131" t="s">
        <v>1578</v>
      </c>
      <c r="D131" t="s">
        <v>1553</v>
      </c>
      <c r="E131" t="s">
        <v>1554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1609</v>
      </c>
      <c r="B132" t="s">
        <v>1472</v>
      </c>
      <c r="C132" t="s">
        <v>1578</v>
      </c>
      <c r="D132" t="s">
        <v>739</v>
      </c>
      <c r="E132" t="s">
        <v>1551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1608</v>
      </c>
      <c r="B133" t="s">
        <v>1472</v>
      </c>
      <c r="C133" t="s">
        <v>1578</v>
      </c>
      <c r="D133" t="s">
        <v>739</v>
      </c>
      <c r="E133" t="s">
        <v>1549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1607</v>
      </c>
      <c r="B134" t="s">
        <v>1472</v>
      </c>
      <c r="C134" t="s">
        <v>1578</v>
      </c>
      <c r="D134" t="s">
        <v>739</v>
      </c>
      <c r="E134" t="s">
        <v>1547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1606</v>
      </c>
      <c r="B135" t="s">
        <v>1472</v>
      </c>
      <c r="C135" t="s">
        <v>1578</v>
      </c>
      <c r="D135" t="s">
        <v>739</v>
      </c>
      <c r="E135" t="s">
        <v>1545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1605</v>
      </c>
      <c r="B136" t="s">
        <v>1472</v>
      </c>
      <c r="C136" t="s">
        <v>1578</v>
      </c>
      <c r="D136" t="s">
        <v>739</v>
      </c>
      <c r="E136" t="s">
        <v>1543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1604</v>
      </c>
      <c r="B137" t="s">
        <v>1472</v>
      </c>
      <c r="C137" t="s">
        <v>1578</v>
      </c>
      <c r="D137" t="s">
        <v>732</v>
      </c>
      <c r="E137" t="s">
        <v>1541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1603</v>
      </c>
      <c r="B138" t="s">
        <v>1472</v>
      </c>
      <c r="C138" t="s">
        <v>1578</v>
      </c>
      <c r="D138" t="s">
        <v>732</v>
      </c>
      <c r="E138" t="s">
        <v>1539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1602</v>
      </c>
      <c r="B139" t="s">
        <v>1472</v>
      </c>
      <c r="C139" t="s">
        <v>1578</v>
      </c>
      <c r="D139" t="s">
        <v>732</v>
      </c>
      <c r="E139" t="s">
        <v>1537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1601</v>
      </c>
      <c r="B140" t="s">
        <v>1472</v>
      </c>
      <c r="C140" t="s">
        <v>1578</v>
      </c>
      <c r="D140" t="s">
        <v>729</v>
      </c>
      <c r="E140" t="s">
        <v>1535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1600</v>
      </c>
      <c r="B141" t="s">
        <v>1472</v>
      </c>
      <c r="C141" t="s">
        <v>1578</v>
      </c>
      <c r="D141" t="s">
        <v>729</v>
      </c>
      <c r="E141" t="s">
        <v>1533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1599</v>
      </c>
      <c r="B142" t="s">
        <v>1472</v>
      </c>
      <c r="C142" t="s">
        <v>1578</v>
      </c>
      <c r="D142" t="s">
        <v>729</v>
      </c>
      <c r="E142" t="s">
        <v>1531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1598</v>
      </c>
      <c r="B143" t="s">
        <v>1472</v>
      </c>
      <c r="C143" t="s">
        <v>1578</v>
      </c>
      <c r="D143" t="s">
        <v>729</v>
      </c>
      <c r="E143" t="s">
        <v>1529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1597</v>
      </c>
      <c r="B144" t="s">
        <v>1472</v>
      </c>
      <c r="C144" t="s">
        <v>1578</v>
      </c>
      <c r="D144" t="s">
        <v>729</v>
      </c>
      <c r="E144" t="s">
        <v>1527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1596</v>
      </c>
      <c r="B145" t="s">
        <v>1472</v>
      </c>
      <c r="C145" t="s">
        <v>1578</v>
      </c>
      <c r="D145" t="s">
        <v>729</v>
      </c>
      <c r="E145" t="s">
        <v>1525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1595</v>
      </c>
      <c r="B146" t="s">
        <v>1472</v>
      </c>
      <c r="C146" t="s">
        <v>1578</v>
      </c>
      <c r="D146" t="s">
        <v>0</v>
      </c>
      <c r="E146" t="s">
        <v>1523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1594</v>
      </c>
      <c r="B147" t="s">
        <v>1472</v>
      </c>
      <c r="C147" t="s">
        <v>1578</v>
      </c>
      <c r="D147" t="s">
        <v>0</v>
      </c>
      <c r="E147" t="s">
        <v>1521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1593</v>
      </c>
      <c r="B148" t="s">
        <v>1472</v>
      </c>
      <c r="C148" t="s">
        <v>1578</v>
      </c>
      <c r="D148" t="s">
        <v>0</v>
      </c>
      <c r="E148" t="s">
        <v>1519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1592</v>
      </c>
      <c r="B149" t="s">
        <v>1472</v>
      </c>
      <c r="C149" t="s">
        <v>1578</v>
      </c>
      <c r="D149" t="s">
        <v>0</v>
      </c>
      <c r="E149" t="s">
        <v>1517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1591</v>
      </c>
      <c r="B150" t="s">
        <v>1472</v>
      </c>
      <c r="C150" t="s">
        <v>1578</v>
      </c>
      <c r="D150" t="s">
        <v>0</v>
      </c>
      <c r="E150" t="s">
        <v>1515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1590</v>
      </c>
      <c r="B151" t="s">
        <v>1472</v>
      </c>
      <c r="C151" t="s">
        <v>1578</v>
      </c>
      <c r="D151" t="s">
        <v>0</v>
      </c>
      <c r="E151" t="s">
        <v>1513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1589</v>
      </c>
      <c r="B152" t="s">
        <v>1472</v>
      </c>
      <c r="C152" t="s">
        <v>1578</v>
      </c>
      <c r="D152" t="s">
        <v>0</v>
      </c>
      <c r="E152" t="s">
        <v>1511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1588</v>
      </c>
      <c r="B153" t="s">
        <v>1472</v>
      </c>
      <c r="C153" t="s">
        <v>1578</v>
      </c>
      <c r="D153" t="s">
        <v>756</v>
      </c>
      <c r="E153" t="s">
        <v>1509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1587</v>
      </c>
      <c r="B154" t="s">
        <v>1472</v>
      </c>
      <c r="C154" t="s">
        <v>1578</v>
      </c>
      <c r="D154" t="s">
        <v>756</v>
      </c>
      <c r="E154" t="s">
        <v>1507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1586</v>
      </c>
      <c r="B155" t="s">
        <v>1472</v>
      </c>
      <c r="C155" t="s">
        <v>1578</v>
      </c>
      <c r="D155" t="s">
        <v>1504</v>
      </c>
      <c r="E155" t="s">
        <v>1505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1585</v>
      </c>
      <c r="B156" t="s">
        <v>1472</v>
      </c>
      <c r="C156" t="s">
        <v>1578</v>
      </c>
      <c r="D156" t="s">
        <v>717</v>
      </c>
      <c r="E156" t="s">
        <v>1502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1584</v>
      </c>
      <c r="B157" t="s">
        <v>1472</v>
      </c>
      <c r="C157" t="s">
        <v>1578</v>
      </c>
      <c r="D157" t="s">
        <v>717</v>
      </c>
      <c r="E157" t="s">
        <v>1500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1582</v>
      </c>
      <c r="B158" t="s">
        <v>1472</v>
      </c>
      <c r="C158" t="s">
        <v>1578</v>
      </c>
      <c r="D158" t="s">
        <v>717</v>
      </c>
      <c r="E158" t="s">
        <v>1496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1583</v>
      </c>
      <c r="B159" t="s">
        <v>1472</v>
      </c>
      <c r="C159" t="s">
        <v>1578</v>
      </c>
      <c r="D159" t="s">
        <v>717</v>
      </c>
      <c r="E159" t="s">
        <v>1498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1581</v>
      </c>
      <c r="B160" t="s">
        <v>1472</v>
      </c>
      <c r="C160" t="s">
        <v>1578</v>
      </c>
      <c r="D160" t="s">
        <v>717</v>
      </c>
      <c r="E160" t="s">
        <v>1494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1580</v>
      </c>
      <c r="B161" t="s">
        <v>1472</v>
      </c>
      <c r="C161" t="s">
        <v>1578</v>
      </c>
      <c r="D161" t="s">
        <v>717</v>
      </c>
      <c r="E161" t="s">
        <v>1492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1579</v>
      </c>
      <c r="B162" t="s">
        <v>1472</v>
      </c>
      <c r="C162" t="s">
        <v>1578</v>
      </c>
      <c r="D162" t="s">
        <v>717</v>
      </c>
      <c r="E162" t="s">
        <v>1490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1577</v>
      </c>
      <c r="B163" t="s">
        <v>1472</v>
      </c>
      <c r="C163" t="s">
        <v>1489</v>
      </c>
      <c r="D163" t="s">
        <v>1057</v>
      </c>
      <c r="E163" t="s">
        <v>1576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1575</v>
      </c>
      <c r="B164" t="s">
        <v>1472</v>
      </c>
      <c r="C164" t="s">
        <v>1489</v>
      </c>
      <c r="D164" t="s">
        <v>1057</v>
      </c>
      <c r="E164" t="s">
        <v>1574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1573</v>
      </c>
      <c r="B165" t="s">
        <v>1472</v>
      </c>
      <c r="C165" t="s">
        <v>1489</v>
      </c>
      <c r="D165" t="s">
        <v>1057</v>
      </c>
      <c r="E165" t="s">
        <v>1572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1571</v>
      </c>
      <c r="B166" t="s">
        <v>1472</v>
      </c>
      <c r="C166" t="s">
        <v>1489</v>
      </c>
      <c r="D166" t="s">
        <v>1057</v>
      </c>
      <c r="E166" t="s">
        <v>1570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1569</v>
      </c>
      <c r="B167" t="s">
        <v>1472</v>
      </c>
      <c r="C167" t="s">
        <v>1489</v>
      </c>
      <c r="D167" t="s">
        <v>1057</v>
      </c>
      <c r="E167" t="s">
        <v>1568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1567</v>
      </c>
      <c r="B168" t="s">
        <v>1472</v>
      </c>
      <c r="C168" t="s">
        <v>1489</v>
      </c>
      <c r="D168" t="s">
        <v>1057</v>
      </c>
      <c r="E168" t="s">
        <v>1566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1565</v>
      </c>
      <c r="B169" t="s">
        <v>1472</v>
      </c>
      <c r="C169" t="s">
        <v>1489</v>
      </c>
      <c r="D169" t="s">
        <v>1553</v>
      </c>
      <c r="E169" t="s">
        <v>1564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1563</v>
      </c>
      <c r="B170" t="s">
        <v>1472</v>
      </c>
      <c r="C170" t="s">
        <v>1489</v>
      </c>
      <c r="D170" t="s">
        <v>1553</v>
      </c>
      <c r="E170" t="s">
        <v>1562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1561</v>
      </c>
      <c r="B171" t="s">
        <v>1472</v>
      </c>
      <c r="C171" t="s">
        <v>1489</v>
      </c>
      <c r="D171" t="s">
        <v>1553</v>
      </c>
      <c r="E171" t="s">
        <v>1560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1559</v>
      </c>
      <c r="B172" t="s">
        <v>1472</v>
      </c>
      <c r="C172" t="s">
        <v>1489</v>
      </c>
      <c r="D172" t="s">
        <v>1553</v>
      </c>
      <c r="E172" t="s">
        <v>1558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1557</v>
      </c>
      <c r="B173" t="s">
        <v>1472</v>
      </c>
      <c r="C173" t="s">
        <v>1489</v>
      </c>
      <c r="D173" t="s">
        <v>1553</v>
      </c>
      <c r="E173" t="s">
        <v>1556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1555</v>
      </c>
      <c r="B174" t="s">
        <v>1472</v>
      </c>
      <c r="C174" t="s">
        <v>1489</v>
      </c>
      <c r="D174" t="s">
        <v>1553</v>
      </c>
      <c r="E174" t="s">
        <v>1554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1552</v>
      </c>
      <c r="B175" t="s">
        <v>1472</v>
      </c>
      <c r="C175" t="s">
        <v>1489</v>
      </c>
      <c r="D175" t="s">
        <v>739</v>
      </c>
      <c r="E175" t="s">
        <v>1551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1550</v>
      </c>
      <c r="B176" t="s">
        <v>1472</v>
      </c>
      <c r="C176" t="s">
        <v>1489</v>
      </c>
      <c r="D176" t="s">
        <v>739</v>
      </c>
      <c r="E176" t="s">
        <v>1549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1548</v>
      </c>
      <c r="B177" t="s">
        <v>1472</v>
      </c>
      <c r="C177" t="s">
        <v>1489</v>
      </c>
      <c r="D177" t="s">
        <v>739</v>
      </c>
      <c r="E177" t="s">
        <v>1547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1546</v>
      </c>
      <c r="B178" t="s">
        <v>1472</v>
      </c>
      <c r="C178" t="s">
        <v>1489</v>
      </c>
      <c r="D178" t="s">
        <v>739</v>
      </c>
      <c r="E178" t="s">
        <v>1545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1544</v>
      </c>
      <c r="B179" t="s">
        <v>1472</v>
      </c>
      <c r="C179" t="s">
        <v>1489</v>
      </c>
      <c r="D179" t="s">
        <v>739</v>
      </c>
      <c r="E179" t="s">
        <v>1543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1542</v>
      </c>
      <c r="B180" t="s">
        <v>1472</v>
      </c>
      <c r="C180" t="s">
        <v>1489</v>
      </c>
      <c r="D180" t="s">
        <v>732</v>
      </c>
      <c r="E180" t="s">
        <v>1541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1540</v>
      </c>
      <c r="B181" t="s">
        <v>1472</v>
      </c>
      <c r="C181" t="s">
        <v>1489</v>
      </c>
      <c r="D181" t="s">
        <v>732</v>
      </c>
      <c r="E181" t="s">
        <v>1539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1538</v>
      </c>
      <c r="B182" t="s">
        <v>1472</v>
      </c>
      <c r="C182" t="s">
        <v>1489</v>
      </c>
      <c r="D182" t="s">
        <v>732</v>
      </c>
      <c r="E182" t="s">
        <v>1537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1536</v>
      </c>
      <c r="B183" t="s">
        <v>1472</v>
      </c>
      <c r="C183" t="s">
        <v>1489</v>
      </c>
      <c r="D183" t="s">
        <v>729</v>
      </c>
      <c r="E183" t="s">
        <v>1535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1534</v>
      </c>
      <c r="B184" t="s">
        <v>1472</v>
      </c>
      <c r="C184" t="s">
        <v>1489</v>
      </c>
      <c r="D184" t="s">
        <v>729</v>
      </c>
      <c r="E184" t="s">
        <v>1533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1532</v>
      </c>
      <c r="B185" t="s">
        <v>1472</v>
      </c>
      <c r="C185" t="s">
        <v>1489</v>
      </c>
      <c r="D185" t="s">
        <v>729</v>
      </c>
      <c r="E185" t="s">
        <v>1531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1530</v>
      </c>
      <c r="B186" t="s">
        <v>1472</v>
      </c>
      <c r="C186" t="s">
        <v>1489</v>
      </c>
      <c r="D186" t="s">
        <v>729</v>
      </c>
      <c r="E186" t="s">
        <v>1529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1528</v>
      </c>
      <c r="B187" t="s">
        <v>1472</v>
      </c>
      <c r="C187" t="s">
        <v>1489</v>
      </c>
      <c r="D187" t="s">
        <v>729</v>
      </c>
      <c r="E187" t="s">
        <v>1527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1526</v>
      </c>
      <c r="B188" t="s">
        <v>1472</v>
      </c>
      <c r="C188" t="s">
        <v>1489</v>
      </c>
      <c r="D188" t="s">
        <v>729</v>
      </c>
      <c r="E188" t="s">
        <v>1525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1524</v>
      </c>
      <c r="B189" t="s">
        <v>1472</v>
      </c>
      <c r="C189" t="s">
        <v>1489</v>
      </c>
      <c r="D189" t="s">
        <v>0</v>
      </c>
      <c r="E189" t="s">
        <v>1523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1522</v>
      </c>
      <c r="B190" t="s">
        <v>1472</v>
      </c>
      <c r="C190" t="s">
        <v>1489</v>
      </c>
      <c r="D190" t="s">
        <v>0</v>
      </c>
      <c r="E190" t="s">
        <v>1521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1520</v>
      </c>
      <c r="B191" t="s">
        <v>1472</v>
      </c>
      <c r="C191" t="s">
        <v>1489</v>
      </c>
      <c r="D191" t="s">
        <v>0</v>
      </c>
      <c r="E191" t="s">
        <v>1519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1518</v>
      </c>
      <c r="B192" t="s">
        <v>1472</v>
      </c>
      <c r="C192" t="s">
        <v>1489</v>
      </c>
      <c r="D192" t="s">
        <v>0</v>
      </c>
      <c r="E192" t="s">
        <v>1517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1516</v>
      </c>
      <c r="B193" t="s">
        <v>1472</v>
      </c>
      <c r="C193" t="s">
        <v>1489</v>
      </c>
      <c r="D193" t="s">
        <v>0</v>
      </c>
      <c r="E193" t="s">
        <v>1515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1514</v>
      </c>
      <c r="B194" t="s">
        <v>1472</v>
      </c>
      <c r="C194" t="s">
        <v>1489</v>
      </c>
      <c r="D194" t="s">
        <v>0</v>
      </c>
      <c r="E194" t="s">
        <v>1513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1512</v>
      </c>
      <c r="B195" t="s">
        <v>1472</v>
      </c>
      <c r="C195" t="s">
        <v>1489</v>
      </c>
      <c r="D195" t="s">
        <v>0</v>
      </c>
      <c r="E195" t="s">
        <v>1511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1510</v>
      </c>
      <c r="B196" t="s">
        <v>1472</v>
      </c>
      <c r="C196" t="s">
        <v>1489</v>
      </c>
      <c r="D196" t="s">
        <v>756</v>
      </c>
      <c r="E196" t="s">
        <v>1509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1508</v>
      </c>
      <c r="B197" t="s">
        <v>1472</v>
      </c>
      <c r="C197" t="s">
        <v>1489</v>
      </c>
      <c r="D197" t="s">
        <v>756</v>
      </c>
      <c r="E197" t="s">
        <v>1507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1506</v>
      </c>
      <c r="B198" t="s">
        <v>1472</v>
      </c>
      <c r="C198" t="s">
        <v>1489</v>
      </c>
      <c r="D198" t="s">
        <v>1504</v>
      </c>
      <c r="E198" t="s">
        <v>1505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1503</v>
      </c>
      <c r="B199" t="s">
        <v>1472</v>
      </c>
      <c r="C199" t="s">
        <v>1489</v>
      </c>
      <c r="D199" t="s">
        <v>717</v>
      </c>
      <c r="E199" t="s">
        <v>1502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1501</v>
      </c>
      <c r="B200" t="s">
        <v>1472</v>
      </c>
      <c r="C200" t="s">
        <v>1489</v>
      </c>
      <c r="D200" t="s">
        <v>717</v>
      </c>
      <c r="E200" t="s">
        <v>1500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1497</v>
      </c>
      <c r="B201" t="s">
        <v>1472</v>
      </c>
      <c r="C201" t="s">
        <v>1489</v>
      </c>
      <c r="D201" t="s">
        <v>717</v>
      </c>
      <c r="E201" t="s">
        <v>1496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1499</v>
      </c>
      <c r="B202" t="s">
        <v>1472</v>
      </c>
      <c r="C202" t="s">
        <v>1489</v>
      </c>
      <c r="D202" t="s">
        <v>717</v>
      </c>
      <c r="E202" t="s">
        <v>1498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1A4 Other Sectors</v>
      </c>
      <c r="I202" t="str">
        <f>INDEX(IPCCMaps!K:K,MATCH(mapPRC!C202,IPCCMaps!G:G,0))</f>
        <v>1A4a Commercial/Institutional</v>
      </c>
    </row>
    <row r="203" spans="1:9" x14ac:dyDescent="0.25">
      <c r="A203" t="s">
        <v>1495</v>
      </c>
      <c r="B203" t="s">
        <v>1472</v>
      </c>
      <c r="C203" t="s">
        <v>1489</v>
      </c>
      <c r="D203" t="s">
        <v>717</v>
      </c>
      <c r="E203" t="s">
        <v>1494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1A4 Other Sectors</v>
      </c>
      <c r="I203" t="str">
        <f>INDEX(IPCCMaps!K:K,MATCH(mapPRC!C203,IPCCMaps!G:G,0))</f>
        <v>1A4a Commercial/Institutional</v>
      </c>
    </row>
    <row r="204" spans="1:9" x14ac:dyDescent="0.25">
      <c r="A204" t="s">
        <v>1493</v>
      </c>
      <c r="B204" t="s">
        <v>1472</v>
      </c>
      <c r="C204" t="s">
        <v>1489</v>
      </c>
      <c r="D204" t="s">
        <v>717</v>
      </c>
      <c r="E204" t="s">
        <v>1492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1A4 Other Sectors</v>
      </c>
      <c r="I204" t="str">
        <f>INDEX(IPCCMaps!K:K,MATCH(mapPRC!C204,IPCCMaps!G:G,0))</f>
        <v>1A4a Commercial/Institutional</v>
      </c>
    </row>
    <row r="205" spans="1:9" x14ac:dyDescent="0.25">
      <c r="A205" t="s">
        <v>1491</v>
      </c>
      <c r="B205" t="s">
        <v>1472</v>
      </c>
      <c r="C205" t="s">
        <v>1489</v>
      </c>
      <c r="D205" t="s">
        <v>717</v>
      </c>
      <c r="E205" t="s">
        <v>1490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1A4 Other Sectors</v>
      </c>
      <c r="I205" t="str">
        <f>INDEX(IPCCMaps!K:K,MATCH(mapPRC!C205,IPCCMaps!G:G,0))</f>
        <v>1A4a Commercial/Institutional</v>
      </c>
    </row>
    <row r="206" spans="1:9" x14ac:dyDescent="0.25">
      <c r="A206" t="s">
        <v>1488</v>
      </c>
      <c r="B206" t="s">
        <v>1472</v>
      </c>
      <c r="C206" t="s">
        <v>1471</v>
      </c>
      <c r="D206" t="s">
        <v>1057</v>
      </c>
      <c r="E206" t="s">
        <v>1487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1486</v>
      </c>
      <c r="B207" t="s">
        <v>1472</v>
      </c>
      <c r="C207" t="s">
        <v>1471</v>
      </c>
      <c r="D207" t="s">
        <v>1057</v>
      </c>
      <c r="E207" t="s">
        <v>1485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1484</v>
      </c>
      <c r="B208" t="s">
        <v>1472</v>
      </c>
      <c r="C208" t="s">
        <v>1471</v>
      </c>
      <c r="D208" t="s">
        <v>739</v>
      </c>
      <c r="E208" t="s">
        <v>1483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1482</v>
      </c>
      <c r="B209" t="s">
        <v>1472</v>
      </c>
      <c r="C209" t="s">
        <v>1471</v>
      </c>
      <c r="D209" t="s">
        <v>739</v>
      </c>
      <c r="E209" t="s">
        <v>1481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1480</v>
      </c>
      <c r="D210" t="s">
        <v>0</v>
      </c>
      <c r="E210" t="s">
        <v>1479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1478</v>
      </c>
      <c r="D211" t="s">
        <v>0</v>
      </c>
      <c r="E211" t="s">
        <v>1477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x14ac:dyDescent="0.25">
      <c r="A212" t="s">
        <v>1476</v>
      </c>
      <c r="B212" t="s">
        <v>1472</v>
      </c>
      <c r="C212" t="s">
        <v>1471</v>
      </c>
      <c r="D212" t="s">
        <v>1007</v>
      </c>
      <c r="E212" t="s">
        <v>1475</v>
      </c>
      <c r="F212" t="e">
        <f>INDEX(IPCCMaps!H:H,MATCH(mapPRC!C212,IPCCMaps!G:G,0))</f>
        <v>#N/A</v>
      </c>
      <c r="G212" t="e">
        <f>INDEX(IPCCMaps!I:I,MATCH(mapPRC!C212,IPCCMaps!G:G,0))</f>
        <v>#N/A</v>
      </c>
      <c r="H212" t="e">
        <f>INDEX(IPCCMaps!J:J,MATCH(mapPRC!C212,IPCCMaps!G:G,0))</f>
        <v>#N/A</v>
      </c>
      <c r="I212" t="e">
        <f>INDEX(IPCCMaps!K:K,MATCH(mapPRC!C212,IPCCMaps!G:G,0))</f>
        <v>#N/A</v>
      </c>
    </row>
    <row r="213" spans="1:9" x14ac:dyDescent="0.25">
      <c r="A213" t="s">
        <v>1474</v>
      </c>
      <c r="B213" t="s">
        <v>1472</v>
      </c>
      <c r="C213" t="s">
        <v>1471</v>
      </c>
      <c r="D213" t="s">
        <v>1007</v>
      </c>
      <c r="E213" t="s">
        <v>1473</v>
      </c>
      <c r="F213" t="e">
        <f>INDEX(IPCCMaps!H:H,MATCH(mapPRC!C213,IPCCMaps!G:G,0))</f>
        <v>#N/A</v>
      </c>
      <c r="G213" t="e">
        <f>INDEX(IPCCMaps!I:I,MATCH(mapPRC!C213,IPCCMaps!G:G,0))</f>
        <v>#N/A</v>
      </c>
      <c r="H213" t="e">
        <f>INDEX(IPCCMaps!J:J,MATCH(mapPRC!C213,IPCCMaps!G:G,0))</f>
        <v>#N/A</v>
      </c>
      <c r="I213" t="e">
        <f>INDEX(IPCCMaps!K:K,MATCH(mapPRC!C213,IPCCMaps!G:G,0))</f>
        <v>#N/A</v>
      </c>
    </row>
    <row r="214" spans="1:9" x14ac:dyDescent="0.25">
      <c r="A214" t="s">
        <v>5026</v>
      </c>
      <c r="B214" t="s">
        <v>145</v>
      </c>
      <c r="C214" t="s">
        <v>3951</v>
      </c>
      <c r="D214" t="s">
        <v>3951</v>
      </c>
      <c r="E214" t="s">
        <v>5027</v>
      </c>
    </row>
    <row r="215" spans="1:9" x14ac:dyDescent="0.25">
      <c r="A215" t="s">
        <v>5028</v>
      </c>
      <c r="B215" t="s">
        <v>145</v>
      </c>
      <c r="C215" t="s">
        <v>3951</v>
      </c>
      <c r="D215" t="s">
        <v>3951</v>
      </c>
      <c r="E215" t="s">
        <v>5029</v>
      </c>
    </row>
    <row r="216" spans="1:9" x14ac:dyDescent="0.25">
      <c r="A216" t="s">
        <v>3950</v>
      </c>
      <c r="B216" t="s">
        <v>145</v>
      </c>
      <c r="C216" t="s">
        <v>3951</v>
      </c>
      <c r="D216" t="s">
        <v>3951</v>
      </c>
      <c r="E216" t="s">
        <v>3951</v>
      </c>
    </row>
    <row r="217" spans="1:9" x14ac:dyDescent="0.25">
      <c r="A217" t="s">
        <v>16</v>
      </c>
      <c r="B217" t="s">
        <v>145</v>
      </c>
      <c r="C217" t="s">
        <v>1313</v>
      </c>
      <c r="D217" t="s">
        <v>0</v>
      </c>
      <c r="E217" t="s">
        <v>15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</v>
      </c>
      <c r="B218" t="s">
        <v>145</v>
      </c>
      <c r="C218" t="s">
        <v>1313</v>
      </c>
      <c r="D218" t="s">
        <v>0</v>
      </c>
      <c r="E218" t="s">
        <v>13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12</v>
      </c>
      <c r="B219" t="s">
        <v>145</v>
      </c>
      <c r="C219" t="s">
        <v>1313</v>
      </c>
      <c r="D219" t="s">
        <v>0</v>
      </c>
      <c r="E219" t="s">
        <v>11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10</v>
      </c>
      <c r="B220" t="s">
        <v>145</v>
      </c>
      <c r="C220" t="s">
        <v>1313</v>
      </c>
      <c r="D220" t="s">
        <v>0</v>
      </c>
      <c r="E220" t="s">
        <v>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1468</v>
      </c>
      <c r="B221" t="s">
        <v>145</v>
      </c>
      <c r="C221" t="s">
        <v>1466</v>
      </c>
      <c r="D221" t="s">
        <v>1466</v>
      </c>
      <c r="E221" t="s">
        <v>1467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1470</v>
      </c>
      <c r="B222" t="s">
        <v>145</v>
      </c>
      <c r="C222" t="s">
        <v>1466</v>
      </c>
      <c r="D222" t="s">
        <v>1466</v>
      </c>
      <c r="E222" t="s">
        <v>1469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1465</v>
      </c>
      <c r="B223" t="s">
        <v>145</v>
      </c>
      <c r="C223" t="s">
        <v>1461</v>
      </c>
      <c r="D223" t="s">
        <v>1461</v>
      </c>
      <c r="E223" t="s">
        <v>1464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1463</v>
      </c>
      <c r="B224" t="s">
        <v>145</v>
      </c>
      <c r="C224" t="s">
        <v>1461</v>
      </c>
      <c r="D224" t="s">
        <v>1461</v>
      </c>
      <c r="E224" t="s">
        <v>1462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1453</v>
      </c>
      <c r="B225" t="s">
        <v>145</v>
      </c>
      <c r="C225" t="s">
        <v>423</v>
      </c>
      <c r="D225" t="s">
        <v>1310</v>
      </c>
      <c r="E225" t="s">
        <v>1452</v>
      </c>
      <c r="F225" t="str">
        <f>INDEX(IPCCMaps!H:H,MATCH(mapPRC!C225,IPCCMaps!G:G,0))</f>
        <v>1 Energy</v>
      </c>
    </row>
    <row r="226" spans="1:9" x14ac:dyDescent="0.25">
      <c r="A226" t="s">
        <v>1460</v>
      </c>
      <c r="B226" t="s">
        <v>145</v>
      </c>
      <c r="C226" t="s">
        <v>1454</v>
      </c>
      <c r="D226" t="s">
        <v>1454</v>
      </c>
      <c r="E226" t="s">
        <v>1459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1451</v>
      </c>
      <c r="B227" t="s">
        <v>145</v>
      </c>
      <c r="C227" t="s">
        <v>423</v>
      </c>
      <c r="D227" t="s">
        <v>1310</v>
      </c>
      <c r="E227" t="s">
        <v>1450</v>
      </c>
      <c r="F227" t="str">
        <f>INDEX(IPCCMaps!H:H,MATCH(mapPRC!C227,IPCCMaps!G:G,0))</f>
        <v>1 Energy</v>
      </c>
    </row>
    <row r="228" spans="1:9" x14ac:dyDescent="0.25">
      <c r="A228" t="s">
        <v>1449</v>
      </c>
      <c r="B228" t="s">
        <v>145</v>
      </c>
      <c r="C228" t="s">
        <v>423</v>
      </c>
      <c r="D228" t="s">
        <v>1310</v>
      </c>
      <c r="E228" t="s">
        <v>1448</v>
      </c>
      <c r="F228" t="str">
        <f>INDEX(IPCCMaps!H:H,MATCH(mapPRC!C228,IPCCMaps!G:G,0))</f>
        <v>1 Energy</v>
      </c>
    </row>
    <row r="229" spans="1:9" x14ac:dyDescent="0.25">
      <c r="A229" t="s">
        <v>1447</v>
      </c>
      <c r="B229" t="s">
        <v>145</v>
      </c>
      <c r="C229" t="s">
        <v>423</v>
      </c>
      <c r="D229" t="s">
        <v>1310</v>
      </c>
      <c r="E229" t="s">
        <v>1446</v>
      </c>
      <c r="F229" t="str">
        <f>INDEX(IPCCMaps!H:H,MATCH(mapPRC!C229,IPCCMaps!G:G,0))</f>
        <v>1 Energy</v>
      </c>
    </row>
    <row r="230" spans="1:9" x14ac:dyDescent="0.25">
      <c r="A230" t="s">
        <v>1445</v>
      </c>
      <c r="B230" t="s">
        <v>145</v>
      </c>
      <c r="C230" t="s">
        <v>423</v>
      </c>
      <c r="D230" t="s">
        <v>1310</v>
      </c>
      <c r="E230" t="s">
        <v>1444</v>
      </c>
      <c r="F230" t="str">
        <f>INDEX(IPCCMaps!H:H,MATCH(mapPRC!C230,IPCCMaps!G:G,0))</f>
        <v>1 Energy</v>
      </c>
    </row>
    <row r="231" spans="1:9" x14ac:dyDescent="0.25">
      <c r="A231" t="s">
        <v>1458</v>
      </c>
      <c r="B231" t="s">
        <v>145</v>
      </c>
      <c r="C231" t="s">
        <v>423</v>
      </c>
      <c r="D231" t="s">
        <v>1310</v>
      </c>
      <c r="E231" t="s">
        <v>1457</v>
      </c>
      <c r="F231" t="str">
        <f>INDEX(IPCCMaps!H:H,MATCH(mapPRC!C231,IPCCMaps!G:G,0))</f>
        <v>1 Energy</v>
      </c>
    </row>
    <row r="232" spans="1:9" x14ac:dyDescent="0.25">
      <c r="A232" t="s">
        <v>1443</v>
      </c>
      <c r="B232" t="s">
        <v>145</v>
      </c>
      <c r="C232" t="s">
        <v>423</v>
      </c>
      <c r="D232" t="s">
        <v>1310</v>
      </c>
      <c r="E232" t="s">
        <v>1442</v>
      </c>
      <c r="F232" t="str">
        <f>INDEX(IPCCMaps!H:H,MATCH(mapPRC!C232,IPCCMaps!G:G,0))</f>
        <v>1 Energy</v>
      </c>
    </row>
    <row r="233" spans="1:9" x14ac:dyDescent="0.25">
      <c r="A233" t="s">
        <v>1441</v>
      </c>
      <c r="B233" t="s">
        <v>145</v>
      </c>
      <c r="C233" t="s">
        <v>423</v>
      </c>
      <c r="D233" t="s">
        <v>1310</v>
      </c>
      <c r="E233" t="s">
        <v>1440</v>
      </c>
      <c r="F233" t="str">
        <f>INDEX(IPCCMaps!H:H,MATCH(mapPRC!C233,IPCCMaps!G:G,0))</f>
        <v>1 Energy</v>
      </c>
    </row>
    <row r="234" spans="1:9" x14ac:dyDescent="0.25">
      <c r="A234" t="s">
        <v>1439</v>
      </c>
      <c r="B234" t="s">
        <v>145</v>
      </c>
      <c r="C234" t="s">
        <v>423</v>
      </c>
      <c r="D234" t="s">
        <v>1310</v>
      </c>
      <c r="E234" t="s">
        <v>1438</v>
      </c>
      <c r="F234" t="str">
        <f>INDEX(IPCCMaps!H:H,MATCH(mapPRC!C234,IPCCMaps!G:G,0))</f>
        <v>1 Energy</v>
      </c>
    </row>
    <row r="235" spans="1:9" x14ac:dyDescent="0.25">
      <c r="A235" t="s">
        <v>1456</v>
      </c>
      <c r="B235" t="s">
        <v>145</v>
      </c>
      <c r="C235" t="s">
        <v>1454</v>
      </c>
      <c r="D235" t="s">
        <v>1454</v>
      </c>
      <c r="E235" t="s">
        <v>1455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1437</v>
      </c>
      <c r="B236" t="s">
        <v>145</v>
      </c>
      <c r="C236" t="s">
        <v>1412</v>
      </c>
      <c r="D236" t="s">
        <v>1433</v>
      </c>
      <c r="E236" t="s">
        <v>1436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1435</v>
      </c>
      <c r="B237" t="s">
        <v>145</v>
      </c>
      <c r="C237" t="s">
        <v>1412</v>
      </c>
      <c r="D237" t="s">
        <v>1433</v>
      </c>
      <c r="E237" t="s">
        <v>1434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1432</v>
      </c>
      <c r="B238" t="s">
        <v>145</v>
      </c>
      <c r="C238" t="s">
        <v>1412</v>
      </c>
      <c r="D238" t="s">
        <v>3438</v>
      </c>
      <c r="E238" t="s">
        <v>1431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1430</v>
      </c>
      <c r="B239" t="s">
        <v>145</v>
      </c>
      <c r="C239" t="s">
        <v>1412</v>
      </c>
      <c r="D239" t="s">
        <v>3438</v>
      </c>
      <c r="E239" t="s">
        <v>1429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1428</v>
      </c>
      <c r="B240" t="s">
        <v>145</v>
      </c>
      <c r="C240" t="s">
        <v>1412</v>
      </c>
      <c r="D240" t="s">
        <v>3438</v>
      </c>
      <c r="E240" t="s">
        <v>1427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1426</v>
      </c>
      <c r="B241" t="s">
        <v>145</v>
      </c>
      <c r="C241" t="s">
        <v>1412</v>
      </c>
      <c r="D241" t="s">
        <v>3438</v>
      </c>
      <c r="E241" t="s">
        <v>1425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1424</v>
      </c>
      <c r="B242" t="s">
        <v>145</v>
      </c>
      <c r="C242" t="s">
        <v>1412</v>
      </c>
      <c r="D242" t="s">
        <v>3438</v>
      </c>
      <c r="E242" t="s">
        <v>1423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1422</v>
      </c>
      <c r="B243" t="s">
        <v>145</v>
      </c>
      <c r="C243" t="s">
        <v>1412</v>
      </c>
      <c r="D243" t="s">
        <v>3438</v>
      </c>
      <c r="E243" t="s">
        <v>1421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1420</v>
      </c>
      <c r="B244" t="s">
        <v>145</v>
      </c>
      <c r="C244" t="s">
        <v>1412</v>
      </c>
      <c r="D244" t="s">
        <v>3438</v>
      </c>
      <c r="E244" t="s">
        <v>1419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1418</v>
      </c>
      <c r="B245" t="s">
        <v>145</v>
      </c>
      <c r="C245" t="s">
        <v>1412</v>
      </c>
      <c r="D245" t="s">
        <v>3438</v>
      </c>
      <c r="E245" t="s">
        <v>1417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s="6" t="s">
        <v>5803</v>
      </c>
      <c r="B246" t="s">
        <v>145</v>
      </c>
      <c r="C246" t="s">
        <v>1412</v>
      </c>
      <c r="D246" t="s">
        <v>3438</v>
      </c>
      <c r="E246" t="s">
        <v>5801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s="6" t="s">
        <v>5804</v>
      </c>
      <c r="B247" t="s">
        <v>145</v>
      </c>
      <c r="C247" t="s">
        <v>1412</v>
      </c>
      <c r="D247" t="s">
        <v>3438</v>
      </c>
      <c r="E247" t="s">
        <v>5802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1416</v>
      </c>
      <c r="B248" t="s">
        <v>145</v>
      </c>
      <c r="C248" t="s">
        <v>1412</v>
      </c>
      <c r="D248" t="s">
        <v>3438</v>
      </c>
      <c r="E248" t="s">
        <v>1415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3044</v>
      </c>
      <c r="B249" t="s">
        <v>145</v>
      </c>
      <c r="C249" t="s">
        <v>1412</v>
      </c>
      <c r="D249" t="s">
        <v>3438</v>
      </c>
      <c r="E249" t="s">
        <v>3045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1414</v>
      </c>
      <c r="B250" t="s">
        <v>145</v>
      </c>
      <c r="C250" t="s">
        <v>1412</v>
      </c>
      <c r="D250" t="s">
        <v>3438</v>
      </c>
      <c r="E250" t="s">
        <v>1413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1411</v>
      </c>
      <c r="B251" t="s">
        <v>145</v>
      </c>
      <c r="C251" t="s">
        <v>1391</v>
      </c>
      <c r="D251" t="s">
        <v>1391</v>
      </c>
      <c r="E251" t="s">
        <v>1410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1409</v>
      </c>
      <c r="B252" t="s">
        <v>145</v>
      </c>
      <c r="C252" t="s">
        <v>1391</v>
      </c>
      <c r="D252" t="s">
        <v>1391</v>
      </c>
      <c r="E252" t="s">
        <v>1408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1405</v>
      </c>
      <c r="B253" t="s">
        <v>145</v>
      </c>
      <c r="C253" t="s">
        <v>1391</v>
      </c>
      <c r="D253" t="s">
        <v>1391</v>
      </c>
      <c r="E253" t="s">
        <v>1404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1407</v>
      </c>
      <c r="B254" t="s">
        <v>145</v>
      </c>
      <c r="C254" t="s">
        <v>1391</v>
      </c>
      <c r="D254" t="s">
        <v>1391</v>
      </c>
      <c r="E254" t="s">
        <v>1406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1403</v>
      </c>
      <c r="B255" t="s">
        <v>145</v>
      </c>
      <c r="C255" t="s">
        <v>1391</v>
      </c>
      <c r="D255" t="s">
        <v>1391</v>
      </c>
      <c r="E255" t="s">
        <v>1402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1401</v>
      </c>
      <c r="B256" t="s">
        <v>145</v>
      </c>
      <c r="C256" t="s">
        <v>1391</v>
      </c>
      <c r="D256" t="s">
        <v>1391</v>
      </c>
      <c r="E256" t="s">
        <v>1400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1399</v>
      </c>
      <c r="B257" t="s">
        <v>145</v>
      </c>
      <c r="C257" t="s">
        <v>1391</v>
      </c>
      <c r="D257" t="s">
        <v>1391</v>
      </c>
      <c r="E257" t="s">
        <v>1398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1397</v>
      </c>
      <c r="B258" t="s">
        <v>145</v>
      </c>
      <c r="C258" t="s">
        <v>1391</v>
      </c>
      <c r="D258" t="s">
        <v>1391</v>
      </c>
      <c r="E258" t="s">
        <v>1396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1395</v>
      </c>
      <c r="B259" t="s">
        <v>145</v>
      </c>
      <c r="C259" t="s">
        <v>1391</v>
      </c>
      <c r="D259" t="s">
        <v>1391</v>
      </c>
      <c r="E259" t="s">
        <v>1394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1393</v>
      </c>
      <c r="B260" t="s">
        <v>145</v>
      </c>
      <c r="C260" t="s">
        <v>1391</v>
      </c>
      <c r="D260" t="s">
        <v>1391</v>
      </c>
      <c r="E260" t="s">
        <v>1392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1390</v>
      </c>
      <c r="B261" t="s">
        <v>145</v>
      </c>
      <c r="C261" t="s">
        <v>1386</v>
      </c>
      <c r="D261" t="s">
        <v>1386</v>
      </c>
      <c r="E261" t="s">
        <v>1389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1388</v>
      </c>
      <c r="B262" t="s">
        <v>145</v>
      </c>
      <c r="C262" t="s">
        <v>1386</v>
      </c>
      <c r="D262" t="s">
        <v>1386</v>
      </c>
      <c r="E262" t="s">
        <v>1387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1385</v>
      </c>
      <c r="B263" t="s">
        <v>145</v>
      </c>
      <c r="C263" t="s">
        <v>1363</v>
      </c>
      <c r="D263" t="s">
        <v>3440</v>
      </c>
      <c r="E263" t="s">
        <v>1384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1383</v>
      </c>
      <c r="B264" t="s">
        <v>145</v>
      </c>
      <c r="C264" t="s">
        <v>1363</v>
      </c>
      <c r="D264" t="s">
        <v>3440</v>
      </c>
      <c r="E264" t="s">
        <v>1382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1381</v>
      </c>
      <c r="B265" t="s">
        <v>145</v>
      </c>
      <c r="C265" t="s">
        <v>1363</v>
      </c>
      <c r="D265" t="s">
        <v>3440</v>
      </c>
      <c r="E265" t="s">
        <v>1380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1379</v>
      </c>
      <c r="B266" t="s">
        <v>145</v>
      </c>
      <c r="C266" t="s">
        <v>1363</v>
      </c>
      <c r="D266" t="s">
        <v>3440</v>
      </c>
      <c r="E266" t="s">
        <v>1378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1377</v>
      </c>
      <c r="B267" t="s">
        <v>145</v>
      </c>
      <c r="C267" t="s">
        <v>1363</v>
      </c>
      <c r="D267" t="s">
        <v>3440</v>
      </c>
      <c r="E267" t="s">
        <v>1376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1375</v>
      </c>
      <c r="B268" t="s">
        <v>145</v>
      </c>
      <c r="C268" t="s">
        <v>1363</v>
      </c>
      <c r="D268" t="s">
        <v>3440</v>
      </c>
      <c r="E268" t="s">
        <v>1374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1373</v>
      </c>
      <c r="B269" t="s">
        <v>145</v>
      </c>
      <c r="C269" t="s">
        <v>1363</v>
      </c>
      <c r="D269" t="s">
        <v>3440</v>
      </c>
      <c r="E269" t="s">
        <v>1372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1371</v>
      </c>
      <c r="B270" t="s">
        <v>145</v>
      </c>
      <c r="C270" t="s">
        <v>1363</v>
      </c>
      <c r="D270" t="s">
        <v>3440</v>
      </c>
      <c r="E270" t="s">
        <v>1370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1369</v>
      </c>
      <c r="B271" t="s">
        <v>145</v>
      </c>
      <c r="C271" t="s">
        <v>1363</v>
      </c>
      <c r="D271" t="s">
        <v>3440</v>
      </c>
      <c r="E271" t="s">
        <v>1368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1367</v>
      </c>
      <c r="B272" t="s">
        <v>145</v>
      </c>
      <c r="C272" t="s">
        <v>1363</v>
      </c>
      <c r="D272" t="s">
        <v>3440</v>
      </c>
      <c r="E272" t="s">
        <v>1366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1365</v>
      </c>
      <c r="B273" t="s">
        <v>145</v>
      </c>
      <c r="C273" t="s">
        <v>1363</v>
      </c>
      <c r="D273" t="s">
        <v>3439</v>
      </c>
      <c r="E273" t="s">
        <v>1364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1362</v>
      </c>
      <c r="B274" t="s">
        <v>145</v>
      </c>
      <c r="C274" t="s">
        <v>1322</v>
      </c>
      <c r="D274" t="s">
        <v>3445</v>
      </c>
      <c r="E274" t="s">
        <v>1361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1360</v>
      </c>
      <c r="B275" t="s">
        <v>145</v>
      </c>
      <c r="C275" t="s">
        <v>1322</v>
      </c>
      <c r="D275" t="s">
        <v>3444</v>
      </c>
      <c r="E275" t="s">
        <v>1359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1358</v>
      </c>
      <c r="B276" t="s">
        <v>145</v>
      </c>
      <c r="C276" t="s">
        <v>1322</v>
      </c>
      <c r="D276" t="s">
        <v>3444</v>
      </c>
      <c r="E276" t="s">
        <v>1357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1356</v>
      </c>
      <c r="B277" t="s">
        <v>145</v>
      </c>
      <c r="C277" t="s">
        <v>1322</v>
      </c>
      <c r="D277" t="s">
        <v>3444</v>
      </c>
      <c r="E277" t="s">
        <v>1355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1354</v>
      </c>
      <c r="B278" t="s">
        <v>145</v>
      </c>
      <c r="C278" t="s">
        <v>1322</v>
      </c>
      <c r="D278" t="s">
        <v>3444</v>
      </c>
      <c r="E278" t="s">
        <v>1353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1352</v>
      </c>
      <c r="B279" t="s">
        <v>145</v>
      </c>
      <c r="C279" t="s">
        <v>1322</v>
      </c>
      <c r="D279" t="s">
        <v>3444</v>
      </c>
      <c r="E279" t="s">
        <v>1351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1350</v>
      </c>
      <c r="B280" t="s">
        <v>145</v>
      </c>
      <c r="C280" t="s">
        <v>1322</v>
      </c>
      <c r="D280" t="s">
        <v>3445</v>
      </c>
      <c r="E280" t="s">
        <v>1349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1348</v>
      </c>
      <c r="B281" t="s">
        <v>145</v>
      </c>
      <c r="C281" t="s">
        <v>1322</v>
      </c>
      <c r="D281" t="s">
        <v>3444</v>
      </c>
      <c r="E281" t="s">
        <v>1347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1346</v>
      </c>
      <c r="B282" t="s">
        <v>145</v>
      </c>
      <c r="C282" t="s">
        <v>1322</v>
      </c>
      <c r="D282" t="s">
        <v>3444</v>
      </c>
      <c r="E282" t="s">
        <v>1345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1344</v>
      </c>
      <c r="B283" t="s">
        <v>145</v>
      </c>
      <c r="C283" t="s">
        <v>1322</v>
      </c>
      <c r="D283" t="s">
        <v>3444</v>
      </c>
      <c r="E283" t="s">
        <v>1343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1342</v>
      </c>
      <c r="B284" t="s">
        <v>145</v>
      </c>
      <c r="C284" t="s">
        <v>1322</v>
      </c>
      <c r="D284" t="s">
        <v>3444</v>
      </c>
      <c r="E284" t="s">
        <v>1341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2977</v>
      </c>
      <c r="B285" t="s">
        <v>145</v>
      </c>
      <c r="C285" t="s">
        <v>1322</v>
      </c>
      <c r="D285" t="s">
        <v>3444</v>
      </c>
      <c r="E285" t="s">
        <v>1325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1340</v>
      </c>
      <c r="B286" t="s">
        <v>145</v>
      </c>
      <c r="C286" t="s">
        <v>1322</v>
      </c>
      <c r="D286" t="s">
        <v>3444</v>
      </c>
      <c r="E286" t="s">
        <v>1339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1338</v>
      </c>
      <c r="B287" t="s">
        <v>145</v>
      </c>
      <c r="C287" t="s">
        <v>1322</v>
      </c>
      <c r="D287" t="s">
        <v>3444</v>
      </c>
      <c r="E287" t="s">
        <v>1337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1336</v>
      </c>
      <c r="B288" t="s">
        <v>145</v>
      </c>
      <c r="C288" t="s">
        <v>1322</v>
      </c>
      <c r="D288" t="s">
        <v>3444</v>
      </c>
      <c r="E288" t="s">
        <v>1335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1334</v>
      </c>
      <c r="B289" t="s">
        <v>145</v>
      </c>
      <c r="C289" t="s">
        <v>1322</v>
      </c>
      <c r="D289" t="s">
        <v>3444</v>
      </c>
      <c r="E289" t="s">
        <v>1333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1332</v>
      </c>
      <c r="B290" t="s">
        <v>145</v>
      </c>
      <c r="C290" t="s">
        <v>1322</v>
      </c>
      <c r="D290" t="s">
        <v>3444</v>
      </c>
      <c r="E290" t="s">
        <v>1331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2974</v>
      </c>
      <c r="B291" t="s">
        <v>145</v>
      </c>
      <c r="C291" t="s">
        <v>1322</v>
      </c>
      <c r="D291" t="s">
        <v>3444</v>
      </c>
      <c r="E291" t="s">
        <v>1330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1329</v>
      </c>
      <c r="B292" t="s">
        <v>145</v>
      </c>
      <c r="C292" t="s">
        <v>2986</v>
      </c>
      <c r="D292" t="s">
        <v>2988</v>
      </c>
      <c r="E292" t="s">
        <v>1328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1327</v>
      </c>
      <c r="B293" t="s">
        <v>145</v>
      </c>
      <c r="C293" t="s">
        <v>2987</v>
      </c>
      <c r="D293" t="s">
        <v>2989</v>
      </c>
      <c r="E293" t="s">
        <v>1326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1A1c Manufacture of solid fuels and other energy industries</v>
      </c>
    </row>
    <row r="294" spans="1:9" x14ac:dyDescent="0.25">
      <c r="A294" t="s">
        <v>1324</v>
      </c>
      <c r="B294" t="s">
        <v>145</v>
      </c>
      <c r="C294" t="s">
        <v>1322</v>
      </c>
      <c r="D294" t="s">
        <v>3444</v>
      </c>
      <c r="E294" t="s">
        <v>1323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2975</v>
      </c>
      <c r="B295" t="s">
        <v>145</v>
      </c>
      <c r="C295" t="s">
        <v>1322</v>
      </c>
      <c r="D295" t="s">
        <v>3445</v>
      </c>
      <c r="E295" t="s">
        <v>2976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5930</v>
      </c>
      <c r="B296" t="s">
        <v>145</v>
      </c>
      <c r="C296" t="s">
        <v>1322</v>
      </c>
      <c r="D296" t="s">
        <v>5962</v>
      </c>
      <c r="E296" s="6" t="s">
        <v>5931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5932</v>
      </c>
      <c r="B297" t="s">
        <v>145</v>
      </c>
      <c r="C297" t="s">
        <v>1322</v>
      </c>
      <c r="D297" t="s">
        <v>5962</v>
      </c>
      <c r="E297" s="6" t="s">
        <v>5933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5934</v>
      </c>
      <c r="B298" t="s">
        <v>145</v>
      </c>
      <c r="C298" t="s">
        <v>1322</v>
      </c>
      <c r="D298" t="s">
        <v>5962</v>
      </c>
      <c r="E298" s="6" t="s">
        <v>5935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5936</v>
      </c>
      <c r="B299" t="s">
        <v>145</v>
      </c>
      <c r="C299" t="s">
        <v>1322</v>
      </c>
      <c r="D299" t="s">
        <v>5962</v>
      </c>
      <c r="E299" s="6" t="s">
        <v>5937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5938</v>
      </c>
      <c r="B300" t="s">
        <v>145</v>
      </c>
      <c r="C300" t="s">
        <v>1322</v>
      </c>
      <c r="D300" t="s">
        <v>5962</v>
      </c>
      <c r="E300" s="6" t="s">
        <v>5939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5940</v>
      </c>
      <c r="B301" t="s">
        <v>145</v>
      </c>
      <c r="C301" t="s">
        <v>1322</v>
      </c>
      <c r="D301" t="s">
        <v>5962</v>
      </c>
      <c r="E301" s="6" t="s">
        <v>5941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5942</v>
      </c>
      <c r="B302" t="s">
        <v>145</v>
      </c>
      <c r="C302" t="s">
        <v>1322</v>
      </c>
      <c r="D302" t="s">
        <v>5962</v>
      </c>
      <c r="E302" s="6" t="s">
        <v>5943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s="6" t="s">
        <v>5944</v>
      </c>
      <c r="B303" t="s">
        <v>145</v>
      </c>
      <c r="C303" t="s">
        <v>1322</v>
      </c>
      <c r="D303" t="s">
        <v>5962</v>
      </c>
      <c r="E303" s="6" t="s">
        <v>5945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s="6" t="s">
        <v>5946</v>
      </c>
      <c r="B304" t="s">
        <v>145</v>
      </c>
      <c r="C304" t="s">
        <v>1322</v>
      </c>
      <c r="D304" t="s">
        <v>5962</v>
      </c>
      <c r="E304" s="6" t="s">
        <v>5947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s="6" t="s">
        <v>5948</v>
      </c>
      <c r="B305" t="s">
        <v>145</v>
      </c>
      <c r="C305" t="s">
        <v>1322</v>
      </c>
      <c r="D305" t="s">
        <v>5962</v>
      </c>
      <c r="E305" s="6" t="s">
        <v>5949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s="6" t="s">
        <v>5950</v>
      </c>
      <c r="B306" t="s">
        <v>145</v>
      </c>
      <c r="C306" t="s">
        <v>1322</v>
      </c>
      <c r="D306" t="s">
        <v>5962</v>
      </c>
      <c r="E306" s="6" t="s">
        <v>5951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5952</v>
      </c>
      <c r="B307" t="s">
        <v>145</v>
      </c>
      <c r="C307" t="s">
        <v>1322</v>
      </c>
      <c r="D307" t="s">
        <v>5962</v>
      </c>
      <c r="E307" s="6" t="s">
        <v>5953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s="6" t="s">
        <v>5954</v>
      </c>
      <c r="B308" t="s">
        <v>145</v>
      </c>
      <c r="C308" t="s">
        <v>1322</v>
      </c>
      <c r="D308" t="s">
        <v>5962</v>
      </c>
      <c r="E308" s="6" t="s">
        <v>5955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s="6" t="s">
        <v>5956</v>
      </c>
      <c r="B309" t="s">
        <v>145</v>
      </c>
      <c r="C309" t="s">
        <v>1322</v>
      </c>
      <c r="D309" t="s">
        <v>5962</v>
      </c>
      <c r="E309" s="6" t="s">
        <v>5957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s="6" t="s">
        <v>5958</v>
      </c>
      <c r="B310" t="s">
        <v>145</v>
      </c>
      <c r="C310" t="s">
        <v>1322</v>
      </c>
      <c r="D310" t="s">
        <v>5962</v>
      </c>
      <c r="E310" s="6" t="s">
        <v>5959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s="6" t="s">
        <v>5960</v>
      </c>
      <c r="B311" t="s">
        <v>145</v>
      </c>
      <c r="C311" t="s">
        <v>1322</v>
      </c>
      <c r="D311" t="s">
        <v>5962</v>
      </c>
      <c r="E311" s="6" t="s">
        <v>5961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3524</v>
      </c>
      <c r="B312" t="s">
        <v>145</v>
      </c>
      <c r="C312" t="s">
        <v>3582</v>
      </c>
      <c r="D312" t="s">
        <v>3581</v>
      </c>
      <c r="E312" t="s">
        <v>3525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2984</v>
      </c>
      <c r="B313" t="s">
        <v>145</v>
      </c>
      <c r="C313" t="s">
        <v>2986</v>
      </c>
      <c r="D313" t="s">
        <v>2990</v>
      </c>
      <c r="E313" t="s">
        <v>2985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3046</v>
      </c>
      <c r="B314" t="s">
        <v>145</v>
      </c>
      <c r="C314" t="s">
        <v>2987</v>
      </c>
      <c r="D314" t="s">
        <v>2991</v>
      </c>
      <c r="E314" t="s">
        <v>2983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1A1c Manufacture of solid fuels and other energy industries</v>
      </c>
    </row>
    <row r="315" spans="1:9" x14ac:dyDescent="0.25">
      <c r="A315" t="s">
        <v>1321</v>
      </c>
      <c r="B315" t="s">
        <v>145</v>
      </c>
      <c r="C315" t="s">
        <v>1313</v>
      </c>
      <c r="D315" t="s">
        <v>1313</v>
      </c>
      <c r="E315" t="s">
        <v>2980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3533</v>
      </c>
      <c r="B316" t="s">
        <v>145</v>
      </c>
      <c r="C316" t="s">
        <v>3584</v>
      </c>
      <c r="D316" t="s">
        <v>3583</v>
      </c>
      <c r="E316" t="s">
        <v>3534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2981</v>
      </c>
      <c r="B317" t="s">
        <v>145</v>
      </c>
      <c r="C317" t="s">
        <v>1313</v>
      </c>
      <c r="D317" t="s">
        <v>1313</v>
      </c>
      <c r="E317" t="s">
        <v>2982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1320</v>
      </c>
      <c r="B318" t="s">
        <v>145</v>
      </c>
      <c r="C318" t="s">
        <v>1313</v>
      </c>
      <c r="D318" t="s">
        <v>1313</v>
      </c>
      <c r="E318" t="s">
        <v>2979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1319</v>
      </c>
      <c r="B319" t="s">
        <v>145</v>
      </c>
      <c r="C319" t="s">
        <v>1313</v>
      </c>
      <c r="D319" t="s">
        <v>1313</v>
      </c>
      <c r="E319" t="s">
        <v>1318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1317</v>
      </c>
      <c r="B320" t="s">
        <v>145</v>
      </c>
      <c r="C320" t="s">
        <v>1313</v>
      </c>
      <c r="D320" t="s">
        <v>1313</v>
      </c>
      <c r="E320" t="s">
        <v>1316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1315</v>
      </c>
      <c r="B321" t="s">
        <v>145</v>
      </c>
      <c r="C321" t="s">
        <v>1313</v>
      </c>
      <c r="D321" t="s">
        <v>1313</v>
      </c>
      <c r="E321" t="s">
        <v>1314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1312</v>
      </c>
      <c r="B322" t="s">
        <v>145</v>
      </c>
      <c r="C322" t="s">
        <v>423</v>
      </c>
      <c r="D322" t="s">
        <v>1310</v>
      </c>
      <c r="E322" t="s">
        <v>1311</v>
      </c>
      <c r="F322" t="str">
        <f>INDEX(IPCCMaps!H:H,MATCH(mapPRC!C322,IPCCMaps!G:G,0))</f>
        <v>1 Energy</v>
      </c>
    </row>
    <row r="323" spans="1:9" x14ac:dyDescent="0.25">
      <c r="A323" t="s">
        <v>3538</v>
      </c>
      <c r="B323" t="s">
        <v>145</v>
      </c>
      <c r="C323" t="s">
        <v>3585</v>
      </c>
      <c r="D323" t="s">
        <v>3586</v>
      </c>
      <c r="E323" t="s">
        <v>3539</v>
      </c>
      <c r="F323" t="e">
        <f>INDEX(IPCCMaps!H:H,MATCH(mapPRC!C323,IPCCMaps!G:G,0))</f>
        <v>#N/A</v>
      </c>
      <c r="G323" t="e">
        <f>INDEX(IPCCMaps!I:I,MATCH(mapPRC!C323,IPCCMaps!G:G,0))</f>
        <v>#N/A</v>
      </c>
      <c r="H323" t="e">
        <f>INDEX(IPCCMaps!J:J,MATCH(mapPRC!C323,IPCCMaps!G:G,0))</f>
        <v>#N/A</v>
      </c>
      <c r="I323" t="e">
        <f>INDEX(IPCCMaps!K:K,MATCH(mapPRC!C323,IPCCMaps!G:G,0))</f>
        <v>#N/A</v>
      </c>
    </row>
    <row r="324" spans="1:9" x14ac:dyDescent="0.25">
      <c r="A324" t="s">
        <v>1309</v>
      </c>
      <c r="B324" t="s">
        <v>145</v>
      </c>
      <c r="C324" t="s">
        <v>1305</v>
      </c>
      <c r="D324" t="s">
        <v>3447</v>
      </c>
      <c r="E324" t="s">
        <v>1308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1307</v>
      </c>
      <c r="B325" t="s">
        <v>145</v>
      </c>
      <c r="C325" t="s">
        <v>1305</v>
      </c>
      <c r="D325" t="s">
        <v>3446</v>
      </c>
      <c r="E325" t="s">
        <v>1306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1304</v>
      </c>
      <c r="B326" t="s">
        <v>145</v>
      </c>
      <c r="C326" t="s">
        <v>1301</v>
      </c>
      <c r="D326" t="s">
        <v>1301</v>
      </c>
      <c r="E326" t="s">
        <v>1303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1302</v>
      </c>
      <c r="B327" t="s">
        <v>145</v>
      </c>
      <c r="C327" t="s">
        <v>1301</v>
      </c>
      <c r="D327" t="s">
        <v>1301</v>
      </c>
      <c r="E327" t="s">
        <v>2978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1300</v>
      </c>
      <c r="B328" t="s">
        <v>145</v>
      </c>
      <c r="C328" t="s">
        <v>1296</v>
      </c>
      <c r="D328" t="s">
        <v>3372</v>
      </c>
      <c r="E328" t="s">
        <v>1299</v>
      </c>
      <c r="F328" t="str">
        <f>INDEX(IPCCMaps!H:H,MATCH(mapPRC!C328,IPCCMaps!G:G,0))</f>
        <v>1 Energy</v>
      </c>
      <c r="G328">
        <f>INDEX(IPCCMaps!I:I,MATCH(mapPRC!C328,IPCCMaps!G:G,0))</f>
        <v>0</v>
      </c>
      <c r="H328">
        <f>INDEX(IPCCMaps!J:J,MATCH(mapPRC!C328,IPCCMaps!G:G,0))</f>
        <v>0</v>
      </c>
      <c r="I328">
        <f>INDEX(IPCCMaps!K:K,MATCH(mapPRC!C328,IPCCMaps!G:G,0))</f>
        <v>0</v>
      </c>
    </row>
    <row r="329" spans="1:9" x14ac:dyDescent="0.25">
      <c r="A329" t="s">
        <v>1298</v>
      </c>
      <c r="B329" t="s">
        <v>145</v>
      </c>
      <c r="C329" t="s">
        <v>1296</v>
      </c>
      <c r="D329" t="s">
        <v>1296</v>
      </c>
      <c r="E329" t="s">
        <v>1297</v>
      </c>
      <c r="F329" t="str">
        <f>INDEX(IPCCMaps!H:H,MATCH(mapPRC!C329,IPCCMaps!G:G,0))</f>
        <v>1 Energy</v>
      </c>
      <c r="G329">
        <f>INDEX(IPCCMaps!I:I,MATCH(mapPRC!C329,IPCCMaps!G:G,0))</f>
        <v>0</v>
      </c>
      <c r="H329">
        <f>INDEX(IPCCMaps!J:J,MATCH(mapPRC!C329,IPCCMaps!G:G,0))</f>
        <v>0</v>
      </c>
      <c r="I329">
        <f>INDEX(IPCCMaps!K:K,MATCH(mapPRC!C329,IPCCMaps!G:G,0))</f>
        <v>0</v>
      </c>
    </row>
    <row r="330" spans="1:9" x14ac:dyDescent="0.25">
      <c r="A330" s="6" t="s">
        <v>3908</v>
      </c>
      <c r="B330" t="s">
        <v>145</v>
      </c>
      <c r="C330" t="s">
        <v>1322</v>
      </c>
      <c r="D330" t="s">
        <v>3907</v>
      </c>
      <c r="E330" s="6" t="s">
        <v>3922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3909</v>
      </c>
      <c r="B331" t="s">
        <v>145</v>
      </c>
      <c r="C331" t="s">
        <v>1322</v>
      </c>
      <c r="D331" t="s">
        <v>3907</v>
      </c>
      <c r="E331" s="6" t="s">
        <v>3923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s="6" t="s">
        <v>3910</v>
      </c>
      <c r="B332" t="s">
        <v>145</v>
      </c>
      <c r="C332" t="s">
        <v>1322</v>
      </c>
      <c r="D332" t="s">
        <v>3907</v>
      </c>
      <c r="E332" s="6" t="s">
        <v>3924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s="6" t="s">
        <v>3911</v>
      </c>
      <c r="B333" t="s">
        <v>145</v>
      </c>
      <c r="C333" t="s">
        <v>1322</v>
      </c>
      <c r="D333" t="s">
        <v>3907</v>
      </c>
      <c r="E333" s="6" t="s">
        <v>3925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s="6" t="s">
        <v>3912</v>
      </c>
      <c r="B334" t="s">
        <v>145</v>
      </c>
      <c r="C334" t="s">
        <v>1322</v>
      </c>
      <c r="D334" t="s">
        <v>3907</v>
      </c>
      <c r="E334" s="6" t="s">
        <v>3926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s="6" t="s">
        <v>3913</v>
      </c>
      <c r="B335" t="s">
        <v>145</v>
      </c>
      <c r="C335" t="s">
        <v>1322</v>
      </c>
      <c r="D335" t="s">
        <v>3907</v>
      </c>
      <c r="E335" s="6" t="s">
        <v>3927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s="6" t="s">
        <v>3914</v>
      </c>
      <c r="B336" t="s">
        <v>145</v>
      </c>
      <c r="C336" t="s">
        <v>1322</v>
      </c>
      <c r="D336" t="s">
        <v>3907</v>
      </c>
      <c r="E336" s="6" t="s">
        <v>3928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s="6" t="s">
        <v>3915</v>
      </c>
      <c r="B337" t="s">
        <v>145</v>
      </c>
      <c r="C337" t="s">
        <v>1322</v>
      </c>
      <c r="D337" t="s">
        <v>3907</v>
      </c>
      <c r="E337" s="6" t="s">
        <v>3929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s="6" t="s">
        <v>3916</v>
      </c>
      <c r="B338" t="s">
        <v>145</v>
      </c>
      <c r="C338" t="s">
        <v>1322</v>
      </c>
      <c r="D338" t="s">
        <v>3907</v>
      </c>
      <c r="E338" s="6" t="s">
        <v>3930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s="6" t="s">
        <v>3917</v>
      </c>
      <c r="B339" t="s">
        <v>145</v>
      </c>
      <c r="C339" t="s">
        <v>1322</v>
      </c>
      <c r="D339" t="s">
        <v>3907</v>
      </c>
      <c r="E339" s="6" t="s">
        <v>3931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s="6" t="s">
        <v>3918</v>
      </c>
      <c r="B340" t="s">
        <v>145</v>
      </c>
      <c r="C340" t="s">
        <v>1322</v>
      </c>
      <c r="D340" t="s">
        <v>3907</v>
      </c>
      <c r="E340" s="6" t="s">
        <v>3932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s="6" t="s">
        <v>3919</v>
      </c>
      <c r="B341" t="s">
        <v>145</v>
      </c>
      <c r="C341" t="s">
        <v>1322</v>
      </c>
      <c r="D341" t="s">
        <v>3907</v>
      </c>
      <c r="E341" s="6" t="s">
        <v>3933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25">
      <c r="A342" s="6" t="s">
        <v>3920</v>
      </c>
      <c r="B342" t="s">
        <v>145</v>
      </c>
      <c r="C342" t="s">
        <v>1322</v>
      </c>
      <c r="D342" t="s">
        <v>3907</v>
      </c>
      <c r="E342" s="6" t="s">
        <v>3934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x14ac:dyDescent="0.25">
      <c r="A343" s="6" t="s">
        <v>3921</v>
      </c>
      <c r="B343" t="s">
        <v>145</v>
      </c>
      <c r="C343" t="s">
        <v>1322</v>
      </c>
      <c r="D343" t="s">
        <v>3907</v>
      </c>
      <c r="E343" s="6" t="s">
        <v>3935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1A1a Electricity and Heat Production</v>
      </c>
    </row>
    <row r="344" spans="1:9" x14ac:dyDescent="0.25">
      <c r="A344" s="6" t="s">
        <v>3936</v>
      </c>
      <c r="B344" t="s">
        <v>145</v>
      </c>
      <c r="C344" t="s">
        <v>1322</v>
      </c>
      <c r="D344" t="s">
        <v>3907</v>
      </c>
      <c r="E344" s="6" t="s">
        <v>3937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x14ac:dyDescent="0.25">
      <c r="A345" t="s">
        <v>3848</v>
      </c>
      <c r="B345" t="s">
        <v>960</v>
      </c>
      <c r="C345" t="s">
        <v>3851</v>
      </c>
      <c r="D345" t="s">
        <v>3851</v>
      </c>
      <c r="E345" t="s">
        <v>3858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3829</v>
      </c>
      <c r="B346" t="s">
        <v>960</v>
      </c>
      <c r="C346" t="s">
        <v>3850</v>
      </c>
      <c r="D346" t="s">
        <v>3850</v>
      </c>
      <c r="E346" t="s">
        <v>3830</v>
      </c>
      <c r="F346" t="e">
        <f>INDEX(IPCCMaps!H:H,MATCH(mapPRC!C346,IPCCMaps!G:G,0))</f>
        <v>#N/A</v>
      </c>
      <c r="G346" t="e">
        <f>INDEX(IPCCMaps!I:I,MATCH(mapPRC!C346,IPCCMaps!G:G,0))</f>
        <v>#N/A</v>
      </c>
      <c r="H346" t="e">
        <f>INDEX(IPCCMaps!J:J,MATCH(mapPRC!C346,IPCCMaps!G:G,0))</f>
        <v>#N/A</v>
      </c>
      <c r="I346" t="e">
        <f>INDEX(IPCCMaps!K:K,MATCH(mapPRC!C346,IPCCMaps!G:G,0))</f>
        <v>#N/A</v>
      </c>
    </row>
    <row r="347" spans="1:9" x14ac:dyDescent="0.25">
      <c r="A347" t="s">
        <v>3859</v>
      </c>
      <c r="B347" t="s">
        <v>960</v>
      </c>
      <c r="C347" t="s">
        <v>3850</v>
      </c>
      <c r="D347" t="s">
        <v>3850</v>
      </c>
      <c r="E347" t="s">
        <v>3860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x14ac:dyDescent="0.25">
      <c r="A348" t="s">
        <v>3451</v>
      </c>
      <c r="B348" t="s">
        <v>386</v>
      </c>
      <c r="C348" t="s">
        <v>3587</v>
      </c>
      <c r="D348" t="s">
        <v>3587</v>
      </c>
      <c r="E348" t="s">
        <v>3452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25">
      <c r="A349" t="s">
        <v>3453</v>
      </c>
      <c r="B349" t="s">
        <v>386</v>
      </c>
      <c r="C349" t="s">
        <v>3588</v>
      </c>
      <c r="D349" t="s">
        <v>3588</v>
      </c>
      <c r="E349" t="s">
        <v>3454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3047</v>
      </c>
      <c r="B350" t="s">
        <v>960</v>
      </c>
      <c r="C350" t="s">
        <v>3049</v>
      </c>
      <c r="D350" t="s">
        <v>3050</v>
      </c>
      <c r="E350" t="s">
        <v>3048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1A2b Non-Ferrous Metals</v>
      </c>
    </row>
    <row r="351" spans="1:9" x14ac:dyDescent="0.25">
      <c r="A351" t="s">
        <v>3466</v>
      </c>
      <c r="B351" t="s">
        <v>960</v>
      </c>
      <c r="C351" t="s">
        <v>3049</v>
      </c>
      <c r="D351" t="s">
        <v>3050</v>
      </c>
      <c r="E351" t="s">
        <v>3467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1A2b Non-Ferrous Metals</v>
      </c>
    </row>
    <row r="352" spans="1:9" x14ac:dyDescent="0.25">
      <c r="A352" t="s">
        <v>1295</v>
      </c>
      <c r="B352" t="s">
        <v>960</v>
      </c>
      <c r="C352" t="s">
        <v>1264</v>
      </c>
      <c r="D352" t="s">
        <v>1060</v>
      </c>
      <c r="E352" t="s">
        <v>1294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1293</v>
      </c>
      <c r="B353" t="s">
        <v>960</v>
      </c>
      <c r="C353" t="s">
        <v>1264</v>
      </c>
      <c r="D353" t="s">
        <v>1057</v>
      </c>
      <c r="E353" t="s">
        <v>1292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1291</v>
      </c>
      <c r="B354" t="s">
        <v>960</v>
      </c>
      <c r="C354" t="s">
        <v>1264</v>
      </c>
      <c r="D354" t="s">
        <v>1054</v>
      </c>
      <c r="E354" t="s">
        <v>1290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1289</v>
      </c>
      <c r="B355" t="s">
        <v>960</v>
      </c>
      <c r="C355" t="s">
        <v>1264</v>
      </c>
      <c r="D355" t="s">
        <v>1051</v>
      </c>
      <c r="E355" t="s">
        <v>1288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1287</v>
      </c>
      <c r="B356" t="s">
        <v>960</v>
      </c>
      <c r="C356" t="s">
        <v>1264</v>
      </c>
      <c r="D356" t="s">
        <v>1048</v>
      </c>
      <c r="E356" t="s">
        <v>1286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1285</v>
      </c>
      <c r="B357" t="s">
        <v>960</v>
      </c>
      <c r="C357" t="s">
        <v>1264</v>
      </c>
      <c r="D357" t="s">
        <v>1045</v>
      </c>
      <c r="E357" t="s">
        <v>1284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1283</v>
      </c>
      <c r="B358" t="s">
        <v>960</v>
      </c>
      <c r="C358" t="s">
        <v>1264</v>
      </c>
      <c r="D358" t="s">
        <v>729</v>
      </c>
      <c r="E358" t="s">
        <v>1282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1281</v>
      </c>
      <c r="B359" t="s">
        <v>960</v>
      </c>
      <c r="C359" t="s">
        <v>1264</v>
      </c>
      <c r="D359" t="s">
        <v>1040</v>
      </c>
      <c r="E359" t="s">
        <v>1280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1279</v>
      </c>
      <c r="B360" t="s">
        <v>960</v>
      </c>
      <c r="C360" t="s">
        <v>1264</v>
      </c>
      <c r="D360" t="s">
        <v>1037</v>
      </c>
      <c r="E360" t="s">
        <v>1278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3051</v>
      </c>
      <c r="B361" t="s">
        <v>960</v>
      </c>
      <c r="C361" t="s">
        <v>1264</v>
      </c>
      <c r="D361" t="s">
        <v>1021</v>
      </c>
      <c r="E361" t="s">
        <v>1277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1276</v>
      </c>
      <c r="B362" t="s">
        <v>960</v>
      </c>
      <c r="C362" t="s">
        <v>1264</v>
      </c>
      <c r="D362" t="s">
        <v>1021</v>
      </c>
      <c r="E362" t="s">
        <v>1275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3748</v>
      </c>
      <c r="B363" t="s">
        <v>960</v>
      </c>
      <c r="C363" t="s">
        <v>1264</v>
      </c>
      <c r="D363" t="s">
        <v>1021</v>
      </c>
      <c r="E363" t="s">
        <v>3746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3749</v>
      </c>
      <c r="B364" t="s">
        <v>960</v>
      </c>
      <c r="C364" t="s">
        <v>1264</v>
      </c>
      <c r="D364" t="s">
        <v>1021</v>
      </c>
      <c r="E364" t="s">
        <v>3747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1274</v>
      </c>
      <c r="B365" t="s">
        <v>960</v>
      </c>
      <c r="C365" t="s">
        <v>1264</v>
      </c>
      <c r="D365" t="s">
        <v>1021</v>
      </c>
      <c r="E365" t="s">
        <v>1273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25">
      <c r="A366" t="s">
        <v>1272</v>
      </c>
      <c r="B366" t="s">
        <v>960</v>
      </c>
      <c r="C366" t="s">
        <v>1264</v>
      </c>
      <c r="D366" t="s">
        <v>1021</v>
      </c>
      <c r="E366" t="s">
        <v>1271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x14ac:dyDescent="0.25">
      <c r="A367" t="s">
        <v>1270</v>
      </c>
      <c r="B367" t="s">
        <v>960</v>
      </c>
      <c r="C367" t="s">
        <v>1264</v>
      </c>
      <c r="D367" t="s">
        <v>1021</v>
      </c>
      <c r="E367" t="s">
        <v>1269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x14ac:dyDescent="0.25">
      <c r="A368" t="s">
        <v>1268</v>
      </c>
      <c r="B368" t="s">
        <v>960</v>
      </c>
      <c r="C368" t="s">
        <v>1264</v>
      </c>
      <c r="D368" t="s">
        <v>1021</v>
      </c>
      <c r="E368" t="s">
        <v>1267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x14ac:dyDescent="0.25">
      <c r="A369" t="s">
        <v>3865</v>
      </c>
      <c r="B369" t="s">
        <v>960</v>
      </c>
      <c r="C369" t="s">
        <v>1264</v>
      </c>
      <c r="D369" t="s">
        <v>3866</v>
      </c>
      <c r="E369" t="s">
        <v>3867</v>
      </c>
    </row>
    <row r="370" spans="1:9" x14ac:dyDescent="0.25">
      <c r="A370" t="s">
        <v>5885</v>
      </c>
      <c r="B370" t="s">
        <v>21</v>
      </c>
      <c r="C370" t="s">
        <v>3686</v>
      </c>
      <c r="D370" t="s">
        <v>5889</v>
      </c>
      <c r="E370" t="s">
        <v>5886</v>
      </c>
    </row>
    <row r="371" spans="1:9" x14ac:dyDescent="0.25">
      <c r="A371" t="s">
        <v>3566</v>
      </c>
      <c r="B371" t="s">
        <v>960</v>
      </c>
      <c r="C371" t="s">
        <v>3589</v>
      </c>
      <c r="D371" t="s">
        <v>3589</v>
      </c>
      <c r="E371" t="s">
        <v>3567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x14ac:dyDescent="0.25">
      <c r="A372" t="s">
        <v>5887</v>
      </c>
      <c r="B372" t="s">
        <v>21</v>
      </c>
      <c r="C372" t="s">
        <v>3686</v>
      </c>
      <c r="D372" t="s">
        <v>5890</v>
      </c>
      <c r="E372" t="s">
        <v>5888</v>
      </c>
    </row>
    <row r="373" spans="1:9" x14ac:dyDescent="0.25">
      <c r="A373" t="s">
        <v>3568</v>
      </c>
      <c r="B373" t="s">
        <v>960</v>
      </c>
      <c r="C373" t="s">
        <v>3589</v>
      </c>
      <c r="D373" t="s">
        <v>3589</v>
      </c>
      <c r="E373" t="s">
        <v>3569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x14ac:dyDescent="0.25">
      <c r="A374" t="s">
        <v>3570</v>
      </c>
      <c r="E374" t="s">
        <v>3571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x14ac:dyDescent="0.25">
      <c r="A375" t="s">
        <v>3470</v>
      </c>
      <c r="B375" t="s">
        <v>960</v>
      </c>
      <c r="C375" t="s">
        <v>1262</v>
      </c>
      <c r="D375" t="s">
        <v>3590</v>
      </c>
      <c r="E375" t="s">
        <v>6258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3472</v>
      </c>
      <c r="B376" t="s">
        <v>960</v>
      </c>
      <c r="C376" t="s">
        <v>1262</v>
      </c>
      <c r="D376" t="s">
        <v>3590</v>
      </c>
      <c r="E376" t="s">
        <v>6259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6260</v>
      </c>
      <c r="B377" t="s">
        <v>960</v>
      </c>
      <c r="C377" t="s">
        <v>1262</v>
      </c>
      <c r="D377" t="s">
        <v>3590</v>
      </c>
      <c r="E377" t="s">
        <v>6261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6262</v>
      </c>
      <c r="B378" t="s">
        <v>960</v>
      </c>
      <c r="C378" t="s">
        <v>1262</v>
      </c>
      <c r="D378" t="s">
        <v>3590</v>
      </c>
      <c r="E378" t="s">
        <v>6263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s="21" t="s">
        <v>6264</v>
      </c>
      <c r="B379" t="s">
        <v>960</v>
      </c>
      <c r="C379" t="s">
        <v>1262</v>
      </c>
      <c r="D379" t="s">
        <v>1262</v>
      </c>
      <c r="E379" s="21" t="s">
        <v>6265</v>
      </c>
    </row>
    <row r="380" spans="1:9" x14ac:dyDescent="0.25">
      <c r="A380" t="s">
        <v>1261</v>
      </c>
      <c r="B380" t="s">
        <v>960</v>
      </c>
      <c r="C380" t="s">
        <v>1235</v>
      </c>
      <c r="D380" t="s">
        <v>1060</v>
      </c>
      <c r="E380" t="s">
        <v>1260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1259</v>
      </c>
      <c r="B381" t="s">
        <v>960</v>
      </c>
      <c r="C381" t="s">
        <v>1235</v>
      </c>
      <c r="D381" t="s">
        <v>1057</v>
      </c>
      <c r="E381" t="s">
        <v>1258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1257</v>
      </c>
      <c r="B382" t="s">
        <v>960</v>
      </c>
      <c r="C382" t="s">
        <v>1235</v>
      </c>
      <c r="D382" t="s">
        <v>1054</v>
      </c>
      <c r="E382" t="s">
        <v>1256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1255</v>
      </c>
      <c r="B383" t="s">
        <v>960</v>
      </c>
      <c r="C383" t="s">
        <v>1235</v>
      </c>
      <c r="D383" t="s">
        <v>1051</v>
      </c>
      <c r="E383" t="s">
        <v>1254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1253</v>
      </c>
      <c r="B384" t="s">
        <v>960</v>
      </c>
      <c r="C384" t="s">
        <v>1235</v>
      </c>
      <c r="D384" t="s">
        <v>1048</v>
      </c>
      <c r="E384" t="s">
        <v>1252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1251</v>
      </c>
      <c r="B385" t="s">
        <v>960</v>
      </c>
      <c r="C385" t="s">
        <v>1235</v>
      </c>
      <c r="D385" t="s">
        <v>1045</v>
      </c>
      <c r="E385" t="s">
        <v>1250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1249</v>
      </c>
      <c r="B386" t="s">
        <v>960</v>
      </c>
      <c r="C386" t="s">
        <v>1235</v>
      </c>
      <c r="D386" t="s">
        <v>729</v>
      </c>
      <c r="E386" t="s">
        <v>1248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1247</v>
      </c>
      <c r="B387" t="s">
        <v>960</v>
      </c>
      <c r="C387" t="s">
        <v>1235</v>
      </c>
      <c r="D387" t="s">
        <v>1040</v>
      </c>
      <c r="E387" t="s">
        <v>1246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1245</v>
      </c>
      <c r="B388" t="s">
        <v>960</v>
      </c>
      <c r="C388" t="s">
        <v>1235</v>
      </c>
      <c r="D388" t="s">
        <v>1037</v>
      </c>
      <c r="E388" t="s">
        <v>1244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1243</v>
      </c>
      <c r="B389" t="s">
        <v>960</v>
      </c>
      <c r="C389" t="s">
        <v>1235</v>
      </c>
      <c r="D389" t="s">
        <v>1021</v>
      </c>
      <c r="E389" t="s">
        <v>1236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1242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1241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3752</v>
      </c>
      <c r="B392" t="s">
        <v>960</v>
      </c>
      <c r="C392" t="s">
        <v>1235</v>
      </c>
      <c r="D392" t="s">
        <v>1021</v>
      </c>
      <c r="E392" t="s">
        <v>3750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3753</v>
      </c>
      <c r="B393" t="s">
        <v>960</v>
      </c>
      <c r="C393" t="s">
        <v>1235</v>
      </c>
      <c r="D393" t="s">
        <v>1021</v>
      </c>
      <c r="E393" t="s">
        <v>3751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1240</v>
      </c>
      <c r="B394" t="s">
        <v>960</v>
      </c>
      <c r="C394" t="s">
        <v>1235</v>
      </c>
      <c r="D394" t="s">
        <v>1021</v>
      </c>
      <c r="E394" t="s">
        <v>1236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x14ac:dyDescent="0.25">
      <c r="A395" t="s">
        <v>1239</v>
      </c>
      <c r="B395" t="s">
        <v>960</v>
      </c>
      <c r="C395" t="s">
        <v>1235</v>
      </c>
      <c r="D395" t="s">
        <v>1021</v>
      </c>
      <c r="E395" t="s">
        <v>1236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x14ac:dyDescent="0.25">
      <c r="A396" t="s">
        <v>1238</v>
      </c>
      <c r="B396" t="s">
        <v>960</v>
      </c>
      <c r="C396" t="s">
        <v>1235</v>
      </c>
      <c r="D396" t="s">
        <v>1021</v>
      </c>
      <c r="E396" t="s">
        <v>1236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x14ac:dyDescent="0.25">
      <c r="A397" t="s">
        <v>1237</v>
      </c>
      <c r="B397" t="s">
        <v>960</v>
      </c>
      <c r="C397" t="s">
        <v>1235</v>
      </c>
      <c r="D397" t="s">
        <v>1021</v>
      </c>
      <c r="E397" t="s">
        <v>1236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1A2e Food Processing, Beverages and Tobacco</v>
      </c>
    </row>
    <row r="398" spans="1:9" x14ac:dyDescent="0.25">
      <c r="A398" t="s">
        <v>3696</v>
      </c>
      <c r="B398" t="s">
        <v>960</v>
      </c>
      <c r="C398" t="s">
        <v>1262</v>
      </c>
      <c r="D398" t="s">
        <v>3715</v>
      </c>
      <c r="E398" t="s">
        <v>3697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3698</v>
      </c>
      <c r="B399" t="s">
        <v>960</v>
      </c>
      <c r="C399" t="s">
        <v>1262</v>
      </c>
      <c r="D399" t="s">
        <v>3715</v>
      </c>
      <c r="E399" t="s">
        <v>3699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3700</v>
      </c>
      <c r="B400" t="s">
        <v>960</v>
      </c>
      <c r="C400" t="s">
        <v>1262</v>
      </c>
      <c r="D400" t="s">
        <v>3715</v>
      </c>
      <c r="E400" t="s">
        <v>3701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1231</v>
      </c>
      <c r="B401" t="s">
        <v>960</v>
      </c>
      <c r="C401" t="s">
        <v>1193</v>
      </c>
      <c r="D401" t="s">
        <v>6268</v>
      </c>
      <c r="E401" t="s">
        <v>6269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1228</v>
      </c>
      <c r="B402" t="s">
        <v>960</v>
      </c>
      <c r="C402" t="s">
        <v>1193</v>
      </c>
      <c r="D402" t="s">
        <v>6268</v>
      </c>
      <c r="E402" t="s">
        <v>6270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6271</v>
      </c>
      <c r="B403" t="s">
        <v>960</v>
      </c>
      <c r="C403" t="s">
        <v>1193</v>
      </c>
      <c r="D403" t="s">
        <v>6272</v>
      </c>
      <c r="E403" t="s">
        <v>6273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6274</v>
      </c>
      <c r="B404" t="s">
        <v>960</v>
      </c>
      <c r="C404" t="s">
        <v>1193</v>
      </c>
      <c r="D404" t="s">
        <v>6275</v>
      </c>
      <c r="E404" t="s">
        <v>6276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6311</v>
      </c>
      <c r="B405" t="s">
        <v>960</v>
      </c>
      <c r="C405" t="s">
        <v>1193</v>
      </c>
      <c r="D405" t="s">
        <v>6312</v>
      </c>
      <c r="E405" t="s">
        <v>5109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1213</v>
      </c>
      <c r="B406" t="s">
        <v>960</v>
      </c>
      <c r="C406" t="s">
        <v>1193</v>
      </c>
      <c r="D406" t="s">
        <v>6277</v>
      </c>
      <c r="E406" t="s">
        <v>5813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6278</v>
      </c>
      <c r="B407" t="s">
        <v>960</v>
      </c>
      <c r="C407" t="s">
        <v>1193</v>
      </c>
      <c r="D407" t="s">
        <v>6279</v>
      </c>
      <c r="E407" t="s">
        <v>6280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6281</v>
      </c>
      <c r="B408" t="s">
        <v>960</v>
      </c>
      <c r="C408" t="s">
        <v>1193</v>
      </c>
      <c r="D408" t="s">
        <v>6282</v>
      </c>
      <c r="E408" t="s">
        <v>6283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6284</v>
      </c>
      <c r="B409" t="s">
        <v>386</v>
      </c>
      <c r="C409" t="s">
        <v>3593</v>
      </c>
      <c r="D409" t="s">
        <v>3593</v>
      </c>
      <c r="E409" t="s">
        <v>6285</v>
      </c>
      <c r="F409" t="e">
        <f>INDEX(IPCCMaps!H:H,MATCH(mapPRC!C409,IPCCMaps!G:G,0))</f>
        <v>#N/A</v>
      </c>
      <c r="G409" t="e">
        <f>INDEX(IPCCMaps!I:I,MATCH(mapPRC!C409,IPCCMaps!G:G,0))</f>
        <v>#N/A</v>
      </c>
      <c r="H409" t="e">
        <f>INDEX(IPCCMaps!J:J,MATCH(mapPRC!C409,IPCCMaps!G:G,0))</f>
        <v>#N/A</v>
      </c>
      <c r="I409" t="e">
        <f>INDEX(IPCCMaps!K:K,MATCH(mapPRC!C409,IPCCMaps!G:G,0))</f>
        <v>#N/A</v>
      </c>
    </row>
    <row r="410" spans="1:9" x14ac:dyDescent="0.25">
      <c r="A410" t="s">
        <v>6286</v>
      </c>
      <c r="B410" t="s">
        <v>960</v>
      </c>
      <c r="C410" t="s">
        <v>1193</v>
      </c>
      <c r="D410" t="s">
        <v>3591</v>
      </c>
      <c r="E410" t="s">
        <v>5115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6287</v>
      </c>
      <c r="B411" t="s">
        <v>386</v>
      </c>
      <c r="C411" t="s">
        <v>3592</v>
      </c>
      <c r="D411" t="s">
        <v>3592</v>
      </c>
      <c r="E411" t="s">
        <v>5116</v>
      </c>
      <c r="F411" t="e">
        <f>INDEX(IPCCMaps!H:H,MATCH(mapPRC!C411,IPCCMaps!G:G,0))</f>
        <v>#N/A</v>
      </c>
      <c r="G411" t="e">
        <f>INDEX(IPCCMaps!I:I,MATCH(mapPRC!C411,IPCCMaps!G:G,0))</f>
        <v>#N/A</v>
      </c>
      <c r="H411" t="e">
        <f>INDEX(IPCCMaps!J:J,MATCH(mapPRC!C411,IPCCMaps!G:G,0))</f>
        <v>#N/A</v>
      </c>
      <c r="I411" t="e">
        <f>INDEX(IPCCMaps!K:K,MATCH(mapPRC!C411,IPCCMaps!G:G,0))</f>
        <v>#N/A</v>
      </c>
    </row>
    <row r="412" spans="1:9" x14ac:dyDescent="0.25">
      <c r="A412" t="s">
        <v>6288</v>
      </c>
      <c r="B412" t="s">
        <v>960</v>
      </c>
      <c r="C412" t="s">
        <v>1193</v>
      </c>
      <c r="D412" t="s">
        <v>6289</v>
      </c>
      <c r="E412" t="s">
        <v>6290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6291</v>
      </c>
      <c r="B413" t="s">
        <v>960</v>
      </c>
      <c r="C413" t="s">
        <v>1193</v>
      </c>
      <c r="D413" t="s">
        <v>6292</v>
      </c>
      <c r="E413" t="s">
        <v>6293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6294</v>
      </c>
      <c r="B414" t="s">
        <v>960</v>
      </c>
      <c r="C414" t="s">
        <v>1193</v>
      </c>
      <c r="D414" t="s">
        <v>6295</v>
      </c>
      <c r="E414" t="s">
        <v>6296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x14ac:dyDescent="0.25">
      <c r="A415" t="s">
        <v>6313</v>
      </c>
      <c r="B415" t="s">
        <v>960</v>
      </c>
      <c r="C415" t="s">
        <v>1193</v>
      </c>
      <c r="D415" t="s">
        <v>6315</v>
      </c>
      <c r="E415" s="5" t="s">
        <v>6314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x14ac:dyDescent="0.25">
      <c r="A416" t="s">
        <v>1197</v>
      </c>
      <c r="B416" t="s">
        <v>960</v>
      </c>
      <c r="C416" t="s">
        <v>1193</v>
      </c>
      <c r="D416" t="s">
        <v>6297</v>
      </c>
      <c r="E416" t="s">
        <v>6298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1195</v>
      </c>
      <c r="B417" t="s">
        <v>960</v>
      </c>
      <c r="C417" t="s">
        <v>1193</v>
      </c>
      <c r="D417" t="s">
        <v>6299</v>
      </c>
      <c r="E417" t="s">
        <v>6300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1191</v>
      </c>
      <c r="B418" t="s">
        <v>960</v>
      </c>
      <c r="C418" t="s">
        <v>1159</v>
      </c>
      <c r="D418" t="s">
        <v>1060</v>
      </c>
      <c r="E418" t="s">
        <v>1190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1189</v>
      </c>
      <c r="B419" t="s">
        <v>960</v>
      </c>
      <c r="C419" t="s">
        <v>1159</v>
      </c>
      <c r="D419" t="s">
        <v>1057</v>
      </c>
      <c r="E419" t="s">
        <v>1188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1187</v>
      </c>
      <c r="B420" t="s">
        <v>960</v>
      </c>
      <c r="C420" t="s">
        <v>1159</v>
      </c>
      <c r="D420" t="s">
        <v>1054</v>
      </c>
      <c r="E420" t="s">
        <v>1186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1185</v>
      </c>
      <c r="B421" t="s">
        <v>960</v>
      </c>
      <c r="C421" t="s">
        <v>1159</v>
      </c>
      <c r="D421" t="s">
        <v>1051</v>
      </c>
      <c r="E421" t="s">
        <v>1184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1183</v>
      </c>
      <c r="B422" t="s">
        <v>960</v>
      </c>
      <c r="C422" t="s">
        <v>1159</v>
      </c>
      <c r="D422" t="s">
        <v>1048</v>
      </c>
      <c r="E422" t="s">
        <v>1182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1181</v>
      </c>
      <c r="B423" t="s">
        <v>960</v>
      </c>
      <c r="C423" t="s">
        <v>1159</v>
      </c>
      <c r="D423" t="s">
        <v>1045</v>
      </c>
      <c r="E423" t="s">
        <v>1180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1179</v>
      </c>
      <c r="B424" t="s">
        <v>960</v>
      </c>
      <c r="C424" t="s">
        <v>1159</v>
      </c>
      <c r="D424" t="s">
        <v>729</v>
      </c>
      <c r="E424" t="s">
        <v>1178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1177</v>
      </c>
      <c r="B425" t="s">
        <v>960</v>
      </c>
      <c r="C425" t="s">
        <v>1159</v>
      </c>
      <c r="D425" t="s">
        <v>1040</v>
      </c>
      <c r="E425" t="s">
        <v>1176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1175</v>
      </c>
      <c r="B426" t="s">
        <v>960</v>
      </c>
      <c r="C426" t="s">
        <v>1159</v>
      </c>
      <c r="D426" t="s">
        <v>1037</v>
      </c>
      <c r="E426" t="s">
        <v>1174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1173</v>
      </c>
      <c r="B427" t="s">
        <v>960</v>
      </c>
      <c r="C427" t="s">
        <v>1159</v>
      </c>
      <c r="D427" t="s">
        <v>0</v>
      </c>
      <c r="E427" t="s">
        <v>1172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3479</v>
      </c>
      <c r="B428" t="s">
        <v>960</v>
      </c>
      <c r="C428" t="s">
        <v>1159</v>
      </c>
      <c r="D428" t="s">
        <v>0</v>
      </c>
      <c r="E428" t="s">
        <v>3480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1171</v>
      </c>
      <c r="B429" t="s">
        <v>960</v>
      </c>
      <c r="C429" t="s">
        <v>1159</v>
      </c>
      <c r="D429" t="s">
        <v>1021</v>
      </c>
      <c r="E429" t="s">
        <v>1170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1169</v>
      </c>
      <c r="B430" t="s">
        <v>960</v>
      </c>
      <c r="C430" t="s">
        <v>1159</v>
      </c>
      <c r="D430" t="s">
        <v>1021</v>
      </c>
      <c r="E430" t="s">
        <v>3742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3744</v>
      </c>
      <c r="B431" t="s">
        <v>960</v>
      </c>
      <c r="C431" t="s">
        <v>1159</v>
      </c>
      <c r="D431" t="s">
        <v>1021</v>
      </c>
      <c r="E431" t="s">
        <v>3742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3745</v>
      </c>
      <c r="B432" t="s">
        <v>960</v>
      </c>
      <c r="C432" t="s">
        <v>1159</v>
      </c>
      <c r="D432" t="s">
        <v>1021</v>
      </c>
      <c r="E432" t="s">
        <v>3743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1167</v>
      </c>
      <c r="B433" t="s">
        <v>960</v>
      </c>
      <c r="C433" t="s">
        <v>1159</v>
      </c>
      <c r="D433" t="s">
        <v>1021</v>
      </c>
      <c r="E433" t="s">
        <v>1166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1165</v>
      </c>
      <c r="B434" t="s">
        <v>960</v>
      </c>
      <c r="C434" t="s">
        <v>1159</v>
      </c>
      <c r="D434" t="s">
        <v>1021</v>
      </c>
      <c r="E434" t="s">
        <v>1164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1163</v>
      </c>
      <c r="B435" t="s">
        <v>960</v>
      </c>
      <c r="C435" t="s">
        <v>1159</v>
      </c>
      <c r="D435" t="s">
        <v>1021</v>
      </c>
      <c r="E435" t="s">
        <v>1162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1161</v>
      </c>
      <c r="B436" t="s">
        <v>960</v>
      </c>
      <c r="C436" t="s">
        <v>1159</v>
      </c>
      <c r="D436" t="s">
        <v>1021</v>
      </c>
      <c r="E436" t="s">
        <v>1160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1158</v>
      </c>
      <c r="B437" t="s">
        <v>21</v>
      </c>
      <c r="C437" t="s">
        <v>423</v>
      </c>
      <c r="D437" t="s">
        <v>423</v>
      </c>
      <c r="E437" t="s">
        <v>1157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1156</v>
      </c>
      <c r="B438" t="s">
        <v>21</v>
      </c>
      <c r="C438" t="s">
        <v>423</v>
      </c>
      <c r="D438" t="s">
        <v>423</v>
      </c>
      <c r="E438" t="s">
        <v>1155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1154</v>
      </c>
      <c r="B439" t="s">
        <v>21</v>
      </c>
      <c r="C439" t="s">
        <v>423</v>
      </c>
      <c r="D439" t="s">
        <v>423</v>
      </c>
      <c r="E439" t="s">
        <v>1153</v>
      </c>
      <c r="F439" t="str">
        <f>INDEX(IPCCMaps!H:H,MATCH(mapPRC!C439,IPCCMaps!G:G,0))</f>
        <v>1 Energy</v>
      </c>
      <c r="G439">
        <f>INDEX(IPCCMaps!I:I,MATCH(mapPRC!C439,IPCCMaps!G:G,0))</f>
        <v>0</v>
      </c>
      <c r="H439">
        <f>INDEX(IPCCMaps!J:J,MATCH(mapPRC!C439,IPCCMaps!G:G,0))</f>
        <v>0</v>
      </c>
      <c r="I439">
        <f>INDEX(IPCCMaps!K:K,MATCH(mapPRC!C439,IPCCMaps!G:G,0))</f>
        <v>0</v>
      </c>
    </row>
    <row r="440" spans="1:9" x14ac:dyDescent="0.25">
      <c r="A440" t="s">
        <v>6301</v>
      </c>
      <c r="B440" t="s">
        <v>21</v>
      </c>
      <c r="C440" t="s">
        <v>423</v>
      </c>
      <c r="D440" t="s">
        <v>6302</v>
      </c>
      <c r="E440" t="s">
        <v>6302</v>
      </c>
      <c r="F440" t="str">
        <f>INDEX(IPCCMaps!H:H,MATCH(mapPRC!C440,IPCCMaps!G:G,0))</f>
        <v>1 Energy</v>
      </c>
    </row>
    <row r="441" spans="1:9" x14ac:dyDescent="0.25">
      <c r="A441" t="s">
        <v>1152</v>
      </c>
      <c r="B441" t="s">
        <v>21</v>
      </c>
      <c r="C441" t="s">
        <v>423</v>
      </c>
      <c r="D441" t="s">
        <v>423</v>
      </c>
      <c r="E441" t="s">
        <v>1151</v>
      </c>
      <c r="F441" t="str">
        <f>INDEX(IPCCMaps!H:H,MATCH(mapPRC!C441,IPCCMaps!G:G,0))</f>
        <v>1 Energy</v>
      </c>
      <c r="G441">
        <f>INDEX(IPCCMaps!I:I,MATCH(mapPRC!C441,IPCCMaps!G:G,0))</f>
        <v>0</v>
      </c>
      <c r="H441">
        <f>INDEX(IPCCMaps!J:J,MATCH(mapPRC!C441,IPCCMaps!G:G,0))</f>
        <v>0</v>
      </c>
      <c r="I441">
        <f>INDEX(IPCCMaps!K:K,MATCH(mapPRC!C441,IPCCMaps!G:G,0))</f>
        <v>0</v>
      </c>
    </row>
    <row r="442" spans="1:9" x14ac:dyDescent="0.25">
      <c r="A442" t="s">
        <v>1150</v>
      </c>
      <c r="B442" t="s">
        <v>21</v>
      </c>
      <c r="C442" t="s">
        <v>423</v>
      </c>
      <c r="D442" t="s">
        <v>423</v>
      </c>
      <c r="E442" t="s">
        <v>1149</v>
      </c>
      <c r="F442" t="str">
        <f>INDEX(IPCCMaps!H:H,MATCH(mapPRC!C442,IPCCMaps!G:G,0))</f>
        <v>1 Energy</v>
      </c>
      <c r="G442">
        <f>INDEX(IPCCMaps!I:I,MATCH(mapPRC!C442,IPCCMaps!G:G,0))</f>
        <v>0</v>
      </c>
      <c r="H442">
        <f>INDEX(IPCCMaps!J:J,MATCH(mapPRC!C442,IPCCMaps!G:G,0))</f>
        <v>0</v>
      </c>
      <c r="I442">
        <f>INDEX(IPCCMaps!K:K,MATCH(mapPRC!C442,IPCCMaps!G:G,0))</f>
        <v>0</v>
      </c>
    </row>
    <row r="443" spans="1:9" x14ac:dyDescent="0.25">
      <c r="A443" t="s">
        <v>3843</v>
      </c>
      <c r="B443" t="s">
        <v>21</v>
      </c>
      <c r="C443" t="s">
        <v>423</v>
      </c>
      <c r="D443" t="s">
        <v>423</v>
      </c>
      <c r="E443" t="s">
        <v>3844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1148</v>
      </c>
      <c r="B444" t="s">
        <v>21</v>
      </c>
      <c r="C444" t="s">
        <v>423</v>
      </c>
      <c r="D444" t="s">
        <v>423</v>
      </c>
      <c r="E444" t="s">
        <v>1147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1146</v>
      </c>
      <c r="B445" t="s">
        <v>21</v>
      </c>
      <c r="C445" t="s">
        <v>423</v>
      </c>
      <c r="D445" t="s">
        <v>423</v>
      </c>
      <c r="E445" t="s">
        <v>1145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1144</v>
      </c>
      <c r="B446" t="s">
        <v>21</v>
      </c>
      <c r="C446" t="s">
        <v>423</v>
      </c>
      <c r="D446" t="s">
        <v>423</v>
      </c>
      <c r="E446" t="s">
        <v>1143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1142</v>
      </c>
      <c r="B447" t="s">
        <v>21</v>
      </c>
      <c r="C447" t="s">
        <v>423</v>
      </c>
      <c r="D447" t="s">
        <v>423</v>
      </c>
      <c r="E447" t="s">
        <v>1141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1140</v>
      </c>
      <c r="B448" t="s">
        <v>21</v>
      </c>
      <c r="C448" t="s">
        <v>423</v>
      </c>
      <c r="D448" t="s">
        <v>423</v>
      </c>
      <c r="E448" t="s">
        <v>1139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1138</v>
      </c>
      <c r="B449" t="s">
        <v>21</v>
      </c>
      <c r="C449" t="s">
        <v>423</v>
      </c>
      <c r="D449" t="s">
        <v>423</v>
      </c>
      <c r="E449" t="s">
        <v>1137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1136</v>
      </c>
      <c r="B450" t="s">
        <v>21</v>
      </c>
      <c r="C450" t="s">
        <v>423</v>
      </c>
      <c r="D450" t="s">
        <v>423</v>
      </c>
      <c r="E450" t="s">
        <v>1135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1134</v>
      </c>
      <c r="B451" t="s">
        <v>21</v>
      </c>
      <c r="C451" t="s">
        <v>423</v>
      </c>
      <c r="D451" t="s">
        <v>423</v>
      </c>
      <c r="E451" t="s">
        <v>1133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s="9" t="s">
        <v>5985</v>
      </c>
      <c r="B452" t="s">
        <v>145</v>
      </c>
      <c r="C452" t="s">
        <v>5987</v>
      </c>
      <c r="D452" t="s">
        <v>5987</v>
      </c>
      <c r="E452" t="s">
        <v>5988</v>
      </c>
    </row>
    <row r="453" spans="1:9" x14ac:dyDescent="0.25">
      <c r="A453" s="9" t="s">
        <v>5986</v>
      </c>
      <c r="B453" t="s">
        <v>145</v>
      </c>
      <c r="C453" t="s">
        <v>5987</v>
      </c>
      <c r="D453" t="s">
        <v>5987</v>
      </c>
      <c r="E453" t="s">
        <v>5989</v>
      </c>
    </row>
    <row r="454" spans="1:9" x14ac:dyDescent="0.25">
      <c r="A454" s="9" t="s">
        <v>6242</v>
      </c>
      <c r="B454" t="s">
        <v>145</v>
      </c>
      <c r="C454" t="s">
        <v>5987</v>
      </c>
      <c r="D454" t="s">
        <v>5987</v>
      </c>
      <c r="E454" t="s">
        <v>6243</v>
      </c>
    </row>
    <row r="455" spans="1:9" x14ac:dyDescent="0.25">
      <c r="A455" t="s">
        <v>1132</v>
      </c>
      <c r="B455" t="s">
        <v>960</v>
      </c>
      <c r="C455" t="s">
        <v>1107</v>
      </c>
      <c r="D455" t="s">
        <v>1060</v>
      </c>
      <c r="E455" t="s">
        <v>1131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1A2b Non-Ferrous Metals</v>
      </c>
    </row>
    <row r="456" spans="1:9" x14ac:dyDescent="0.25">
      <c r="A456" t="s">
        <v>1130</v>
      </c>
      <c r="B456" t="s">
        <v>960</v>
      </c>
      <c r="C456" t="s">
        <v>1107</v>
      </c>
      <c r="D456" t="s">
        <v>1057</v>
      </c>
      <c r="E456" t="s">
        <v>1129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1128</v>
      </c>
      <c r="B457" t="s">
        <v>960</v>
      </c>
      <c r="C457" t="s">
        <v>1107</v>
      </c>
      <c r="D457" t="s">
        <v>1054</v>
      </c>
      <c r="E457" t="s">
        <v>1127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1126</v>
      </c>
      <c r="B458" t="s">
        <v>960</v>
      </c>
      <c r="C458" t="s">
        <v>1107</v>
      </c>
      <c r="D458" t="s">
        <v>1051</v>
      </c>
      <c r="E458" t="s">
        <v>1125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25">
      <c r="A459" t="s">
        <v>1124</v>
      </c>
      <c r="B459" t="s">
        <v>960</v>
      </c>
      <c r="C459" t="s">
        <v>1107</v>
      </c>
      <c r="D459" t="s">
        <v>1048</v>
      </c>
      <c r="E459" t="s">
        <v>1123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1122</v>
      </c>
      <c r="B460" t="s">
        <v>960</v>
      </c>
      <c r="C460" t="s">
        <v>1107</v>
      </c>
      <c r="D460" t="s">
        <v>1045</v>
      </c>
      <c r="E460" t="s">
        <v>1121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1120</v>
      </c>
      <c r="B461" t="s">
        <v>960</v>
      </c>
      <c r="C461" t="s">
        <v>1107</v>
      </c>
      <c r="D461" t="s">
        <v>729</v>
      </c>
      <c r="E461" t="s">
        <v>1119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1118</v>
      </c>
      <c r="B462" t="s">
        <v>960</v>
      </c>
      <c r="C462" t="s">
        <v>1107</v>
      </c>
      <c r="D462" t="s">
        <v>1040</v>
      </c>
      <c r="E462" t="s">
        <v>1117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1116</v>
      </c>
      <c r="B463" t="s">
        <v>960</v>
      </c>
      <c r="C463" t="s">
        <v>1107</v>
      </c>
      <c r="D463" t="s">
        <v>1037</v>
      </c>
      <c r="E463" t="s">
        <v>1115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1114</v>
      </c>
      <c r="B464" t="s">
        <v>960</v>
      </c>
      <c r="C464" t="s">
        <v>1107</v>
      </c>
      <c r="D464" t="s">
        <v>1021</v>
      </c>
      <c r="E464" t="s">
        <v>1108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1113</v>
      </c>
      <c r="B465" t="s">
        <v>960</v>
      </c>
      <c r="C465" t="s">
        <v>1107</v>
      </c>
      <c r="D465" t="s">
        <v>1021</v>
      </c>
      <c r="E465" t="s">
        <v>1108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1112</v>
      </c>
      <c r="B466" t="s">
        <v>960</v>
      </c>
      <c r="C466" t="s">
        <v>1107</v>
      </c>
      <c r="D466" t="s">
        <v>1021</v>
      </c>
      <c r="E466" t="s">
        <v>1108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1111</v>
      </c>
      <c r="B467" t="s">
        <v>960</v>
      </c>
      <c r="C467" t="s">
        <v>1107</v>
      </c>
      <c r="D467" t="s">
        <v>1021</v>
      </c>
      <c r="E467" t="s">
        <v>1108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1110</v>
      </c>
      <c r="B468" t="s">
        <v>960</v>
      </c>
      <c r="C468" t="s">
        <v>1107</v>
      </c>
      <c r="D468" t="s">
        <v>1021</v>
      </c>
      <c r="E468" t="s">
        <v>1108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1109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1106</v>
      </c>
      <c r="B470" t="s">
        <v>960</v>
      </c>
      <c r="C470" t="s">
        <v>1064</v>
      </c>
      <c r="D470" t="s">
        <v>1101</v>
      </c>
      <c r="E470" t="s">
        <v>1102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1105</v>
      </c>
      <c r="B471" t="s">
        <v>960</v>
      </c>
      <c r="C471" t="s">
        <v>1064</v>
      </c>
      <c r="D471" t="s">
        <v>1101</v>
      </c>
      <c r="E471" t="s">
        <v>1104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1103</v>
      </c>
      <c r="B472" t="s">
        <v>960</v>
      </c>
      <c r="C472" t="s">
        <v>1064</v>
      </c>
      <c r="D472" t="s">
        <v>1101</v>
      </c>
      <c r="E472" t="s">
        <v>1102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1100</v>
      </c>
      <c r="B473" t="s">
        <v>960</v>
      </c>
      <c r="C473" t="s">
        <v>1064</v>
      </c>
      <c r="D473" t="s">
        <v>1078</v>
      </c>
      <c r="E473" t="s">
        <v>1099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1098</v>
      </c>
      <c r="B474" t="s">
        <v>960</v>
      </c>
      <c r="C474" t="s">
        <v>1064</v>
      </c>
      <c r="D474" t="s">
        <v>1078</v>
      </c>
      <c r="E474" t="s">
        <v>1096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1097</v>
      </c>
      <c r="B475" t="s">
        <v>960</v>
      </c>
      <c r="C475" t="s">
        <v>1064</v>
      </c>
      <c r="D475" t="s">
        <v>1078</v>
      </c>
      <c r="E475" t="s">
        <v>1096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1093</v>
      </c>
      <c r="B476" t="s">
        <v>960</v>
      </c>
      <c r="C476" t="s">
        <v>1064</v>
      </c>
      <c r="D476" t="s">
        <v>1078</v>
      </c>
      <c r="E476" t="s">
        <v>1092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1095</v>
      </c>
      <c r="B477" t="s">
        <v>960</v>
      </c>
      <c r="C477" t="s">
        <v>1064</v>
      </c>
      <c r="D477" t="s">
        <v>1078</v>
      </c>
      <c r="E477" t="s">
        <v>1092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1094</v>
      </c>
      <c r="B478" t="s">
        <v>960</v>
      </c>
      <c r="C478" t="s">
        <v>1064</v>
      </c>
      <c r="D478" t="s">
        <v>1078</v>
      </c>
      <c r="E478" t="s">
        <v>1092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1089</v>
      </c>
      <c r="B479" t="s">
        <v>960</v>
      </c>
      <c r="C479" t="s">
        <v>1064</v>
      </c>
      <c r="D479" t="s">
        <v>1078</v>
      </c>
      <c r="E479" t="s">
        <v>1085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1091</v>
      </c>
      <c r="B480" t="s">
        <v>960</v>
      </c>
      <c r="C480" t="s">
        <v>1064</v>
      </c>
      <c r="D480" t="s">
        <v>1078</v>
      </c>
      <c r="E480" t="s">
        <v>1085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1090</v>
      </c>
      <c r="B481" t="s">
        <v>960</v>
      </c>
      <c r="C481" t="s">
        <v>1064</v>
      </c>
      <c r="D481" t="s">
        <v>1078</v>
      </c>
      <c r="E481" t="s">
        <v>1085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1088</v>
      </c>
      <c r="B482" t="s">
        <v>960</v>
      </c>
      <c r="C482" t="s">
        <v>1064</v>
      </c>
      <c r="D482" t="s">
        <v>1078</v>
      </c>
      <c r="E482" t="s">
        <v>1085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1084</v>
      </c>
      <c r="B483" t="s">
        <v>960</v>
      </c>
      <c r="C483" t="s">
        <v>1064</v>
      </c>
      <c r="D483" t="s">
        <v>1078</v>
      </c>
      <c r="E483" t="s">
        <v>1082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1087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1086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1083</v>
      </c>
      <c r="B486" t="s">
        <v>960</v>
      </c>
      <c r="C486" t="s">
        <v>1064</v>
      </c>
      <c r="D486" t="s">
        <v>1078</v>
      </c>
      <c r="E486" t="s">
        <v>1082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1081</v>
      </c>
      <c r="B487" t="s">
        <v>960</v>
      </c>
      <c r="C487" t="s">
        <v>1064</v>
      </c>
      <c r="D487" t="s">
        <v>1078</v>
      </c>
      <c r="E487" t="s">
        <v>1079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1080</v>
      </c>
      <c r="B488" t="s">
        <v>960</v>
      </c>
      <c r="C488" t="s">
        <v>1064</v>
      </c>
      <c r="D488" t="s">
        <v>1078</v>
      </c>
      <c r="E488" t="s">
        <v>1079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3494</v>
      </c>
      <c r="B489" t="s">
        <v>960</v>
      </c>
      <c r="C489" t="s">
        <v>1064</v>
      </c>
      <c r="D489" t="s">
        <v>1078</v>
      </c>
      <c r="E489" t="s">
        <v>3495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3496</v>
      </c>
      <c r="B490" t="s">
        <v>960</v>
      </c>
      <c r="C490" t="s">
        <v>1064</v>
      </c>
      <c r="D490" t="s">
        <v>1078</v>
      </c>
      <c r="E490" t="s">
        <v>3497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3498</v>
      </c>
      <c r="B491" t="s">
        <v>960</v>
      </c>
      <c r="C491" t="s">
        <v>1064</v>
      </c>
      <c r="D491" t="s">
        <v>1078</v>
      </c>
      <c r="E491" t="s">
        <v>3499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3500</v>
      </c>
      <c r="B492" t="s">
        <v>960</v>
      </c>
      <c r="C492" t="s">
        <v>1064</v>
      </c>
      <c r="D492" t="s">
        <v>1078</v>
      </c>
      <c r="E492" t="s">
        <v>3501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3502</v>
      </c>
      <c r="B493" t="s">
        <v>960</v>
      </c>
      <c r="C493" t="s">
        <v>1064</v>
      </c>
      <c r="D493" t="s">
        <v>1078</v>
      </c>
      <c r="E493" t="s">
        <v>3503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1077</v>
      </c>
      <c r="B494" t="s">
        <v>960</v>
      </c>
      <c r="C494" t="s">
        <v>1064</v>
      </c>
      <c r="D494" t="s">
        <v>1071</v>
      </c>
      <c r="E494" t="s">
        <v>1076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1075</v>
      </c>
      <c r="B495" t="s">
        <v>960</v>
      </c>
      <c r="C495" t="s">
        <v>1064</v>
      </c>
      <c r="D495" t="s">
        <v>1071</v>
      </c>
      <c r="E495" t="s">
        <v>1074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1073</v>
      </c>
      <c r="B496" t="s">
        <v>960</v>
      </c>
      <c r="C496" t="s">
        <v>1064</v>
      </c>
      <c r="D496" t="s">
        <v>1071</v>
      </c>
      <c r="E496" t="s">
        <v>1072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1070</v>
      </c>
      <c r="B497" t="s">
        <v>960</v>
      </c>
      <c r="C497" t="s">
        <v>1064</v>
      </c>
      <c r="D497" t="s">
        <v>1063</v>
      </c>
      <c r="E497" t="s">
        <v>1069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1068</v>
      </c>
      <c r="B498" t="s">
        <v>960</v>
      </c>
      <c r="C498" t="s">
        <v>1064</v>
      </c>
      <c r="D498" t="s">
        <v>1063</v>
      </c>
      <c r="E498" t="s">
        <v>1067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1066</v>
      </c>
      <c r="B499" t="s">
        <v>960</v>
      </c>
      <c r="C499" t="s">
        <v>1064</v>
      </c>
      <c r="D499" t="s">
        <v>1063</v>
      </c>
      <c r="E499" t="s">
        <v>1065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1062</v>
      </c>
      <c r="B500" t="s">
        <v>960</v>
      </c>
      <c r="C500" t="s">
        <v>1022</v>
      </c>
      <c r="D500" t="s">
        <v>1060</v>
      </c>
      <c r="E500" t="s">
        <v>1061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1059</v>
      </c>
      <c r="B501" t="s">
        <v>960</v>
      </c>
      <c r="C501" t="s">
        <v>1022</v>
      </c>
      <c r="D501" t="s">
        <v>1057</v>
      </c>
      <c r="E501" t="s">
        <v>1058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1056</v>
      </c>
      <c r="B502" t="s">
        <v>960</v>
      </c>
      <c r="C502" t="s">
        <v>1022</v>
      </c>
      <c r="D502" t="s">
        <v>1054</v>
      </c>
      <c r="E502" t="s">
        <v>1055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1053</v>
      </c>
      <c r="B503" t="s">
        <v>960</v>
      </c>
      <c r="C503" t="s">
        <v>1022</v>
      </c>
      <c r="D503" t="s">
        <v>1051</v>
      </c>
      <c r="E503" t="s">
        <v>1052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25">
      <c r="A504" t="s">
        <v>1050</v>
      </c>
      <c r="B504" t="s">
        <v>960</v>
      </c>
      <c r="C504" t="s">
        <v>1022</v>
      </c>
      <c r="D504" t="s">
        <v>1048</v>
      </c>
      <c r="E504" t="s">
        <v>1049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1047</v>
      </c>
      <c r="B505" t="s">
        <v>960</v>
      </c>
      <c r="C505" t="s">
        <v>1022</v>
      </c>
      <c r="D505" t="s">
        <v>1045</v>
      </c>
      <c r="E505" t="s">
        <v>1046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1044</v>
      </c>
      <c r="B506" t="s">
        <v>960</v>
      </c>
      <c r="C506" t="s">
        <v>1022</v>
      </c>
      <c r="D506" t="s">
        <v>729</v>
      </c>
      <c r="E506" t="s">
        <v>1043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1042</v>
      </c>
      <c r="B507" t="s">
        <v>960</v>
      </c>
      <c r="C507" t="s">
        <v>1022</v>
      </c>
      <c r="D507" t="s">
        <v>1040</v>
      </c>
      <c r="E507" t="s">
        <v>1041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1039</v>
      </c>
      <c r="B508" t="s">
        <v>960</v>
      </c>
      <c r="C508" t="s">
        <v>1022</v>
      </c>
      <c r="D508" t="s">
        <v>1037</v>
      </c>
      <c r="E508" t="s">
        <v>1038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1036</v>
      </c>
      <c r="B509" t="s">
        <v>960</v>
      </c>
      <c r="C509" t="s">
        <v>1022</v>
      </c>
      <c r="D509" t="s">
        <v>0</v>
      </c>
      <c r="E509" t="s">
        <v>1035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3510</v>
      </c>
      <c r="B510" t="s">
        <v>960</v>
      </c>
      <c r="C510" t="s">
        <v>1022</v>
      </c>
      <c r="D510" t="s">
        <v>0</v>
      </c>
      <c r="E510" t="s">
        <v>3511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1034</v>
      </c>
      <c r="B511" t="s">
        <v>960</v>
      </c>
      <c r="C511" t="s">
        <v>1022</v>
      </c>
      <c r="D511" t="s">
        <v>1021</v>
      </c>
      <c r="E511" t="s">
        <v>1033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1032</v>
      </c>
      <c r="B512" t="s">
        <v>960</v>
      </c>
      <c r="C512" t="s">
        <v>1022</v>
      </c>
      <c r="D512" t="s">
        <v>1021</v>
      </c>
      <c r="E512" t="s">
        <v>1031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3757</v>
      </c>
      <c r="B513" t="s">
        <v>960</v>
      </c>
      <c r="C513" t="s">
        <v>1022</v>
      </c>
      <c r="D513" t="s">
        <v>1021</v>
      </c>
      <c r="E513" t="s">
        <v>3754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3756</v>
      </c>
      <c r="B514" t="s">
        <v>960</v>
      </c>
      <c r="C514" t="s">
        <v>1022</v>
      </c>
      <c r="D514" t="s">
        <v>1021</v>
      </c>
      <c r="E514" t="s">
        <v>3755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1030</v>
      </c>
      <c r="B515" t="s">
        <v>960</v>
      </c>
      <c r="C515" t="s">
        <v>1022</v>
      </c>
      <c r="D515" t="s">
        <v>1021</v>
      </c>
      <c r="E515" t="s">
        <v>1029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1028</v>
      </c>
      <c r="B516" t="s">
        <v>960</v>
      </c>
      <c r="C516" t="s">
        <v>1022</v>
      </c>
      <c r="D516" t="s">
        <v>1021</v>
      </c>
      <c r="E516" t="s">
        <v>1027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1026</v>
      </c>
      <c r="B517" t="s">
        <v>960</v>
      </c>
      <c r="C517" t="s">
        <v>1022</v>
      </c>
      <c r="D517" t="s">
        <v>1021</v>
      </c>
      <c r="E517" t="s">
        <v>1025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1024</v>
      </c>
      <c r="B518" t="s">
        <v>960</v>
      </c>
      <c r="C518" t="s">
        <v>1022</v>
      </c>
      <c r="D518" t="s">
        <v>1021</v>
      </c>
      <c r="E518" t="s">
        <v>1023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3796</v>
      </c>
      <c r="B519" t="s">
        <v>960</v>
      </c>
      <c r="C519" t="s">
        <v>3766</v>
      </c>
      <c r="D519" t="s">
        <v>3766</v>
      </c>
      <c r="E519" t="s">
        <v>3799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x14ac:dyDescent="0.25">
      <c r="A520" t="s">
        <v>3798</v>
      </c>
      <c r="B520" t="s">
        <v>960</v>
      </c>
      <c r="C520" t="s">
        <v>3766</v>
      </c>
      <c r="D520" t="s">
        <v>3766</v>
      </c>
      <c r="E520" t="s">
        <v>3800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x14ac:dyDescent="0.25">
      <c r="A521" t="s">
        <v>1018</v>
      </c>
      <c r="B521" t="s">
        <v>960</v>
      </c>
      <c r="C521" t="s">
        <v>959</v>
      </c>
      <c r="D521" t="s">
        <v>1014</v>
      </c>
      <c r="E521" t="s">
        <v>1017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1020</v>
      </c>
      <c r="B522" t="s">
        <v>960</v>
      </c>
      <c r="C522" t="s">
        <v>959</v>
      </c>
      <c r="D522" t="s">
        <v>1014</v>
      </c>
      <c r="E522" t="s">
        <v>1017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1019</v>
      </c>
      <c r="B523" t="s">
        <v>960</v>
      </c>
      <c r="C523" t="s">
        <v>959</v>
      </c>
      <c r="D523" t="s">
        <v>1014</v>
      </c>
      <c r="E523" t="s">
        <v>1017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1016</v>
      </c>
      <c r="B524" t="s">
        <v>960</v>
      </c>
      <c r="C524" t="s">
        <v>959</v>
      </c>
      <c r="D524" t="s">
        <v>1014</v>
      </c>
      <c r="E524" t="s">
        <v>1015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3758</v>
      </c>
      <c r="B525" t="s">
        <v>960</v>
      </c>
      <c r="C525" t="s">
        <v>959</v>
      </c>
      <c r="D525" t="s">
        <v>3759</v>
      </c>
      <c r="E525" t="s">
        <v>1012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1011</v>
      </c>
      <c r="B526" t="s">
        <v>960</v>
      </c>
      <c r="C526" t="s">
        <v>959</v>
      </c>
      <c r="D526" t="s">
        <v>1007</v>
      </c>
      <c r="E526" t="s">
        <v>1010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3760</v>
      </c>
      <c r="B527" t="s">
        <v>960</v>
      </c>
      <c r="C527" t="s">
        <v>959</v>
      </c>
      <c r="D527" t="s">
        <v>1007</v>
      </c>
      <c r="E527" t="s">
        <v>1008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1004</v>
      </c>
      <c r="B528" t="s">
        <v>960</v>
      </c>
      <c r="C528" t="s">
        <v>959</v>
      </c>
      <c r="D528" t="s">
        <v>1000</v>
      </c>
      <c r="E528" t="s">
        <v>1003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1006</v>
      </c>
      <c r="B529" t="s">
        <v>960</v>
      </c>
      <c r="C529" t="s">
        <v>959</v>
      </c>
      <c r="D529" t="s">
        <v>1000</v>
      </c>
      <c r="E529" t="s">
        <v>1003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1005</v>
      </c>
      <c r="B530" t="s">
        <v>960</v>
      </c>
      <c r="C530" t="s">
        <v>959</v>
      </c>
      <c r="D530" t="s">
        <v>1000</v>
      </c>
      <c r="E530" t="s">
        <v>1003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1002</v>
      </c>
      <c r="B531" t="s">
        <v>960</v>
      </c>
      <c r="C531" t="s">
        <v>959</v>
      </c>
      <c r="D531" t="s">
        <v>1000</v>
      </c>
      <c r="E531" t="s">
        <v>1001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999</v>
      </c>
      <c r="B532" t="s">
        <v>960</v>
      </c>
      <c r="C532" t="s">
        <v>959</v>
      </c>
      <c r="D532" t="s">
        <v>0</v>
      </c>
      <c r="E532" t="s">
        <v>998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3854</v>
      </c>
      <c r="B533" t="s">
        <v>960</v>
      </c>
      <c r="C533" t="s">
        <v>959</v>
      </c>
      <c r="D533" t="s">
        <v>0</v>
      </c>
      <c r="E533" t="s">
        <v>3855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995</v>
      </c>
      <c r="B534" t="s">
        <v>960</v>
      </c>
      <c r="C534" t="s">
        <v>959</v>
      </c>
      <c r="D534" t="s">
        <v>991</v>
      </c>
      <c r="E534" t="s">
        <v>994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997</v>
      </c>
      <c r="B535" t="s">
        <v>960</v>
      </c>
      <c r="C535" t="s">
        <v>959</v>
      </c>
      <c r="D535" t="s">
        <v>991</v>
      </c>
      <c r="E535" t="s">
        <v>994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996</v>
      </c>
      <c r="B536" t="s">
        <v>960</v>
      </c>
      <c r="C536" t="s">
        <v>959</v>
      </c>
      <c r="D536" t="s">
        <v>991</v>
      </c>
      <c r="E536" t="s">
        <v>994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993</v>
      </c>
      <c r="B537" t="s">
        <v>960</v>
      </c>
      <c r="C537" t="s">
        <v>959</v>
      </c>
      <c r="D537" t="s">
        <v>991</v>
      </c>
      <c r="E537" t="s">
        <v>992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987</v>
      </c>
      <c r="B538" t="s">
        <v>960</v>
      </c>
      <c r="C538" t="s">
        <v>959</v>
      </c>
      <c r="D538" t="s">
        <v>983</v>
      </c>
      <c r="E538" t="s">
        <v>986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990</v>
      </c>
      <c r="B539" t="s">
        <v>960</v>
      </c>
      <c r="C539" t="s">
        <v>959</v>
      </c>
      <c r="D539" t="s">
        <v>983</v>
      </c>
      <c r="E539" t="s">
        <v>988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989</v>
      </c>
      <c r="B540" t="s">
        <v>960</v>
      </c>
      <c r="C540" t="s">
        <v>959</v>
      </c>
      <c r="D540" t="s">
        <v>983</v>
      </c>
      <c r="E540" t="s">
        <v>988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985</v>
      </c>
      <c r="B541" t="s">
        <v>960</v>
      </c>
      <c r="C541" t="s">
        <v>959</v>
      </c>
      <c r="D541" t="s">
        <v>983</v>
      </c>
      <c r="E541" t="s">
        <v>984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980</v>
      </c>
      <c r="B542" t="s">
        <v>960</v>
      </c>
      <c r="C542" t="s">
        <v>959</v>
      </c>
      <c r="D542" t="s">
        <v>0</v>
      </c>
      <c r="E542" t="s">
        <v>978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982</v>
      </c>
      <c r="B543" t="s">
        <v>960</v>
      </c>
      <c r="C543" t="s">
        <v>959</v>
      </c>
      <c r="D543" t="s">
        <v>0</v>
      </c>
      <c r="E543" t="s">
        <v>978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981</v>
      </c>
      <c r="B544" t="s">
        <v>960</v>
      </c>
      <c r="C544" t="s">
        <v>959</v>
      </c>
      <c r="D544" t="s">
        <v>0</v>
      </c>
      <c r="E544" t="s">
        <v>978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979</v>
      </c>
      <c r="B545" t="s">
        <v>960</v>
      </c>
      <c r="C545" t="s">
        <v>959</v>
      </c>
      <c r="D545" t="s">
        <v>0</v>
      </c>
      <c r="E545" t="s">
        <v>978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977</v>
      </c>
      <c r="B546" t="s">
        <v>960</v>
      </c>
      <c r="C546" t="s">
        <v>959</v>
      </c>
      <c r="D546" t="s">
        <v>958</v>
      </c>
      <c r="E546" t="s">
        <v>975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976</v>
      </c>
      <c r="B547" t="s">
        <v>960</v>
      </c>
      <c r="C547" t="s">
        <v>959</v>
      </c>
      <c r="D547" t="s">
        <v>958</v>
      </c>
      <c r="E547" t="s">
        <v>975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974</v>
      </c>
      <c r="B548" t="s">
        <v>960</v>
      </c>
      <c r="C548" t="s">
        <v>959</v>
      </c>
      <c r="D548" t="s">
        <v>958</v>
      </c>
      <c r="E548" t="s">
        <v>972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973</v>
      </c>
      <c r="B549" t="s">
        <v>960</v>
      </c>
      <c r="C549" t="s">
        <v>959</v>
      </c>
      <c r="D549" t="s">
        <v>958</v>
      </c>
      <c r="E549" t="s">
        <v>972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971</v>
      </c>
      <c r="B550" t="s">
        <v>960</v>
      </c>
      <c r="C550" t="s">
        <v>959</v>
      </c>
      <c r="D550" t="s">
        <v>958</v>
      </c>
      <c r="E550" t="s">
        <v>969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970</v>
      </c>
      <c r="B551" t="s">
        <v>960</v>
      </c>
      <c r="C551" t="s">
        <v>959</v>
      </c>
      <c r="D551" t="s">
        <v>958</v>
      </c>
      <c r="E551" t="s">
        <v>969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968</v>
      </c>
      <c r="B552" t="s">
        <v>960</v>
      </c>
      <c r="C552" t="s">
        <v>959</v>
      </c>
      <c r="D552" t="s">
        <v>958</v>
      </c>
      <c r="E552" t="s">
        <v>967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966</v>
      </c>
      <c r="B553" t="s">
        <v>960</v>
      </c>
      <c r="C553" t="s">
        <v>959</v>
      </c>
      <c r="D553" t="s">
        <v>958</v>
      </c>
      <c r="E553" t="s">
        <v>965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964</v>
      </c>
      <c r="B554" t="s">
        <v>960</v>
      </c>
      <c r="C554" t="s">
        <v>959</v>
      </c>
      <c r="D554" t="s">
        <v>958</v>
      </c>
      <c r="E554" t="s">
        <v>963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962</v>
      </c>
      <c r="B555" t="s">
        <v>960</v>
      </c>
      <c r="C555" t="s">
        <v>959</v>
      </c>
      <c r="D555" t="s">
        <v>958</v>
      </c>
      <c r="E555" t="s">
        <v>961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3512</v>
      </c>
      <c r="B556" t="s">
        <v>960</v>
      </c>
      <c r="C556" t="s">
        <v>959</v>
      </c>
      <c r="D556" t="s">
        <v>958</v>
      </c>
      <c r="E556" t="s">
        <v>3513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8</v>
      </c>
      <c r="D557" t="s">
        <v>0</v>
      </c>
      <c r="E557" t="s">
        <v>7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6</v>
      </c>
      <c r="D558" t="s">
        <v>0</v>
      </c>
      <c r="E558" t="s">
        <v>5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</v>
      </c>
      <c r="D559" t="s">
        <v>0</v>
      </c>
      <c r="E559" t="s">
        <v>3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2</v>
      </c>
      <c r="D560" t="s">
        <v>0</v>
      </c>
      <c r="E560" t="s">
        <v>1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957</v>
      </c>
      <c r="D561" t="s">
        <v>0</v>
      </c>
      <c r="E561" t="s">
        <v>956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955</v>
      </c>
      <c r="B562" t="s">
        <v>21</v>
      </c>
      <c r="C562" t="s">
        <v>2856</v>
      </c>
      <c r="D562" t="s">
        <v>0</v>
      </c>
      <c r="E562" t="s">
        <v>954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953</v>
      </c>
      <c r="B563" t="s">
        <v>21</v>
      </c>
      <c r="C563" t="s">
        <v>2856</v>
      </c>
      <c r="D563" t="s">
        <v>0</v>
      </c>
      <c r="E563" t="s">
        <v>952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951</v>
      </c>
      <c r="B564" t="s">
        <v>21</v>
      </c>
      <c r="C564" t="s">
        <v>2856</v>
      </c>
      <c r="D564" t="s">
        <v>0</v>
      </c>
      <c r="E564" t="s">
        <v>950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949</v>
      </c>
      <c r="B565" t="s">
        <v>21</v>
      </c>
      <c r="C565" t="s">
        <v>2856</v>
      </c>
      <c r="D565" t="s">
        <v>0</v>
      </c>
      <c r="E565" t="s">
        <v>948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947</v>
      </c>
      <c r="B566" t="s">
        <v>21</v>
      </c>
      <c r="C566" t="s">
        <v>2856</v>
      </c>
      <c r="D566" t="s">
        <v>0</v>
      </c>
      <c r="E566" t="s">
        <v>946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ht="15.75" x14ac:dyDescent="0.25">
      <c r="A567" t="s">
        <v>6244</v>
      </c>
      <c r="B567" t="s">
        <v>21</v>
      </c>
      <c r="C567" t="s">
        <v>2856</v>
      </c>
      <c r="D567" t="s">
        <v>0</v>
      </c>
      <c r="E567" s="20" t="s">
        <v>6245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945</v>
      </c>
      <c r="B568" t="s">
        <v>21</v>
      </c>
      <c r="C568" t="s">
        <v>2856</v>
      </c>
      <c r="D568" t="s">
        <v>0</v>
      </c>
      <c r="E568" t="s">
        <v>944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943</v>
      </c>
      <c r="B569" t="s">
        <v>21</v>
      </c>
      <c r="C569" t="s">
        <v>2856</v>
      </c>
      <c r="D569" t="s">
        <v>0</v>
      </c>
      <c r="E569" t="s">
        <v>942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941</v>
      </c>
      <c r="B570" t="s">
        <v>21</v>
      </c>
      <c r="C570" t="s">
        <v>2856</v>
      </c>
      <c r="D570" t="s">
        <v>0</v>
      </c>
      <c r="E570" t="s">
        <v>940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939</v>
      </c>
      <c r="B571" t="s">
        <v>21</v>
      </c>
      <c r="C571" t="s">
        <v>2856</v>
      </c>
      <c r="D571" t="s">
        <v>0</v>
      </c>
      <c r="E571" t="s">
        <v>938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937</v>
      </c>
      <c r="B572" t="s">
        <v>21</v>
      </c>
      <c r="C572" t="s">
        <v>42</v>
      </c>
      <c r="D572" t="s">
        <v>916</v>
      </c>
      <c r="E572" t="s">
        <v>936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934</v>
      </c>
      <c r="B573" t="s">
        <v>21</v>
      </c>
      <c r="C573" t="s">
        <v>2857</v>
      </c>
      <c r="D573" t="s">
        <v>916</v>
      </c>
      <c r="E573" t="s">
        <v>933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932</v>
      </c>
      <c r="B574" t="s">
        <v>21</v>
      </c>
      <c r="C574" t="s">
        <v>2857</v>
      </c>
      <c r="D574" t="s">
        <v>916</v>
      </c>
      <c r="E574" t="s">
        <v>931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930</v>
      </c>
      <c r="B575" t="s">
        <v>21</v>
      </c>
      <c r="C575" t="s">
        <v>2857</v>
      </c>
      <c r="D575" t="s">
        <v>916</v>
      </c>
      <c r="E575" t="s">
        <v>928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929</v>
      </c>
      <c r="B576" t="s">
        <v>21</v>
      </c>
      <c r="C576" t="s">
        <v>2857</v>
      </c>
      <c r="D576" t="s">
        <v>916</v>
      </c>
      <c r="E576" t="s">
        <v>928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935</v>
      </c>
      <c r="B577" t="s">
        <v>21</v>
      </c>
      <c r="C577" t="s">
        <v>2857</v>
      </c>
      <c r="D577" t="s">
        <v>921</v>
      </c>
      <c r="E577" t="s">
        <v>928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926</v>
      </c>
      <c r="B578" t="s">
        <v>21</v>
      </c>
      <c r="C578" t="s">
        <v>2857</v>
      </c>
      <c r="D578" t="s">
        <v>916</v>
      </c>
      <c r="E578" t="s">
        <v>924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927</v>
      </c>
      <c r="B579" t="s">
        <v>21</v>
      </c>
      <c r="C579" t="s">
        <v>2857</v>
      </c>
      <c r="D579" t="s">
        <v>921</v>
      </c>
      <c r="E579" t="s">
        <v>924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925</v>
      </c>
      <c r="B580" t="s">
        <v>21</v>
      </c>
      <c r="C580" t="s">
        <v>2857</v>
      </c>
      <c r="D580" t="s">
        <v>921</v>
      </c>
      <c r="E580" t="s">
        <v>924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920</v>
      </c>
      <c r="B581" t="s">
        <v>21</v>
      </c>
      <c r="C581" t="s">
        <v>2857</v>
      </c>
      <c r="D581" t="s">
        <v>916</v>
      </c>
      <c r="E581" t="s">
        <v>919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923</v>
      </c>
      <c r="B582" t="s">
        <v>21</v>
      </c>
      <c r="C582" t="s">
        <v>2857</v>
      </c>
      <c r="D582" t="s">
        <v>921</v>
      </c>
      <c r="E582" t="s">
        <v>922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918</v>
      </c>
      <c r="B583" t="s">
        <v>21</v>
      </c>
      <c r="C583" t="s">
        <v>2857</v>
      </c>
      <c r="D583" t="s">
        <v>916</v>
      </c>
      <c r="E583" t="s">
        <v>917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2860</v>
      </c>
      <c r="B584" t="s">
        <v>21</v>
      </c>
      <c r="C584" t="s">
        <v>2857</v>
      </c>
      <c r="D584" t="s">
        <v>916</v>
      </c>
      <c r="E584" t="s">
        <v>2861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2862</v>
      </c>
      <c r="B585" t="s">
        <v>21</v>
      </c>
      <c r="C585" t="s">
        <v>2857</v>
      </c>
      <c r="D585" t="s">
        <v>916</v>
      </c>
      <c r="E585" t="s">
        <v>2863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3734</v>
      </c>
      <c r="B586" t="s">
        <v>21</v>
      </c>
      <c r="C586" t="s">
        <v>2857</v>
      </c>
      <c r="D586" t="s">
        <v>916</v>
      </c>
      <c r="E586" t="s">
        <v>3735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2864</v>
      </c>
      <c r="B587" t="s">
        <v>21</v>
      </c>
      <c r="C587" t="s">
        <v>2857</v>
      </c>
      <c r="D587" t="s">
        <v>916</v>
      </c>
      <c r="E587" t="s">
        <v>3764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2865</v>
      </c>
      <c r="B588" t="s">
        <v>21</v>
      </c>
      <c r="C588" t="s">
        <v>2857</v>
      </c>
      <c r="D588" t="s">
        <v>916</v>
      </c>
      <c r="E588" t="s">
        <v>2866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2867</v>
      </c>
      <c r="B589" t="s">
        <v>21</v>
      </c>
      <c r="C589" t="s">
        <v>2857</v>
      </c>
      <c r="D589" t="s">
        <v>916</v>
      </c>
      <c r="E589" t="s">
        <v>2868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2869</v>
      </c>
      <c r="B590" t="s">
        <v>21</v>
      </c>
      <c r="C590" t="s">
        <v>2857</v>
      </c>
      <c r="D590" t="s">
        <v>916</v>
      </c>
      <c r="E590" t="s">
        <v>2870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2871</v>
      </c>
      <c r="B591" t="s">
        <v>21</v>
      </c>
      <c r="C591" t="s">
        <v>2857</v>
      </c>
      <c r="D591" t="s">
        <v>916</v>
      </c>
      <c r="E591" t="s">
        <v>2872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2873</v>
      </c>
      <c r="B592" t="s">
        <v>21</v>
      </c>
      <c r="C592" t="s">
        <v>2857</v>
      </c>
      <c r="D592" t="s">
        <v>916</v>
      </c>
      <c r="E592" t="s">
        <v>2874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2875</v>
      </c>
      <c r="B593" t="s">
        <v>21</v>
      </c>
      <c r="C593" t="s">
        <v>2857</v>
      </c>
      <c r="D593" t="s">
        <v>916</v>
      </c>
      <c r="E593" t="s">
        <v>2876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2877</v>
      </c>
      <c r="B594" t="s">
        <v>21</v>
      </c>
      <c r="C594" t="s">
        <v>2857</v>
      </c>
      <c r="D594" t="s">
        <v>916</v>
      </c>
      <c r="E594" t="s">
        <v>2878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2879</v>
      </c>
      <c r="B595" t="s">
        <v>21</v>
      </c>
      <c r="C595" t="s">
        <v>2857</v>
      </c>
      <c r="D595" t="s">
        <v>916</v>
      </c>
      <c r="E595" t="s">
        <v>2880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2881</v>
      </c>
      <c r="B596" t="s">
        <v>21</v>
      </c>
      <c r="C596" t="s">
        <v>2857</v>
      </c>
      <c r="D596" t="s">
        <v>916</v>
      </c>
      <c r="E596" t="s">
        <v>2882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2883</v>
      </c>
      <c r="B597" t="s">
        <v>21</v>
      </c>
      <c r="C597" t="s">
        <v>2857</v>
      </c>
      <c r="D597" t="s">
        <v>916</v>
      </c>
      <c r="E597" t="s">
        <v>2884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2885</v>
      </c>
      <c r="B598" t="s">
        <v>21</v>
      </c>
      <c r="C598" t="s">
        <v>2857</v>
      </c>
      <c r="D598" t="s">
        <v>916</v>
      </c>
      <c r="E598" t="s">
        <v>2886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2887</v>
      </c>
      <c r="B599" t="s">
        <v>21</v>
      </c>
      <c r="C599" t="s">
        <v>2857</v>
      </c>
      <c r="D599" t="s">
        <v>916</v>
      </c>
      <c r="E599" t="s">
        <v>2888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2889</v>
      </c>
      <c r="B600" t="s">
        <v>21</v>
      </c>
      <c r="C600" t="s">
        <v>2857</v>
      </c>
      <c r="D600" t="s">
        <v>921</v>
      </c>
      <c r="E600" t="s">
        <v>2890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2891</v>
      </c>
      <c r="B601" t="s">
        <v>21</v>
      </c>
      <c r="C601" t="s">
        <v>2857</v>
      </c>
      <c r="D601" t="s">
        <v>916</v>
      </c>
      <c r="E601" t="s">
        <v>2892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2893</v>
      </c>
      <c r="B602" t="s">
        <v>21</v>
      </c>
      <c r="C602" t="s">
        <v>2857</v>
      </c>
      <c r="D602" t="s">
        <v>916</v>
      </c>
      <c r="E602" t="s">
        <v>2894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2895</v>
      </c>
      <c r="B603" t="s">
        <v>21</v>
      </c>
      <c r="C603" t="s">
        <v>2857</v>
      </c>
      <c r="D603" t="s">
        <v>921</v>
      </c>
      <c r="E603" t="s">
        <v>2896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2897</v>
      </c>
      <c r="B604" t="s">
        <v>21</v>
      </c>
      <c r="C604" t="s">
        <v>2857</v>
      </c>
      <c r="D604" t="s">
        <v>916</v>
      </c>
      <c r="E604" t="s">
        <v>2898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2899</v>
      </c>
      <c r="B605" t="s">
        <v>21</v>
      </c>
      <c r="C605" t="s">
        <v>2857</v>
      </c>
      <c r="D605" t="s">
        <v>916</v>
      </c>
      <c r="E605" t="s">
        <v>2900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2901</v>
      </c>
      <c r="B606" t="s">
        <v>21</v>
      </c>
      <c r="C606" t="s">
        <v>2857</v>
      </c>
      <c r="D606" t="s">
        <v>921</v>
      </c>
      <c r="E606" t="s">
        <v>2902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3061</v>
      </c>
      <c r="B607" t="s">
        <v>21</v>
      </c>
      <c r="C607" t="s">
        <v>5807</v>
      </c>
      <c r="D607" t="s">
        <v>5806</v>
      </c>
      <c r="E607" t="s">
        <v>3062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25">
      <c r="A608" t="s">
        <v>915</v>
      </c>
      <c r="B608" t="s">
        <v>21</v>
      </c>
      <c r="C608" t="s">
        <v>2858</v>
      </c>
      <c r="D608" t="s">
        <v>909</v>
      </c>
      <c r="E608" t="s">
        <v>914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1B2 Oil and Natural Gas</v>
      </c>
      <c r="I608" t="str">
        <f>INDEX(IPCCMaps!K:K,MATCH(mapPRC!C608,IPCCMaps!G:G,0))</f>
        <v>1B2a Oil</v>
      </c>
    </row>
    <row r="609" spans="1:9" x14ac:dyDescent="0.25">
      <c r="A609" t="s">
        <v>913</v>
      </c>
      <c r="B609" t="s">
        <v>21</v>
      </c>
      <c r="C609" t="s">
        <v>2858</v>
      </c>
      <c r="D609" t="s">
        <v>909</v>
      </c>
      <c r="E609" t="s">
        <v>912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1B2 Oil and Natural Gas</v>
      </c>
      <c r="I609" t="str">
        <f>INDEX(IPCCMaps!K:K,MATCH(mapPRC!C609,IPCCMaps!G:G,0))</f>
        <v>1B2a Oil</v>
      </c>
    </row>
    <row r="610" spans="1:9" x14ac:dyDescent="0.25">
      <c r="A610" t="s">
        <v>911</v>
      </c>
      <c r="B610" t="s">
        <v>21</v>
      </c>
      <c r="C610" t="s">
        <v>2858</v>
      </c>
      <c r="D610" t="s">
        <v>909</v>
      </c>
      <c r="E610" t="s">
        <v>910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1B2 Oil and Natural Gas</v>
      </c>
      <c r="I610" t="str">
        <f>INDEX(IPCCMaps!K:K,MATCH(mapPRC!C610,IPCCMaps!G:G,0))</f>
        <v>1B2a Oil</v>
      </c>
    </row>
    <row r="611" spans="1:9" x14ac:dyDescent="0.25">
      <c r="A611" t="s">
        <v>908</v>
      </c>
      <c r="B611" t="s">
        <v>21</v>
      </c>
      <c r="C611" t="s">
        <v>2858</v>
      </c>
      <c r="D611" t="s">
        <v>906</v>
      </c>
      <c r="E611" t="s">
        <v>907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1B2 Oil and Natural Gas</v>
      </c>
      <c r="I611" t="str">
        <f>INDEX(IPCCMaps!K:K,MATCH(mapPRC!C611,IPCCMaps!G:G,0))</f>
        <v>1B2a Oil</v>
      </c>
    </row>
    <row r="612" spans="1:9" x14ac:dyDescent="0.25">
      <c r="A612" t="s">
        <v>905</v>
      </c>
      <c r="B612" t="s">
        <v>21</v>
      </c>
      <c r="C612" t="s">
        <v>2859</v>
      </c>
      <c r="D612" t="s">
        <v>0</v>
      </c>
      <c r="E612" t="s">
        <v>904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903</v>
      </c>
      <c r="B613" t="s">
        <v>21</v>
      </c>
      <c r="C613" t="s">
        <v>2856</v>
      </c>
      <c r="D613" t="s">
        <v>0</v>
      </c>
      <c r="E613" t="s">
        <v>902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25">
      <c r="A614" t="s">
        <v>901</v>
      </c>
      <c r="B614" t="s">
        <v>21</v>
      </c>
      <c r="C614" t="s">
        <v>2903</v>
      </c>
      <c r="D614" t="s">
        <v>0</v>
      </c>
      <c r="E614" t="s">
        <v>900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899</v>
      </c>
      <c r="B615" t="s">
        <v>21</v>
      </c>
      <c r="C615" t="s">
        <v>2859</v>
      </c>
      <c r="D615" t="s">
        <v>0</v>
      </c>
      <c r="E615" t="s">
        <v>898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25">
      <c r="A616" t="s">
        <v>897</v>
      </c>
      <c r="B616" t="s">
        <v>21</v>
      </c>
      <c r="C616" t="s">
        <v>2859</v>
      </c>
      <c r="D616" t="s">
        <v>0</v>
      </c>
      <c r="E616" t="s">
        <v>896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895</v>
      </c>
      <c r="D617" t="s">
        <v>0</v>
      </c>
      <c r="E617" t="s">
        <v>894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893</v>
      </c>
      <c r="B618" t="s">
        <v>21</v>
      </c>
      <c r="C618" t="s">
        <v>2859</v>
      </c>
      <c r="D618" t="s">
        <v>0</v>
      </c>
      <c r="E618" t="s">
        <v>892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46</v>
      </c>
      <c r="B619" t="s">
        <v>21</v>
      </c>
      <c r="C619" t="s">
        <v>44</v>
      </c>
      <c r="D619" t="s">
        <v>43</v>
      </c>
      <c r="E619" t="s">
        <v>45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25">
      <c r="A620" t="s">
        <v>891</v>
      </c>
      <c r="D620" t="s">
        <v>0</v>
      </c>
      <c r="E620" t="s">
        <v>890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889</v>
      </c>
      <c r="D621" t="s">
        <v>0</v>
      </c>
      <c r="E621" t="s">
        <v>888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887</v>
      </c>
      <c r="D622" t="s">
        <v>0</v>
      </c>
      <c r="E622" t="s">
        <v>886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885</v>
      </c>
      <c r="D623" t="s">
        <v>0</v>
      </c>
      <c r="E623" t="s">
        <v>884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18</v>
      </c>
      <c r="D624" t="s">
        <v>0</v>
      </c>
      <c r="E624" t="s">
        <v>17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883</v>
      </c>
      <c r="D625" t="s">
        <v>0</v>
      </c>
      <c r="E625" t="s">
        <v>882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s="9" t="s">
        <v>5990</v>
      </c>
      <c r="B626" t="s">
        <v>145</v>
      </c>
      <c r="C626" t="s">
        <v>5987</v>
      </c>
      <c r="D626" t="s">
        <v>5987</v>
      </c>
      <c r="E626" t="s">
        <v>5992</v>
      </c>
    </row>
    <row r="627" spans="1:9" x14ac:dyDescent="0.25">
      <c r="A627" s="9" t="s">
        <v>5991</v>
      </c>
      <c r="B627" t="s">
        <v>145</v>
      </c>
      <c r="C627" t="s">
        <v>5987</v>
      </c>
      <c r="D627" t="s">
        <v>5987</v>
      </c>
      <c r="E627" t="s">
        <v>5993</v>
      </c>
    </row>
    <row r="628" spans="1:9" x14ac:dyDescent="0.25">
      <c r="A628" s="9" t="s">
        <v>6240</v>
      </c>
      <c r="B628" t="s">
        <v>145</v>
      </c>
      <c r="C628" t="s">
        <v>5987</v>
      </c>
      <c r="D628" t="s">
        <v>5987</v>
      </c>
      <c r="E628" t="s">
        <v>6241</v>
      </c>
    </row>
    <row r="629" spans="1:9" x14ac:dyDescent="0.25">
      <c r="A629" t="s">
        <v>6246</v>
      </c>
      <c r="B629" t="s">
        <v>21</v>
      </c>
      <c r="C629" t="s">
        <v>859</v>
      </c>
      <c r="D629" t="s">
        <v>859</v>
      </c>
      <c r="E629" t="s">
        <v>6247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25">
      <c r="A630" t="s">
        <v>881</v>
      </c>
      <c r="B630" t="s">
        <v>21</v>
      </c>
      <c r="C630" t="s">
        <v>859</v>
      </c>
      <c r="D630" t="s">
        <v>859</v>
      </c>
      <c r="E630" t="s">
        <v>880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25">
      <c r="A631" t="s">
        <v>879</v>
      </c>
      <c r="B631" t="s">
        <v>21</v>
      </c>
      <c r="C631" t="s">
        <v>859</v>
      </c>
      <c r="D631" t="s">
        <v>859</v>
      </c>
      <c r="E631" t="s">
        <v>878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877</v>
      </c>
      <c r="B632" t="s">
        <v>21</v>
      </c>
      <c r="C632" t="s">
        <v>859</v>
      </c>
      <c r="D632" t="s">
        <v>859</v>
      </c>
      <c r="E632" t="s">
        <v>876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875</v>
      </c>
      <c r="B633" t="s">
        <v>145</v>
      </c>
      <c r="C633" t="s">
        <v>859</v>
      </c>
      <c r="D633" t="s">
        <v>859</v>
      </c>
      <c r="E633" t="s">
        <v>874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873</v>
      </c>
      <c r="B634" t="s">
        <v>21</v>
      </c>
      <c r="C634" t="s">
        <v>859</v>
      </c>
      <c r="D634" t="s">
        <v>859</v>
      </c>
      <c r="E634" t="s">
        <v>872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3806</v>
      </c>
      <c r="B635" t="s">
        <v>21</v>
      </c>
      <c r="C635" t="s">
        <v>859</v>
      </c>
      <c r="D635" t="s">
        <v>859</v>
      </c>
      <c r="E635" t="s">
        <v>3063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3861</v>
      </c>
      <c r="B636" t="s">
        <v>21</v>
      </c>
      <c r="C636" t="s">
        <v>859</v>
      </c>
      <c r="D636" t="s">
        <v>859</v>
      </c>
      <c r="E636" t="s">
        <v>3862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25">
      <c r="A637" t="s">
        <v>3863</v>
      </c>
      <c r="B637" t="s">
        <v>21</v>
      </c>
      <c r="C637" t="s">
        <v>859</v>
      </c>
      <c r="D637" t="s">
        <v>859</v>
      </c>
      <c r="E637" t="s">
        <v>3065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3064</v>
      </c>
      <c r="B638" t="s">
        <v>21</v>
      </c>
      <c r="C638" t="s">
        <v>859</v>
      </c>
      <c r="D638" t="s">
        <v>859</v>
      </c>
      <c r="E638" t="s">
        <v>3065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3572</v>
      </c>
      <c r="B639" t="s">
        <v>21</v>
      </c>
      <c r="C639" t="s">
        <v>859</v>
      </c>
      <c r="D639" t="s">
        <v>859</v>
      </c>
      <c r="E639" t="s">
        <v>3573</v>
      </c>
    </row>
    <row r="640" spans="1:9" x14ac:dyDescent="0.25">
      <c r="A640" t="s">
        <v>3905</v>
      </c>
      <c r="B640" t="s">
        <v>21</v>
      </c>
      <c r="C640" t="s">
        <v>859</v>
      </c>
      <c r="D640" t="s">
        <v>859</v>
      </c>
      <c r="E640" t="s">
        <v>3906</v>
      </c>
    </row>
    <row r="641" spans="1:9" x14ac:dyDescent="0.25">
      <c r="A641" t="s">
        <v>871</v>
      </c>
      <c r="B641" t="s">
        <v>21</v>
      </c>
      <c r="C641" t="s">
        <v>859</v>
      </c>
      <c r="D641" t="s">
        <v>859</v>
      </c>
      <c r="E641" t="s">
        <v>870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869</v>
      </c>
      <c r="B642" t="s">
        <v>21</v>
      </c>
      <c r="C642" t="s">
        <v>859</v>
      </c>
      <c r="D642" t="s">
        <v>859</v>
      </c>
      <c r="E642" t="s">
        <v>868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867</v>
      </c>
      <c r="B643" t="s">
        <v>21</v>
      </c>
      <c r="C643" t="s">
        <v>859</v>
      </c>
      <c r="D643" t="s">
        <v>859</v>
      </c>
      <c r="E643" t="s">
        <v>866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865</v>
      </c>
      <c r="B644" t="s">
        <v>21</v>
      </c>
      <c r="C644" t="s">
        <v>859</v>
      </c>
      <c r="D644" t="s">
        <v>859</v>
      </c>
      <c r="E644" t="s">
        <v>864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863</v>
      </c>
      <c r="B645" t="s">
        <v>21</v>
      </c>
      <c r="C645" t="s">
        <v>859</v>
      </c>
      <c r="D645" t="s">
        <v>859</v>
      </c>
      <c r="E645" t="s">
        <v>862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861</v>
      </c>
      <c r="B646" t="s">
        <v>21</v>
      </c>
      <c r="C646" t="s">
        <v>859</v>
      </c>
      <c r="D646" t="s">
        <v>859</v>
      </c>
      <c r="E646" t="s">
        <v>860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3787</v>
      </c>
      <c r="B647" t="s">
        <v>21</v>
      </c>
      <c r="C647" t="s">
        <v>859</v>
      </c>
      <c r="D647" t="s">
        <v>859</v>
      </c>
      <c r="E647" t="s">
        <v>860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3066</v>
      </c>
      <c r="B648" t="s">
        <v>21</v>
      </c>
      <c r="C648" t="s">
        <v>859</v>
      </c>
      <c r="D648" t="s">
        <v>859</v>
      </c>
      <c r="E648" t="s">
        <v>3067</v>
      </c>
    </row>
    <row r="649" spans="1:9" x14ac:dyDescent="0.25">
      <c r="A649" t="s">
        <v>3802</v>
      </c>
      <c r="B649" t="s">
        <v>21</v>
      </c>
      <c r="C649" t="s">
        <v>859</v>
      </c>
      <c r="D649" t="s">
        <v>859</v>
      </c>
      <c r="E649" t="s">
        <v>3804</v>
      </c>
    </row>
    <row r="650" spans="1:9" x14ac:dyDescent="0.25">
      <c r="A650" t="s">
        <v>3803</v>
      </c>
      <c r="E650" t="s">
        <v>3805</v>
      </c>
    </row>
    <row r="651" spans="1:9" x14ac:dyDescent="0.25">
      <c r="A651" t="s">
        <v>858</v>
      </c>
      <c r="B651" t="s">
        <v>719</v>
      </c>
      <c r="C651" t="s">
        <v>830</v>
      </c>
      <c r="D651" t="s">
        <v>739</v>
      </c>
      <c r="E651" t="s">
        <v>852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857</v>
      </c>
      <c r="B652" t="s">
        <v>719</v>
      </c>
      <c r="C652" t="s">
        <v>830</v>
      </c>
      <c r="D652" t="s">
        <v>739</v>
      </c>
      <c r="E652" t="s">
        <v>852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856</v>
      </c>
      <c r="B653" t="s">
        <v>719</v>
      </c>
      <c r="C653" t="s">
        <v>830</v>
      </c>
      <c r="D653" t="s">
        <v>739</v>
      </c>
      <c r="E653" t="s">
        <v>852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855</v>
      </c>
      <c r="B654" t="s">
        <v>719</v>
      </c>
      <c r="C654" t="s">
        <v>830</v>
      </c>
      <c r="D654" t="s">
        <v>739</v>
      </c>
      <c r="E654" t="s">
        <v>852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854</v>
      </c>
      <c r="B655" t="s">
        <v>719</v>
      </c>
      <c r="C655" t="s">
        <v>830</v>
      </c>
      <c r="D655" t="s">
        <v>739</v>
      </c>
      <c r="E655" t="s">
        <v>852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853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851</v>
      </c>
      <c r="B657" t="s">
        <v>719</v>
      </c>
      <c r="C657" t="s">
        <v>830</v>
      </c>
      <c r="D657" t="s">
        <v>732</v>
      </c>
      <c r="E657" t="s">
        <v>846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850</v>
      </c>
      <c r="B658" t="s">
        <v>719</v>
      </c>
      <c r="C658" t="s">
        <v>830</v>
      </c>
      <c r="D658" t="s">
        <v>732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849</v>
      </c>
      <c r="B659" t="s">
        <v>719</v>
      </c>
      <c r="C659" t="s">
        <v>830</v>
      </c>
      <c r="D659" t="s">
        <v>732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848</v>
      </c>
      <c r="B660" t="s">
        <v>719</v>
      </c>
      <c r="C660" t="s">
        <v>830</v>
      </c>
      <c r="D660" t="s">
        <v>732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847</v>
      </c>
      <c r="B661" t="s">
        <v>719</v>
      </c>
      <c r="C661" t="s">
        <v>830</v>
      </c>
      <c r="D661" t="s">
        <v>732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845</v>
      </c>
      <c r="B662" t="s">
        <v>719</v>
      </c>
      <c r="C662" t="s">
        <v>830</v>
      </c>
      <c r="D662" t="s">
        <v>729</v>
      </c>
      <c r="E662" t="s">
        <v>844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843</v>
      </c>
      <c r="B663" t="s">
        <v>719</v>
      </c>
      <c r="C663" t="s">
        <v>830</v>
      </c>
      <c r="D663" t="s">
        <v>726</v>
      </c>
      <c r="E663" t="s">
        <v>842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841</v>
      </c>
      <c r="B664" t="s">
        <v>719</v>
      </c>
      <c r="C664" t="s">
        <v>830</v>
      </c>
      <c r="D664" t="s">
        <v>0</v>
      </c>
      <c r="E664" t="s">
        <v>840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839</v>
      </c>
      <c r="B665" t="s">
        <v>719</v>
      </c>
      <c r="C665" t="s">
        <v>830</v>
      </c>
      <c r="D665" t="s">
        <v>756</v>
      </c>
      <c r="E665" t="s">
        <v>838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837</v>
      </c>
      <c r="B666" t="s">
        <v>719</v>
      </c>
      <c r="C666" t="s">
        <v>830</v>
      </c>
      <c r="D666" t="s">
        <v>717</v>
      </c>
      <c r="E666" t="s">
        <v>831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836</v>
      </c>
      <c r="B667" t="s">
        <v>719</v>
      </c>
      <c r="C667" t="s">
        <v>830</v>
      </c>
      <c r="D667" t="s">
        <v>717</v>
      </c>
      <c r="E667" t="s">
        <v>831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835</v>
      </c>
      <c r="B668" t="s">
        <v>719</v>
      </c>
      <c r="C668" t="s">
        <v>830</v>
      </c>
      <c r="D668" t="s">
        <v>717</v>
      </c>
      <c r="E668" t="s">
        <v>831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834</v>
      </c>
      <c r="B669" t="s">
        <v>719</v>
      </c>
      <c r="C669" t="s">
        <v>830</v>
      </c>
      <c r="D669" t="s">
        <v>717</v>
      </c>
      <c r="E669" t="s">
        <v>831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833</v>
      </c>
      <c r="B670" t="s">
        <v>719</v>
      </c>
      <c r="C670" t="s">
        <v>830</v>
      </c>
      <c r="D670" t="s">
        <v>717</v>
      </c>
      <c r="E670" t="s">
        <v>831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832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829</v>
      </c>
      <c r="B672" t="s">
        <v>719</v>
      </c>
      <c r="C672" t="s">
        <v>778</v>
      </c>
      <c r="D672" t="s">
        <v>739</v>
      </c>
      <c r="E672" t="s">
        <v>824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828</v>
      </c>
      <c r="B673" t="s">
        <v>719</v>
      </c>
      <c r="C673" t="s">
        <v>778</v>
      </c>
      <c r="D673" t="s">
        <v>739</v>
      </c>
      <c r="E673" t="s">
        <v>824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827</v>
      </c>
      <c r="B674" t="s">
        <v>719</v>
      </c>
      <c r="C674" t="s">
        <v>778</v>
      </c>
      <c r="D674" t="s">
        <v>739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826</v>
      </c>
      <c r="B675" t="s">
        <v>719</v>
      </c>
      <c r="C675" t="s">
        <v>778</v>
      </c>
      <c r="D675" t="s">
        <v>739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825</v>
      </c>
      <c r="B676" t="s">
        <v>719</v>
      </c>
      <c r="C676" t="s">
        <v>778</v>
      </c>
      <c r="D676" t="s">
        <v>739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823</v>
      </c>
      <c r="B677" t="s">
        <v>719</v>
      </c>
      <c r="C677" t="s">
        <v>778</v>
      </c>
      <c r="D677" t="s">
        <v>732</v>
      </c>
      <c r="E677" t="s">
        <v>822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821</v>
      </c>
      <c r="B678" t="s">
        <v>719</v>
      </c>
      <c r="C678" t="s">
        <v>778</v>
      </c>
      <c r="D678" t="s">
        <v>732</v>
      </c>
      <c r="E678" t="s">
        <v>820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819</v>
      </c>
      <c r="B679" t="s">
        <v>719</v>
      </c>
      <c r="C679" t="s">
        <v>778</v>
      </c>
      <c r="D679" t="s">
        <v>732</v>
      </c>
      <c r="E679" t="s">
        <v>817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818</v>
      </c>
      <c r="B680" t="s">
        <v>719</v>
      </c>
      <c r="C680" t="s">
        <v>778</v>
      </c>
      <c r="D680" t="s">
        <v>732</v>
      </c>
      <c r="E680" t="s">
        <v>817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816</v>
      </c>
      <c r="B681" t="s">
        <v>719</v>
      </c>
      <c r="C681" t="s">
        <v>778</v>
      </c>
      <c r="D681" t="s">
        <v>732</v>
      </c>
      <c r="E681" t="s">
        <v>814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815</v>
      </c>
      <c r="B682" t="s">
        <v>719</v>
      </c>
      <c r="C682" t="s">
        <v>778</v>
      </c>
      <c r="D682" t="s">
        <v>732</v>
      </c>
      <c r="E682" t="s">
        <v>814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813</v>
      </c>
      <c r="B683" t="s">
        <v>719</v>
      </c>
      <c r="C683" t="s">
        <v>778</v>
      </c>
      <c r="D683" t="s">
        <v>729</v>
      </c>
      <c r="E683" t="s">
        <v>812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5289</v>
      </c>
      <c r="B684" t="s">
        <v>719</v>
      </c>
      <c r="C684" t="s">
        <v>778</v>
      </c>
      <c r="D684" t="s">
        <v>729</v>
      </c>
      <c r="E684" t="s">
        <v>5290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811</v>
      </c>
      <c r="B685" t="s">
        <v>719</v>
      </c>
      <c r="C685" t="s">
        <v>778</v>
      </c>
      <c r="D685" t="s">
        <v>726</v>
      </c>
      <c r="E685" t="s">
        <v>810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809</v>
      </c>
      <c r="B686" t="s">
        <v>719</v>
      </c>
      <c r="C686" t="s">
        <v>778</v>
      </c>
      <c r="D686" t="s">
        <v>0</v>
      </c>
      <c r="E686" t="s">
        <v>808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807</v>
      </c>
      <c r="B687" t="s">
        <v>719</v>
      </c>
      <c r="C687" t="s">
        <v>778</v>
      </c>
      <c r="D687" t="s">
        <v>756</v>
      </c>
      <c r="E687" t="s">
        <v>806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805</v>
      </c>
      <c r="B688" t="s">
        <v>719</v>
      </c>
      <c r="C688" t="s">
        <v>778</v>
      </c>
      <c r="D688" t="s">
        <v>717</v>
      </c>
      <c r="E688" t="s">
        <v>798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804</v>
      </c>
      <c r="B689" t="s">
        <v>719</v>
      </c>
      <c r="C689" t="s">
        <v>778</v>
      </c>
      <c r="D689" t="s">
        <v>717</v>
      </c>
      <c r="E689" t="s">
        <v>798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803</v>
      </c>
      <c r="B690" t="s">
        <v>719</v>
      </c>
      <c r="C690" t="s">
        <v>778</v>
      </c>
      <c r="D690" t="s">
        <v>717</v>
      </c>
      <c r="E690" t="s">
        <v>798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802</v>
      </c>
      <c r="B691" t="s">
        <v>719</v>
      </c>
      <c r="C691" t="s">
        <v>778</v>
      </c>
      <c r="D691" t="s">
        <v>717</v>
      </c>
      <c r="E691" t="s">
        <v>798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801</v>
      </c>
      <c r="B692" t="s">
        <v>719</v>
      </c>
      <c r="C692" t="s">
        <v>778</v>
      </c>
      <c r="D692" t="s">
        <v>717</v>
      </c>
      <c r="E692" t="s">
        <v>798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800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799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797</v>
      </c>
      <c r="B695" t="s">
        <v>719</v>
      </c>
      <c r="C695" t="s">
        <v>778</v>
      </c>
      <c r="D695" t="s">
        <v>739</v>
      </c>
      <c r="E695" t="s">
        <v>793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796</v>
      </c>
      <c r="B696" t="s">
        <v>719</v>
      </c>
      <c r="C696" t="s">
        <v>778</v>
      </c>
      <c r="D696" t="s">
        <v>739</v>
      </c>
      <c r="E696" t="s">
        <v>793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795</v>
      </c>
      <c r="B697" t="s">
        <v>719</v>
      </c>
      <c r="C697" t="s">
        <v>778</v>
      </c>
      <c r="D697" t="s">
        <v>739</v>
      </c>
      <c r="E697" t="s">
        <v>793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794</v>
      </c>
      <c r="B698" t="s">
        <v>719</v>
      </c>
      <c r="C698" t="s">
        <v>778</v>
      </c>
      <c r="D698" t="s">
        <v>739</v>
      </c>
      <c r="E698" t="s">
        <v>793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792</v>
      </c>
      <c r="B699" t="s">
        <v>719</v>
      </c>
      <c r="C699" t="s">
        <v>778</v>
      </c>
      <c r="D699" t="s">
        <v>732</v>
      </c>
      <c r="E699" t="s">
        <v>788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791</v>
      </c>
      <c r="B700" t="s">
        <v>719</v>
      </c>
      <c r="C700" t="s">
        <v>778</v>
      </c>
      <c r="D700" t="s">
        <v>732</v>
      </c>
      <c r="E700" t="s">
        <v>788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790</v>
      </c>
      <c r="B701" t="s">
        <v>719</v>
      </c>
      <c r="C701" t="s">
        <v>778</v>
      </c>
      <c r="D701" t="s">
        <v>732</v>
      </c>
      <c r="E701" t="s">
        <v>788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789</v>
      </c>
      <c r="B702" t="s">
        <v>719</v>
      </c>
      <c r="C702" t="s">
        <v>778</v>
      </c>
      <c r="D702" t="s">
        <v>732</v>
      </c>
      <c r="E702" t="s">
        <v>788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787</v>
      </c>
      <c r="B703" t="s">
        <v>719</v>
      </c>
      <c r="C703" t="s">
        <v>778</v>
      </c>
      <c r="D703" t="s">
        <v>729</v>
      </c>
      <c r="E703" t="s">
        <v>786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785</v>
      </c>
      <c r="B704" t="s">
        <v>719</v>
      </c>
      <c r="C704" t="s">
        <v>778</v>
      </c>
      <c r="D704" t="s">
        <v>726</v>
      </c>
      <c r="E704" t="s">
        <v>784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783</v>
      </c>
      <c r="B705" t="s">
        <v>719</v>
      </c>
      <c r="C705" t="s">
        <v>778</v>
      </c>
      <c r="D705" t="s">
        <v>717</v>
      </c>
      <c r="E705" t="s">
        <v>779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782</v>
      </c>
      <c r="B706" t="s">
        <v>719</v>
      </c>
      <c r="C706" t="s">
        <v>778</v>
      </c>
      <c r="D706" t="s">
        <v>717</v>
      </c>
      <c r="E706" t="s">
        <v>779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781</v>
      </c>
      <c r="B707" t="s">
        <v>719</v>
      </c>
      <c r="C707" t="s">
        <v>778</v>
      </c>
      <c r="D707" t="s">
        <v>717</v>
      </c>
      <c r="E707" t="s">
        <v>779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780</v>
      </c>
      <c r="B708" t="s">
        <v>719</v>
      </c>
      <c r="C708" t="s">
        <v>778</v>
      </c>
      <c r="D708" t="s">
        <v>717</v>
      </c>
      <c r="E708" t="s">
        <v>779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777</v>
      </c>
      <c r="B709" t="s">
        <v>719</v>
      </c>
      <c r="C709" t="s">
        <v>718</v>
      </c>
      <c r="D709" t="s">
        <v>739</v>
      </c>
      <c r="E709" t="s">
        <v>771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776</v>
      </c>
      <c r="B710" t="s">
        <v>719</v>
      </c>
      <c r="C710" t="s">
        <v>718</v>
      </c>
      <c r="D710" t="s">
        <v>739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775</v>
      </c>
      <c r="B711" t="s">
        <v>719</v>
      </c>
      <c r="C711" t="s">
        <v>718</v>
      </c>
      <c r="D711" t="s">
        <v>739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774</v>
      </c>
      <c r="B712" t="s">
        <v>719</v>
      </c>
      <c r="C712" t="s">
        <v>718</v>
      </c>
      <c r="D712" t="s">
        <v>739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773</v>
      </c>
      <c r="B713" t="s">
        <v>719</v>
      </c>
      <c r="C713" t="s">
        <v>718</v>
      </c>
      <c r="D713" t="s">
        <v>739</v>
      </c>
      <c r="E713" t="s">
        <v>771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772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770</v>
      </c>
      <c r="B715" t="s">
        <v>719</v>
      </c>
      <c r="C715" t="s">
        <v>718</v>
      </c>
      <c r="D715" t="s">
        <v>732</v>
      </c>
      <c r="E715" t="s">
        <v>764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769</v>
      </c>
      <c r="B716" t="s">
        <v>719</v>
      </c>
      <c r="C716" t="s">
        <v>718</v>
      </c>
      <c r="D716" t="s">
        <v>732</v>
      </c>
      <c r="E716" t="s">
        <v>764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768</v>
      </c>
      <c r="B717" t="s">
        <v>719</v>
      </c>
      <c r="C717" t="s">
        <v>718</v>
      </c>
      <c r="D717" t="s">
        <v>732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767</v>
      </c>
      <c r="B718" t="s">
        <v>719</v>
      </c>
      <c r="C718" t="s">
        <v>718</v>
      </c>
      <c r="D718" t="s">
        <v>732</v>
      </c>
      <c r="E718" t="s">
        <v>764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766</v>
      </c>
      <c r="B719" t="s">
        <v>719</v>
      </c>
      <c r="C719" t="s">
        <v>718</v>
      </c>
      <c r="D719" t="s">
        <v>732</v>
      </c>
      <c r="E719" t="s">
        <v>764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765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763</v>
      </c>
      <c r="B721" t="s">
        <v>719</v>
      </c>
      <c r="C721" t="s">
        <v>718</v>
      </c>
      <c r="D721" t="s">
        <v>729</v>
      </c>
      <c r="E721" t="s">
        <v>762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5311</v>
      </c>
      <c r="B722" t="s">
        <v>719</v>
      </c>
      <c r="C722" t="s">
        <v>718</v>
      </c>
      <c r="D722" t="s">
        <v>729</v>
      </c>
      <c r="E722" t="s">
        <v>5312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761</v>
      </c>
      <c r="B723" t="s">
        <v>719</v>
      </c>
      <c r="C723" t="s">
        <v>718</v>
      </c>
      <c r="D723" t="s">
        <v>726</v>
      </c>
      <c r="E723" t="s">
        <v>759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760</v>
      </c>
      <c r="B724" t="s">
        <v>719</v>
      </c>
      <c r="C724" t="s">
        <v>718</v>
      </c>
      <c r="D724" t="s">
        <v>0</v>
      </c>
      <c r="E724" t="s">
        <v>759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758</v>
      </c>
      <c r="B725" t="s">
        <v>719</v>
      </c>
      <c r="C725" t="s">
        <v>718</v>
      </c>
      <c r="D725" t="s">
        <v>756</v>
      </c>
      <c r="E725" t="s">
        <v>757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755</v>
      </c>
      <c r="B726" t="s">
        <v>719</v>
      </c>
      <c r="C726" t="s">
        <v>718</v>
      </c>
      <c r="D726" t="s">
        <v>717</v>
      </c>
      <c r="E726" t="s">
        <v>746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754</v>
      </c>
      <c r="B727" t="s">
        <v>719</v>
      </c>
      <c r="C727" t="s">
        <v>718</v>
      </c>
      <c r="D727" t="s">
        <v>717</v>
      </c>
      <c r="E727" t="s">
        <v>746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753</v>
      </c>
      <c r="B728" t="s">
        <v>719</v>
      </c>
      <c r="C728" t="s">
        <v>718</v>
      </c>
      <c r="D728" t="s">
        <v>717</v>
      </c>
      <c r="E728" t="s">
        <v>746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752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751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750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749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748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747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745</v>
      </c>
      <c r="B735" t="s">
        <v>719</v>
      </c>
      <c r="C735" t="s">
        <v>718</v>
      </c>
      <c r="D735" t="s">
        <v>739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744</v>
      </c>
      <c r="B736" t="s">
        <v>719</v>
      </c>
      <c r="C736" t="s">
        <v>718</v>
      </c>
      <c r="D736" t="s">
        <v>739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743</v>
      </c>
      <c r="B737" t="s">
        <v>719</v>
      </c>
      <c r="C737" t="s">
        <v>718</v>
      </c>
      <c r="D737" t="s">
        <v>739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742</v>
      </c>
      <c r="B738" t="s">
        <v>719</v>
      </c>
      <c r="C738" t="s">
        <v>718</v>
      </c>
      <c r="D738" t="s">
        <v>739</v>
      </c>
      <c r="E738" t="s">
        <v>740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741</v>
      </c>
      <c r="B739" t="s">
        <v>719</v>
      </c>
      <c r="C739" t="s">
        <v>718</v>
      </c>
      <c r="D739" t="s">
        <v>739</v>
      </c>
      <c r="E739" t="s">
        <v>740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738</v>
      </c>
      <c r="B740" t="s">
        <v>719</v>
      </c>
      <c r="C740" t="s">
        <v>718</v>
      </c>
      <c r="D740" t="s">
        <v>732</v>
      </c>
      <c r="E740" t="s">
        <v>733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737</v>
      </c>
      <c r="B741" t="s">
        <v>719</v>
      </c>
      <c r="C741" t="s">
        <v>718</v>
      </c>
      <c r="D741" t="s">
        <v>732</v>
      </c>
      <c r="E741" t="s">
        <v>733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736</v>
      </c>
      <c r="B742" t="s">
        <v>719</v>
      </c>
      <c r="C742" t="s">
        <v>718</v>
      </c>
      <c r="D742" t="s">
        <v>732</v>
      </c>
      <c r="E742" t="s">
        <v>733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735</v>
      </c>
      <c r="B743" t="s">
        <v>719</v>
      </c>
      <c r="C743" t="s">
        <v>718</v>
      </c>
      <c r="D743" t="s">
        <v>732</v>
      </c>
      <c r="E743" t="s">
        <v>733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734</v>
      </c>
      <c r="B744" t="s">
        <v>719</v>
      </c>
      <c r="C744" t="s">
        <v>718</v>
      </c>
      <c r="D744" t="s">
        <v>732</v>
      </c>
      <c r="E744" t="s">
        <v>733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731</v>
      </c>
      <c r="B745" t="s">
        <v>719</v>
      </c>
      <c r="C745" t="s">
        <v>718</v>
      </c>
      <c r="D745" t="s">
        <v>729</v>
      </c>
      <c r="E745" t="s">
        <v>730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728</v>
      </c>
      <c r="B746" t="s">
        <v>719</v>
      </c>
      <c r="C746" t="s">
        <v>718</v>
      </c>
      <c r="D746" t="s">
        <v>726</v>
      </c>
      <c r="E746" t="s">
        <v>727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725</v>
      </c>
      <c r="B747" t="s">
        <v>719</v>
      </c>
      <c r="C747" t="s">
        <v>718</v>
      </c>
      <c r="D747" t="s">
        <v>717</v>
      </c>
      <c r="E747" t="s">
        <v>720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724</v>
      </c>
      <c r="B748" t="s">
        <v>719</v>
      </c>
      <c r="C748" t="s">
        <v>718</v>
      </c>
      <c r="D748" t="s">
        <v>717</v>
      </c>
      <c r="E748" t="s">
        <v>720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723</v>
      </c>
      <c r="B749" t="s">
        <v>719</v>
      </c>
      <c r="C749" t="s">
        <v>718</v>
      </c>
      <c r="D749" t="s">
        <v>717</v>
      </c>
      <c r="E749" t="s">
        <v>720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722</v>
      </c>
      <c r="B750" t="s">
        <v>719</v>
      </c>
      <c r="C750" t="s">
        <v>718</v>
      </c>
      <c r="D750" t="s">
        <v>717</v>
      </c>
      <c r="E750" t="s">
        <v>720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721</v>
      </c>
      <c r="B751" t="s">
        <v>719</v>
      </c>
      <c r="C751" t="s">
        <v>718</v>
      </c>
      <c r="D751" t="s">
        <v>717</v>
      </c>
      <c r="E751" t="s">
        <v>720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3068</v>
      </c>
      <c r="B752" t="s">
        <v>26</v>
      </c>
      <c r="C752" t="s">
        <v>3076</v>
      </c>
      <c r="D752" t="s">
        <v>708</v>
      </c>
      <c r="E752" t="s">
        <v>3069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1A3a Transport - Aviation</v>
      </c>
    </row>
    <row r="753" spans="1:9" x14ac:dyDescent="0.25">
      <c r="A753" t="s">
        <v>3070</v>
      </c>
      <c r="B753" t="s">
        <v>26</v>
      </c>
      <c r="C753" t="s">
        <v>3076</v>
      </c>
      <c r="D753" t="s">
        <v>708</v>
      </c>
      <c r="E753" t="s">
        <v>3071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1A3a Transport - Aviation</v>
      </c>
    </row>
    <row r="754" spans="1:9" x14ac:dyDescent="0.25">
      <c r="A754" t="s">
        <v>3072</v>
      </c>
      <c r="B754" t="s">
        <v>26</v>
      </c>
      <c r="C754" t="s">
        <v>3077</v>
      </c>
      <c r="D754" t="s">
        <v>708</v>
      </c>
      <c r="E754" t="s">
        <v>3073</v>
      </c>
      <c r="F754" t="e">
        <f>INDEX(IPCCMaps!H:H,MATCH(mapPRC!C754,IPCCMaps!G:G,0))</f>
        <v>#N/A</v>
      </c>
      <c r="G754" t="e">
        <f>INDEX(IPCCMaps!I:I,MATCH(mapPRC!C754,IPCCMaps!G:G,0))</f>
        <v>#N/A</v>
      </c>
      <c r="H754" t="e">
        <f>INDEX(IPCCMaps!J:J,MATCH(mapPRC!C754,IPCCMaps!G:G,0))</f>
        <v>#N/A</v>
      </c>
      <c r="I754" t="e">
        <f>INDEX(IPCCMaps!K:K,MATCH(mapPRC!C754,IPCCMaps!G:G,0))</f>
        <v>#N/A</v>
      </c>
    </row>
    <row r="755" spans="1:9" x14ac:dyDescent="0.25">
      <c r="A755" t="s">
        <v>3074</v>
      </c>
      <c r="B755" t="s">
        <v>26</v>
      </c>
      <c r="C755" t="s">
        <v>3077</v>
      </c>
      <c r="D755" t="s">
        <v>708</v>
      </c>
      <c r="E755" t="s">
        <v>3075</v>
      </c>
      <c r="F755" t="e">
        <f>INDEX(IPCCMaps!H:H,MATCH(mapPRC!C755,IPCCMaps!G:G,0))</f>
        <v>#N/A</v>
      </c>
      <c r="G755" t="e">
        <f>INDEX(IPCCMaps!I:I,MATCH(mapPRC!C755,IPCCMaps!G:G,0))</f>
        <v>#N/A</v>
      </c>
      <c r="H755" t="e">
        <f>INDEX(IPCCMaps!J:J,MATCH(mapPRC!C755,IPCCMaps!G:G,0))</f>
        <v>#N/A</v>
      </c>
      <c r="I755" t="e">
        <f>INDEX(IPCCMaps!K:K,MATCH(mapPRC!C755,IPCCMaps!G:G,0))</f>
        <v>#N/A</v>
      </c>
    </row>
    <row r="756" spans="1:9" x14ac:dyDescent="0.25">
      <c r="A756" t="s">
        <v>716</v>
      </c>
      <c r="B756" t="s">
        <v>26</v>
      </c>
      <c r="C756" t="s">
        <v>3076</v>
      </c>
      <c r="D756" t="s">
        <v>708</v>
      </c>
      <c r="E756" t="s">
        <v>715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x14ac:dyDescent="0.25">
      <c r="A757" t="s">
        <v>714</v>
      </c>
      <c r="B757" t="s">
        <v>26</v>
      </c>
      <c r="C757" t="s">
        <v>3076</v>
      </c>
      <c r="D757" t="s">
        <v>708</v>
      </c>
      <c r="E757" t="s">
        <v>713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25">
      <c r="A758" t="s">
        <v>712</v>
      </c>
      <c r="B758" t="s">
        <v>26</v>
      </c>
      <c r="C758" t="s">
        <v>3076</v>
      </c>
      <c r="D758" t="s">
        <v>708</v>
      </c>
      <c r="E758" t="s">
        <v>711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710</v>
      </c>
      <c r="B759" t="s">
        <v>26</v>
      </c>
      <c r="C759" t="s">
        <v>3076</v>
      </c>
      <c r="D759" t="s">
        <v>708</v>
      </c>
      <c r="E759" t="s">
        <v>709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x14ac:dyDescent="0.25">
      <c r="A760" t="s">
        <v>707</v>
      </c>
      <c r="B760" t="s">
        <v>26</v>
      </c>
      <c r="C760" t="s">
        <v>37</v>
      </c>
      <c r="D760" t="s">
        <v>705</v>
      </c>
      <c r="E760" t="s">
        <v>706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704</v>
      </c>
      <c r="B761" t="s">
        <v>26</v>
      </c>
      <c r="C761" t="s">
        <v>37</v>
      </c>
      <c r="D761" t="s">
        <v>702</v>
      </c>
      <c r="E761" t="s">
        <v>703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701</v>
      </c>
      <c r="B762" t="s">
        <v>26</v>
      </c>
      <c r="C762" t="s">
        <v>37</v>
      </c>
      <c r="D762" t="s">
        <v>693</v>
      </c>
      <c r="E762" t="s">
        <v>700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699</v>
      </c>
      <c r="B763" t="s">
        <v>26</v>
      </c>
      <c r="C763" t="s">
        <v>37</v>
      </c>
      <c r="D763" t="s">
        <v>693</v>
      </c>
      <c r="E763" t="s">
        <v>698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697</v>
      </c>
      <c r="B764" t="s">
        <v>26</v>
      </c>
      <c r="C764" t="s">
        <v>37</v>
      </c>
      <c r="D764" t="s">
        <v>693</v>
      </c>
      <c r="E764" t="s">
        <v>696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695</v>
      </c>
      <c r="B765" t="s">
        <v>26</v>
      </c>
      <c r="C765" t="s">
        <v>37</v>
      </c>
      <c r="D765" t="s">
        <v>693</v>
      </c>
      <c r="E765" t="s">
        <v>694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692</v>
      </c>
      <c r="B766" t="s">
        <v>26</v>
      </c>
      <c r="C766" t="s">
        <v>37</v>
      </c>
      <c r="D766" t="s">
        <v>680</v>
      </c>
      <c r="E766" t="s">
        <v>691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690</v>
      </c>
      <c r="B767" t="s">
        <v>26</v>
      </c>
      <c r="C767" t="s">
        <v>37</v>
      </c>
      <c r="D767" t="s">
        <v>661</v>
      </c>
      <c r="E767" t="s">
        <v>689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688</v>
      </c>
      <c r="B768" t="s">
        <v>26</v>
      </c>
      <c r="C768" t="s">
        <v>37</v>
      </c>
      <c r="D768" t="s">
        <v>658</v>
      </c>
      <c r="E768" t="s">
        <v>687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686</v>
      </c>
      <c r="B769" t="s">
        <v>26</v>
      </c>
      <c r="C769" t="s">
        <v>37</v>
      </c>
      <c r="D769" t="s">
        <v>653</v>
      </c>
      <c r="E769" t="s">
        <v>685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684</v>
      </c>
      <c r="B770" t="s">
        <v>26</v>
      </c>
      <c r="C770" t="s">
        <v>37</v>
      </c>
      <c r="D770" t="s">
        <v>653</v>
      </c>
      <c r="E770" t="s">
        <v>683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682</v>
      </c>
      <c r="B771" t="s">
        <v>26</v>
      </c>
      <c r="C771" t="s">
        <v>37</v>
      </c>
      <c r="D771" t="s">
        <v>680</v>
      </c>
      <c r="E771" t="s">
        <v>681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679</v>
      </c>
      <c r="B772" t="s">
        <v>26</v>
      </c>
      <c r="C772" t="s">
        <v>37</v>
      </c>
      <c r="D772" t="s">
        <v>661</v>
      </c>
      <c r="E772" t="s">
        <v>678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677</v>
      </c>
      <c r="B773" t="s">
        <v>26</v>
      </c>
      <c r="C773" t="s">
        <v>37</v>
      </c>
      <c r="D773" t="s">
        <v>658</v>
      </c>
      <c r="E773" t="s">
        <v>676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675</v>
      </c>
      <c r="B774" t="s">
        <v>26</v>
      </c>
      <c r="C774" t="s">
        <v>37</v>
      </c>
      <c r="D774" t="s">
        <v>653</v>
      </c>
      <c r="E774" t="s">
        <v>674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673</v>
      </c>
      <c r="B775" t="s">
        <v>26</v>
      </c>
      <c r="C775" t="s">
        <v>37</v>
      </c>
      <c r="D775" t="s">
        <v>653</v>
      </c>
      <c r="E775" t="s">
        <v>672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5818</v>
      </c>
      <c r="B776" t="s">
        <v>26</v>
      </c>
      <c r="C776" t="s">
        <v>37</v>
      </c>
      <c r="D776" t="s">
        <v>680</v>
      </c>
      <c r="E776" t="s">
        <v>5819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671</v>
      </c>
      <c r="B777" t="s">
        <v>26</v>
      </c>
      <c r="C777" t="s">
        <v>37</v>
      </c>
      <c r="D777" t="s">
        <v>661</v>
      </c>
      <c r="E777" t="s">
        <v>670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669</v>
      </c>
      <c r="B778" t="s">
        <v>26</v>
      </c>
      <c r="C778" t="s">
        <v>37</v>
      </c>
      <c r="D778" t="s">
        <v>658</v>
      </c>
      <c r="E778" t="s">
        <v>668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667</v>
      </c>
      <c r="B779" t="s">
        <v>26</v>
      </c>
      <c r="C779" t="s">
        <v>37</v>
      </c>
      <c r="D779" t="s">
        <v>653</v>
      </c>
      <c r="E779" t="s">
        <v>666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665</v>
      </c>
      <c r="B780" t="s">
        <v>26</v>
      </c>
      <c r="C780" t="s">
        <v>37</v>
      </c>
      <c r="D780" t="s">
        <v>653</v>
      </c>
      <c r="E780" t="s">
        <v>664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5820</v>
      </c>
      <c r="B781" t="s">
        <v>26</v>
      </c>
      <c r="C781" t="s">
        <v>37</v>
      </c>
      <c r="D781" t="s">
        <v>680</v>
      </c>
      <c r="E781" t="s">
        <v>5821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663</v>
      </c>
      <c r="B782" t="s">
        <v>26</v>
      </c>
      <c r="C782" t="s">
        <v>37</v>
      </c>
      <c r="D782" t="s">
        <v>661</v>
      </c>
      <c r="E782" t="s">
        <v>662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660</v>
      </c>
      <c r="B783" t="s">
        <v>26</v>
      </c>
      <c r="C783" t="s">
        <v>37</v>
      </c>
      <c r="D783" t="s">
        <v>658</v>
      </c>
      <c r="E783" t="s">
        <v>659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657</v>
      </c>
      <c r="B784" t="s">
        <v>26</v>
      </c>
      <c r="C784" t="s">
        <v>37</v>
      </c>
      <c r="D784" t="s">
        <v>653</v>
      </c>
      <c r="E784" t="s">
        <v>656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655</v>
      </c>
      <c r="B785" t="s">
        <v>26</v>
      </c>
      <c r="C785" t="s">
        <v>37</v>
      </c>
      <c r="D785" t="s">
        <v>653</v>
      </c>
      <c r="E785" t="s">
        <v>654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5822</v>
      </c>
      <c r="B786" t="s">
        <v>26</v>
      </c>
      <c r="C786" t="s">
        <v>37</v>
      </c>
      <c r="D786" t="s">
        <v>5881</v>
      </c>
      <c r="E786" t="s">
        <v>5823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652</v>
      </c>
      <c r="B787" t="s">
        <v>26</v>
      </c>
      <c r="C787" t="s">
        <v>37</v>
      </c>
      <c r="D787" t="s">
        <v>626</v>
      </c>
      <c r="E787" t="s">
        <v>651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650</v>
      </c>
      <c r="B788" t="s">
        <v>26</v>
      </c>
      <c r="C788" t="s">
        <v>37</v>
      </c>
      <c r="D788" t="s">
        <v>623</v>
      </c>
      <c r="E788" t="s">
        <v>649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648</v>
      </c>
      <c r="B789" t="s">
        <v>26</v>
      </c>
      <c r="C789" t="s">
        <v>37</v>
      </c>
      <c r="D789" t="s">
        <v>618</v>
      </c>
      <c r="E789" t="s">
        <v>647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646</v>
      </c>
      <c r="B790" t="s">
        <v>26</v>
      </c>
      <c r="C790" t="s">
        <v>37</v>
      </c>
      <c r="D790" t="s">
        <v>618</v>
      </c>
      <c r="E790" t="s">
        <v>645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5824</v>
      </c>
      <c r="B791" t="s">
        <v>26</v>
      </c>
      <c r="C791" t="s">
        <v>37</v>
      </c>
      <c r="D791" t="s">
        <v>5881</v>
      </c>
      <c r="E791" t="s">
        <v>5825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644</v>
      </c>
      <c r="B792" t="s">
        <v>26</v>
      </c>
      <c r="C792" t="s">
        <v>37</v>
      </c>
      <c r="D792" t="s">
        <v>626</v>
      </c>
      <c r="E792" t="s">
        <v>643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642</v>
      </c>
      <c r="B793" t="s">
        <v>26</v>
      </c>
      <c r="C793" t="s">
        <v>37</v>
      </c>
      <c r="D793" t="s">
        <v>623</v>
      </c>
      <c r="E793" t="s">
        <v>641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640</v>
      </c>
      <c r="B794" t="s">
        <v>26</v>
      </c>
      <c r="C794" t="s">
        <v>37</v>
      </c>
      <c r="D794" t="s">
        <v>618</v>
      </c>
      <c r="E794" t="s">
        <v>639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638</v>
      </c>
      <c r="B795" t="s">
        <v>26</v>
      </c>
      <c r="C795" t="s">
        <v>37</v>
      </c>
      <c r="D795" t="s">
        <v>618</v>
      </c>
      <c r="E795" t="s">
        <v>637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5826</v>
      </c>
      <c r="B796" t="s">
        <v>26</v>
      </c>
      <c r="C796" t="s">
        <v>37</v>
      </c>
      <c r="D796" t="s">
        <v>5881</v>
      </c>
      <c r="E796" t="s">
        <v>5827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636</v>
      </c>
      <c r="B797" t="s">
        <v>26</v>
      </c>
      <c r="C797" t="s">
        <v>37</v>
      </c>
      <c r="D797" t="s">
        <v>626</v>
      </c>
      <c r="E797" t="s">
        <v>635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634</v>
      </c>
      <c r="B798" t="s">
        <v>26</v>
      </c>
      <c r="C798" t="s">
        <v>37</v>
      </c>
      <c r="D798" t="s">
        <v>623</v>
      </c>
      <c r="E798" t="s">
        <v>633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632</v>
      </c>
      <c r="B799" t="s">
        <v>26</v>
      </c>
      <c r="C799" t="s">
        <v>37</v>
      </c>
      <c r="D799" t="s">
        <v>618</v>
      </c>
      <c r="E799" t="s">
        <v>631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630</v>
      </c>
      <c r="B800" t="s">
        <v>26</v>
      </c>
      <c r="C800" t="s">
        <v>37</v>
      </c>
      <c r="D800" t="s">
        <v>618</v>
      </c>
      <c r="E800" t="s">
        <v>629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5828</v>
      </c>
      <c r="B801" t="s">
        <v>26</v>
      </c>
      <c r="C801" t="s">
        <v>37</v>
      </c>
      <c r="D801" t="s">
        <v>5881</v>
      </c>
      <c r="E801" t="s">
        <v>5829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628</v>
      </c>
      <c r="B802" t="s">
        <v>26</v>
      </c>
      <c r="C802" t="s">
        <v>37</v>
      </c>
      <c r="D802" t="s">
        <v>626</v>
      </c>
      <c r="E802" t="s">
        <v>627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625</v>
      </c>
      <c r="B803" t="s">
        <v>26</v>
      </c>
      <c r="C803" t="s">
        <v>37</v>
      </c>
      <c r="D803" t="s">
        <v>623</v>
      </c>
      <c r="E803" t="s">
        <v>624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622</v>
      </c>
      <c r="B804" t="s">
        <v>26</v>
      </c>
      <c r="C804" t="s">
        <v>37</v>
      </c>
      <c r="D804" t="s">
        <v>618</v>
      </c>
      <c r="E804" t="s">
        <v>621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620</v>
      </c>
      <c r="B805" t="s">
        <v>26</v>
      </c>
      <c r="C805" t="s">
        <v>37</v>
      </c>
      <c r="D805" t="s">
        <v>618</v>
      </c>
      <c r="E805" t="s">
        <v>619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617</v>
      </c>
      <c r="B806" t="s">
        <v>26</v>
      </c>
      <c r="C806" t="s">
        <v>37</v>
      </c>
      <c r="D806" t="s">
        <v>615</v>
      </c>
      <c r="E806" t="s">
        <v>616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614</v>
      </c>
      <c r="B807" t="s">
        <v>26</v>
      </c>
      <c r="C807" t="s">
        <v>37</v>
      </c>
      <c r="D807" t="s">
        <v>612</v>
      </c>
      <c r="E807" t="s">
        <v>613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611</v>
      </c>
      <c r="B808" t="s">
        <v>26</v>
      </c>
      <c r="C808" t="s">
        <v>37</v>
      </c>
      <c r="D808" t="s">
        <v>603</v>
      </c>
      <c r="E808" t="s">
        <v>610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41</v>
      </c>
      <c r="B809" t="s">
        <v>26</v>
      </c>
      <c r="C809" t="s">
        <v>37</v>
      </c>
      <c r="D809" t="s">
        <v>36</v>
      </c>
      <c r="E809" t="s">
        <v>40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609</v>
      </c>
      <c r="B810" t="s">
        <v>26</v>
      </c>
      <c r="C810" t="s">
        <v>37</v>
      </c>
      <c r="D810" t="s">
        <v>603</v>
      </c>
      <c r="E810" t="s">
        <v>608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607</v>
      </c>
      <c r="B811" t="s">
        <v>26</v>
      </c>
      <c r="C811" t="s">
        <v>37</v>
      </c>
      <c r="D811" t="s">
        <v>603</v>
      </c>
      <c r="E811" t="s">
        <v>606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39</v>
      </c>
      <c r="B812" t="s">
        <v>26</v>
      </c>
      <c r="C812" t="s">
        <v>37</v>
      </c>
      <c r="D812" t="s">
        <v>36</v>
      </c>
      <c r="E812" t="s">
        <v>38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605</v>
      </c>
      <c r="B813" t="s">
        <v>26</v>
      </c>
      <c r="C813" t="s">
        <v>37</v>
      </c>
      <c r="D813" t="s">
        <v>603</v>
      </c>
      <c r="E813" t="s">
        <v>604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602</v>
      </c>
      <c r="B814" t="s">
        <v>26</v>
      </c>
      <c r="C814" t="s">
        <v>598</v>
      </c>
      <c r="D814" t="s">
        <v>598</v>
      </c>
      <c r="E814" t="s">
        <v>601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>
        <f>INDEX(IPCCMaps!J:J,MATCH(mapPRC!C814,IPCCMaps!G:G,0))</f>
        <v>0</v>
      </c>
      <c r="I814">
        <f>INDEX(IPCCMaps!K:K,MATCH(mapPRC!C814,IPCCMaps!G:G,0))</f>
        <v>0</v>
      </c>
    </row>
    <row r="815" spans="1:9" x14ac:dyDescent="0.25">
      <c r="A815" t="s">
        <v>600</v>
      </c>
      <c r="B815" t="s">
        <v>26</v>
      </c>
      <c r="C815" t="s">
        <v>598</v>
      </c>
      <c r="D815" t="s">
        <v>598</v>
      </c>
      <c r="E815" t="s">
        <v>599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>
        <f>INDEX(IPCCMaps!J:J,MATCH(mapPRC!C815,IPCCMaps!G:G,0))</f>
        <v>0</v>
      </c>
      <c r="I815">
        <f>INDEX(IPCCMaps!K:K,MATCH(mapPRC!C815,IPCCMaps!G:G,0))</f>
        <v>0</v>
      </c>
    </row>
    <row r="816" spans="1:9" x14ac:dyDescent="0.25">
      <c r="A816" t="s">
        <v>597</v>
      </c>
      <c r="B816" t="s">
        <v>26</v>
      </c>
      <c r="C816" t="s">
        <v>578</v>
      </c>
      <c r="D816" t="s">
        <v>578</v>
      </c>
      <c r="E816" t="s">
        <v>596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x14ac:dyDescent="0.25">
      <c r="A817" t="s">
        <v>595</v>
      </c>
      <c r="B817" t="s">
        <v>26</v>
      </c>
      <c r="C817" t="s">
        <v>578</v>
      </c>
      <c r="D817" t="s">
        <v>578</v>
      </c>
      <c r="E817" t="s">
        <v>594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x14ac:dyDescent="0.25">
      <c r="A818" t="s">
        <v>593</v>
      </c>
      <c r="B818" t="s">
        <v>26</v>
      </c>
      <c r="C818" t="s">
        <v>578</v>
      </c>
      <c r="D818" t="s">
        <v>578</v>
      </c>
      <c r="E818" t="s">
        <v>592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x14ac:dyDescent="0.25">
      <c r="A819" t="s">
        <v>591</v>
      </c>
      <c r="B819" t="s">
        <v>26</v>
      </c>
      <c r="C819" t="s">
        <v>578</v>
      </c>
      <c r="D819" t="s">
        <v>578</v>
      </c>
      <c r="E819" t="s">
        <v>590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25">
      <c r="A820" t="s">
        <v>589</v>
      </c>
      <c r="B820" t="s">
        <v>26</v>
      </c>
      <c r="C820" t="s">
        <v>578</v>
      </c>
      <c r="D820" t="s">
        <v>578</v>
      </c>
      <c r="E820" t="s">
        <v>587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x14ac:dyDescent="0.25">
      <c r="A821" t="s">
        <v>588</v>
      </c>
      <c r="B821" t="s">
        <v>26</v>
      </c>
      <c r="C821" t="s">
        <v>578</v>
      </c>
      <c r="D821" t="s">
        <v>578</v>
      </c>
      <c r="E821" t="s">
        <v>587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25">
      <c r="A822" t="s">
        <v>586</v>
      </c>
      <c r="B822" t="s">
        <v>26</v>
      </c>
      <c r="C822" t="s">
        <v>578</v>
      </c>
      <c r="D822" t="s">
        <v>578</v>
      </c>
      <c r="E822" t="s">
        <v>585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25">
      <c r="A823" t="s">
        <v>584</v>
      </c>
      <c r="B823" t="s">
        <v>26</v>
      </c>
      <c r="C823" t="s">
        <v>578</v>
      </c>
      <c r="D823" t="s">
        <v>578</v>
      </c>
      <c r="E823" t="s">
        <v>583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582</v>
      </c>
      <c r="B824" t="s">
        <v>26</v>
      </c>
      <c r="C824" t="s">
        <v>578</v>
      </c>
      <c r="D824" t="s">
        <v>578</v>
      </c>
      <c r="E824" t="s">
        <v>581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580</v>
      </c>
      <c r="B825" t="s">
        <v>26</v>
      </c>
      <c r="C825" t="s">
        <v>578</v>
      </c>
      <c r="D825" t="s">
        <v>578</v>
      </c>
      <c r="E825" t="s">
        <v>579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577</v>
      </c>
      <c r="B826" t="s">
        <v>26</v>
      </c>
      <c r="C826" t="s">
        <v>30</v>
      </c>
      <c r="D826" t="s">
        <v>575</v>
      </c>
      <c r="E826" t="s">
        <v>576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574</v>
      </c>
      <c r="B827" t="s">
        <v>26</v>
      </c>
      <c r="C827" t="s">
        <v>30</v>
      </c>
      <c r="D827" t="s">
        <v>572</v>
      </c>
      <c r="E827" t="s">
        <v>573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571</v>
      </c>
      <c r="B828" t="s">
        <v>26</v>
      </c>
      <c r="C828" t="s">
        <v>30</v>
      </c>
      <c r="D828" t="s">
        <v>569</v>
      </c>
      <c r="E828" t="s">
        <v>570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568</v>
      </c>
      <c r="B829" t="s">
        <v>26</v>
      </c>
      <c r="C829" t="s">
        <v>30</v>
      </c>
      <c r="D829" t="s">
        <v>566</v>
      </c>
      <c r="E829" t="s">
        <v>567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565</v>
      </c>
      <c r="B830" t="s">
        <v>26</v>
      </c>
      <c r="C830" t="s">
        <v>30</v>
      </c>
      <c r="D830" t="s">
        <v>553</v>
      </c>
      <c r="E830" t="s">
        <v>564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561</v>
      </c>
      <c r="B831" t="s">
        <v>26</v>
      </c>
      <c r="C831" t="s">
        <v>30</v>
      </c>
      <c r="D831" t="s">
        <v>550</v>
      </c>
      <c r="E831" t="s">
        <v>560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563</v>
      </c>
      <c r="B832" t="s">
        <v>26</v>
      </c>
      <c r="C832" t="s">
        <v>30</v>
      </c>
      <c r="D832" t="s">
        <v>553</v>
      </c>
      <c r="E832" t="s">
        <v>562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559</v>
      </c>
      <c r="B833" t="s">
        <v>26</v>
      </c>
      <c r="C833" t="s">
        <v>30</v>
      </c>
      <c r="D833" t="s">
        <v>553</v>
      </c>
      <c r="E833" t="s">
        <v>558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555</v>
      </c>
      <c r="B834" t="s">
        <v>26</v>
      </c>
      <c r="C834" t="s">
        <v>30</v>
      </c>
      <c r="D834" t="s">
        <v>553</v>
      </c>
      <c r="E834" t="s">
        <v>554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552</v>
      </c>
      <c r="B835" t="s">
        <v>26</v>
      </c>
      <c r="C835" t="s">
        <v>30</v>
      </c>
      <c r="D835" t="s">
        <v>550</v>
      </c>
      <c r="E835" t="s">
        <v>551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557</v>
      </c>
      <c r="B836" t="s">
        <v>26</v>
      </c>
      <c r="C836" t="s">
        <v>30</v>
      </c>
      <c r="D836" t="s">
        <v>553</v>
      </c>
      <c r="E836" t="s">
        <v>556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35</v>
      </c>
      <c r="B837" t="s">
        <v>26</v>
      </c>
      <c r="C837" t="s">
        <v>30</v>
      </c>
      <c r="D837" t="s">
        <v>33</v>
      </c>
      <c r="E837" t="s">
        <v>34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549</v>
      </c>
      <c r="B838" t="s">
        <v>26</v>
      </c>
      <c r="C838" t="s">
        <v>30</v>
      </c>
      <c r="D838" t="s">
        <v>545</v>
      </c>
      <c r="E838" t="s">
        <v>548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547</v>
      </c>
      <c r="B839" t="s">
        <v>26</v>
      </c>
      <c r="C839" t="s">
        <v>30</v>
      </c>
      <c r="D839" t="s">
        <v>545</v>
      </c>
      <c r="E839" t="s">
        <v>546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544</v>
      </c>
      <c r="B840" t="s">
        <v>26</v>
      </c>
      <c r="C840" t="s">
        <v>30</v>
      </c>
      <c r="D840" t="s">
        <v>542</v>
      </c>
      <c r="E840" t="s">
        <v>543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3078</v>
      </c>
      <c r="B841" t="s">
        <v>26</v>
      </c>
      <c r="C841" t="s">
        <v>30</v>
      </c>
      <c r="D841" t="s">
        <v>29</v>
      </c>
      <c r="E841" t="s">
        <v>3079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32</v>
      </c>
      <c r="B842" t="s">
        <v>26</v>
      </c>
      <c r="C842" t="s">
        <v>30</v>
      </c>
      <c r="D842" t="s">
        <v>29</v>
      </c>
      <c r="E842" t="s">
        <v>31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541</v>
      </c>
      <c r="B843" t="s">
        <v>26</v>
      </c>
      <c r="C843" t="s">
        <v>30</v>
      </c>
      <c r="D843" t="s">
        <v>539</v>
      </c>
      <c r="E843" t="s">
        <v>540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538</v>
      </c>
      <c r="B844" t="s">
        <v>26</v>
      </c>
      <c r="C844" t="s">
        <v>30</v>
      </c>
      <c r="D844" t="s">
        <v>536</v>
      </c>
      <c r="E844" t="s">
        <v>537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535</v>
      </c>
      <c r="B845" t="s">
        <v>26</v>
      </c>
      <c r="C845" t="s">
        <v>30</v>
      </c>
      <c r="D845" t="s">
        <v>525</v>
      </c>
      <c r="E845" t="s">
        <v>534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531</v>
      </c>
      <c r="B846" t="s">
        <v>26</v>
      </c>
      <c r="C846" t="s">
        <v>30</v>
      </c>
      <c r="D846" t="s">
        <v>522</v>
      </c>
      <c r="E846" t="s">
        <v>530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533</v>
      </c>
      <c r="B847" t="s">
        <v>26</v>
      </c>
      <c r="C847" t="s">
        <v>30</v>
      </c>
      <c r="D847" t="s">
        <v>525</v>
      </c>
      <c r="E847" t="s">
        <v>532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529</v>
      </c>
      <c r="B848" t="s">
        <v>26</v>
      </c>
      <c r="C848" t="s">
        <v>30</v>
      </c>
      <c r="D848" t="s">
        <v>525</v>
      </c>
      <c r="E848" t="s">
        <v>528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3080</v>
      </c>
      <c r="B849" t="s">
        <v>26</v>
      </c>
      <c r="C849" t="s">
        <v>30</v>
      </c>
      <c r="D849" t="s">
        <v>522</v>
      </c>
      <c r="E849" t="s">
        <v>3081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524</v>
      </c>
      <c r="B850" t="s">
        <v>26</v>
      </c>
      <c r="C850" t="s">
        <v>30</v>
      </c>
      <c r="D850" t="s">
        <v>522</v>
      </c>
      <c r="E850" t="s">
        <v>523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527</v>
      </c>
      <c r="B851" t="s">
        <v>26</v>
      </c>
      <c r="C851" t="s">
        <v>30</v>
      </c>
      <c r="D851" t="s">
        <v>525</v>
      </c>
      <c r="E851" t="s">
        <v>526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521</v>
      </c>
      <c r="B852" t="s">
        <v>26</v>
      </c>
      <c r="C852" t="s">
        <v>25</v>
      </c>
      <c r="D852" t="s">
        <v>519</v>
      </c>
      <c r="E852" t="s">
        <v>520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518</v>
      </c>
      <c r="B853" t="s">
        <v>26</v>
      </c>
      <c r="C853" t="s">
        <v>25</v>
      </c>
      <c r="D853" t="s">
        <v>516</v>
      </c>
      <c r="E853" t="s">
        <v>517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515</v>
      </c>
      <c r="B854" t="s">
        <v>26</v>
      </c>
      <c r="C854" t="s">
        <v>25</v>
      </c>
      <c r="D854" t="s">
        <v>513</v>
      </c>
      <c r="E854" t="s">
        <v>514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512</v>
      </c>
      <c r="B855" t="s">
        <v>26</v>
      </c>
      <c r="C855" t="s">
        <v>25</v>
      </c>
      <c r="D855" t="s">
        <v>510</v>
      </c>
      <c r="E855" t="s">
        <v>511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509</v>
      </c>
      <c r="B856" t="s">
        <v>26</v>
      </c>
      <c r="C856" t="s">
        <v>25</v>
      </c>
      <c r="D856" t="s">
        <v>507</v>
      </c>
      <c r="E856" t="s">
        <v>508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506</v>
      </c>
      <c r="B857" t="s">
        <v>26</v>
      </c>
      <c r="C857" t="s">
        <v>25</v>
      </c>
      <c r="D857" t="s">
        <v>504</v>
      </c>
      <c r="E857" t="s">
        <v>505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503</v>
      </c>
      <c r="B858" t="s">
        <v>26</v>
      </c>
      <c r="C858" t="s">
        <v>25</v>
      </c>
      <c r="D858" t="s">
        <v>501</v>
      </c>
      <c r="E858" t="s">
        <v>502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500</v>
      </c>
      <c r="B859" t="s">
        <v>26</v>
      </c>
      <c r="C859" t="s">
        <v>25</v>
      </c>
      <c r="D859" t="s">
        <v>498</v>
      </c>
      <c r="E859" t="s">
        <v>499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497</v>
      </c>
      <c r="B860" t="s">
        <v>26</v>
      </c>
      <c r="C860" t="s">
        <v>25</v>
      </c>
      <c r="D860" t="s">
        <v>495</v>
      </c>
      <c r="E860" t="s">
        <v>496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494</v>
      </c>
      <c r="B861" t="s">
        <v>26</v>
      </c>
      <c r="C861" t="s">
        <v>25</v>
      </c>
      <c r="D861" t="s">
        <v>490</v>
      </c>
      <c r="E861" t="s">
        <v>493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492</v>
      </c>
      <c r="B862" t="s">
        <v>26</v>
      </c>
      <c r="C862" t="s">
        <v>25</v>
      </c>
      <c r="D862" t="s">
        <v>490</v>
      </c>
      <c r="E862" t="s">
        <v>491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489</v>
      </c>
      <c r="B863" t="s">
        <v>26</v>
      </c>
      <c r="C863" t="s">
        <v>25</v>
      </c>
      <c r="D863" t="s">
        <v>462</v>
      </c>
      <c r="E863" t="s">
        <v>488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487</v>
      </c>
      <c r="B864" t="s">
        <v>26</v>
      </c>
      <c r="C864" t="s">
        <v>25</v>
      </c>
      <c r="D864" t="s">
        <v>485</v>
      </c>
      <c r="E864" t="s">
        <v>486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28</v>
      </c>
      <c r="B865" t="s">
        <v>26</v>
      </c>
      <c r="C865" t="s">
        <v>25</v>
      </c>
      <c r="D865" t="s">
        <v>24</v>
      </c>
      <c r="E865" t="s">
        <v>27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484</v>
      </c>
      <c r="B866" t="s">
        <v>26</v>
      </c>
      <c r="C866" t="s">
        <v>25</v>
      </c>
      <c r="D866" t="s">
        <v>482</v>
      </c>
      <c r="E866" t="s">
        <v>483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481</v>
      </c>
      <c r="B867" t="s">
        <v>26</v>
      </c>
      <c r="C867" t="s">
        <v>25</v>
      </c>
      <c r="D867" t="s">
        <v>479</v>
      </c>
      <c r="E867" t="s">
        <v>480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478</v>
      </c>
      <c r="B868" t="s">
        <v>26</v>
      </c>
      <c r="C868" t="s">
        <v>25</v>
      </c>
      <c r="D868" t="s">
        <v>467</v>
      </c>
      <c r="E868" t="s">
        <v>477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474</v>
      </c>
      <c r="B869" t="s">
        <v>26</v>
      </c>
      <c r="C869" t="s">
        <v>25</v>
      </c>
      <c r="D869" t="s">
        <v>472</v>
      </c>
      <c r="E869" t="s">
        <v>473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476</v>
      </c>
      <c r="B870" t="s">
        <v>26</v>
      </c>
      <c r="C870" t="s">
        <v>25</v>
      </c>
      <c r="D870" t="s">
        <v>467</v>
      </c>
      <c r="E870" t="s">
        <v>475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471</v>
      </c>
      <c r="B871" t="s">
        <v>26</v>
      </c>
      <c r="C871" t="s">
        <v>25</v>
      </c>
      <c r="D871" t="s">
        <v>467</v>
      </c>
      <c r="E871" t="s">
        <v>470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469</v>
      </c>
      <c r="B872" t="s">
        <v>26</v>
      </c>
      <c r="C872" t="s">
        <v>25</v>
      </c>
      <c r="D872" t="s">
        <v>467</v>
      </c>
      <c r="E872" t="s">
        <v>468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466</v>
      </c>
      <c r="B873" t="s">
        <v>26</v>
      </c>
      <c r="C873" t="s">
        <v>25</v>
      </c>
      <c r="D873" t="s">
        <v>462</v>
      </c>
      <c r="E873" t="s">
        <v>465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464</v>
      </c>
      <c r="B874" t="s">
        <v>26</v>
      </c>
      <c r="C874" t="s">
        <v>25</v>
      </c>
      <c r="D874" t="s">
        <v>462</v>
      </c>
      <c r="E874" t="s">
        <v>463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461</v>
      </c>
      <c r="B875" t="s">
        <v>26</v>
      </c>
      <c r="C875" t="s">
        <v>457</v>
      </c>
      <c r="D875" t="s">
        <v>457</v>
      </c>
      <c r="E875" t="s">
        <v>460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1A3d Transport - Water borne navigation</v>
      </c>
    </row>
    <row r="876" spans="1:9" x14ac:dyDescent="0.25">
      <c r="A876" t="s">
        <v>459</v>
      </c>
      <c r="B876" t="s">
        <v>26</v>
      </c>
      <c r="C876" t="s">
        <v>457</v>
      </c>
      <c r="D876" t="s">
        <v>457</v>
      </c>
      <c r="E876" t="s">
        <v>458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1A3d Transport - Water borne navigation</v>
      </c>
    </row>
    <row r="877" spans="1:9" x14ac:dyDescent="0.25">
      <c r="A877" t="s">
        <v>456</v>
      </c>
      <c r="B877" t="s">
        <v>387</v>
      </c>
      <c r="C877" t="s">
        <v>445</v>
      </c>
      <c r="D877" t="s">
        <v>448</v>
      </c>
      <c r="E877" t="s">
        <v>455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x14ac:dyDescent="0.25">
      <c r="A878" t="s">
        <v>454</v>
      </c>
      <c r="B878" t="s">
        <v>387</v>
      </c>
      <c r="C878" t="s">
        <v>445</v>
      </c>
      <c r="D878" t="s">
        <v>444</v>
      </c>
      <c r="E878" t="s">
        <v>453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x14ac:dyDescent="0.25">
      <c r="A879" t="s">
        <v>452</v>
      </c>
      <c r="B879" t="s">
        <v>387</v>
      </c>
      <c r="C879" t="s">
        <v>445</v>
      </c>
      <c r="D879" t="s">
        <v>448</v>
      </c>
      <c r="E879" t="s">
        <v>451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1A1 Energy Industries</v>
      </c>
      <c r="I879" t="str">
        <f>INDEX(IPCCMaps!K:K,MATCH(mapPRC!C879,IPCCMaps!G:G,0))</f>
        <v xml:space="preserve">1A1b Petroleum refining </v>
      </c>
    </row>
    <row r="880" spans="1:9" x14ac:dyDescent="0.25">
      <c r="A880" t="s">
        <v>450</v>
      </c>
      <c r="B880" t="s">
        <v>387</v>
      </c>
      <c r="C880" t="s">
        <v>445</v>
      </c>
      <c r="D880" t="s">
        <v>448</v>
      </c>
      <c r="E880" t="s">
        <v>449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1A1 Energy Industries</v>
      </c>
      <c r="I880" t="str">
        <f>INDEX(IPCCMaps!K:K,MATCH(mapPRC!C880,IPCCMaps!G:G,0))</f>
        <v xml:space="preserve">1A1b Petroleum refining </v>
      </c>
    </row>
    <row r="881" spans="1:9" x14ac:dyDescent="0.25">
      <c r="A881" t="s">
        <v>447</v>
      </c>
      <c r="B881" t="s">
        <v>387</v>
      </c>
      <c r="C881" t="s">
        <v>445</v>
      </c>
      <c r="D881" t="s">
        <v>444</v>
      </c>
      <c r="E881" t="s">
        <v>446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1A1 Energy Industries</v>
      </c>
      <c r="I881" t="str">
        <f>INDEX(IPCCMaps!K:K,MATCH(mapPRC!C881,IPCCMaps!G:G,0))</f>
        <v xml:space="preserve">1A1b Petroleum refining </v>
      </c>
    </row>
    <row r="882" spans="1:9" x14ac:dyDescent="0.25">
      <c r="A882" t="s">
        <v>3702</v>
      </c>
      <c r="B882" t="s">
        <v>3716</v>
      </c>
      <c r="C882" t="s">
        <v>3717</v>
      </c>
      <c r="D882" t="s">
        <v>3717</v>
      </c>
      <c r="E882" t="s">
        <v>3703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6254</v>
      </c>
      <c r="B883" t="s">
        <v>3716</v>
      </c>
      <c r="C883" t="s">
        <v>3717</v>
      </c>
      <c r="D883" t="s">
        <v>3717</v>
      </c>
      <c r="E883" t="s">
        <v>6255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3782</v>
      </c>
      <c r="B884" t="s">
        <v>3716</v>
      </c>
      <c r="C884" t="s">
        <v>3717</v>
      </c>
      <c r="D884" t="s">
        <v>3717</v>
      </c>
      <c r="E884" t="s">
        <v>3783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3704</v>
      </c>
      <c r="B885" t="s">
        <v>3716</v>
      </c>
      <c r="C885" t="s">
        <v>3717</v>
      </c>
      <c r="D885" t="s">
        <v>3717</v>
      </c>
      <c r="E885" t="s">
        <v>3705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3706</v>
      </c>
      <c r="B886" t="s">
        <v>3716</v>
      </c>
      <c r="C886" t="s">
        <v>3717</v>
      </c>
      <c r="D886" t="s">
        <v>3717</v>
      </c>
      <c r="E886" t="s">
        <v>3707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3708</v>
      </c>
      <c r="B887" t="s">
        <v>3716</v>
      </c>
      <c r="C887" t="s">
        <v>3718</v>
      </c>
      <c r="D887" t="s">
        <v>3718</v>
      </c>
      <c r="E887" t="s">
        <v>3709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3899</v>
      </c>
      <c r="B888" t="s">
        <v>3716</v>
      </c>
      <c r="C888" t="s">
        <v>3719</v>
      </c>
      <c r="D888" t="s">
        <v>3719</v>
      </c>
      <c r="E888" t="s">
        <v>3900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>1A1a Electricity and Heat Production</v>
      </c>
    </row>
    <row r="889" spans="1:9" x14ac:dyDescent="0.25">
      <c r="A889" t="s">
        <v>3901</v>
      </c>
      <c r="B889" t="s">
        <v>3716</v>
      </c>
      <c r="C889" t="s">
        <v>3719</v>
      </c>
      <c r="D889" t="s">
        <v>3719</v>
      </c>
      <c r="E889" t="s">
        <v>3902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1A1 Energy Industries</v>
      </c>
      <c r="I889" t="str">
        <f>INDEX(IPCCMaps!K:K,MATCH(mapPRC!C889,IPCCMaps!G:G,0))</f>
        <v>1A1a Electricity and Heat Production</v>
      </c>
    </row>
    <row r="890" spans="1:9" x14ac:dyDescent="0.25">
      <c r="A890" t="s">
        <v>3779</v>
      </c>
      <c r="B890" t="s">
        <v>3716</v>
      </c>
      <c r="C890" t="s">
        <v>3719</v>
      </c>
      <c r="D890" t="s">
        <v>3719</v>
      </c>
      <c r="E890" t="s">
        <v>3778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1A1 Energy Industries</v>
      </c>
      <c r="I890" t="str">
        <f>INDEX(IPCCMaps!K:K,MATCH(mapPRC!C890,IPCCMaps!G:G,0))</f>
        <v>1A1a Electricity and Heat Production</v>
      </c>
    </row>
    <row r="891" spans="1:9" x14ac:dyDescent="0.25">
      <c r="A891" t="s">
        <v>443</v>
      </c>
      <c r="B891" t="s">
        <v>386</v>
      </c>
      <c r="C891" t="s">
        <v>3448</v>
      </c>
      <c r="D891" t="s">
        <v>3448</v>
      </c>
      <c r="E891" t="s">
        <v>442</v>
      </c>
      <c r="F891" t="str">
        <f>INDEX(IPCCMaps!H:H,MATCH(mapPRC!C891,IPCCMaps!G:G,0))</f>
        <v xml:space="preserve">2 Industrial Processes and Product Use </v>
      </c>
      <c r="G891" t="str">
        <f>INDEX(IPCCMaps!I:I,MATCH(mapPRC!C891,IPCCMaps!G:G,0))</f>
        <v>2B Chemical Industry</v>
      </c>
      <c r="H891" t="str">
        <f>INDEX(IPCCMaps!J:J,MATCH(mapPRC!C891,IPCCMaps!G:G,0))</f>
        <v>2B10 Hydrogen Production</v>
      </c>
      <c r="I891" t="str">
        <f>INDEX(IPCCMaps!K:K,MATCH(mapPRC!C891,IPCCMaps!G:G,0))</f>
        <v>2B10 Hydrogen Production</v>
      </c>
    </row>
    <row r="892" spans="1:9" x14ac:dyDescent="0.25">
      <c r="A892" t="s">
        <v>441</v>
      </c>
      <c r="B892" t="s">
        <v>387</v>
      </c>
      <c r="C892" t="s">
        <v>411</v>
      </c>
      <c r="D892" t="s">
        <v>411</v>
      </c>
      <c r="E892" t="s">
        <v>440</v>
      </c>
      <c r="F892" t="str">
        <f>INDEX(IPCCMaps!H:H,MATCH(mapPRC!C892,IPCCMaps!G:G,0))</f>
        <v>1 Energy</v>
      </c>
      <c r="G892" t="str">
        <f>INDEX(IPCCMaps!I:I,MATCH(mapPRC!C892,IPCCMaps!G:G,0))</f>
        <v>1B Fugitive Emissions from Fuels</v>
      </c>
      <c r="H892" t="str">
        <f>INDEX(IPCCMaps!J:J,MATCH(mapPRC!C892,IPCCMaps!G:G,0))</f>
        <v>1B3 Other Emissions</v>
      </c>
      <c r="I892" t="str">
        <f>INDEX(IPCCMaps!K:K,MATCH(mapPRC!C892,IPCCMaps!G:G,0))</f>
        <v>1B3 Other Emissions - Sasol</v>
      </c>
    </row>
    <row r="893" spans="1:9" x14ac:dyDescent="0.25">
      <c r="A893" t="s">
        <v>437</v>
      </c>
      <c r="B893" t="s">
        <v>387</v>
      </c>
      <c r="C893" t="s">
        <v>411</v>
      </c>
      <c r="D893" t="s">
        <v>411</v>
      </c>
      <c r="E893" t="s">
        <v>436</v>
      </c>
      <c r="F893" t="str">
        <f>INDEX(IPCCMaps!H:H,MATCH(mapPRC!C893,IPCCMaps!G:G,0))</f>
        <v>1 Energy</v>
      </c>
      <c r="G893" t="str">
        <f>INDEX(IPCCMaps!I:I,MATCH(mapPRC!C893,IPCCMaps!G:G,0))</f>
        <v>1B Fugitive Emissions from Fuels</v>
      </c>
      <c r="H893" t="str">
        <f>INDEX(IPCCMaps!J:J,MATCH(mapPRC!C893,IPCCMaps!G:G,0))</f>
        <v>1B3 Other Emissions</v>
      </c>
      <c r="I893" t="str">
        <f>INDEX(IPCCMaps!K:K,MATCH(mapPRC!C893,IPCCMaps!G:G,0))</f>
        <v>1B3 Other Emissions - Sasol</v>
      </c>
    </row>
    <row r="894" spans="1:9" x14ac:dyDescent="0.25">
      <c r="A894" t="s">
        <v>439</v>
      </c>
      <c r="B894" t="s">
        <v>387</v>
      </c>
      <c r="C894" t="s">
        <v>411</v>
      </c>
      <c r="D894" t="s">
        <v>411</v>
      </c>
      <c r="E894" t="s">
        <v>438</v>
      </c>
      <c r="F894" t="str">
        <f>INDEX(IPCCMaps!H:H,MATCH(mapPRC!C894,IPCCMaps!G:G,0))</f>
        <v>1 Energy</v>
      </c>
      <c r="G894" t="str">
        <f>INDEX(IPCCMaps!I:I,MATCH(mapPRC!C894,IPCCMaps!G:G,0))</f>
        <v>1B Fugitive Emissions from Fuels</v>
      </c>
      <c r="H894" t="str">
        <f>INDEX(IPCCMaps!J:J,MATCH(mapPRC!C894,IPCCMaps!G:G,0))</f>
        <v>1B3 Other Emissions</v>
      </c>
      <c r="I894" t="str">
        <f>INDEX(IPCCMaps!K:K,MATCH(mapPRC!C894,IPCCMaps!G:G,0))</f>
        <v>1B3 Other Emissions - Sasol</v>
      </c>
    </row>
    <row r="895" spans="1:9" x14ac:dyDescent="0.25">
      <c r="A895" t="s">
        <v>3841</v>
      </c>
      <c r="B895" t="s">
        <v>3589</v>
      </c>
      <c r="C895" t="s">
        <v>3589</v>
      </c>
      <c r="D895" t="s">
        <v>3589</v>
      </c>
      <c r="E895" t="s">
        <v>3842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3455</v>
      </c>
      <c r="B896" t="s">
        <v>386</v>
      </c>
      <c r="C896" t="s">
        <v>3449</v>
      </c>
      <c r="D896" t="s">
        <v>3598</v>
      </c>
      <c r="E896" t="s">
        <v>3456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3457</v>
      </c>
      <c r="B897" t="s">
        <v>386</v>
      </c>
      <c r="C897" t="s">
        <v>3449</v>
      </c>
      <c r="D897" t="s">
        <v>3599</v>
      </c>
      <c r="E897" t="s">
        <v>3458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3578</v>
      </c>
      <c r="B898" t="s">
        <v>3716</v>
      </c>
      <c r="C898" t="s">
        <v>3597</v>
      </c>
      <c r="D898" t="s">
        <v>3597</v>
      </c>
      <c r="E898" t="s">
        <v>3579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1A1 Energy Industries</v>
      </c>
      <c r="I898" t="str">
        <f>INDEX(IPCCMaps!K:K,MATCH(mapPRC!C898,IPCCMaps!G:G,0))</f>
        <v>1A1a Electricity and Heat Production</v>
      </c>
    </row>
    <row r="899" spans="1:9" x14ac:dyDescent="0.25">
      <c r="A899" t="s">
        <v>3856</v>
      </c>
      <c r="B899" t="s">
        <v>3716</v>
      </c>
      <c r="C899" t="s">
        <v>3597</v>
      </c>
      <c r="D899" t="s">
        <v>3597</v>
      </c>
      <c r="E899" t="s">
        <v>3857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1A1 Energy Industries</v>
      </c>
      <c r="I899" t="str">
        <f>INDEX(IPCCMaps!K:K,MATCH(mapPRC!C899,IPCCMaps!G:G,0))</f>
        <v>1A1a Electricity and Heat Production</v>
      </c>
    </row>
    <row r="900" spans="1:9" x14ac:dyDescent="0.25">
      <c r="A900" t="s">
        <v>3459</v>
      </c>
      <c r="B900" t="s">
        <v>387</v>
      </c>
      <c r="C900" t="s">
        <v>3600</v>
      </c>
      <c r="D900" t="s">
        <v>3600</v>
      </c>
      <c r="E900" t="s">
        <v>3460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435</v>
      </c>
      <c r="D901" t="s">
        <v>0</v>
      </c>
      <c r="E901" t="s">
        <v>434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433</v>
      </c>
      <c r="D902" t="s">
        <v>0</v>
      </c>
      <c r="E902" t="s">
        <v>432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429</v>
      </c>
      <c r="D903" t="s">
        <v>0</v>
      </c>
      <c r="E903" t="s">
        <v>428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431</v>
      </c>
      <c r="D904" t="s">
        <v>0</v>
      </c>
      <c r="E904" t="s">
        <v>430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427</v>
      </c>
      <c r="B905" t="s">
        <v>21</v>
      </c>
      <c r="C905" t="s">
        <v>423</v>
      </c>
      <c r="D905" t="s">
        <v>3443</v>
      </c>
      <c r="E905" t="s">
        <v>426</v>
      </c>
      <c r="F905" t="str">
        <f>INDEX(IPCCMaps!H:H,MATCH(mapPRC!C905,IPCCMaps!G:G,0))</f>
        <v>1 Energy</v>
      </c>
      <c r="G905">
        <f>INDEX(IPCCMaps!I:I,MATCH(mapPRC!C905,IPCCMaps!G:G,0))</f>
        <v>0</v>
      </c>
      <c r="H905">
        <f>INDEX(IPCCMaps!J:J,MATCH(mapPRC!C905,IPCCMaps!G:G,0))</f>
        <v>0</v>
      </c>
      <c r="I905">
        <f>INDEX(IPCCMaps!K:K,MATCH(mapPRC!C905,IPCCMaps!G:G,0))</f>
        <v>0</v>
      </c>
    </row>
    <row r="906" spans="1:9" x14ac:dyDescent="0.25">
      <c r="A906" t="s">
        <v>425</v>
      </c>
      <c r="B906" t="s">
        <v>21</v>
      </c>
      <c r="C906" t="s">
        <v>423</v>
      </c>
      <c r="D906" t="s">
        <v>3443</v>
      </c>
      <c r="E906" t="s">
        <v>424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422</v>
      </c>
      <c r="B907" t="s">
        <v>387</v>
      </c>
      <c r="C907" t="s">
        <v>416</v>
      </c>
      <c r="D907" t="s">
        <v>416</v>
      </c>
      <c r="E907" t="s">
        <v>421</v>
      </c>
      <c r="F907" t="str">
        <f>INDEX(IPCCMaps!H:H,MATCH(mapPRC!C907,IPCCMaps!G:G,0))</f>
        <v>1 Energy</v>
      </c>
      <c r="G907" t="str">
        <f>INDEX(IPCCMaps!I:I,MATCH(mapPRC!C907,IPCCMaps!G:G,0))</f>
        <v>1B Fugitive Emissions from Fuels</v>
      </c>
      <c r="H907" t="str">
        <f>INDEX(IPCCMaps!J:J,MATCH(mapPRC!C907,IPCCMaps!G:G,0))</f>
        <v>1B3 Other Emissions</v>
      </c>
      <c r="I907" t="str">
        <f>INDEX(IPCCMaps!K:K,MATCH(mapPRC!C907,IPCCMaps!G:G,0))</f>
        <v>1B3 Other Emissions - Petro SA</v>
      </c>
    </row>
    <row r="908" spans="1:9" x14ac:dyDescent="0.25">
      <c r="A908" t="s">
        <v>420</v>
      </c>
      <c r="B908" t="s">
        <v>387</v>
      </c>
      <c r="C908" t="s">
        <v>416</v>
      </c>
      <c r="D908" t="s">
        <v>416</v>
      </c>
      <c r="E908" t="s">
        <v>419</v>
      </c>
      <c r="F908" t="str">
        <f>INDEX(IPCCMaps!H:H,MATCH(mapPRC!C908,IPCCMaps!G:G,0))</f>
        <v>1 Energy</v>
      </c>
      <c r="G908" t="str">
        <f>INDEX(IPCCMaps!I:I,MATCH(mapPRC!C908,IPCCMaps!G:G,0))</f>
        <v>1B Fugitive Emissions from Fuels</v>
      </c>
      <c r="H908" t="str">
        <f>INDEX(IPCCMaps!J:J,MATCH(mapPRC!C908,IPCCMaps!G:G,0))</f>
        <v>1B3 Other Emissions</v>
      </c>
      <c r="I908" t="str">
        <f>INDEX(IPCCMaps!K:K,MATCH(mapPRC!C908,IPCCMaps!G:G,0))</f>
        <v>1B3 Other Emissions - Petro SA</v>
      </c>
    </row>
    <row r="909" spans="1:9" x14ac:dyDescent="0.25">
      <c r="A909" t="s">
        <v>418</v>
      </c>
      <c r="B909" t="s">
        <v>387</v>
      </c>
      <c r="C909" t="s">
        <v>416</v>
      </c>
      <c r="D909" t="s">
        <v>416</v>
      </c>
      <c r="E909" t="s">
        <v>417</v>
      </c>
      <c r="F909" t="str">
        <f>INDEX(IPCCMaps!H:H,MATCH(mapPRC!C909,IPCCMaps!G:G,0))</f>
        <v>1 Energy</v>
      </c>
      <c r="G909" t="str">
        <f>INDEX(IPCCMaps!I:I,MATCH(mapPRC!C909,IPCCMaps!G:G,0))</f>
        <v>1B Fugitive Emissions from Fuels</v>
      </c>
      <c r="H909" t="str">
        <f>INDEX(IPCCMaps!J:J,MATCH(mapPRC!C909,IPCCMaps!G:G,0))</f>
        <v>1B3 Other Emissions</v>
      </c>
      <c r="I909" t="str">
        <f>INDEX(IPCCMaps!K:K,MATCH(mapPRC!C909,IPCCMaps!G:G,0))</f>
        <v>1B3 Other Emissions - Petro SA</v>
      </c>
    </row>
    <row r="910" spans="1:9" x14ac:dyDescent="0.25">
      <c r="A910" t="s">
        <v>415</v>
      </c>
      <c r="B910" t="s">
        <v>387</v>
      </c>
      <c r="C910" t="s">
        <v>3125</v>
      </c>
      <c r="D910" t="s">
        <v>411</v>
      </c>
      <c r="E910" t="s">
        <v>414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1A1 Energy Industries</v>
      </c>
      <c r="I910" t="str">
        <f>INDEX(IPCCMaps!K:K,MATCH(mapPRC!C910,IPCCMaps!G:G,0))</f>
        <v>1A1c Manufacture of solid fuels and other energy industries</v>
      </c>
    </row>
    <row r="911" spans="1:9" x14ac:dyDescent="0.25">
      <c r="A911" t="s">
        <v>413</v>
      </c>
      <c r="B911" t="s">
        <v>387</v>
      </c>
      <c r="C911" t="s">
        <v>3125</v>
      </c>
      <c r="D911" t="s">
        <v>411</v>
      </c>
      <c r="E911" t="s">
        <v>412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1A1 Energy Industries</v>
      </c>
      <c r="I911" t="str">
        <f>INDEX(IPCCMaps!K:K,MATCH(mapPRC!C911,IPCCMaps!G:G,0))</f>
        <v>1A1c Manufacture of solid fuels and other energy industries</v>
      </c>
    </row>
    <row r="912" spans="1:9" x14ac:dyDescent="0.25">
      <c r="A912" t="s">
        <v>410</v>
      </c>
      <c r="B912" t="s">
        <v>387</v>
      </c>
      <c r="D912" t="s">
        <v>406</v>
      </c>
      <c r="E912" t="s">
        <v>409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408</v>
      </c>
      <c r="B913" t="s">
        <v>387</v>
      </c>
      <c r="D913" t="s">
        <v>406</v>
      </c>
      <c r="E913" t="s">
        <v>407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402</v>
      </c>
      <c r="B914" t="s">
        <v>21</v>
      </c>
      <c r="C914" t="s">
        <v>423</v>
      </c>
      <c r="D914" t="s">
        <v>400</v>
      </c>
      <c r="E914" t="s">
        <v>401</v>
      </c>
      <c r="F914" t="str">
        <f>INDEX(IPCCMaps!H:H,MATCH(mapPRC!C914,IPCCMaps!G:G,0))</f>
        <v>1 Energy</v>
      </c>
      <c r="G914">
        <f>INDEX(IPCCMaps!I:I,MATCH(mapPRC!C914,IPCCMaps!G:G,0))</f>
        <v>0</v>
      </c>
      <c r="H914">
        <f>INDEX(IPCCMaps!J:J,MATCH(mapPRC!C914,IPCCMaps!G:G,0))</f>
        <v>0</v>
      </c>
      <c r="I914">
        <f>INDEX(IPCCMaps!K:K,MATCH(mapPRC!C914,IPCCMaps!G:G,0))</f>
        <v>0</v>
      </c>
    </row>
    <row r="915" spans="1:9" x14ac:dyDescent="0.25">
      <c r="A915" t="s">
        <v>405</v>
      </c>
      <c r="B915" t="s">
        <v>21</v>
      </c>
      <c r="C915" t="s">
        <v>423</v>
      </c>
      <c r="D915" t="s">
        <v>400</v>
      </c>
      <c r="E915" t="s">
        <v>404</v>
      </c>
      <c r="F915" t="str">
        <f>INDEX(IPCCMaps!H:H,MATCH(mapPRC!C915,IPCCMaps!G:G,0))</f>
        <v>1 Energy</v>
      </c>
      <c r="G915">
        <f>INDEX(IPCCMaps!I:I,MATCH(mapPRC!C915,IPCCMaps!G:G,0))</f>
        <v>0</v>
      </c>
      <c r="H915">
        <f>INDEX(IPCCMaps!J:J,MATCH(mapPRC!C915,IPCCMaps!G:G,0))</f>
        <v>0</v>
      </c>
      <c r="I915">
        <f>INDEX(IPCCMaps!K:K,MATCH(mapPRC!C915,IPCCMaps!G:G,0))</f>
        <v>0</v>
      </c>
    </row>
    <row r="916" spans="1:9" x14ac:dyDescent="0.25">
      <c r="A916" t="s">
        <v>5453</v>
      </c>
      <c r="B916" t="s">
        <v>387</v>
      </c>
      <c r="C916" t="s">
        <v>392</v>
      </c>
      <c r="D916" t="s">
        <v>392</v>
      </c>
      <c r="E916" t="s">
        <v>5454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 xml:space="preserve">1A1b Petroleum refining </v>
      </c>
    </row>
    <row r="917" spans="1:9" x14ac:dyDescent="0.25">
      <c r="A917" t="s">
        <v>398</v>
      </c>
      <c r="B917" t="s">
        <v>387</v>
      </c>
      <c r="C917" t="s">
        <v>392</v>
      </c>
      <c r="D917" t="s">
        <v>392</v>
      </c>
      <c r="E917" t="s">
        <v>5455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1A1 Energy Industries</v>
      </c>
      <c r="I917" t="str">
        <f>INDEX(IPCCMaps!K:K,MATCH(mapPRC!C917,IPCCMaps!G:G,0))</f>
        <v xml:space="preserve">1A1b Petroleum refining </v>
      </c>
    </row>
    <row r="918" spans="1:9" x14ac:dyDescent="0.25">
      <c r="A918" t="s">
        <v>396</v>
      </c>
      <c r="B918" t="s">
        <v>387</v>
      </c>
      <c r="C918" t="s">
        <v>392</v>
      </c>
      <c r="D918" t="s">
        <v>392</v>
      </c>
      <c r="E918" t="s">
        <v>395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1A1 Energy Industries</v>
      </c>
      <c r="I918" t="str">
        <f>INDEX(IPCCMaps!K:K,MATCH(mapPRC!C918,IPCCMaps!G:G,0))</f>
        <v xml:space="preserve">1A1b Petroleum refining </v>
      </c>
    </row>
    <row r="919" spans="1:9" x14ac:dyDescent="0.25">
      <c r="A919" t="s">
        <v>394</v>
      </c>
      <c r="B919" t="s">
        <v>387</v>
      </c>
      <c r="C919" t="s">
        <v>392</v>
      </c>
      <c r="D919" t="s">
        <v>392</v>
      </c>
      <c r="E919" t="s">
        <v>393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1A1 Energy Industries</v>
      </c>
      <c r="I919" t="str">
        <f>INDEX(IPCCMaps!K:K,MATCH(mapPRC!C919,IPCCMaps!G:G,0))</f>
        <v xml:space="preserve">1A1b Petroleum refining </v>
      </c>
    </row>
    <row r="920" spans="1:9" x14ac:dyDescent="0.25">
      <c r="A920" t="s">
        <v>391</v>
      </c>
      <c r="B920" t="s">
        <v>386</v>
      </c>
      <c r="C920" t="s">
        <v>3450</v>
      </c>
      <c r="D920" t="s">
        <v>3450</v>
      </c>
      <c r="E920" t="s">
        <v>390</v>
      </c>
      <c r="F920" t="str">
        <f>INDEX(IPCCMaps!H:H,MATCH(mapPRC!C920,IPCCMaps!G:G,0))</f>
        <v xml:space="preserve">2 Industrial Processes and Product Use </v>
      </c>
      <c r="G920" t="str">
        <f>INDEX(IPCCMaps!I:I,MATCH(mapPRC!C920,IPCCMaps!G:G,0))</f>
        <v>2B Chemical Industry</v>
      </c>
      <c r="H920" t="str">
        <f>INDEX(IPCCMaps!J:J,MATCH(mapPRC!C920,IPCCMaps!G:G,0))</f>
        <v>2B10 Hydrogen Production</v>
      </c>
      <c r="I920" t="str">
        <f>INDEX(IPCCMaps!K:K,MATCH(mapPRC!C920,IPCCMaps!G:G,0))</f>
        <v>2B10 Hydrogen Production</v>
      </c>
    </row>
    <row r="921" spans="1:9" x14ac:dyDescent="0.25">
      <c r="A921" t="s">
        <v>389</v>
      </c>
      <c r="B921" t="s">
        <v>386</v>
      </c>
      <c r="C921" t="s">
        <v>3450</v>
      </c>
      <c r="D921" t="s">
        <v>3450</v>
      </c>
      <c r="E921" t="s">
        <v>388</v>
      </c>
      <c r="F921" t="str">
        <f>INDEX(IPCCMaps!H:H,MATCH(mapPRC!C921,IPCCMaps!G:G,0))</f>
        <v xml:space="preserve">2 Industrial Processes and Product Use </v>
      </c>
      <c r="G921" t="str">
        <f>INDEX(IPCCMaps!I:I,MATCH(mapPRC!C921,IPCCMaps!G:G,0))</f>
        <v>2B Chemical Industry</v>
      </c>
      <c r="H921" t="str">
        <f>INDEX(IPCCMaps!J:J,MATCH(mapPRC!C921,IPCCMaps!G:G,0))</f>
        <v>2B10 Hydrogen Production</v>
      </c>
      <c r="I921" t="str">
        <f>INDEX(IPCCMaps!K:K,MATCH(mapPRC!C921,IPCCMaps!G:G,0))</f>
        <v>2B10 Hydrogen Production</v>
      </c>
    </row>
    <row r="922" spans="1:9" x14ac:dyDescent="0.25">
      <c r="A922" t="s">
        <v>385</v>
      </c>
      <c r="B922" t="s">
        <v>21</v>
      </c>
      <c r="D922" t="s">
        <v>0</v>
      </c>
      <c r="E922" t="s">
        <v>384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382</v>
      </c>
      <c r="D923" t="s">
        <v>0</v>
      </c>
      <c r="E923" t="s">
        <v>381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380</v>
      </c>
      <c r="D924" t="s">
        <v>0</v>
      </c>
      <c r="E924" t="s">
        <v>379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374</v>
      </c>
      <c r="D925" t="s">
        <v>0</v>
      </c>
      <c r="E925" t="s">
        <v>373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378</v>
      </c>
      <c r="D926" t="s">
        <v>0</v>
      </c>
      <c r="E926" t="s">
        <v>377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376</v>
      </c>
      <c r="D927" t="s">
        <v>0</v>
      </c>
      <c r="E927" t="s">
        <v>375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372</v>
      </c>
      <c r="D928" t="s">
        <v>0</v>
      </c>
      <c r="E928" t="s">
        <v>371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370</v>
      </c>
      <c r="D929" t="s">
        <v>0</v>
      </c>
      <c r="E929" t="s">
        <v>369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368</v>
      </c>
      <c r="B930" t="s">
        <v>145</v>
      </c>
      <c r="C930" t="s">
        <v>144</v>
      </c>
      <c r="D930" t="s">
        <v>5893</v>
      </c>
      <c r="E930" t="s">
        <v>367</v>
      </c>
      <c r="F930" t="str">
        <f>INDEX(IPCCMaps!H:H,MATCH(mapPRC!C930,IPCCMaps!G:G,0))</f>
        <v>1 Energy</v>
      </c>
      <c r="G930">
        <f>INDEX(IPCCMaps!I:I,MATCH(mapPRC!C930,IPCCMaps!G:G,0))</f>
        <v>0</v>
      </c>
      <c r="H930">
        <f>INDEX(IPCCMaps!J:J,MATCH(mapPRC!C930,IPCCMaps!G:G,0))</f>
        <v>0</v>
      </c>
      <c r="I930">
        <f>INDEX(IPCCMaps!K:K,MATCH(mapPRC!C930,IPCCMaps!G:G,0))</f>
        <v>0</v>
      </c>
    </row>
    <row r="931" spans="1:9" x14ac:dyDescent="0.25">
      <c r="A931" t="s">
        <v>365</v>
      </c>
      <c r="D931" t="s">
        <v>0</v>
      </c>
      <c r="E931" t="s">
        <v>364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363</v>
      </c>
      <c r="D932" t="s">
        <v>0</v>
      </c>
      <c r="E932" t="s">
        <v>362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361</v>
      </c>
      <c r="D933" t="s">
        <v>0</v>
      </c>
      <c r="E933" t="s">
        <v>360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359</v>
      </c>
      <c r="D934" t="s">
        <v>0</v>
      </c>
      <c r="E934" t="s">
        <v>358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357</v>
      </c>
      <c r="D935" t="s">
        <v>0</v>
      </c>
      <c r="E935" t="s">
        <v>356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t="15.75" x14ac:dyDescent="0.25">
      <c r="A936" s="20" t="s">
        <v>6248</v>
      </c>
      <c r="D936" t="s">
        <v>0</v>
      </c>
      <c r="E936" t="s">
        <v>6249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3712</v>
      </c>
      <c r="D937" t="s">
        <v>0</v>
      </c>
      <c r="E937" t="s">
        <v>3713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355</v>
      </c>
      <c r="D938" t="s">
        <v>0</v>
      </c>
      <c r="E938" t="s">
        <v>354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353</v>
      </c>
      <c r="B939" t="s">
        <v>145</v>
      </c>
      <c r="C939" t="s">
        <v>144</v>
      </c>
      <c r="D939" t="s">
        <v>5894</v>
      </c>
      <c r="E939" t="s">
        <v>352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350</v>
      </c>
      <c r="D940" t="s">
        <v>0</v>
      </c>
      <c r="E940" t="s">
        <v>349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348</v>
      </c>
      <c r="D941" t="s">
        <v>0</v>
      </c>
      <c r="E941" t="s">
        <v>347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346</v>
      </c>
      <c r="D942" t="s">
        <v>0</v>
      </c>
      <c r="E942" t="s">
        <v>345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344</v>
      </c>
      <c r="D943" t="s">
        <v>0</v>
      </c>
      <c r="E943" t="s">
        <v>343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342</v>
      </c>
      <c r="D944" t="s">
        <v>0</v>
      </c>
      <c r="E944" t="s">
        <v>341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340</v>
      </c>
      <c r="D945" t="s">
        <v>0</v>
      </c>
      <c r="E945" t="s">
        <v>339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338</v>
      </c>
      <c r="B946" t="s">
        <v>145</v>
      </c>
      <c r="C946" t="s">
        <v>144</v>
      </c>
      <c r="D946" t="s">
        <v>5895</v>
      </c>
      <c r="E946" t="s">
        <v>337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x14ac:dyDescent="0.25">
      <c r="A947" t="s">
        <v>336</v>
      </c>
      <c r="D947" t="s">
        <v>0</v>
      </c>
      <c r="E947" t="s">
        <v>335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333</v>
      </c>
      <c r="B948" t="s">
        <v>145</v>
      </c>
      <c r="C948" t="s">
        <v>144</v>
      </c>
      <c r="D948" t="s">
        <v>5895</v>
      </c>
      <c r="E948" t="s">
        <v>332</v>
      </c>
      <c r="F948" t="str">
        <f>INDEX(IPCCMaps!H:H,MATCH(mapPRC!C948,IPCCMaps!G:G,0))</f>
        <v>1 Energy</v>
      </c>
      <c r="G948">
        <f>INDEX(IPCCMaps!I:I,MATCH(mapPRC!C948,IPCCMaps!G:G,0))</f>
        <v>0</v>
      </c>
      <c r="H948">
        <f>INDEX(IPCCMaps!J:J,MATCH(mapPRC!C948,IPCCMaps!G:G,0))</f>
        <v>0</v>
      </c>
      <c r="I948">
        <f>INDEX(IPCCMaps!K:K,MATCH(mapPRC!C948,IPCCMaps!G:G,0))</f>
        <v>0</v>
      </c>
    </row>
    <row r="949" spans="1:9" x14ac:dyDescent="0.25">
      <c r="A949" t="s">
        <v>331</v>
      </c>
      <c r="D949" t="s">
        <v>0</v>
      </c>
      <c r="E949" t="s">
        <v>330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328</v>
      </c>
      <c r="B950" t="s">
        <v>145</v>
      </c>
      <c r="C950" t="s">
        <v>144</v>
      </c>
      <c r="D950" t="s">
        <v>5895</v>
      </c>
      <c r="E950" t="s">
        <v>327</v>
      </c>
      <c r="F950" t="str">
        <f>INDEX(IPCCMaps!H:H,MATCH(mapPRC!C950,IPCCMaps!G:G,0))</f>
        <v>1 Energy</v>
      </c>
      <c r="G950">
        <f>INDEX(IPCCMaps!I:I,MATCH(mapPRC!C950,IPCCMaps!G:G,0))</f>
        <v>0</v>
      </c>
      <c r="H950">
        <f>INDEX(IPCCMaps!J:J,MATCH(mapPRC!C950,IPCCMaps!G:G,0))</f>
        <v>0</v>
      </c>
      <c r="I950">
        <f>INDEX(IPCCMaps!K:K,MATCH(mapPRC!C950,IPCCMaps!G:G,0))</f>
        <v>0</v>
      </c>
    </row>
    <row r="951" spans="1:9" x14ac:dyDescent="0.25">
      <c r="A951" t="s">
        <v>326</v>
      </c>
      <c r="D951" t="s">
        <v>0</v>
      </c>
      <c r="E951" t="s">
        <v>325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324</v>
      </c>
      <c r="D952" t="s">
        <v>0</v>
      </c>
      <c r="E952" t="s">
        <v>323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322</v>
      </c>
      <c r="D953" t="s">
        <v>0</v>
      </c>
      <c r="E953" t="s">
        <v>321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320</v>
      </c>
      <c r="D954" t="s">
        <v>0</v>
      </c>
      <c r="E954" t="s">
        <v>319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318</v>
      </c>
      <c r="B955" t="s">
        <v>145</v>
      </c>
      <c r="C955" t="s">
        <v>144</v>
      </c>
      <c r="D955" t="s">
        <v>5895</v>
      </c>
      <c r="E955" t="s">
        <v>317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3082</v>
      </c>
      <c r="D956" t="s">
        <v>0</v>
      </c>
      <c r="E956" t="s">
        <v>3083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316</v>
      </c>
      <c r="D957" t="s">
        <v>0</v>
      </c>
      <c r="E957" t="s">
        <v>315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313</v>
      </c>
      <c r="D958" t="s">
        <v>0</v>
      </c>
      <c r="E958" t="s">
        <v>312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311</v>
      </c>
      <c r="D959" t="s">
        <v>0</v>
      </c>
      <c r="E959" t="s">
        <v>310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309</v>
      </c>
      <c r="D960" t="s">
        <v>0</v>
      </c>
      <c r="E960" t="s">
        <v>308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307</v>
      </c>
      <c r="D961" t="s">
        <v>0</v>
      </c>
      <c r="E961" t="s">
        <v>306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305</v>
      </c>
      <c r="B962" t="s">
        <v>145</v>
      </c>
      <c r="C962" t="s">
        <v>144</v>
      </c>
      <c r="D962" t="s">
        <v>5895</v>
      </c>
      <c r="E962" t="s">
        <v>304</v>
      </c>
      <c r="F962" t="str">
        <f>INDEX(IPCCMaps!H:H,MATCH(mapPRC!C962,IPCCMaps!G:G,0))</f>
        <v>1 Energy</v>
      </c>
      <c r="G962">
        <f>INDEX(IPCCMaps!I:I,MATCH(mapPRC!C962,IPCCMaps!G:G,0))</f>
        <v>0</v>
      </c>
      <c r="H962">
        <f>INDEX(IPCCMaps!J:J,MATCH(mapPRC!C962,IPCCMaps!G:G,0))</f>
        <v>0</v>
      </c>
      <c r="I962">
        <f>INDEX(IPCCMaps!K:K,MATCH(mapPRC!C962,IPCCMaps!G:G,0))</f>
        <v>0</v>
      </c>
    </row>
    <row r="963" spans="1:9" x14ac:dyDescent="0.25">
      <c r="A963" t="s">
        <v>303</v>
      </c>
      <c r="D963" t="s">
        <v>0</v>
      </c>
      <c r="E963" t="s">
        <v>302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301</v>
      </c>
      <c r="D964" t="s">
        <v>0</v>
      </c>
      <c r="E964" t="s">
        <v>300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3514</v>
      </c>
      <c r="D965" t="s">
        <v>0</v>
      </c>
      <c r="E965" t="s">
        <v>3515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299</v>
      </c>
      <c r="D966" t="s">
        <v>0</v>
      </c>
      <c r="E966" t="s">
        <v>298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23</v>
      </c>
      <c r="D967" t="s">
        <v>0</v>
      </c>
      <c r="E967" t="s">
        <v>22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5483</v>
      </c>
      <c r="D968" t="s">
        <v>0</v>
      </c>
      <c r="E968" t="s">
        <v>5484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297</v>
      </c>
      <c r="D969" t="s">
        <v>0</v>
      </c>
      <c r="E969" t="s">
        <v>296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295</v>
      </c>
      <c r="D970" t="s">
        <v>0</v>
      </c>
      <c r="E970" t="s">
        <v>294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293</v>
      </c>
      <c r="D971" t="s">
        <v>0</v>
      </c>
      <c r="E971" t="s">
        <v>292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291</v>
      </c>
      <c r="D972" t="s">
        <v>0</v>
      </c>
      <c r="E972" t="s">
        <v>290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289</v>
      </c>
      <c r="D973" t="s">
        <v>0</v>
      </c>
      <c r="E973" t="s">
        <v>288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5489</v>
      </c>
      <c r="D974" t="s">
        <v>0</v>
      </c>
      <c r="E974" t="s">
        <v>5490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3574</v>
      </c>
      <c r="D975" t="s">
        <v>0</v>
      </c>
      <c r="E975" t="s">
        <v>3575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5831</v>
      </c>
      <c r="D976" t="s">
        <v>0</v>
      </c>
      <c r="E976" t="s">
        <v>5809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287</v>
      </c>
      <c r="D977" t="s">
        <v>0</v>
      </c>
      <c r="E977" t="s">
        <v>286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285</v>
      </c>
      <c r="D978" t="s">
        <v>0</v>
      </c>
      <c r="E978" t="s">
        <v>284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283</v>
      </c>
      <c r="D979" t="s">
        <v>0</v>
      </c>
      <c r="E979" t="s">
        <v>282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281</v>
      </c>
      <c r="D980" t="s">
        <v>0</v>
      </c>
      <c r="E980" t="s">
        <v>280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279</v>
      </c>
      <c r="D981" t="s">
        <v>0</v>
      </c>
      <c r="E981" t="s">
        <v>278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5832</v>
      </c>
      <c r="D982" t="s">
        <v>0</v>
      </c>
      <c r="E982" t="s">
        <v>5833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277</v>
      </c>
      <c r="B983" t="s">
        <v>145</v>
      </c>
      <c r="C983" t="s">
        <v>144</v>
      </c>
      <c r="D983" t="s">
        <v>5895</v>
      </c>
      <c r="E983" t="s">
        <v>276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x14ac:dyDescent="0.25">
      <c r="A984" t="s">
        <v>275</v>
      </c>
      <c r="D984" t="s">
        <v>0</v>
      </c>
      <c r="E984" t="s">
        <v>274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272</v>
      </c>
      <c r="D985" t="s">
        <v>0</v>
      </c>
      <c r="E985" t="s">
        <v>271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270</v>
      </c>
      <c r="D986" t="s">
        <v>0</v>
      </c>
      <c r="E986" t="s">
        <v>269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268</v>
      </c>
      <c r="B987" t="s">
        <v>145</v>
      </c>
      <c r="C987" t="s">
        <v>144</v>
      </c>
      <c r="D987" t="s">
        <v>5895</v>
      </c>
      <c r="E987" t="s">
        <v>267</v>
      </c>
      <c r="F987" t="str">
        <f>INDEX(IPCCMaps!H:H,MATCH(mapPRC!C987,IPCCMaps!G:G,0))</f>
        <v>1 Energy</v>
      </c>
      <c r="G987">
        <f>INDEX(IPCCMaps!I:I,MATCH(mapPRC!C987,IPCCMaps!G:G,0))</f>
        <v>0</v>
      </c>
      <c r="H987">
        <f>INDEX(IPCCMaps!J:J,MATCH(mapPRC!C987,IPCCMaps!G:G,0))</f>
        <v>0</v>
      </c>
      <c r="I987">
        <f>INDEX(IPCCMaps!K:K,MATCH(mapPRC!C987,IPCCMaps!G:G,0))</f>
        <v>0</v>
      </c>
    </row>
    <row r="988" spans="1:9" x14ac:dyDescent="0.25">
      <c r="A988" t="s">
        <v>266</v>
      </c>
      <c r="D988" t="s">
        <v>0</v>
      </c>
      <c r="E988" t="s">
        <v>265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263</v>
      </c>
      <c r="D989" t="s">
        <v>0</v>
      </c>
      <c r="E989" t="s">
        <v>262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3809</v>
      </c>
      <c r="D990" t="s">
        <v>0</v>
      </c>
      <c r="E990" s="5" t="s">
        <v>3810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3811</v>
      </c>
      <c r="D991" t="s">
        <v>0</v>
      </c>
      <c r="E991" s="5" t="s">
        <v>3812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3813</v>
      </c>
      <c r="D992" t="s">
        <v>0</v>
      </c>
      <c r="E992" s="5" t="s">
        <v>3814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261</v>
      </c>
      <c r="B993" t="s">
        <v>145</v>
      </c>
      <c r="C993" t="s">
        <v>144</v>
      </c>
      <c r="D993" t="s">
        <v>5895</v>
      </c>
      <c r="E993" t="s">
        <v>260</v>
      </c>
      <c r="F993" t="str">
        <f>INDEX(IPCCMaps!H:H,MATCH(mapPRC!C993,IPCCMaps!G:G,0))</f>
        <v>1 Energy</v>
      </c>
      <c r="G993">
        <f>INDEX(IPCCMaps!I:I,MATCH(mapPRC!C993,IPCCMaps!G:G,0))</f>
        <v>0</v>
      </c>
      <c r="H993">
        <f>INDEX(IPCCMaps!J:J,MATCH(mapPRC!C993,IPCCMaps!G:G,0))</f>
        <v>0</v>
      </c>
      <c r="I993">
        <f>INDEX(IPCCMaps!K:K,MATCH(mapPRC!C993,IPCCMaps!G:G,0))</f>
        <v>0</v>
      </c>
    </row>
    <row r="994" spans="1:9" x14ac:dyDescent="0.25">
      <c r="A994" t="s">
        <v>259</v>
      </c>
      <c r="D994" t="s">
        <v>0</v>
      </c>
      <c r="E994" t="s">
        <v>258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3797</v>
      </c>
      <c r="D995" t="s">
        <v>0</v>
      </c>
      <c r="E995" t="s">
        <v>3801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256</v>
      </c>
      <c r="D996" t="s">
        <v>0</v>
      </c>
      <c r="E996" t="s">
        <v>255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3761</v>
      </c>
      <c r="D997" t="s">
        <v>0</v>
      </c>
      <c r="E997" t="s">
        <v>255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254</v>
      </c>
      <c r="D998" t="s">
        <v>0</v>
      </c>
      <c r="E998" t="s">
        <v>253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252</v>
      </c>
      <c r="B999" t="s">
        <v>145</v>
      </c>
      <c r="C999" t="s">
        <v>144</v>
      </c>
      <c r="D999" t="s">
        <v>5895</v>
      </c>
      <c r="E999" t="s">
        <v>251</v>
      </c>
      <c r="F999" t="str">
        <f>INDEX(IPCCMaps!H:H,MATCH(mapPRC!C999,IPCCMaps!G:G,0))</f>
        <v>1 Energy</v>
      </c>
      <c r="G999">
        <f>INDEX(IPCCMaps!I:I,MATCH(mapPRC!C999,IPCCMaps!G:G,0))</f>
        <v>0</v>
      </c>
      <c r="H999">
        <f>INDEX(IPCCMaps!J:J,MATCH(mapPRC!C999,IPCCMaps!G:G,0))</f>
        <v>0</v>
      </c>
      <c r="I999">
        <f>INDEX(IPCCMaps!K:K,MATCH(mapPRC!C999,IPCCMaps!G:G,0))</f>
        <v>0</v>
      </c>
    </row>
    <row r="1000" spans="1:9" x14ac:dyDescent="0.25">
      <c r="A1000" t="s">
        <v>250</v>
      </c>
      <c r="D1000" t="s">
        <v>0</v>
      </c>
      <c r="E1000" t="s">
        <v>249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248</v>
      </c>
      <c r="D1001" t="s">
        <v>0</v>
      </c>
      <c r="E1001" t="s">
        <v>247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246</v>
      </c>
      <c r="D1002" t="s">
        <v>0</v>
      </c>
      <c r="E1002" t="s">
        <v>245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244</v>
      </c>
      <c r="D1003" t="s">
        <v>0</v>
      </c>
      <c r="E1003" t="s">
        <v>243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242</v>
      </c>
      <c r="D1004" t="s">
        <v>0</v>
      </c>
      <c r="E1004" t="s">
        <v>241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3762</v>
      </c>
      <c r="D1005" t="s">
        <v>0</v>
      </c>
      <c r="E1005" t="s">
        <v>241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3763</v>
      </c>
      <c r="D1006" t="s">
        <v>0</v>
      </c>
      <c r="E1006" t="s">
        <v>239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3852</v>
      </c>
      <c r="D1007" t="s">
        <v>0</v>
      </c>
      <c r="E1007" t="s">
        <v>3853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238</v>
      </c>
      <c r="D1008" t="s">
        <v>0</v>
      </c>
      <c r="E1008" t="s">
        <v>237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236</v>
      </c>
      <c r="D1009" t="s">
        <v>0</v>
      </c>
      <c r="E1009" t="s">
        <v>235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234</v>
      </c>
      <c r="D1010" t="s">
        <v>0</v>
      </c>
      <c r="E1010" t="s">
        <v>233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232</v>
      </c>
      <c r="D1011" t="s">
        <v>0</v>
      </c>
      <c r="E1011" t="s">
        <v>231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230</v>
      </c>
      <c r="D1012" t="s">
        <v>0</v>
      </c>
      <c r="E1012" t="s">
        <v>229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226</v>
      </c>
      <c r="D1013" t="s">
        <v>0</v>
      </c>
      <c r="E1013" t="s">
        <v>225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228</v>
      </c>
      <c r="D1014" t="s">
        <v>0</v>
      </c>
      <c r="E1014" t="s">
        <v>227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222</v>
      </c>
      <c r="D1015" t="s">
        <v>0</v>
      </c>
      <c r="E1015" t="s">
        <v>221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224</v>
      </c>
      <c r="D1016" t="s">
        <v>0</v>
      </c>
      <c r="E1016" t="s">
        <v>223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220</v>
      </c>
      <c r="D1017" t="s">
        <v>0</v>
      </c>
      <c r="E1017" t="s">
        <v>219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3462</v>
      </c>
      <c r="D1018" t="s">
        <v>0</v>
      </c>
      <c r="E1018" t="s">
        <v>3463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218</v>
      </c>
      <c r="D1019" t="s">
        <v>0</v>
      </c>
      <c r="E1019" t="s">
        <v>217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216</v>
      </c>
      <c r="D1020" t="s">
        <v>0</v>
      </c>
      <c r="E1020" t="s">
        <v>215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214</v>
      </c>
      <c r="D1021" t="s">
        <v>0</v>
      </c>
      <c r="E1021" t="s">
        <v>213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212</v>
      </c>
      <c r="D1022" t="s">
        <v>0</v>
      </c>
      <c r="E1022" t="s">
        <v>211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210</v>
      </c>
      <c r="D1023" t="s">
        <v>0</v>
      </c>
      <c r="E1023" t="s">
        <v>209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208</v>
      </c>
      <c r="D1024" t="s">
        <v>0</v>
      </c>
      <c r="E1024" t="s">
        <v>207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206</v>
      </c>
      <c r="D1025" t="s">
        <v>0</v>
      </c>
      <c r="E1025" t="s">
        <v>205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204</v>
      </c>
      <c r="D1026" t="s">
        <v>0</v>
      </c>
      <c r="E1026" t="s">
        <v>203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202</v>
      </c>
      <c r="D1027" t="s">
        <v>0</v>
      </c>
      <c r="E1027" t="s">
        <v>201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3430</v>
      </c>
      <c r="D1028" t="s">
        <v>0</v>
      </c>
      <c r="E1028" t="s">
        <v>3432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3431</v>
      </c>
      <c r="D1029" t="s">
        <v>0</v>
      </c>
      <c r="E1029" t="s">
        <v>3433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200</v>
      </c>
      <c r="D1030" t="s">
        <v>0</v>
      </c>
      <c r="E1030" t="s">
        <v>199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198</v>
      </c>
      <c r="D1031" t="s">
        <v>0</v>
      </c>
      <c r="E1031" t="s">
        <v>197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196</v>
      </c>
      <c r="D1032" t="s">
        <v>0</v>
      </c>
      <c r="E1032" t="s">
        <v>195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194</v>
      </c>
      <c r="D1033" t="s">
        <v>0</v>
      </c>
      <c r="E1033" t="s">
        <v>193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192</v>
      </c>
      <c r="B1034" t="s">
        <v>145</v>
      </c>
      <c r="C1034" t="s">
        <v>144</v>
      </c>
      <c r="D1034" t="s">
        <v>5896</v>
      </c>
      <c r="E1034" t="s">
        <v>191</v>
      </c>
      <c r="F1034" t="str">
        <f>INDEX(IPCCMaps!H:H,MATCH(mapPRC!C1034,IPCCMaps!G:G,0))</f>
        <v>1 Energy</v>
      </c>
      <c r="G1034">
        <f>INDEX(IPCCMaps!I:I,MATCH(mapPRC!C1034,IPCCMaps!G:G,0))</f>
        <v>0</v>
      </c>
      <c r="H1034">
        <f>INDEX(IPCCMaps!J:J,MATCH(mapPRC!C1034,IPCCMaps!G:G,0))</f>
        <v>0</v>
      </c>
      <c r="I1034">
        <f>INDEX(IPCCMaps!K:K,MATCH(mapPRC!C1034,IPCCMaps!G:G,0))</f>
        <v>0</v>
      </c>
    </row>
    <row r="1035" spans="1:9" x14ac:dyDescent="0.25">
      <c r="A1035" t="s">
        <v>189</v>
      </c>
      <c r="D1035" t="s">
        <v>0</v>
      </c>
      <c r="E1035" t="s">
        <v>188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187</v>
      </c>
      <c r="D1036" t="s">
        <v>0</v>
      </c>
      <c r="E1036" t="s">
        <v>186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185</v>
      </c>
      <c r="D1037" t="s">
        <v>0</v>
      </c>
      <c r="E1037" t="s">
        <v>184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183</v>
      </c>
      <c r="D1038" t="s">
        <v>0</v>
      </c>
      <c r="E1038" t="s">
        <v>182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181</v>
      </c>
      <c r="D1039" t="s">
        <v>0</v>
      </c>
      <c r="E1039" t="s">
        <v>180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179</v>
      </c>
      <c r="D1040" t="s">
        <v>0</v>
      </c>
      <c r="E1040" t="s">
        <v>178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177</v>
      </c>
      <c r="B1041" t="s">
        <v>145</v>
      </c>
      <c r="C1041" t="s">
        <v>144</v>
      </c>
      <c r="D1041" t="s">
        <v>5897</v>
      </c>
      <c r="E1041" t="s">
        <v>176</v>
      </c>
      <c r="F1041" t="str">
        <f>INDEX(IPCCMaps!H:H,MATCH(mapPRC!C1041,IPCCMaps!G:G,0))</f>
        <v>1 Energy</v>
      </c>
      <c r="G1041">
        <f>INDEX(IPCCMaps!I:I,MATCH(mapPRC!C1041,IPCCMaps!G:G,0))</f>
        <v>0</v>
      </c>
      <c r="H1041">
        <f>INDEX(IPCCMaps!J:J,MATCH(mapPRC!C1041,IPCCMaps!G:G,0))</f>
        <v>0</v>
      </c>
      <c r="I1041">
        <f>INDEX(IPCCMaps!K:K,MATCH(mapPRC!C1041,IPCCMaps!G:G,0))</f>
        <v>0</v>
      </c>
    </row>
    <row r="1042" spans="1:9" x14ac:dyDescent="0.25">
      <c r="A1042" t="s">
        <v>174</v>
      </c>
      <c r="D1042" t="s">
        <v>0</v>
      </c>
      <c r="E1042" t="s">
        <v>173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172</v>
      </c>
      <c r="D1043" t="s">
        <v>0</v>
      </c>
      <c r="E1043" t="s">
        <v>171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170</v>
      </c>
      <c r="D1044" t="s">
        <v>0</v>
      </c>
      <c r="E1044" t="s">
        <v>169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168</v>
      </c>
      <c r="D1045" t="s">
        <v>0</v>
      </c>
      <c r="E1045" t="s">
        <v>167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3576</v>
      </c>
      <c r="D1046" t="s">
        <v>0</v>
      </c>
      <c r="E1046" t="s">
        <v>3577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166</v>
      </c>
      <c r="D1047" t="s">
        <v>0</v>
      </c>
      <c r="E1047" t="s">
        <v>165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164</v>
      </c>
      <c r="D1048" t="s">
        <v>0</v>
      </c>
      <c r="E1048" t="s">
        <v>163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162</v>
      </c>
      <c r="D1049" t="s">
        <v>0</v>
      </c>
      <c r="E1049" t="s">
        <v>161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160</v>
      </c>
      <c r="D1050" t="s">
        <v>0</v>
      </c>
      <c r="E1050" t="s">
        <v>159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158</v>
      </c>
      <c r="D1051" t="s">
        <v>0</v>
      </c>
      <c r="E1051" t="s">
        <v>157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156</v>
      </c>
      <c r="D1052" t="s">
        <v>0</v>
      </c>
      <c r="E1052" t="s">
        <v>155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154</v>
      </c>
      <c r="D1053" t="s">
        <v>0</v>
      </c>
      <c r="E1053" t="s">
        <v>153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150</v>
      </c>
      <c r="D1054" t="s">
        <v>0</v>
      </c>
      <c r="E1054" t="s">
        <v>149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5532</v>
      </c>
      <c r="D1055" t="s">
        <v>0</v>
      </c>
      <c r="E1055" t="s">
        <v>5533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152</v>
      </c>
      <c r="D1056" t="s">
        <v>0</v>
      </c>
      <c r="E1056" t="s">
        <v>151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147</v>
      </c>
      <c r="B1057" t="s">
        <v>145</v>
      </c>
      <c r="C1057" t="s">
        <v>144</v>
      </c>
      <c r="D1057" t="s">
        <v>5895</v>
      </c>
      <c r="E1057" t="s">
        <v>146</v>
      </c>
      <c r="F1057" t="str">
        <f>INDEX(IPCCMaps!H:H,MATCH(mapPRC!C1057,IPCCMaps!G:G,0))</f>
        <v>1 Energy</v>
      </c>
      <c r="G1057">
        <f>INDEX(IPCCMaps!I:I,MATCH(mapPRC!C1057,IPCCMaps!G:G,0))</f>
        <v>0</v>
      </c>
      <c r="H1057">
        <f>INDEX(IPCCMaps!J:J,MATCH(mapPRC!C1057,IPCCMaps!G:G,0))</f>
        <v>0</v>
      </c>
      <c r="I1057">
        <f>INDEX(IPCCMaps!K:K,MATCH(mapPRC!C1057,IPCCMaps!G:G,0))</f>
        <v>0</v>
      </c>
    </row>
    <row r="1058" spans="1:9" x14ac:dyDescent="0.25">
      <c r="A1058" t="s">
        <v>142</v>
      </c>
      <c r="C1058" t="s">
        <v>140</v>
      </c>
      <c r="D1058" t="s">
        <v>0</v>
      </c>
      <c r="E1058" t="s">
        <v>141</v>
      </c>
      <c r="F1058" t="str">
        <f>INDEX(IPCCMaps!H:H,MATCH(mapPRC!C1058,IPCCMaps!G:G,0))</f>
        <v>1 Energy</v>
      </c>
      <c r="G1058" t="str">
        <f>INDEX(IPCCMaps!I:I,MATCH(mapPRC!C1058,IPCCMaps!G:G,0))</f>
        <v>1B Fugitive Emissions from Fuels</v>
      </c>
      <c r="H1058" t="str">
        <f>INDEX(IPCCMaps!J:J,MATCH(mapPRC!C1058,IPCCMaps!G:G,0))</f>
        <v>1B2 Oil and Natural Gas</v>
      </c>
      <c r="I1058" t="str">
        <f>INDEX(IPCCMaps!K:K,MATCH(mapPRC!C1058,IPCCMaps!G:G,0))</f>
        <v>1B2 Oil and Natural Gas</v>
      </c>
    </row>
    <row r="1059" spans="1:9" x14ac:dyDescent="0.25">
      <c r="A1059" t="s">
        <v>139</v>
      </c>
      <c r="C1059" t="s">
        <v>2427</v>
      </c>
      <c r="D1059" t="s">
        <v>0</v>
      </c>
      <c r="E1059" t="s">
        <v>138</v>
      </c>
      <c r="F1059" t="str">
        <f>INDEX(IPCCMaps!H:H,MATCH(mapPRC!C1059,IPCCMaps!G:G,0))</f>
        <v>1 Energy</v>
      </c>
      <c r="G1059" t="str">
        <f>INDEX(IPCCMaps!I:I,MATCH(mapPRC!C1059,IPCCMaps!G:G,0))</f>
        <v>1A Fuel Combustion Activities</v>
      </c>
      <c r="H1059" t="str">
        <f>INDEX(IPCCMaps!J:J,MATCH(mapPRC!C1059,IPCCMaps!G:G,0))</f>
        <v>1A1 Energy Industries</v>
      </c>
      <c r="I1059" t="str">
        <f>INDEX(IPCCMaps!K:K,MATCH(mapPRC!C1059,IPCCMaps!G:G,0))</f>
        <v>1A1c Manufacture of solid fuels and other energy industries</v>
      </c>
    </row>
    <row r="1060" spans="1:9" x14ac:dyDescent="0.25">
      <c r="A1060" t="s">
        <v>5537</v>
      </c>
      <c r="D1060" t="s">
        <v>0</v>
      </c>
      <c r="E1060" t="s">
        <v>5538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136</v>
      </c>
      <c r="D1061" t="s">
        <v>0</v>
      </c>
      <c r="E1061" t="s">
        <v>135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134</v>
      </c>
      <c r="D1062" t="s">
        <v>0</v>
      </c>
      <c r="E1062" t="s">
        <v>133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3464</v>
      </c>
      <c r="D1063" t="s">
        <v>0</v>
      </c>
      <c r="E1063" t="s">
        <v>3465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132</v>
      </c>
      <c r="D1064" t="s">
        <v>0</v>
      </c>
      <c r="E1064" t="s">
        <v>131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130</v>
      </c>
      <c r="D1065" t="s">
        <v>0</v>
      </c>
      <c r="E1065" t="s">
        <v>129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128</v>
      </c>
      <c r="D1066" t="s">
        <v>0</v>
      </c>
      <c r="E1066" t="s">
        <v>127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126</v>
      </c>
      <c r="D1067" t="s">
        <v>0</v>
      </c>
      <c r="E1067" t="s">
        <v>125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124</v>
      </c>
      <c r="D1068" t="s">
        <v>0</v>
      </c>
      <c r="E1068" t="s">
        <v>123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122</v>
      </c>
      <c r="D1069" t="s">
        <v>0</v>
      </c>
      <c r="E1069" t="s">
        <v>121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120</v>
      </c>
      <c r="D1070" t="s">
        <v>0</v>
      </c>
      <c r="E1070" t="s">
        <v>119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118</v>
      </c>
      <c r="D1071" t="s">
        <v>0</v>
      </c>
      <c r="E1071" t="s">
        <v>117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116</v>
      </c>
      <c r="D1072" t="s">
        <v>0</v>
      </c>
      <c r="E1072" t="s">
        <v>115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114</v>
      </c>
      <c r="D1073" t="s">
        <v>0</v>
      </c>
      <c r="E1073" t="s">
        <v>113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112</v>
      </c>
      <c r="D1074" t="s">
        <v>0</v>
      </c>
      <c r="E1074" t="s">
        <v>111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110</v>
      </c>
      <c r="D1075" t="s">
        <v>0</v>
      </c>
      <c r="E1075" t="s">
        <v>109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108</v>
      </c>
      <c r="D1076" t="s">
        <v>0</v>
      </c>
      <c r="E1076" t="s">
        <v>107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106</v>
      </c>
      <c r="D1077" t="s">
        <v>0</v>
      </c>
      <c r="E1077" t="s">
        <v>105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104</v>
      </c>
      <c r="D1078" t="s">
        <v>0</v>
      </c>
      <c r="E1078" t="s">
        <v>103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102</v>
      </c>
      <c r="D1079" t="s">
        <v>0</v>
      </c>
      <c r="E1079" t="s">
        <v>101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100</v>
      </c>
      <c r="D1080" t="s">
        <v>0</v>
      </c>
      <c r="E1080" t="s">
        <v>99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98</v>
      </c>
      <c r="D1081" t="s">
        <v>0</v>
      </c>
      <c r="E1081" t="s">
        <v>97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96</v>
      </c>
      <c r="D1082" t="s">
        <v>0</v>
      </c>
      <c r="E1082" t="s">
        <v>95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3084</v>
      </c>
      <c r="D1083" t="s">
        <v>0</v>
      </c>
      <c r="E1083" t="s">
        <v>3085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94</v>
      </c>
      <c r="D1084" t="s">
        <v>0</v>
      </c>
      <c r="E1084" t="s">
        <v>93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92</v>
      </c>
      <c r="D1085" t="s">
        <v>0</v>
      </c>
      <c r="E1085" t="s">
        <v>77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91</v>
      </c>
      <c r="D1086" t="s">
        <v>0</v>
      </c>
      <c r="E1086" t="s">
        <v>90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89</v>
      </c>
      <c r="D1087" t="s">
        <v>0</v>
      </c>
      <c r="E1087" t="s">
        <v>88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87</v>
      </c>
      <c r="D1088" t="s">
        <v>0</v>
      </c>
      <c r="E1088" t="s">
        <v>86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85</v>
      </c>
      <c r="D1089" t="s">
        <v>0</v>
      </c>
      <c r="E1089" t="s">
        <v>84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83</v>
      </c>
      <c r="D1090" t="s">
        <v>0</v>
      </c>
      <c r="E1090" t="s">
        <v>82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81</v>
      </c>
      <c r="D1091" t="s">
        <v>0</v>
      </c>
      <c r="E1091" t="s">
        <v>80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79</v>
      </c>
      <c r="D1092" t="s">
        <v>0</v>
      </c>
      <c r="E1092" t="s">
        <v>69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78</v>
      </c>
      <c r="D1093" t="s">
        <v>0</v>
      </c>
      <c r="E1093" t="s">
        <v>77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76</v>
      </c>
      <c r="D1094" t="s">
        <v>0</v>
      </c>
      <c r="E1094" t="s">
        <v>75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74</v>
      </c>
      <c r="D1095" t="s">
        <v>0</v>
      </c>
      <c r="E1095" t="s">
        <v>73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72</v>
      </c>
      <c r="D1096" t="s">
        <v>0</v>
      </c>
      <c r="E1096" t="s">
        <v>71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70</v>
      </c>
      <c r="D1097" t="s">
        <v>0</v>
      </c>
      <c r="E1097" t="s">
        <v>69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68</v>
      </c>
      <c r="D1098" t="s">
        <v>0</v>
      </c>
      <c r="E1098" t="s">
        <v>55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67</v>
      </c>
      <c r="D1099" t="s">
        <v>0</v>
      </c>
      <c r="E1099" t="s">
        <v>66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65</v>
      </c>
      <c r="D1100" t="s">
        <v>0</v>
      </c>
      <c r="E1100" t="s">
        <v>51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64</v>
      </c>
      <c r="D1101" t="s">
        <v>0</v>
      </c>
      <c r="E1101" t="s">
        <v>49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63</v>
      </c>
      <c r="D1102" t="s">
        <v>0</v>
      </c>
      <c r="E1102" t="s">
        <v>62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61</v>
      </c>
      <c r="D1103" t="s">
        <v>0</v>
      </c>
      <c r="E1103" t="s">
        <v>60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59</v>
      </c>
      <c r="D1104" t="s">
        <v>0</v>
      </c>
      <c r="E1104" t="s">
        <v>58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57</v>
      </c>
      <c r="D1105" t="s">
        <v>0</v>
      </c>
      <c r="E1105" t="s">
        <v>47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56</v>
      </c>
      <c r="D1106" t="s">
        <v>0</v>
      </c>
      <c r="E1106" t="s">
        <v>55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54</v>
      </c>
      <c r="D1107" t="s">
        <v>0</v>
      </c>
      <c r="E1107" t="s">
        <v>53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52</v>
      </c>
      <c r="D1108" t="s">
        <v>0</v>
      </c>
      <c r="E1108" t="s">
        <v>51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50</v>
      </c>
      <c r="D1109" t="s">
        <v>0</v>
      </c>
      <c r="E1109" t="s">
        <v>49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48</v>
      </c>
      <c r="D1110" t="s">
        <v>0</v>
      </c>
      <c r="E1110" t="s">
        <v>47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</sheetData>
  <autoFilter ref="A1:I1113" xr:uid="{2F3FFDF7-7714-47AC-B254-A3709C093DA2}"/>
  <sortState xmlns:xlrd2="http://schemas.microsoft.com/office/spreadsheetml/2017/richdata2" ref="A107:I1110">
    <sortCondition ref="A107:A1110"/>
  </sortState>
  <phoneticPr fontId="4" type="noConversion"/>
  <conditionalFormatting sqref="A1:A1048576 B8:E11">
    <cfRule type="duplicateValues" dxfId="5" priority="1"/>
  </conditionalFormatting>
  <conditionalFormatting sqref="A937:A1048576 A1:A3 A31:A935 A4:E30">
    <cfRule type="duplicateValues" dxfId="4" priority="2"/>
  </conditionalFormatting>
  <conditionalFormatting sqref="E990">
    <cfRule type="duplicateValues" dxfId="3" priority="5"/>
  </conditionalFormatting>
  <conditionalFormatting sqref="E991">
    <cfRule type="duplicateValues" dxfId="2" priority="4"/>
  </conditionalFormatting>
  <conditionalFormatting sqref="E992">
    <cfRule type="duplicateValues" dxfId="1" priority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5"/>
  <sheetViews>
    <sheetView topLeftCell="A194" workbookViewId="0">
      <selection activeCell="F238" sqref="F23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2419</v>
      </c>
      <c r="B1" t="s">
        <v>2418</v>
      </c>
      <c r="C1" t="s">
        <v>2417</v>
      </c>
      <c r="D1" t="s">
        <v>2416</v>
      </c>
    </row>
    <row r="2" spans="1:4" x14ac:dyDescent="0.25">
      <c r="A2" t="s">
        <v>3367</v>
      </c>
      <c r="B2" t="s">
        <v>3367</v>
      </c>
      <c r="C2" t="s">
        <v>3367</v>
      </c>
      <c r="D2" t="s">
        <v>3367</v>
      </c>
    </row>
    <row r="3" spans="1:4" x14ac:dyDescent="0.25">
      <c r="A3" t="s">
        <v>3368</v>
      </c>
      <c r="B3" t="s">
        <v>3368</v>
      </c>
      <c r="C3" t="s">
        <v>3368</v>
      </c>
      <c r="D3" t="s">
        <v>3368</v>
      </c>
    </row>
    <row r="4" spans="1:4" x14ac:dyDescent="0.25">
      <c r="A4" t="s">
        <v>3341</v>
      </c>
      <c r="B4" t="s">
        <v>3341</v>
      </c>
      <c r="C4" t="s">
        <v>3341</v>
      </c>
      <c r="D4" t="s">
        <v>3341</v>
      </c>
    </row>
    <row r="5" spans="1:4" x14ac:dyDescent="0.25">
      <c r="A5" t="s">
        <v>3373</v>
      </c>
      <c r="B5" t="s">
        <v>3373</v>
      </c>
      <c r="C5" t="s">
        <v>3373</v>
      </c>
      <c r="D5" t="s">
        <v>3373</v>
      </c>
    </row>
    <row r="6" spans="1:4" x14ac:dyDescent="0.25">
      <c r="A6" t="s">
        <v>3358</v>
      </c>
      <c r="B6" t="s">
        <v>3358</v>
      </c>
      <c r="C6" t="s">
        <v>3358</v>
      </c>
      <c r="D6" t="s">
        <v>3358</v>
      </c>
    </row>
    <row r="7" spans="1:4" x14ac:dyDescent="0.25">
      <c r="A7" t="s">
        <v>3342</v>
      </c>
      <c r="B7" t="s">
        <v>3342</v>
      </c>
      <c r="C7" t="s">
        <v>3342</v>
      </c>
      <c r="D7" t="s">
        <v>3342</v>
      </c>
    </row>
    <row r="8" spans="1:4" x14ac:dyDescent="0.25">
      <c r="A8" t="s">
        <v>3343</v>
      </c>
      <c r="B8" t="s">
        <v>3343</v>
      </c>
      <c r="C8" t="s">
        <v>3343</v>
      </c>
      <c r="D8" t="s">
        <v>3343</v>
      </c>
    </row>
    <row r="9" spans="1:4" x14ac:dyDescent="0.25">
      <c r="A9" t="s">
        <v>3344</v>
      </c>
      <c r="B9" t="s">
        <v>3344</v>
      </c>
      <c r="C9" t="s">
        <v>3344</v>
      </c>
      <c r="D9" t="s">
        <v>3344</v>
      </c>
    </row>
    <row r="10" spans="1:4" x14ac:dyDescent="0.25">
      <c r="A10" t="s">
        <v>3350</v>
      </c>
      <c r="B10" t="s">
        <v>3350</v>
      </c>
      <c r="C10" t="s">
        <v>3350</v>
      </c>
      <c r="D10" t="s">
        <v>3350</v>
      </c>
    </row>
    <row r="11" spans="1:4" x14ac:dyDescent="0.25">
      <c r="A11" t="s">
        <v>3354</v>
      </c>
      <c r="B11" t="s">
        <v>3354</v>
      </c>
      <c r="C11" t="s">
        <v>3354</v>
      </c>
      <c r="D11" t="s">
        <v>3354</v>
      </c>
    </row>
    <row r="12" spans="1:4" x14ac:dyDescent="0.25">
      <c r="A12" t="s">
        <v>3345</v>
      </c>
      <c r="B12" t="s">
        <v>3345</v>
      </c>
      <c r="C12" t="s">
        <v>3345</v>
      </c>
      <c r="D12" t="s">
        <v>3345</v>
      </c>
    </row>
    <row r="13" spans="1:4" x14ac:dyDescent="0.25">
      <c r="A13" t="s">
        <v>3351</v>
      </c>
      <c r="B13" t="s">
        <v>3351</v>
      </c>
      <c r="C13" t="s">
        <v>3351</v>
      </c>
      <c r="D13" t="s">
        <v>3351</v>
      </c>
    </row>
    <row r="14" spans="1:4" x14ac:dyDescent="0.25">
      <c r="A14" t="s">
        <v>3352</v>
      </c>
      <c r="B14" t="s">
        <v>3352</v>
      </c>
      <c r="C14" t="s">
        <v>3352</v>
      </c>
      <c r="D14" t="s">
        <v>3352</v>
      </c>
    </row>
    <row r="15" spans="1:4" x14ac:dyDescent="0.25">
      <c r="A15" t="s">
        <v>3353</v>
      </c>
      <c r="B15" t="s">
        <v>3353</v>
      </c>
      <c r="C15" t="s">
        <v>3353</v>
      </c>
      <c r="D15" t="s">
        <v>3353</v>
      </c>
    </row>
    <row r="16" spans="1:4" x14ac:dyDescent="0.25">
      <c r="A16" t="s">
        <v>3355</v>
      </c>
      <c r="B16" t="s">
        <v>3355</v>
      </c>
      <c r="C16" t="s">
        <v>3355</v>
      </c>
      <c r="D16" t="s">
        <v>3355</v>
      </c>
    </row>
    <row r="17" spans="1:4" x14ac:dyDescent="0.25">
      <c r="A17" t="s">
        <v>3363</v>
      </c>
      <c r="B17" t="s">
        <v>3363</v>
      </c>
      <c r="C17" t="s">
        <v>3363</v>
      </c>
      <c r="D17" t="s">
        <v>3363</v>
      </c>
    </row>
    <row r="18" spans="1:4" x14ac:dyDescent="0.25">
      <c r="A18" t="s">
        <v>3356</v>
      </c>
      <c r="B18" t="s">
        <v>3356</v>
      </c>
      <c r="C18" t="s">
        <v>3356</v>
      </c>
      <c r="D18" t="s">
        <v>3356</v>
      </c>
    </row>
    <row r="19" spans="1:4" x14ac:dyDescent="0.25">
      <c r="A19" t="s">
        <v>3357</v>
      </c>
      <c r="B19" t="s">
        <v>3357</v>
      </c>
      <c r="C19" t="s">
        <v>3357</v>
      </c>
      <c r="D19" t="s">
        <v>3357</v>
      </c>
    </row>
    <row r="20" spans="1:4" x14ac:dyDescent="0.25">
      <c r="A20" t="s">
        <v>3359</v>
      </c>
      <c r="B20" t="s">
        <v>3359</v>
      </c>
      <c r="C20" t="s">
        <v>3359</v>
      </c>
      <c r="D20" t="s">
        <v>3359</v>
      </c>
    </row>
    <row r="21" spans="1:4" x14ac:dyDescent="0.25">
      <c r="A21" t="s">
        <v>2399</v>
      </c>
      <c r="B21" t="s">
        <v>2398</v>
      </c>
      <c r="C21">
        <v>0</v>
      </c>
      <c r="D21">
        <v>0</v>
      </c>
    </row>
    <row r="22" spans="1:4" x14ac:dyDescent="0.25">
      <c r="A22" t="s">
        <v>2397</v>
      </c>
      <c r="B22" t="s">
        <v>2396</v>
      </c>
      <c r="C22" t="s">
        <v>2089</v>
      </c>
      <c r="D22">
        <v>0</v>
      </c>
    </row>
    <row r="23" spans="1:4" x14ac:dyDescent="0.25">
      <c r="A23" t="s">
        <v>2395</v>
      </c>
      <c r="B23" t="s">
        <v>2394</v>
      </c>
      <c r="C23" t="s">
        <v>2085</v>
      </c>
      <c r="D23">
        <v>0</v>
      </c>
    </row>
    <row r="24" spans="1:4" x14ac:dyDescent="0.25">
      <c r="A24" t="s">
        <v>2393</v>
      </c>
      <c r="B24" t="s">
        <v>2392</v>
      </c>
      <c r="C24" t="s">
        <v>2082</v>
      </c>
      <c r="D24">
        <v>0</v>
      </c>
    </row>
    <row r="25" spans="1:4" x14ac:dyDescent="0.25">
      <c r="A25" t="s">
        <v>2391</v>
      </c>
      <c r="B25" t="s">
        <v>2390</v>
      </c>
      <c r="C25" t="s">
        <v>19</v>
      </c>
      <c r="D25" t="s">
        <v>19</v>
      </c>
    </row>
    <row r="26" spans="1:4" x14ac:dyDescent="0.25">
      <c r="A26" t="s">
        <v>2389</v>
      </c>
      <c r="B26" t="s">
        <v>2388</v>
      </c>
      <c r="C26" t="s">
        <v>1703</v>
      </c>
      <c r="D26">
        <v>0</v>
      </c>
    </row>
    <row r="27" spans="1:4" x14ac:dyDescent="0.25">
      <c r="A27" t="s">
        <v>2387</v>
      </c>
      <c r="B27" t="s">
        <v>2386</v>
      </c>
      <c r="C27" t="s">
        <v>2074</v>
      </c>
      <c r="D27">
        <v>0</v>
      </c>
    </row>
    <row r="28" spans="1:4" x14ac:dyDescent="0.25">
      <c r="A28" t="s">
        <v>2385</v>
      </c>
      <c r="B28" t="s">
        <v>2384</v>
      </c>
      <c r="C28" t="s">
        <v>2071</v>
      </c>
      <c r="D28">
        <v>0</v>
      </c>
    </row>
    <row r="29" spans="1:4" x14ac:dyDescent="0.25">
      <c r="A29" t="s">
        <v>2383</v>
      </c>
      <c r="B29" t="s">
        <v>2382</v>
      </c>
      <c r="C29" t="s">
        <v>2068</v>
      </c>
      <c r="D29">
        <v>0</v>
      </c>
    </row>
    <row r="30" spans="1:4" x14ac:dyDescent="0.25">
      <c r="A30" t="s">
        <v>2381</v>
      </c>
      <c r="B30" t="s">
        <v>2380</v>
      </c>
      <c r="C30" t="s">
        <v>1698</v>
      </c>
      <c r="D30" t="s">
        <v>1698</v>
      </c>
    </row>
    <row r="31" spans="1:4" x14ac:dyDescent="0.25">
      <c r="A31" t="s">
        <v>2379</v>
      </c>
      <c r="B31" t="s">
        <v>2378</v>
      </c>
      <c r="C31" t="s">
        <v>1696</v>
      </c>
      <c r="D31" t="s">
        <v>1695</v>
      </c>
    </row>
    <row r="32" spans="1:4" x14ac:dyDescent="0.25">
      <c r="A32" t="s">
        <v>2377</v>
      </c>
      <c r="B32" t="s">
        <v>2376</v>
      </c>
      <c r="C32" t="s">
        <v>1693</v>
      </c>
      <c r="D32" t="s">
        <v>1692</v>
      </c>
    </row>
    <row r="33" spans="1:4" x14ac:dyDescent="0.25">
      <c r="A33" t="s">
        <v>2375</v>
      </c>
      <c r="B33" t="s">
        <v>2374</v>
      </c>
      <c r="C33" t="s">
        <v>2098</v>
      </c>
      <c r="D33" t="s">
        <v>2098</v>
      </c>
    </row>
    <row r="34" spans="1:4" x14ac:dyDescent="0.25">
      <c r="A34" t="s">
        <v>2373</v>
      </c>
      <c r="B34" t="s">
        <v>2372</v>
      </c>
      <c r="C34" t="s">
        <v>1689</v>
      </c>
      <c r="D34" t="s">
        <v>1689</v>
      </c>
    </row>
    <row r="35" spans="1:4" x14ac:dyDescent="0.25">
      <c r="A35" t="s">
        <v>2371</v>
      </c>
      <c r="B35" t="s">
        <v>2370</v>
      </c>
      <c r="C35" t="s">
        <v>2062</v>
      </c>
      <c r="D35">
        <v>0</v>
      </c>
    </row>
    <row r="36" spans="1:4" x14ac:dyDescent="0.25">
      <c r="A36" t="s">
        <v>2369</v>
      </c>
      <c r="B36" t="s">
        <v>2368</v>
      </c>
      <c r="C36" t="s">
        <v>2059</v>
      </c>
      <c r="D36">
        <v>0</v>
      </c>
    </row>
    <row r="37" spans="1:4" x14ac:dyDescent="0.25">
      <c r="A37" t="s">
        <v>2048</v>
      </c>
      <c r="B37" t="s">
        <v>2047</v>
      </c>
      <c r="C37">
        <v>0</v>
      </c>
      <c r="D37">
        <v>0</v>
      </c>
    </row>
    <row r="38" spans="1:4" x14ac:dyDescent="0.25">
      <c r="A38" t="s">
        <v>2046</v>
      </c>
      <c r="B38" t="s">
        <v>2045</v>
      </c>
      <c r="C38">
        <v>0</v>
      </c>
      <c r="D38">
        <v>0</v>
      </c>
    </row>
    <row r="39" spans="1:4" x14ac:dyDescent="0.25">
      <c r="A39" t="s">
        <v>2044</v>
      </c>
      <c r="B39" t="s">
        <v>2043</v>
      </c>
      <c r="C39">
        <v>0</v>
      </c>
      <c r="D39">
        <v>0</v>
      </c>
    </row>
    <row r="40" spans="1:4" x14ac:dyDescent="0.25">
      <c r="A40" t="s">
        <v>2042</v>
      </c>
      <c r="B40" t="s">
        <v>2041</v>
      </c>
      <c r="C40">
        <v>0</v>
      </c>
      <c r="D40">
        <v>0</v>
      </c>
    </row>
    <row r="41" spans="1:4" x14ac:dyDescent="0.25">
      <c r="A41" t="s">
        <v>2040</v>
      </c>
      <c r="B41" t="s">
        <v>2039</v>
      </c>
      <c r="C41">
        <v>0</v>
      </c>
      <c r="D41">
        <v>0</v>
      </c>
    </row>
    <row r="42" spans="1:4" x14ac:dyDescent="0.25">
      <c r="A42" t="s">
        <v>3655</v>
      </c>
      <c r="B42" t="s">
        <v>3656</v>
      </c>
      <c r="C42" t="s">
        <v>3656</v>
      </c>
      <c r="D42" t="s">
        <v>3656</v>
      </c>
    </row>
    <row r="43" spans="1:4" x14ac:dyDescent="0.25">
      <c r="A43" t="s">
        <v>3657</v>
      </c>
      <c r="B43" t="s">
        <v>3658</v>
      </c>
      <c r="C43" t="s">
        <v>3658</v>
      </c>
      <c r="D43" t="s">
        <v>3658</v>
      </c>
    </row>
    <row r="44" spans="1:4" x14ac:dyDescent="0.25">
      <c r="A44" t="s">
        <v>2367</v>
      </c>
      <c r="B44" t="s">
        <v>2366</v>
      </c>
      <c r="C44" t="s">
        <v>1711</v>
      </c>
      <c r="D44" t="s">
        <v>1710</v>
      </c>
    </row>
    <row r="45" spans="1:4" x14ac:dyDescent="0.25">
      <c r="A45" t="s">
        <v>3659</v>
      </c>
      <c r="B45" t="s">
        <v>3660</v>
      </c>
      <c r="C45" t="s">
        <v>1711</v>
      </c>
      <c r="D45" t="s">
        <v>1710</v>
      </c>
    </row>
    <row r="46" spans="1:4" x14ac:dyDescent="0.25">
      <c r="A46" t="s">
        <v>2365</v>
      </c>
      <c r="B46" t="s">
        <v>2364</v>
      </c>
      <c r="C46" t="s">
        <v>3838</v>
      </c>
      <c r="D46" t="s">
        <v>1710</v>
      </c>
    </row>
    <row r="47" spans="1:4" x14ac:dyDescent="0.25">
      <c r="A47" t="s">
        <v>2363</v>
      </c>
      <c r="B47" t="s">
        <v>2362</v>
      </c>
      <c r="C47" t="s">
        <v>3839</v>
      </c>
      <c r="D47" t="s">
        <v>1710</v>
      </c>
    </row>
    <row r="48" spans="1:4" x14ac:dyDescent="0.25">
      <c r="A48" t="s">
        <v>2361</v>
      </c>
      <c r="B48" t="s">
        <v>2360</v>
      </c>
      <c r="C48" t="s">
        <v>2214</v>
      </c>
      <c r="D48">
        <v>0</v>
      </c>
    </row>
    <row r="49" spans="1:4" x14ac:dyDescent="0.25">
      <c r="A49" t="s">
        <v>2359</v>
      </c>
      <c r="B49" t="s">
        <v>2358</v>
      </c>
      <c r="C49" t="s">
        <v>1711</v>
      </c>
      <c r="D49" t="s">
        <v>1710</v>
      </c>
    </row>
    <row r="50" spans="1:4" x14ac:dyDescent="0.25">
      <c r="A50" t="s">
        <v>2357</v>
      </c>
      <c r="B50" t="s">
        <v>2356</v>
      </c>
      <c r="C50" t="s">
        <v>2152</v>
      </c>
      <c r="D50" t="s">
        <v>2151</v>
      </c>
    </row>
    <row r="51" spans="1:4" x14ac:dyDescent="0.25">
      <c r="A51" t="s">
        <v>3661</v>
      </c>
      <c r="B51" t="s">
        <v>3662</v>
      </c>
      <c r="C51" t="s">
        <v>3662</v>
      </c>
      <c r="D51" t="s">
        <v>3662</v>
      </c>
    </row>
    <row r="52" spans="1:4" x14ac:dyDescent="0.25">
      <c r="A52" t="s">
        <v>3663</v>
      </c>
      <c r="B52" t="s">
        <v>3664</v>
      </c>
      <c r="C52" t="s">
        <v>3664</v>
      </c>
      <c r="D52" t="s">
        <v>3664</v>
      </c>
    </row>
    <row r="53" spans="1:4" x14ac:dyDescent="0.25">
      <c r="A53" t="s">
        <v>3665</v>
      </c>
      <c r="B53" t="s">
        <v>3666</v>
      </c>
      <c r="C53" t="s">
        <v>3666</v>
      </c>
      <c r="D53" t="s">
        <v>3666</v>
      </c>
    </row>
    <row r="54" spans="1:4" x14ac:dyDescent="0.25">
      <c r="A54" s="8" t="s">
        <v>5922</v>
      </c>
      <c r="B54" s="7" t="s">
        <v>5918</v>
      </c>
      <c r="C54" s="7" t="s">
        <v>5918</v>
      </c>
    </row>
    <row r="55" spans="1:4" x14ac:dyDescent="0.25">
      <c r="A55" s="8" t="s">
        <v>5923</v>
      </c>
      <c r="B55" t="s">
        <v>3353</v>
      </c>
      <c r="C55" t="s">
        <v>3353</v>
      </c>
    </row>
    <row r="56" spans="1:4" x14ac:dyDescent="0.25">
      <c r="A56" s="8" t="s">
        <v>5924</v>
      </c>
      <c r="B56" t="s">
        <v>5919</v>
      </c>
      <c r="C56" t="s">
        <v>5919</v>
      </c>
    </row>
    <row r="57" spans="1:4" x14ac:dyDescent="0.25">
      <c r="A57" t="s">
        <v>3317</v>
      </c>
      <c r="B57" t="s">
        <v>5920</v>
      </c>
      <c r="C57" t="s">
        <v>5920</v>
      </c>
    </row>
    <row r="58" spans="1:4" x14ac:dyDescent="0.25">
      <c r="A58" t="s">
        <v>3332</v>
      </c>
      <c r="B58" t="s">
        <v>5921</v>
      </c>
      <c r="C58" t="s">
        <v>5921</v>
      </c>
    </row>
    <row r="59" spans="1:4" x14ac:dyDescent="0.25">
      <c r="A59" t="s">
        <v>2038</v>
      </c>
      <c r="B59" t="s">
        <v>2028</v>
      </c>
      <c r="C59">
        <v>0</v>
      </c>
      <c r="D59">
        <v>0</v>
      </c>
    </row>
    <row r="60" spans="1:4" x14ac:dyDescent="0.25">
      <c r="A60" t="s">
        <v>2037</v>
      </c>
      <c r="B60" t="s">
        <v>2026</v>
      </c>
      <c r="C60">
        <v>0</v>
      </c>
      <c r="D60">
        <v>0</v>
      </c>
    </row>
    <row r="61" spans="1:4" x14ac:dyDescent="0.25">
      <c r="A61" t="s">
        <v>2036</v>
      </c>
      <c r="B61" t="s">
        <v>2024</v>
      </c>
      <c r="C61">
        <v>0</v>
      </c>
      <c r="D61">
        <v>0</v>
      </c>
    </row>
    <row r="62" spans="1:4" x14ac:dyDescent="0.25">
      <c r="A62" t="s">
        <v>2035</v>
      </c>
      <c r="B62" t="s">
        <v>2022</v>
      </c>
      <c r="C62">
        <v>0</v>
      </c>
      <c r="D62">
        <v>0</v>
      </c>
    </row>
    <row r="63" spans="1:4" x14ac:dyDescent="0.25">
      <c r="A63" t="s">
        <v>2034</v>
      </c>
      <c r="B63" t="s">
        <v>2020</v>
      </c>
      <c r="C63">
        <v>0</v>
      </c>
      <c r="D63">
        <v>0</v>
      </c>
    </row>
    <row r="64" spans="1:4" x14ac:dyDescent="0.25">
      <c r="A64" t="s">
        <v>2033</v>
      </c>
      <c r="B64" t="s">
        <v>2018</v>
      </c>
      <c r="C64">
        <v>0</v>
      </c>
      <c r="D64">
        <v>0</v>
      </c>
    </row>
    <row r="65" spans="1:4" x14ac:dyDescent="0.25">
      <c r="A65" t="s">
        <v>2032</v>
      </c>
      <c r="B65" t="s">
        <v>2016</v>
      </c>
      <c r="C65">
        <v>0</v>
      </c>
      <c r="D65">
        <v>0</v>
      </c>
    </row>
    <row r="66" spans="1:4" x14ac:dyDescent="0.25">
      <c r="A66" t="s">
        <v>2031</v>
      </c>
      <c r="B66" t="s">
        <v>2014</v>
      </c>
      <c r="C66">
        <v>0</v>
      </c>
      <c r="D66">
        <v>0</v>
      </c>
    </row>
    <row r="67" spans="1:4" x14ac:dyDescent="0.25">
      <c r="A67" t="s">
        <v>2030</v>
      </c>
      <c r="B67" t="s">
        <v>2012</v>
      </c>
      <c r="C67">
        <v>0</v>
      </c>
      <c r="D67">
        <v>0</v>
      </c>
    </row>
    <row r="68" spans="1:4" x14ac:dyDescent="0.25">
      <c r="A68" t="s">
        <v>3169</v>
      </c>
      <c r="B68" t="s">
        <v>3171</v>
      </c>
      <c r="C68" t="s">
        <v>3169</v>
      </c>
      <c r="D68" t="s">
        <v>3169</v>
      </c>
    </row>
    <row r="69" spans="1:4" x14ac:dyDescent="0.25">
      <c r="A69" t="s">
        <v>3170</v>
      </c>
      <c r="B69" t="s">
        <v>3172</v>
      </c>
      <c r="C69" t="s">
        <v>3173</v>
      </c>
      <c r="D69" t="s">
        <v>3173</v>
      </c>
    </row>
    <row r="70" spans="1:4" x14ac:dyDescent="0.25">
      <c r="A70" t="s">
        <v>2355</v>
      </c>
      <c r="B70" t="s">
        <v>2354</v>
      </c>
      <c r="C70">
        <v>0</v>
      </c>
      <c r="D70">
        <v>0</v>
      </c>
    </row>
    <row r="71" spans="1:4" x14ac:dyDescent="0.25">
      <c r="A71" t="s">
        <v>5560</v>
      </c>
      <c r="B71" t="s">
        <v>5798</v>
      </c>
      <c r="C71">
        <v>0</v>
      </c>
      <c r="D71">
        <v>0</v>
      </c>
    </row>
    <row r="72" spans="1:4" x14ac:dyDescent="0.25">
      <c r="A72" t="s">
        <v>2089</v>
      </c>
      <c r="B72" t="s">
        <v>2353</v>
      </c>
      <c r="C72">
        <v>0</v>
      </c>
      <c r="D72">
        <v>0</v>
      </c>
    </row>
    <row r="73" spans="1:4" x14ac:dyDescent="0.25">
      <c r="A73" t="s">
        <v>2352</v>
      </c>
      <c r="B73" t="s">
        <v>2341</v>
      </c>
      <c r="C73">
        <v>0</v>
      </c>
      <c r="D73">
        <v>0</v>
      </c>
    </row>
    <row r="74" spans="1:4" x14ac:dyDescent="0.25">
      <c r="A74" t="s">
        <v>2351</v>
      </c>
      <c r="B74" t="s">
        <v>2350</v>
      </c>
      <c r="C74" t="s">
        <v>2205</v>
      </c>
      <c r="D74" t="s">
        <v>19</v>
      </c>
    </row>
    <row r="75" spans="1:4" x14ac:dyDescent="0.25">
      <c r="A75" t="s">
        <v>2349</v>
      </c>
      <c r="B75" t="s">
        <v>2348</v>
      </c>
      <c r="C75" t="s">
        <v>19</v>
      </c>
      <c r="D75" t="s">
        <v>19</v>
      </c>
    </row>
    <row r="76" spans="1:4" x14ac:dyDescent="0.25">
      <c r="A76" t="s">
        <v>2085</v>
      </c>
      <c r="B76" t="s">
        <v>2347</v>
      </c>
      <c r="C76" t="s">
        <v>2085</v>
      </c>
      <c r="D76">
        <v>0</v>
      </c>
    </row>
    <row r="77" spans="1:4" x14ac:dyDescent="0.25">
      <c r="A77" t="s">
        <v>5567</v>
      </c>
      <c r="B77" t="s">
        <v>5568</v>
      </c>
      <c r="C77" t="s">
        <v>19</v>
      </c>
      <c r="D77" t="s">
        <v>19</v>
      </c>
    </row>
    <row r="78" spans="1:4" x14ac:dyDescent="0.25">
      <c r="A78" t="s">
        <v>2029</v>
      </c>
      <c r="B78" t="s">
        <v>2028</v>
      </c>
      <c r="C78">
        <v>0</v>
      </c>
      <c r="D78">
        <v>0</v>
      </c>
    </row>
    <row r="79" spans="1:4" x14ac:dyDescent="0.25">
      <c r="A79" t="s">
        <v>2027</v>
      </c>
      <c r="B79" t="s">
        <v>2026</v>
      </c>
      <c r="C79">
        <v>0</v>
      </c>
      <c r="D79">
        <v>0</v>
      </c>
    </row>
    <row r="80" spans="1:4" x14ac:dyDescent="0.25">
      <c r="A80" t="s">
        <v>2025</v>
      </c>
      <c r="B80" t="s">
        <v>2024</v>
      </c>
      <c r="C80">
        <v>0</v>
      </c>
      <c r="D80">
        <v>0</v>
      </c>
    </row>
    <row r="81" spans="1:4" x14ac:dyDescent="0.25">
      <c r="A81" t="s">
        <v>2023</v>
      </c>
      <c r="B81" t="s">
        <v>2022</v>
      </c>
      <c r="C81">
        <v>0</v>
      </c>
      <c r="D81">
        <v>0</v>
      </c>
    </row>
    <row r="82" spans="1:4" x14ac:dyDescent="0.25">
      <c r="A82" t="s">
        <v>2021</v>
      </c>
      <c r="B82" t="s">
        <v>2020</v>
      </c>
      <c r="C82">
        <v>0</v>
      </c>
      <c r="D82">
        <v>0</v>
      </c>
    </row>
    <row r="83" spans="1:4" x14ac:dyDescent="0.25">
      <c r="A83" t="s">
        <v>2019</v>
      </c>
      <c r="B83" t="s">
        <v>2018</v>
      </c>
      <c r="C83">
        <v>0</v>
      </c>
      <c r="D83">
        <v>0</v>
      </c>
    </row>
    <row r="84" spans="1:4" x14ac:dyDescent="0.25">
      <c r="A84" t="s">
        <v>2017</v>
      </c>
      <c r="B84" t="s">
        <v>2016</v>
      </c>
      <c r="C84">
        <v>0</v>
      </c>
      <c r="D84">
        <v>0</v>
      </c>
    </row>
    <row r="85" spans="1:4" x14ac:dyDescent="0.25">
      <c r="A85" t="s">
        <v>2015</v>
      </c>
      <c r="B85" t="s">
        <v>2014</v>
      </c>
      <c r="C85">
        <v>0</v>
      </c>
      <c r="D85">
        <v>0</v>
      </c>
    </row>
    <row r="86" spans="1:4" x14ac:dyDescent="0.25">
      <c r="A86" t="s">
        <v>2013</v>
      </c>
      <c r="B86" t="s">
        <v>2012</v>
      </c>
      <c r="C86">
        <v>0</v>
      </c>
      <c r="D86">
        <v>0</v>
      </c>
    </row>
    <row r="87" spans="1:4" x14ac:dyDescent="0.25">
      <c r="A87" t="s">
        <v>5569</v>
      </c>
      <c r="B87" t="s">
        <v>5561</v>
      </c>
      <c r="C87" t="s">
        <v>5799</v>
      </c>
      <c r="D87">
        <v>0</v>
      </c>
    </row>
    <row r="88" spans="1:4" x14ac:dyDescent="0.25">
      <c r="A88" t="s">
        <v>3728</v>
      </c>
      <c r="B88" t="s">
        <v>3729</v>
      </c>
      <c r="C88" t="s">
        <v>3729</v>
      </c>
      <c r="D88">
        <v>0</v>
      </c>
    </row>
    <row r="89" spans="1:4" x14ac:dyDescent="0.25">
      <c r="A89" t="s">
        <v>2346</v>
      </c>
      <c r="B89" t="s">
        <v>2345</v>
      </c>
      <c r="C89" t="s">
        <v>2344</v>
      </c>
      <c r="D89">
        <v>0</v>
      </c>
    </row>
    <row r="90" spans="1:4" x14ac:dyDescent="0.25">
      <c r="A90" t="s">
        <v>3845</v>
      </c>
      <c r="B90" t="s">
        <v>3846</v>
      </c>
      <c r="C90" t="s">
        <v>2344</v>
      </c>
      <c r="D90">
        <v>0</v>
      </c>
    </row>
    <row r="91" spans="1:4" x14ac:dyDescent="0.25">
      <c r="A91" t="s">
        <v>2082</v>
      </c>
      <c r="B91" t="s">
        <v>2343</v>
      </c>
      <c r="C91" t="s">
        <v>1759</v>
      </c>
      <c r="D91">
        <v>0</v>
      </c>
    </row>
    <row r="92" spans="1:4" x14ac:dyDescent="0.25">
      <c r="A92" t="s">
        <v>2342</v>
      </c>
      <c r="B92" t="s">
        <v>2341</v>
      </c>
      <c r="C92" t="s">
        <v>1759</v>
      </c>
      <c r="D92">
        <v>0</v>
      </c>
    </row>
    <row r="93" spans="1:4" x14ac:dyDescent="0.25">
      <c r="A93" t="s">
        <v>2340</v>
      </c>
      <c r="B93" t="s">
        <v>2339</v>
      </c>
      <c r="C93" t="s">
        <v>1759</v>
      </c>
      <c r="D93">
        <v>0</v>
      </c>
    </row>
    <row r="94" spans="1:4" x14ac:dyDescent="0.25">
      <c r="A94" t="s">
        <v>3692</v>
      </c>
      <c r="B94" t="s">
        <v>3694</v>
      </c>
      <c r="C94" t="s">
        <v>1759</v>
      </c>
      <c r="D94">
        <v>0</v>
      </c>
    </row>
    <row r="95" spans="1:4" x14ac:dyDescent="0.25">
      <c r="A95" t="s">
        <v>6256</v>
      </c>
      <c r="B95" t="s">
        <v>6257</v>
      </c>
      <c r="C95" t="s">
        <v>1759</v>
      </c>
      <c r="D95">
        <v>0</v>
      </c>
    </row>
    <row r="96" spans="1:4" x14ac:dyDescent="0.25">
      <c r="A96" t="s">
        <v>3780</v>
      </c>
      <c r="B96" t="s">
        <v>3781</v>
      </c>
      <c r="C96" t="s">
        <v>1759</v>
      </c>
      <c r="D96">
        <v>0</v>
      </c>
    </row>
    <row r="97" spans="1:4" x14ac:dyDescent="0.25">
      <c r="A97" t="s">
        <v>3815</v>
      </c>
      <c r="B97" t="s">
        <v>3816</v>
      </c>
      <c r="C97" t="s">
        <v>2082</v>
      </c>
      <c r="D97">
        <v>0</v>
      </c>
    </row>
    <row r="98" spans="1:4" x14ac:dyDescent="0.25">
      <c r="A98" t="s">
        <v>3817</v>
      </c>
      <c r="B98" t="s">
        <v>3818</v>
      </c>
      <c r="C98" t="s">
        <v>2082</v>
      </c>
      <c r="D98">
        <v>0</v>
      </c>
    </row>
    <row r="99" spans="1:4" x14ac:dyDescent="0.25">
      <c r="A99" t="s">
        <v>3693</v>
      </c>
      <c r="B99" t="s">
        <v>3695</v>
      </c>
      <c r="C99" t="s">
        <v>1759</v>
      </c>
      <c r="D99">
        <v>0</v>
      </c>
    </row>
    <row r="100" spans="1:4" x14ac:dyDescent="0.25">
      <c r="A100" t="s">
        <v>3721</v>
      </c>
      <c r="B100" t="s">
        <v>3722</v>
      </c>
      <c r="C100" t="s">
        <v>1759</v>
      </c>
      <c r="D100">
        <v>0</v>
      </c>
    </row>
    <row r="101" spans="1:4" x14ac:dyDescent="0.25">
      <c r="A101" t="s">
        <v>3723</v>
      </c>
      <c r="B101" t="s">
        <v>3724</v>
      </c>
      <c r="C101" t="s">
        <v>1759</v>
      </c>
      <c r="D101">
        <v>0</v>
      </c>
    </row>
    <row r="102" spans="1:4" x14ac:dyDescent="0.25">
      <c r="A102" t="s">
        <v>3730</v>
      </c>
      <c r="B102" t="s">
        <v>3731</v>
      </c>
      <c r="C102" t="s">
        <v>3731</v>
      </c>
      <c r="D102">
        <v>0</v>
      </c>
    </row>
    <row r="103" spans="1:4" x14ac:dyDescent="0.25">
      <c r="A103" t="s">
        <v>2338</v>
      </c>
      <c r="B103" t="s">
        <v>2337</v>
      </c>
      <c r="C103" t="s">
        <v>19</v>
      </c>
      <c r="D103" t="s">
        <v>19</v>
      </c>
    </row>
    <row r="104" spans="1:4" x14ac:dyDescent="0.25">
      <c r="A104" t="s">
        <v>2336</v>
      </c>
      <c r="B104" t="s">
        <v>2335</v>
      </c>
      <c r="C104" t="s">
        <v>1762</v>
      </c>
      <c r="D104">
        <v>0</v>
      </c>
    </row>
    <row r="105" spans="1:4" x14ac:dyDescent="0.25">
      <c r="A105" t="s">
        <v>1832</v>
      </c>
      <c r="B105" t="s">
        <v>1831</v>
      </c>
      <c r="C105">
        <v>0</v>
      </c>
      <c r="D105">
        <v>0</v>
      </c>
    </row>
    <row r="106" spans="1:4" x14ac:dyDescent="0.25">
      <c r="A106" t="s">
        <v>1830</v>
      </c>
      <c r="B106" t="s">
        <v>1829</v>
      </c>
      <c r="C106">
        <v>0</v>
      </c>
      <c r="D106">
        <v>0</v>
      </c>
    </row>
    <row r="107" spans="1:4" x14ac:dyDescent="0.25">
      <c r="A107" t="s">
        <v>1828</v>
      </c>
      <c r="B107" t="s">
        <v>1827</v>
      </c>
      <c r="C107">
        <v>0</v>
      </c>
      <c r="D107">
        <v>0</v>
      </c>
    </row>
    <row r="108" spans="1:4" x14ac:dyDescent="0.25">
      <c r="A108" t="s">
        <v>1826</v>
      </c>
      <c r="B108" t="s">
        <v>1825</v>
      </c>
      <c r="C108">
        <v>0</v>
      </c>
      <c r="D108">
        <v>0</v>
      </c>
    </row>
    <row r="109" spans="1:4" x14ac:dyDescent="0.25">
      <c r="A109" t="s">
        <v>1824</v>
      </c>
      <c r="B109" t="s">
        <v>1823</v>
      </c>
      <c r="C109" t="s">
        <v>1765</v>
      </c>
      <c r="D109">
        <v>0</v>
      </c>
    </row>
    <row r="110" spans="1:4" x14ac:dyDescent="0.25">
      <c r="A110" t="s">
        <v>2334</v>
      </c>
      <c r="B110" t="s">
        <v>2333</v>
      </c>
      <c r="C110" t="s">
        <v>2089</v>
      </c>
      <c r="D110">
        <v>0</v>
      </c>
    </row>
    <row r="111" spans="1:4" x14ac:dyDescent="0.25">
      <c r="A111" t="s">
        <v>2332</v>
      </c>
      <c r="B111" t="s">
        <v>2331</v>
      </c>
      <c r="C111" t="s">
        <v>2085</v>
      </c>
      <c r="D111">
        <v>0</v>
      </c>
    </row>
    <row r="112" spans="1:4" x14ac:dyDescent="0.25">
      <c r="A112" t="s">
        <v>1822</v>
      </c>
      <c r="B112" t="s">
        <v>1821</v>
      </c>
      <c r="C112" t="s">
        <v>1759</v>
      </c>
      <c r="D112">
        <v>0</v>
      </c>
    </row>
    <row r="113" spans="1:4" x14ac:dyDescent="0.25">
      <c r="A113" t="s">
        <v>2330</v>
      </c>
      <c r="B113" t="s">
        <v>2329</v>
      </c>
      <c r="C113" t="s">
        <v>2082</v>
      </c>
      <c r="D113">
        <v>0</v>
      </c>
    </row>
    <row r="114" spans="1:4" x14ac:dyDescent="0.25">
      <c r="A114" t="s">
        <v>2328</v>
      </c>
      <c r="B114" t="s">
        <v>2327</v>
      </c>
      <c r="C114" t="s">
        <v>19</v>
      </c>
      <c r="D114" t="s">
        <v>19</v>
      </c>
    </row>
    <row r="115" spans="1:4" x14ac:dyDescent="0.25">
      <c r="A115" t="s">
        <v>2326</v>
      </c>
      <c r="B115" t="s">
        <v>2325</v>
      </c>
      <c r="C115" t="s">
        <v>1703</v>
      </c>
      <c r="D115">
        <v>0</v>
      </c>
    </row>
    <row r="116" spans="1:4" x14ac:dyDescent="0.25">
      <c r="A116" t="s">
        <v>2324</v>
      </c>
      <c r="B116" t="s">
        <v>2323</v>
      </c>
      <c r="C116" t="s">
        <v>1665</v>
      </c>
      <c r="D116" t="s">
        <v>1665</v>
      </c>
    </row>
    <row r="117" spans="1:4" x14ac:dyDescent="0.25">
      <c r="A117" t="s">
        <v>1820</v>
      </c>
      <c r="B117" t="s">
        <v>1819</v>
      </c>
      <c r="C117" t="s">
        <v>1756</v>
      </c>
      <c r="D117">
        <v>0</v>
      </c>
    </row>
    <row r="118" spans="1:4" x14ac:dyDescent="0.25">
      <c r="A118" t="s">
        <v>2322</v>
      </c>
      <c r="B118" t="s">
        <v>2321</v>
      </c>
      <c r="C118" t="s">
        <v>2074</v>
      </c>
      <c r="D118">
        <v>0</v>
      </c>
    </row>
    <row r="119" spans="1:4" x14ac:dyDescent="0.25">
      <c r="A119" t="s">
        <v>2320</v>
      </c>
      <c r="B119" t="s">
        <v>2319</v>
      </c>
      <c r="C119" t="s">
        <v>2071</v>
      </c>
      <c r="D119">
        <v>0</v>
      </c>
    </row>
    <row r="120" spans="1:4" x14ac:dyDescent="0.25">
      <c r="A120" t="s">
        <v>1818</v>
      </c>
      <c r="B120" t="s">
        <v>1817</v>
      </c>
      <c r="C120" t="s">
        <v>1750</v>
      </c>
      <c r="D120">
        <v>0</v>
      </c>
    </row>
    <row r="121" spans="1:4" x14ac:dyDescent="0.25">
      <c r="A121" t="s">
        <v>2318</v>
      </c>
      <c r="B121" t="s">
        <v>2317</v>
      </c>
      <c r="C121" t="s">
        <v>2068</v>
      </c>
      <c r="D121">
        <v>0</v>
      </c>
    </row>
    <row r="122" spans="1:4" x14ac:dyDescent="0.25">
      <c r="A122" t="s">
        <v>2316</v>
      </c>
      <c r="B122" t="s">
        <v>2315</v>
      </c>
      <c r="C122" t="s">
        <v>1698</v>
      </c>
      <c r="D122" t="s">
        <v>1698</v>
      </c>
    </row>
    <row r="123" spans="1:4" x14ac:dyDescent="0.25">
      <c r="A123" t="s">
        <v>2314</v>
      </c>
      <c r="B123" t="s">
        <v>2313</v>
      </c>
      <c r="C123" t="s">
        <v>1696</v>
      </c>
      <c r="D123" t="s">
        <v>1695</v>
      </c>
    </row>
    <row r="124" spans="1:4" x14ac:dyDescent="0.25">
      <c r="A124" t="s">
        <v>2312</v>
      </c>
      <c r="B124" t="s">
        <v>2311</v>
      </c>
      <c r="C124" t="s">
        <v>1693</v>
      </c>
      <c r="D124" t="s">
        <v>1692</v>
      </c>
    </row>
    <row r="125" spans="1:4" x14ac:dyDescent="0.25">
      <c r="A125" t="s">
        <v>2310</v>
      </c>
      <c r="B125" t="s">
        <v>2309</v>
      </c>
      <c r="C125" t="s">
        <v>2098</v>
      </c>
      <c r="D125" t="s">
        <v>2098</v>
      </c>
    </row>
    <row r="126" spans="1:4" x14ac:dyDescent="0.25">
      <c r="A126" t="s">
        <v>2308</v>
      </c>
      <c r="B126" t="s">
        <v>2307</v>
      </c>
      <c r="C126" t="s">
        <v>1689</v>
      </c>
      <c r="D126" t="s">
        <v>1689</v>
      </c>
    </row>
    <row r="127" spans="1:4" x14ac:dyDescent="0.25">
      <c r="A127" t="s">
        <v>2306</v>
      </c>
      <c r="B127" t="s">
        <v>2305</v>
      </c>
      <c r="C127" t="s">
        <v>2062</v>
      </c>
      <c r="D127">
        <v>0</v>
      </c>
    </row>
    <row r="128" spans="1:4" x14ac:dyDescent="0.25">
      <c r="A128" t="s">
        <v>1816</v>
      </c>
      <c r="B128" t="s">
        <v>1815</v>
      </c>
      <c r="C128" t="s">
        <v>1744</v>
      </c>
      <c r="D128">
        <v>0</v>
      </c>
    </row>
    <row r="129" spans="1:4" x14ac:dyDescent="0.25">
      <c r="A129" t="s">
        <v>2304</v>
      </c>
      <c r="B129" t="s">
        <v>2303</v>
      </c>
      <c r="C129" t="s">
        <v>2059</v>
      </c>
      <c r="D129">
        <v>0</v>
      </c>
    </row>
    <row r="130" spans="1:4" x14ac:dyDescent="0.25">
      <c r="A130" t="s">
        <v>1814</v>
      </c>
      <c r="B130" t="s">
        <v>1813</v>
      </c>
      <c r="C130">
        <v>0</v>
      </c>
      <c r="D130">
        <v>0</v>
      </c>
    </row>
    <row r="131" spans="1:4" x14ac:dyDescent="0.25">
      <c r="A131" t="s">
        <v>1812</v>
      </c>
      <c r="B131" t="s">
        <v>1811</v>
      </c>
      <c r="C131">
        <v>0</v>
      </c>
      <c r="D131">
        <v>0</v>
      </c>
    </row>
    <row r="132" spans="1:4" x14ac:dyDescent="0.25">
      <c r="A132" t="s">
        <v>2302</v>
      </c>
      <c r="B132" t="s">
        <v>2301</v>
      </c>
      <c r="C132" t="s">
        <v>19</v>
      </c>
      <c r="D132" t="s">
        <v>19</v>
      </c>
    </row>
    <row r="133" spans="1:4" x14ac:dyDescent="0.25">
      <c r="A133" t="s">
        <v>2401</v>
      </c>
      <c r="B133" t="s">
        <v>2400</v>
      </c>
      <c r="C133" t="s">
        <v>1703</v>
      </c>
      <c r="D133">
        <v>0</v>
      </c>
    </row>
    <row r="134" spans="1:4" x14ac:dyDescent="0.25">
      <c r="A134" t="s">
        <v>2300</v>
      </c>
      <c r="B134" t="s">
        <v>2299</v>
      </c>
      <c r="C134" t="s">
        <v>1703</v>
      </c>
      <c r="D134">
        <v>0</v>
      </c>
    </row>
    <row r="135" spans="1:4" x14ac:dyDescent="0.25">
      <c r="A135" t="s">
        <v>3092</v>
      </c>
      <c r="B135" t="s">
        <v>3093</v>
      </c>
      <c r="C135" t="s">
        <v>3094</v>
      </c>
      <c r="D135" t="s">
        <v>3094</v>
      </c>
    </row>
    <row r="136" spans="1:4" x14ac:dyDescent="0.25">
      <c r="A136" t="s">
        <v>2413</v>
      </c>
      <c r="B136" t="s">
        <v>2412</v>
      </c>
      <c r="C136" t="s">
        <v>5929</v>
      </c>
      <c r="D136">
        <v>0</v>
      </c>
    </row>
    <row r="137" spans="1:4" x14ac:dyDescent="0.25">
      <c r="A137" t="s">
        <v>2415</v>
      </c>
      <c r="B137" t="s">
        <v>2414</v>
      </c>
      <c r="C137" t="s">
        <v>5929</v>
      </c>
      <c r="D137">
        <v>0</v>
      </c>
    </row>
    <row r="138" spans="1:4" x14ac:dyDescent="0.25">
      <c r="A138" t="s">
        <v>2411</v>
      </c>
      <c r="B138" t="s">
        <v>2410</v>
      </c>
      <c r="C138" t="s">
        <v>5929</v>
      </c>
      <c r="D138">
        <v>0</v>
      </c>
    </row>
    <row r="139" spans="1:4" x14ac:dyDescent="0.25">
      <c r="A139" t="s">
        <v>2409</v>
      </c>
      <c r="B139" t="s">
        <v>2408</v>
      </c>
      <c r="C139" t="s">
        <v>5929</v>
      </c>
      <c r="D139">
        <v>0</v>
      </c>
    </row>
    <row r="140" spans="1:4" x14ac:dyDescent="0.25">
      <c r="A140" t="s">
        <v>2403</v>
      </c>
      <c r="B140" t="s">
        <v>2402</v>
      </c>
      <c r="C140" t="s">
        <v>1665</v>
      </c>
      <c r="D140" t="s">
        <v>1665</v>
      </c>
    </row>
    <row r="141" spans="1:4" x14ac:dyDescent="0.25">
      <c r="A141" t="s">
        <v>2298</v>
      </c>
      <c r="B141" t="s">
        <v>2297</v>
      </c>
      <c r="C141" t="s">
        <v>1665</v>
      </c>
      <c r="D141" t="s">
        <v>1665</v>
      </c>
    </row>
    <row r="142" spans="1:4" x14ac:dyDescent="0.25">
      <c r="A142" t="s">
        <v>2296</v>
      </c>
      <c r="B142" t="s">
        <v>2295</v>
      </c>
      <c r="C142" t="s">
        <v>1665</v>
      </c>
      <c r="D142" t="s">
        <v>1665</v>
      </c>
    </row>
    <row r="143" spans="1:4" x14ac:dyDescent="0.25">
      <c r="A143" t="s">
        <v>2294</v>
      </c>
      <c r="B143" t="s">
        <v>2293</v>
      </c>
      <c r="C143" t="s">
        <v>1665</v>
      </c>
      <c r="D143" t="s">
        <v>1665</v>
      </c>
    </row>
    <row r="144" spans="1:4" x14ac:dyDescent="0.25">
      <c r="A144" t="s">
        <v>2292</v>
      </c>
      <c r="B144" t="s">
        <v>2291</v>
      </c>
      <c r="C144" t="s">
        <v>1665</v>
      </c>
      <c r="D144" t="s">
        <v>1665</v>
      </c>
    </row>
    <row r="145" spans="1:4" x14ac:dyDescent="0.25">
      <c r="A145" t="s">
        <v>5590</v>
      </c>
      <c r="B145" t="s">
        <v>5591</v>
      </c>
      <c r="C145" t="s">
        <v>1665</v>
      </c>
      <c r="D145" t="s">
        <v>1665</v>
      </c>
    </row>
    <row r="146" spans="1:4" x14ac:dyDescent="0.25">
      <c r="A146" t="s">
        <v>2290</v>
      </c>
      <c r="B146" t="s">
        <v>2289</v>
      </c>
      <c r="C146">
        <v>0</v>
      </c>
      <c r="D146">
        <v>0</v>
      </c>
    </row>
    <row r="147" spans="1:4" x14ac:dyDescent="0.25">
      <c r="A147" t="s">
        <v>2288</v>
      </c>
      <c r="B147" t="s">
        <v>2287</v>
      </c>
      <c r="C147">
        <v>0</v>
      </c>
      <c r="D147">
        <v>0</v>
      </c>
    </row>
    <row r="148" spans="1:4" x14ac:dyDescent="0.25">
      <c r="A148" t="s">
        <v>2286</v>
      </c>
      <c r="B148" t="s">
        <v>2285</v>
      </c>
      <c r="C148">
        <v>0</v>
      </c>
      <c r="D148">
        <v>0</v>
      </c>
    </row>
    <row r="149" spans="1:4" x14ac:dyDescent="0.25">
      <c r="A149" t="s">
        <v>5596</v>
      </c>
      <c r="B149" t="s">
        <v>5597</v>
      </c>
      <c r="C149">
        <v>0</v>
      </c>
      <c r="D149">
        <v>0</v>
      </c>
    </row>
    <row r="150" spans="1:4" x14ac:dyDescent="0.25">
      <c r="A150" t="s">
        <v>2284</v>
      </c>
      <c r="B150" t="s">
        <v>2283</v>
      </c>
      <c r="C150">
        <v>0</v>
      </c>
      <c r="D150">
        <v>0</v>
      </c>
    </row>
    <row r="151" spans="1:4" x14ac:dyDescent="0.25">
      <c r="A151" t="s">
        <v>2282</v>
      </c>
      <c r="B151" t="s">
        <v>2281</v>
      </c>
      <c r="C151">
        <v>0</v>
      </c>
      <c r="D151">
        <v>0</v>
      </c>
    </row>
    <row r="152" spans="1:4" x14ac:dyDescent="0.25">
      <c r="A152" t="s">
        <v>2280</v>
      </c>
      <c r="B152" t="s">
        <v>2279</v>
      </c>
      <c r="C152" t="s">
        <v>1664</v>
      </c>
      <c r="D152">
        <v>0</v>
      </c>
    </row>
    <row r="153" spans="1:4" x14ac:dyDescent="0.25">
      <c r="A153" t="s">
        <v>2278</v>
      </c>
      <c r="B153" t="s">
        <v>2277</v>
      </c>
      <c r="C153" t="s">
        <v>1664</v>
      </c>
      <c r="D153">
        <v>0</v>
      </c>
    </row>
    <row r="154" spans="1:4" x14ac:dyDescent="0.25">
      <c r="A154" t="s">
        <v>2276</v>
      </c>
      <c r="B154" t="s">
        <v>2275</v>
      </c>
      <c r="C154" t="s">
        <v>1664</v>
      </c>
      <c r="D154">
        <v>0</v>
      </c>
    </row>
    <row r="155" spans="1:4" x14ac:dyDescent="0.25">
      <c r="A155" t="s">
        <v>3834</v>
      </c>
      <c r="B155" t="s">
        <v>3835</v>
      </c>
      <c r="C155" t="s">
        <v>3833</v>
      </c>
      <c r="D155">
        <v>0</v>
      </c>
    </row>
    <row r="156" spans="1:4" x14ac:dyDescent="0.25">
      <c r="A156" t="s">
        <v>3836</v>
      </c>
      <c r="B156" t="s">
        <v>3835</v>
      </c>
      <c r="C156" t="s">
        <v>3833</v>
      </c>
      <c r="D156">
        <v>0</v>
      </c>
    </row>
    <row r="157" spans="1:4" x14ac:dyDescent="0.25">
      <c r="A157" t="s">
        <v>3831</v>
      </c>
      <c r="B157" t="s">
        <v>3832</v>
      </c>
      <c r="C157" t="s">
        <v>3833</v>
      </c>
      <c r="D157">
        <v>0</v>
      </c>
    </row>
    <row r="158" spans="1:4" x14ac:dyDescent="0.25">
      <c r="A158" t="s">
        <v>2274</v>
      </c>
      <c r="B158" t="s">
        <v>2273</v>
      </c>
      <c r="C158" t="s">
        <v>386</v>
      </c>
      <c r="D158">
        <v>0</v>
      </c>
    </row>
    <row r="159" spans="1:4" x14ac:dyDescent="0.25">
      <c r="A159" t="s">
        <v>2272</v>
      </c>
      <c r="B159" t="s">
        <v>2271</v>
      </c>
      <c r="C159" t="s">
        <v>2185</v>
      </c>
      <c r="D159">
        <v>0</v>
      </c>
    </row>
    <row r="160" spans="1:4" x14ac:dyDescent="0.25">
      <c r="A160" t="s">
        <v>3095</v>
      </c>
      <c r="B160" t="s">
        <v>3096</v>
      </c>
      <c r="C160" t="s">
        <v>3097</v>
      </c>
      <c r="D160" t="s">
        <v>3097</v>
      </c>
    </row>
    <row r="161" spans="1:4" x14ac:dyDescent="0.25">
      <c r="A161" t="s">
        <v>2011</v>
      </c>
      <c r="B161" t="s">
        <v>1294</v>
      </c>
      <c r="C161">
        <v>0</v>
      </c>
      <c r="D161">
        <v>0</v>
      </c>
    </row>
    <row r="162" spans="1:4" x14ac:dyDescent="0.25">
      <c r="A162" t="s">
        <v>2010</v>
      </c>
      <c r="B162" t="s">
        <v>1292</v>
      </c>
      <c r="C162">
        <v>0</v>
      </c>
      <c r="D162">
        <v>0</v>
      </c>
    </row>
    <row r="163" spans="1:4" x14ac:dyDescent="0.25">
      <c r="A163" t="s">
        <v>2009</v>
      </c>
      <c r="B163" t="s">
        <v>1290</v>
      </c>
      <c r="C163">
        <v>0</v>
      </c>
      <c r="D163">
        <v>0</v>
      </c>
    </row>
    <row r="164" spans="1:4" x14ac:dyDescent="0.25">
      <c r="A164" t="s">
        <v>1810</v>
      </c>
      <c r="B164" t="s">
        <v>1809</v>
      </c>
      <c r="C164" t="s">
        <v>1703</v>
      </c>
      <c r="D164">
        <v>0</v>
      </c>
    </row>
    <row r="165" spans="1:4" x14ac:dyDescent="0.25">
      <c r="A165" t="s">
        <v>2008</v>
      </c>
      <c r="B165" t="s">
        <v>1288</v>
      </c>
      <c r="C165">
        <v>0</v>
      </c>
      <c r="D165">
        <v>0</v>
      </c>
    </row>
    <row r="166" spans="1:4" x14ac:dyDescent="0.25">
      <c r="A166" t="s">
        <v>1808</v>
      </c>
      <c r="B166" t="s">
        <v>1807</v>
      </c>
      <c r="C166" t="s">
        <v>1665</v>
      </c>
      <c r="D166" t="s">
        <v>1665</v>
      </c>
    </row>
    <row r="167" spans="1:4" x14ac:dyDescent="0.25">
      <c r="A167" t="s">
        <v>3604</v>
      </c>
      <c r="B167" t="s">
        <v>3605</v>
      </c>
      <c r="C167" t="s">
        <v>1665</v>
      </c>
      <c r="D167" t="s">
        <v>1665</v>
      </c>
    </row>
    <row r="168" spans="1:4" x14ac:dyDescent="0.25">
      <c r="A168" t="s">
        <v>2007</v>
      </c>
      <c r="B168" t="s">
        <v>1286</v>
      </c>
      <c r="C168">
        <v>0</v>
      </c>
      <c r="D168">
        <v>0</v>
      </c>
    </row>
    <row r="169" spans="1:4" x14ac:dyDescent="0.25">
      <c r="A169" t="s">
        <v>2006</v>
      </c>
      <c r="B169" t="s">
        <v>1284</v>
      </c>
      <c r="C169">
        <v>0</v>
      </c>
      <c r="D169">
        <v>0</v>
      </c>
    </row>
    <row r="170" spans="1:4" x14ac:dyDescent="0.25">
      <c r="A170" t="s">
        <v>2005</v>
      </c>
      <c r="B170" t="s">
        <v>1282</v>
      </c>
      <c r="C170">
        <v>0</v>
      </c>
      <c r="D170">
        <v>0</v>
      </c>
    </row>
    <row r="171" spans="1:4" x14ac:dyDescent="0.25">
      <c r="A171" t="s">
        <v>2004</v>
      </c>
      <c r="B171" t="s">
        <v>1280</v>
      </c>
      <c r="C171">
        <v>0</v>
      </c>
      <c r="D171">
        <v>0</v>
      </c>
    </row>
    <row r="172" spans="1:4" x14ac:dyDescent="0.25">
      <c r="A172" t="s">
        <v>3646</v>
      </c>
      <c r="B172" t="s">
        <v>3647</v>
      </c>
      <c r="C172" t="s">
        <v>3589</v>
      </c>
      <c r="D172" t="s">
        <v>3589</v>
      </c>
    </row>
    <row r="173" spans="1:4" x14ac:dyDescent="0.25">
      <c r="A173" t="s">
        <v>2003</v>
      </c>
      <c r="B173" t="s">
        <v>1278</v>
      </c>
      <c r="C173">
        <v>0</v>
      </c>
      <c r="D173">
        <v>0</v>
      </c>
    </row>
    <row r="174" spans="1:4" x14ac:dyDescent="0.25">
      <c r="A174" t="s">
        <v>2002</v>
      </c>
      <c r="B174" t="s">
        <v>1267</v>
      </c>
      <c r="C174">
        <v>0</v>
      </c>
      <c r="D174">
        <v>0</v>
      </c>
    </row>
    <row r="175" spans="1:4" x14ac:dyDescent="0.25">
      <c r="A175" t="s">
        <v>2001</v>
      </c>
      <c r="B175" t="s">
        <v>1265</v>
      </c>
      <c r="C175">
        <v>0</v>
      </c>
      <c r="D175">
        <v>0</v>
      </c>
    </row>
    <row r="176" spans="1:4" x14ac:dyDescent="0.25">
      <c r="A176" t="s">
        <v>3606</v>
      </c>
      <c r="B176" t="s">
        <v>1867</v>
      </c>
      <c r="C176" t="s">
        <v>3732</v>
      </c>
      <c r="D176" t="s">
        <v>3732</v>
      </c>
    </row>
    <row r="177" spans="1:4" x14ac:dyDescent="0.25">
      <c r="A177" t="s">
        <v>5617</v>
      </c>
      <c r="B177" t="s">
        <v>5618</v>
      </c>
      <c r="C177" t="s">
        <v>5800</v>
      </c>
      <c r="D177" t="s">
        <v>5800</v>
      </c>
    </row>
    <row r="178" spans="1:4" x14ac:dyDescent="0.25">
      <c r="A178" t="s">
        <v>3727</v>
      </c>
      <c r="B178" t="s">
        <v>1867</v>
      </c>
      <c r="C178" t="s">
        <v>3733</v>
      </c>
      <c r="D178" t="s">
        <v>3732</v>
      </c>
    </row>
    <row r="179" spans="1:4" x14ac:dyDescent="0.25">
      <c r="A179" t="s">
        <v>3098</v>
      </c>
      <c r="B179" t="s">
        <v>1867</v>
      </c>
      <c r="C179">
        <v>0</v>
      </c>
      <c r="D179">
        <v>0</v>
      </c>
    </row>
    <row r="180" spans="1:4" x14ac:dyDescent="0.25">
      <c r="A180" t="s">
        <v>1806</v>
      </c>
      <c r="B180" t="s">
        <v>1805</v>
      </c>
      <c r="C180" t="s">
        <v>1703</v>
      </c>
      <c r="D180">
        <v>0</v>
      </c>
    </row>
    <row r="181" spans="1:4" x14ac:dyDescent="0.25">
      <c r="A181" t="s">
        <v>1804</v>
      </c>
      <c r="B181" t="s">
        <v>1803</v>
      </c>
      <c r="C181" t="s">
        <v>1665</v>
      </c>
      <c r="D181" t="s">
        <v>1665</v>
      </c>
    </row>
    <row r="182" spans="1:4" x14ac:dyDescent="0.25">
      <c r="A182" t="s">
        <v>2000</v>
      </c>
      <c r="B182" t="s">
        <v>1260</v>
      </c>
      <c r="C182">
        <v>0</v>
      </c>
      <c r="D182">
        <v>0</v>
      </c>
    </row>
    <row r="183" spans="1:4" x14ac:dyDescent="0.25">
      <c r="A183" t="s">
        <v>1999</v>
      </c>
      <c r="B183" t="s">
        <v>1258</v>
      </c>
      <c r="C183">
        <v>0</v>
      </c>
      <c r="D183">
        <v>0</v>
      </c>
    </row>
    <row r="184" spans="1:4" x14ac:dyDescent="0.25">
      <c r="A184" t="s">
        <v>1998</v>
      </c>
      <c r="B184" t="s">
        <v>1256</v>
      </c>
      <c r="C184">
        <v>0</v>
      </c>
      <c r="D184">
        <v>0</v>
      </c>
    </row>
    <row r="185" spans="1:4" x14ac:dyDescent="0.25">
      <c r="A185" t="s">
        <v>1802</v>
      </c>
      <c r="B185" t="s">
        <v>1801</v>
      </c>
      <c r="C185" t="s">
        <v>1703</v>
      </c>
      <c r="D185">
        <v>0</v>
      </c>
    </row>
    <row r="186" spans="1:4" x14ac:dyDescent="0.25">
      <c r="A186" t="s">
        <v>1997</v>
      </c>
      <c r="B186" t="s">
        <v>1254</v>
      </c>
      <c r="C186">
        <v>0</v>
      </c>
      <c r="D186">
        <v>0</v>
      </c>
    </row>
    <row r="187" spans="1:4" x14ac:dyDescent="0.25">
      <c r="A187" t="s">
        <v>1800</v>
      </c>
      <c r="B187" t="s">
        <v>1799</v>
      </c>
      <c r="C187" t="s">
        <v>1665</v>
      </c>
      <c r="D187" t="s">
        <v>1665</v>
      </c>
    </row>
    <row r="188" spans="1:4" x14ac:dyDescent="0.25">
      <c r="A188" t="s">
        <v>1996</v>
      </c>
      <c r="B188" t="s">
        <v>1252</v>
      </c>
      <c r="C188">
        <v>0</v>
      </c>
      <c r="D188">
        <v>0</v>
      </c>
    </row>
    <row r="189" spans="1:4" x14ac:dyDescent="0.25">
      <c r="A189" t="s">
        <v>1995</v>
      </c>
      <c r="B189" t="s">
        <v>1250</v>
      </c>
      <c r="C189">
        <v>0</v>
      </c>
      <c r="D189">
        <v>0</v>
      </c>
    </row>
    <row r="190" spans="1:4" x14ac:dyDescent="0.25">
      <c r="A190" t="s">
        <v>1994</v>
      </c>
      <c r="B190" t="s">
        <v>1248</v>
      </c>
      <c r="C190">
        <v>0</v>
      </c>
      <c r="D190">
        <v>0</v>
      </c>
    </row>
    <row r="191" spans="1:4" x14ac:dyDescent="0.25">
      <c r="A191" t="s">
        <v>1993</v>
      </c>
      <c r="B191" t="s">
        <v>1246</v>
      </c>
      <c r="C191">
        <v>0</v>
      </c>
      <c r="D191">
        <v>0</v>
      </c>
    </row>
    <row r="192" spans="1:4" x14ac:dyDescent="0.25">
      <c r="A192" t="s">
        <v>1992</v>
      </c>
      <c r="B192" t="s">
        <v>1244</v>
      </c>
      <c r="C192">
        <v>0</v>
      </c>
      <c r="D192">
        <v>0</v>
      </c>
    </row>
    <row r="193" spans="1:4" x14ac:dyDescent="0.25">
      <c r="A193" t="s">
        <v>1991</v>
      </c>
      <c r="B193" t="s">
        <v>1236</v>
      </c>
      <c r="C193">
        <v>0</v>
      </c>
      <c r="D193">
        <v>0</v>
      </c>
    </row>
    <row r="194" spans="1:4" x14ac:dyDescent="0.25">
      <c r="A194" t="s">
        <v>3826</v>
      </c>
      <c r="B194" t="s">
        <v>3827</v>
      </c>
      <c r="C194" t="s">
        <v>3828</v>
      </c>
      <c r="D194" t="s">
        <v>3828</v>
      </c>
    </row>
    <row r="195" spans="1:4" x14ac:dyDescent="0.25">
      <c r="A195" t="s">
        <v>1798</v>
      </c>
      <c r="B195" t="s">
        <v>1797</v>
      </c>
      <c r="C195" t="s">
        <v>1711</v>
      </c>
      <c r="D195" t="s">
        <v>1710</v>
      </c>
    </row>
    <row r="196" spans="1:4" x14ac:dyDescent="0.25">
      <c r="A196" t="s">
        <v>1796</v>
      </c>
      <c r="B196" t="s">
        <v>1795</v>
      </c>
      <c r="C196" t="s">
        <v>1762</v>
      </c>
      <c r="D196">
        <v>0</v>
      </c>
    </row>
    <row r="197" spans="1:4" x14ac:dyDescent="0.25">
      <c r="A197" t="s">
        <v>1794</v>
      </c>
      <c r="B197" t="s">
        <v>1793</v>
      </c>
      <c r="C197" t="s">
        <v>1792</v>
      </c>
      <c r="D197" t="s">
        <v>1792</v>
      </c>
    </row>
    <row r="198" spans="1:4" x14ac:dyDescent="0.25">
      <c r="A198" t="s">
        <v>1791</v>
      </c>
      <c r="B198" t="s">
        <v>1790</v>
      </c>
      <c r="C198" t="s">
        <v>1759</v>
      </c>
      <c r="D198">
        <v>0</v>
      </c>
    </row>
    <row r="199" spans="1:4" x14ac:dyDescent="0.25">
      <c r="A199" t="s">
        <v>1789</v>
      </c>
      <c r="B199" t="s">
        <v>1788</v>
      </c>
      <c r="C199" t="s">
        <v>19</v>
      </c>
      <c r="D199" t="s">
        <v>19</v>
      </c>
    </row>
    <row r="200" spans="1:4" x14ac:dyDescent="0.25">
      <c r="A200" t="s">
        <v>1787</v>
      </c>
      <c r="B200" t="s">
        <v>1786</v>
      </c>
      <c r="C200" t="s">
        <v>1785</v>
      </c>
      <c r="D200" t="s">
        <v>1784</v>
      </c>
    </row>
    <row r="201" spans="1:4" x14ac:dyDescent="0.25">
      <c r="A201" t="s">
        <v>1866</v>
      </c>
      <c r="B201" t="s">
        <v>1865</v>
      </c>
      <c r="C201" t="s">
        <v>3110</v>
      </c>
      <c r="D201" t="s">
        <v>3110</v>
      </c>
    </row>
    <row r="202" spans="1:4" x14ac:dyDescent="0.25">
      <c r="A202" s="5" t="s">
        <v>6266</v>
      </c>
      <c r="B202" t="s">
        <v>6267</v>
      </c>
      <c r="C202" t="s">
        <v>1775</v>
      </c>
      <c r="D202" t="s">
        <v>1775</v>
      </c>
    </row>
    <row r="203" spans="1:4" x14ac:dyDescent="0.25">
      <c r="A203" t="s">
        <v>1783</v>
      </c>
      <c r="B203" t="s">
        <v>1782</v>
      </c>
      <c r="C203" t="s">
        <v>1703</v>
      </c>
      <c r="D203">
        <v>0</v>
      </c>
    </row>
    <row r="204" spans="1:4" x14ac:dyDescent="0.25">
      <c r="A204" t="s">
        <v>3607</v>
      </c>
      <c r="B204" t="s">
        <v>3608</v>
      </c>
      <c r="C204" t="s">
        <v>3094</v>
      </c>
      <c r="D204" t="s">
        <v>3094</v>
      </c>
    </row>
    <row r="205" spans="1:4" x14ac:dyDescent="0.25">
      <c r="A205" t="s">
        <v>1781</v>
      </c>
      <c r="B205" t="s">
        <v>1780</v>
      </c>
      <c r="C205" t="s">
        <v>1665</v>
      </c>
      <c r="D205" t="s">
        <v>1665</v>
      </c>
    </row>
    <row r="206" spans="1:4" x14ac:dyDescent="0.25">
      <c r="A206" t="s">
        <v>3099</v>
      </c>
      <c r="B206" t="s">
        <v>3100</v>
      </c>
      <c r="C206" t="s">
        <v>3110</v>
      </c>
      <c r="D206" t="s">
        <v>3110</v>
      </c>
    </row>
    <row r="207" spans="1:4" x14ac:dyDescent="0.25">
      <c r="A207" t="s">
        <v>3101</v>
      </c>
      <c r="B207" t="s">
        <v>5892</v>
      </c>
      <c r="C207" t="s">
        <v>3110</v>
      </c>
      <c r="D207" t="s">
        <v>3110</v>
      </c>
    </row>
    <row r="208" spans="1:4" x14ac:dyDescent="0.25">
      <c r="A208" t="s">
        <v>3103</v>
      </c>
      <c r="B208" t="s">
        <v>3104</v>
      </c>
      <c r="C208" t="s">
        <v>1703</v>
      </c>
      <c r="D208" t="s">
        <v>1703</v>
      </c>
    </row>
    <row r="209" spans="1:4" x14ac:dyDescent="0.25">
      <c r="A209" t="s">
        <v>3105</v>
      </c>
      <c r="B209" t="s">
        <v>3106</v>
      </c>
      <c r="C209" t="s">
        <v>386</v>
      </c>
      <c r="D209" t="s">
        <v>386</v>
      </c>
    </row>
    <row r="210" spans="1:4" x14ac:dyDescent="0.25">
      <c r="A210" t="s">
        <v>6303</v>
      </c>
      <c r="B210" t="s">
        <v>6304</v>
      </c>
      <c r="C210" t="s">
        <v>6305</v>
      </c>
      <c r="D210" t="s">
        <v>6305</v>
      </c>
    </row>
    <row r="211" spans="1:4" x14ac:dyDescent="0.25">
      <c r="A211" t="s">
        <v>6306</v>
      </c>
      <c r="B211" t="s">
        <v>6307</v>
      </c>
      <c r="C211" t="s">
        <v>3591</v>
      </c>
      <c r="D211" t="s">
        <v>3591</v>
      </c>
    </row>
    <row r="212" spans="1:4" x14ac:dyDescent="0.25">
      <c r="A212" t="s">
        <v>6308</v>
      </c>
      <c r="B212" t="s">
        <v>6309</v>
      </c>
      <c r="C212" t="s">
        <v>6310</v>
      </c>
      <c r="D212" t="s">
        <v>6310</v>
      </c>
    </row>
    <row r="213" spans="1:4" x14ac:dyDescent="0.25">
      <c r="A213" t="s">
        <v>3107</v>
      </c>
      <c r="B213" t="s">
        <v>3108</v>
      </c>
      <c r="C213" t="s">
        <v>3109</v>
      </c>
      <c r="D213" t="s">
        <v>3109</v>
      </c>
    </row>
    <row r="214" spans="1:4" x14ac:dyDescent="0.25">
      <c r="A214" t="s">
        <v>1779</v>
      </c>
      <c r="B214" t="s">
        <v>312</v>
      </c>
      <c r="C214" t="s">
        <v>1698</v>
      </c>
      <c r="D214" t="s">
        <v>1698</v>
      </c>
    </row>
    <row r="215" spans="1:4" x14ac:dyDescent="0.25">
      <c r="A215" t="s">
        <v>1778</v>
      </c>
      <c r="B215" t="s">
        <v>310</v>
      </c>
      <c r="C215" t="s">
        <v>1689</v>
      </c>
      <c r="D215" t="s">
        <v>1689</v>
      </c>
    </row>
    <row r="216" spans="1:4" x14ac:dyDescent="0.25">
      <c r="A216" t="s">
        <v>1774</v>
      </c>
      <c r="B216" t="s">
        <v>1773</v>
      </c>
      <c r="C216" t="s">
        <v>1772</v>
      </c>
      <c r="D216" t="s">
        <v>1772</v>
      </c>
    </row>
    <row r="217" spans="1:4" x14ac:dyDescent="0.25">
      <c r="A217" t="s">
        <v>3111</v>
      </c>
      <c r="B217" t="s">
        <v>3112</v>
      </c>
      <c r="C217" t="s">
        <v>19</v>
      </c>
      <c r="D217" t="s">
        <v>19</v>
      </c>
    </row>
    <row r="218" spans="1:4" x14ac:dyDescent="0.25">
      <c r="A218" t="s">
        <v>1990</v>
      </c>
      <c r="B218" t="s">
        <v>1190</v>
      </c>
      <c r="C218">
        <v>0</v>
      </c>
      <c r="D218">
        <v>0</v>
      </c>
    </row>
    <row r="219" spans="1:4" x14ac:dyDescent="0.25">
      <c r="A219" t="s">
        <v>1989</v>
      </c>
      <c r="B219" t="s">
        <v>1188</v>
      </c>
      <c r="C219">
        <v>0</v>
      </c>
      <c r="D219">
        <v>0</v>
      </c>
    </row>
    <row r="220" spans="1:4" x14ac:dyDescent="0.25">
      <c r="A220" t="s">
        <v>1988</v>
      </c>
      <c r="B220" t="s">
        <v>1186</v>
      </c>
      <c r="C220">
        <v>0</v>
      </c>
      <c r="D220">
        <v>0</v>
      </c>
    </row>
    <row r="221" spans="1:4" x14ac:dyDescent="0.25">
      <c r="A221" t="s">
        <v>1771</v>
      </c>
      <c r="B221" t="s">
        <v>1770</v>
      </c>
      <c r="C221" t="s">
        <v>1703</v>
      </c>
      <c r="D221" t="s">
        <v>1703</v>
      </c>
    </row>
    <row r="222" spans="1:4" x14ac:dyDescent="0.25">
      <c r="A222" t="s">
        <v>1987</v>
      </c>
      <c r="B222" t="s">
        <v>1184</v>
      </c>
      <c r="C222">
        <v>0</v>
      </c>
      <c r="D222">
        <v>0</v>
      </c>
    </row>
    <row r="223" spans="1:4" x14ac:dyDescent="0.25">
      <c r="A223" t="s">
        <v>1769</v>
      </c>
      <c r="B223" t="s">
        <v>1768</v>
      </c>
      <c r="C223" t="s">
        <v>1665</v>
      </c>
      <c r="D223" t="s">
        <v>1665</v>
      </c>
    </row>
    <row r="224" spans="1:4" x14ac:dyDescent="0.25">
      <c r="A224" t="s">
        <v>1986</v>
      </c>
      <c r="B224" t="s">
        <v>1182</v>
      </c>
      <c r="C224">
        <v>0</v>
      </c>
      <c r="D224">
        <v>0</v>
      </c>
    </row>
    <row r="225" spans="1:4" x14ac:dyDescent="0.25">
      <c r="A225" t="s">
        <v>1985</v>
      </c>
      <c r="B225" t="s">
        <v>1180</v>
      </c>
      <c r="C225">
        <v>0</v>
      </c>
      <c r="D225">
        <v>0</v>
      </c>
    </row>
    <row r="226" spans="1:4" x14ac:dyDescent="0.25">
      <c r="A226" t="s">
        <v>1984</v>
      </c>
      <c r="B226" t="s">
        <v>1178</v>
      </c>
      <c r="C226">
        <v>0</v>
      </c>
      <c r="D226">
        <v>0</v>
      </c>
    </row>
    <row r="227" spans="1:4" x14ac:dyDescent="0.25">
      <c r="A227" t="s">
        <v>1983</v>
      </c>
      <c r="B227" t="s">
        <v>1176</v>
      </c>
      <c r="C227">
        <v>0</v>
      </c>
      <c r="D227">
        <v>0</v>
      </c>
    </row>
    <row r="228" spans="1:4" x14ac:dyDescent="0.25">
      <c r="A228" t="s">
        <v>1982</v>
      </c>
      <c r="B228" t="s">
        <v>1174</v>
      </c>
      <c r="C228">
        <v>0</v>
      </c>
      <c r="D228">
        <v>0</v>
      </c>
    </row>
    <row r="229" spans="1:4" x14ac:dyDescent="0.25">
      <c r="A229" t="s">
        <v>1981</v>
      </c>
      <c r="B229" t="s">
        <v>1172</v>
      </c>
      <c r="C229">
        <v>0</v>
      </c>
      <c r="D229">
        <v>0</v>
      </c>
    </row>
    <row r="230" spans="1:4" x14ac:dyDescent="0.25">
      <c r="A230" t="s">
        <v>1980</v>
      </c>
      <c r="B230" t="s">
        <v>1160</v>
      </c>
      <c r="C230">
        <v>0</v>
      </c>
      <c r="D230">
        <v>0</v>
      </c>
    </row>
    <row r="231" spans="1:4" x14ac:dyDescent="0.25">
      <c r="A231" t="s">
        <v>2270</v>
      </c>
      <c r="B231" t="s">
        <v>2269</v>
      </c>
      <c r="C231" t="s">
        <v>1711</v>
      </c>
      <c r="D231" t="s">
        <v>1710</v>
      </c>
    </row>
    <row r="232" spans="1:4" x14ac:dyDescent="0.25">
      <c r="A232" t="s">
        <v>3609</v>
      </c>
      <c r="B232" t="s">
        <v>3515</v>
      </c>
      <c r="C232" t="s">
        <v>3685</v>
      </c>
      <c r="D232" t="s">
        <v>2151</v>
      </c>
    </row>
    <row r="233" spans="1:4" x14ac:dyDescent="0.25">
      <c r="A233" t="s">
        <v>2268</v>
      </c>
      <c r="B233" t="s">
        <v>2267</v>
      </c>
      <c r="C233" t="s">
        <v>2152</v>
      </c>
      <c r="D233" t="s">
        <v>2151</v>
      </c>
    </row>
    <row r="234" spans="1:4" x14ac:dyDescent="0.25">
      <c r="A234" t="s">
        <v>3113</v>
      </c>
      <c r="B234" t="s">
        <v>3114</v>
      </c>
      <c r="C234" t="s">
        <v>3115</v>
      </c>
      <c r="D234">
        <v>0</v>
      </c>
    </row>
    <row r="235" spans="1:4" x14ac:dyDescent="0.25">
      <c r="A235" t="s">
        <v>1767</v>
      </c>
      <c r="B235" t="s">
        <v>1766</v>
      </c>
      <c r="C235" t="s">
        <v>1765</v>
      </c>
      <c r="D235">
        <v>0</v>
      </c>
    </row>
    <row r="236" spans="1:4" x14ac:dyDescent="0.25">
      <c r="A236" t="s">
        <v>2266</v>
      </c>
      <c r="B236" t="s">
        <v>2265</v>
      </c>
      <c r="C236" t="s">
        <v>2089</v>
      </c>
      <c r="D236">
        <v>0</v>
      </c>
    </row>
    <row r="237" spans="1:4" x14ac:dyDescent="0.25">
      <c r="A237" t="s">
        <v>1764</v>
      </c>
      <c r="B237" t="s">
        <v>1763</v>
      </c>
      <c r="C237" t="s">
        <v>1762</v>
      </c>
      <c r="D237">
        <v>0</v>
      </c>
    </row>
    <row r="238" spans="1:4" x14ac:dyDescent="0.25">
      <c r="A238" t="s">
        <v>1679</v>
      </c>
      <c r="B238" t="s">
        <v>1678</v>
      </c>
      <c r="C238" t="s">
        <v>19</v>
      </c>
      <c r="D238" t="s">
        <v>19</v>
      </c>
    </row>
    <row r="239" spans="1:4" x14ac:dyDescent="0.25">
      <c r="A239" t="s">
        <v>5656</v>
      </c>
      <c r="B239" t="s">
        <v>5484</v>
      </c>
      <c r="C239" t="s">
        <v>19</v>
      </c>
      <c r="D239" t="s">
        <v>19</v>
      </c>
    </row>
    <row r="240" spans="1:4" x14ac:dyDescent="0.25">
      <c r="A240" t="s">
        <v>2264</v>
      </c>
      <c r="B240" t="s">
        <v>2263</v>
      </c>
      <c r="C240" t="s">
        <v>2085</v>
      </c>
      <c r="D240">
        <v>0</v>
      </c>
    </row>
    <row r="241" spans="1:4" x14ac:dyDescent="0.25">
      <c r="A241" t="s">
        <v>1761</v>
      </c>
      <c r="B241" t="s">
        <v>1760</v>
      </c>
      <c r="C241" t="s">
        <v>1759</v>
      </c>
      <c r="D241">
        <v>0</v>
      </c>
    </row>
    <row r="242" spans="1:4" x14ac:dyDescent="0.25">
      <c r="A242" t="s">
        <v>2262</v>
      </c>
      <c r="B242" t="s">
        <v>2261</v>
      </c>
      <c r="C242" t="s">
        <v>1759</v>
      </c>
      <c r="D242">
        <v>0</v>
      </c>
    </row>
    <row r="243" spans="1:4" x14ac:dyDescent="0.25">
      <c r="A243" t="s">
        <v>3116</v>
      </c>
      <c r="B243" t="s">
        <v>3117</v>
      </c>
      <c r="C243" t="s">
        <v>1759</v>
      </c>
      <c r="D243">
        <v>0</v>
      </c>
    </row>
    <row r="244" spans="1:4" x14ac:dyDescent="0.25">
      <c r="A244" t="s">
        <v>2260</v>
      </c>
      <c r="B244" t="s">
        <v>2259</v>
      </c>
      <c r="C244" t="s">
        <v>19</v>
      </c>
      <c r="D244" t="s">
        <v>19</v>
      </c>
    </row>
    <row r="245" spans="1:4" x14ac:dyDescent="0.25">
      <c r="A245" t="s">
        <v>2258</v>
      </c>
      <c r="B245" t="s">
        <v>1763</v>
      </c>
      <c r="C245" t="s">
        <v>1762</v>
      </c>
      <c r="D245">
        <v>0</v>
      </c>
    </row>
    <row r="246" spans="1:4" x14ac:dyDescent="0.25">
      <c r="A246" t="s">
        <v>2257</v>
      </c>
      <c r="B246" t="s">
        <v>292</v>
      </c>
      <c r="C246" t="s">
        <v>1703</v>
      </c>
      <c r="D246">
        <v>0</v>
      </c>
    </row>
    <row r="247" spans="1:4" x14ac:dyDescent="0.25">
      <c r="A247" t="s">
        <v>2256</v>
      </c>
      <c r="B247" t="s">
        <v>2255</v>
      </c>
      <c r="C247" t="s">
        <v>1665</v>
      </c>
      <c r="D247" t="s">
        <v>1665</v>
      </c>
    </row>
    <row r="248" spans="1:4" x14ac:dyDescent="0.25">
      <c r="A248" t="s">
        <v>5657</v>
      </c>
      <c r="B248" t="s">
        <v>5490</v>
      </c>
      <c r="C248" t="s">
        <v>1665</v>
      </c>
      <c r="D248" t="s">
        <v>1665</v>
      </c>
    </row>
    <row r="249" spans="1:4" x14ac:dyDescent="0.25">
      <c r="A249" t="s">
        <v>3648</v>
      </c>
      <c r="B249" t="s">
        <v>3649</v>
      </c>
      <c r="C249" t="s">
        <v>386</v>
      </c>
      <c r="D249" t="s">
        <v>1665</v>
      </c>
    </row>
    <row r="250" spans="1:4" x14ac:dyDescent="0.25">
      <c r="A250" t="s">
        <v>1758</v>
      </c>
      <c r="B250" t="s">
        <v>1757</v>
      </c>
      <c r="C250" t="s">
        <v>1756</v>
      </c>
      <c r="D250">
        <v>0</v>
      </c>
    </row>
    <row r="251" spans="1:4" x14ac:dyDescent="0.25">
      <c r="A251" t="s">
        <v>2254</v>
      </c>
      <c r="B251" t="s">
        <v>2253</v>
      </c>
      <c r="C251" t="s">
        <v>1756</v>
      </c>
      <c r="D251">
        <v>0</v>
      </c>
    </row>
    <row r="252" spans="1:4" x14ac:dyDescent="0.25">
      <c r="A252" t="s">
        <v>1755</v>
      </c>
      <c r="B252" t="s">
        <v>1754</v>
      </c>
      <c r="C252" t="s">
        <v>1753</v>
      </c>
      <c r="D252">
        <v>0</v>
      </c>
    </row>
    <row r="253" spans="1:4" x14ac:dyDescent="0.25">
      <c r="A253" t="s">
        <v>2252</v>
      </c>
      <c r="B253" t="s">
        <v>2251</v>
      </c>
      <c r="C253" t="s">
        <v>1753</v>
      </c>
      <c r="D253">
        <v>0</v>
      </c>
    </row>
    <row r="254" spans="1:4" x14ac:dyDescent="0.25">
      <c r="A254" t="s">
        <v>1752</v>
      </c>
      <c r="B254" t="s">
        <v>1751</v>
      </c>
      <c r="C254" t="s">
        <v>1750</v>
      </c>
      <c r="D254">
        <v>0</v>
      </c>
    </row>
    <row r="255" spans="1:4" x14ac:dyDescent="0.25">
      <c r="A255" t="s">
        <v>2250</v>
      </c>
      <c r="B255" t="s">
        <v>2249</v>
      </c>
      <c r="C255" t="s">
        <v>1750</v>
      </c>
      <c r="D255">
        <v>0</v>
      </c>
    </row>
    <row r="256" spans="1:4" x14ac:dyDescent="0.25">
      <c r="A256" t="s">
        <v>2248</v>
      </c>
      <c r="B256" t="s">
        <v>2247</v>
      </c>
      <c r="C256" t="s">
        <v>1698</v>
      </c>
      <c r="D256" t="s">
        <v>1698</v>
      </c>
    </row>
    <row r="257" spans="1:4" x14ac:dyDescent="0.25">
      <c r="A257" t="s">
        <v>2246</v>
      </c>
      <c r="B257" t="s">
        <v>284</v>
      </c>
      <c r="C257" t="s">
        <v>1696</v>
      </c>
      <c r="D257" t="s">
        <v>1695</v>
      </c>
    </row>
    <row r="258" spans="1:4" x14ac:dyDescent="0.25">
      <c r="A258" t="s">
        <v>2245</v>
      </c>
      <c r="B258" t="s">
        <v>2244</v>
      </c>
      <c r="C258" t="s">
        <v>1693</v>
      </c>
      <c r="D258" t="s">
        <v>1692</v>
      </c>
    </row>
    <row r="259" spans="1:4" x14ac:dyDescent="0.25">
      <c r="A259" t="s">
        <v>2243</v>
      </c>
      <c r="B259" t="s">
        <v>2242</v>
      </c>
      <c r="C259" t="s">
        <v>1689</v>
      </c>
      <c r="D259" t="s">
        <v>1689</v>
      </c>
    </row>
    <row r="260" spans="1:4" x14ac:dyDescent="0.25">
      <c r="A260" t="s">
        <v>5808</v>
      </c>
      <c r="B260" t="s">
        <v>5809</v>
      </c>
      <c r="C260" t="s">
        <v>1693</v>
      </c>
      <c r="D260" t="s">
        <v>1693</v>
      </c>
    </row>
    <row r="261" spans="1:4" x14ac:dyDescent="0.25">
      <c r="A261" t="s">
        <v>2241</v>
      </c>
      <c r="B261" t="s">
        <v>2240</v>
      </c>
      <c r="C261" t="s">
        <v>2062</v>
      </c>
      <c r="D261">
        <v>0</v>
      </c>
    </row>
    <row r="262" spans="1:4" x14ac:dyDescent="0.25">
      <c r="A262" t="s">
        <v>1749</v>
      </c>
      <c r="B262" t="s">
        <v>1748</v>
      </c>
      <c r="C262" t="s">
        <v>1747</v>
      </c>
      <c r="D262">
        <v>0</v>
      </c>
    </row>
    <row r="263" spans="1:4" x14ac:dyDescent="0.25">
      <c r="A263" t="s">
        <v>3667</v>
      </c>
      <c r="B263" t="s">
        <v>3668</v>
      </c>
      <c r="C263" t="s">
        <v>1682</v>
      </c>
      <c r="D263">
        <v>0</v>
      </c>
    </row>
    <row r="264" spans="1:4" x14ac:dyDescent="0.25">
      <c r="A264" t="s">
        <v>1746</v>
      </c>
      <c r="B264" t="s">
        <v>1745</v>
      </c>
      <c r="C264" t="s">
        <v>1744</v>
      </c>
      <c r="D264">
        <v>0</v>
      </c>
    </row>
    <row r="265" spans="1:4" x14ac:dyDescent="0.25">
      <c r="A265" t="s">
        <v>2239</v>
      </c>
      <c r="B265" t="s">
        <v>2238</v>
      </c>
      <c r="C265" t="s">
        <v>1744</v>
      </c>
      <c r="D265">
        <v>0</v>
      </c>
    </row>
    <row r="266" spans="1:4" x14ac:dyDescent="0.25">
      <c r="A266" t="s">
        <v>2237</v>
      </c>
      <c r="B266" t="s">
        <v>2236</v>
      </c>
      <c r="C266" t="s">
        <v>1772</v>
      </c>
      <c r="D266">
        <v>0</v>
      </c>
    </row>
    <row r="267" spans="1:4" x14ac:dyDescent="0.25">
      <c r="A267" t="s">
        <v>5883</v>
      </c>
      <c r="B267" t="s">
        <v>5884</v>
      </c>
      <c r="C267" t="s">
        <v>1772</v>
      </c>
      <c r="D267">
        <v>0</v>
      </c>
    </row>
    <row r="268" spans="1:4" x14ac:dyDescent="0.25">
      <c r="A268" t="s">
        <v>1979</v>
      </c>
      <c r="B268" t="s">
        <v>1131</v>
      </c>
      <c r="C268">
        <v>0</v>
      </c>
      <c r="D268">
        <v>0</v>
      </c>
    </row>
    <row r="269" spans="1:4" x14ac:dyDescent="0.25">
      <c r="A269" t="s">
        <v>1978</v>
      </c>
      <c r="B269" t="s">
        <v>1129</v>
      </c>
      <c r="C269">
        <v>0</v>
      </c>
      <c r="D269">
        <v>0</v>
      </c>
    </row>
    <row r="270" spans="1:4" x14ac:dyDescent="0.25">
      <c r="A270" t="s">
        <v>1977</v>
      </c>
      <c r="B270" t="s">
        <v>1127</v>
      </c>
      <c r="C270">
        <v>0</v>
      </c>
      <c r="D270">
        <v>0</v>
      </c>
    </row>
    <row r="271" spans="1:4" x14ac:dyDescent="0.25">
      <c r="A271" t="s">
        <v>1743</v>
      </c>
      <c r="B271" t="s">
        <v>1742</v>
      </c>
      <c r="C271" t="s">
        <v>1703</v>
      </c>
      <c r="D271">
        <v>0</v>
      </c>
    </row>
    <row r="272" spans="1:4" x14ac:dyDescent="0.25">
      <c r="A272" t="s">
        <v>1976</v>
      </c>
      <c r="B272" t="s">
        <v>1125</v>
      </c>
      <c r="C272">
        <v>0</v>
      </c>
      <c r="D272">
        <v>0</v>
      </c>
    </row>
    <row r="273" spans="1:4" x14ac:dyDescent="0.25">
      <c r="A273" t="s">
        <v>1741</v>
      </c>
      <c r="B273" t="s">
        <v>1740</v>
      </c>
      <c r="C273" t="s">
        <v>1665</v>
      </c>
      <c r="D273" t="s">
        <v>1665</v>
      </c>
    </row>
    <row r="274" spans="1:4" x14ac:dyDescent="0.25">
      <c r="A274" t="s">
        <v>1975</v>
      </c>
      <c r="B274" t="s">
        <v>1123</v>
      </c>
      <c r="C274">
        <v>0</v>
      </c>
      <c r="D274">
        <v>0</v>
      </c>
    </row>
    <row r="275" spans="1:4" x14ac:dyDescent="0.25">
      <c r="A275" t="s">
        <v>1974</v>
      </c>
      <c r="B275" t="s">
        <v>1121</v>
      </c>
      <c r="C275">
        <v>0</v>
      </c>
      <c r="D275">
        <v>0</v>
      </c>
    </row>
    <row r="276" spans="1:4" x14ac:dyDescent="0.25">
      <c r="A276" t="s">
        <v>1973</v>
      </c>
      <c r="B276" t="s">
        <v>1119</v>
      </c>
      <c r="C276">
        <v>0</v>
      </c>
      <c r="D276">
        <v>0</v>
      </c>
    </row>
    <row r="277" spans="1:4" x14ac:dyDescent="0.25">
      <c r="A277" t="s">
        <v>1972</v>
      </c>
      <c r="B277" t="s">
        <v>1117</v>
      </c>
      <c r="C277">
        <v>0</v>
      </c>
      <c r="D277">
        <v>0</v>
      </c>
    </row>
    <row r="278" spans="1:4" x14ac:dyDescent="0.25">
      <c r="A278" t="s">
        <v>1971</v>
      </c>
      <c r="B278" t="s">
        <v>1115</v>
      </c>
      <c r="C278">
        <v>0</v>
      </c>
      <c r="D278">
        <v>0</v>
      </c>
    </row>
    <row r="279" spans="1:4" x14ac:dyDescent="0.25">
      <c r="A279" t="s">
        <v>1970</v>
      </c>
      <c r="B279" t="s">
        <v>1108</v>
      </c>
      <c r="C279">
        <v>0</v>
      </c>
      <c r="D279">
        <v>0</v>
      </c>
    </row>
    <row r="280" spans="1:4" x14ac:dyDescent="0.25">
      <c r="A280" t="s">
        <v>1739</v>
      </c>
      <c r="B280" t="s">
        <v>1738</v>
      </c>
      <c r="C280" t="s">
        <v>1711</v>
      </c>
      <c r="D280" t="s">
        <v>1710</v>
      </c>
    </row>
    <row r="281" spans="1:4" x14ac:dyDescent="0.25">
      <c r="A281" t="s">
        <v>1864</v>
      </c>
      <c r="B281" t="s">
        <v>1102</v>
      </c>
      <c r="C281" t="s">
        <v>3691</v>
      </c>
      <c r="D281">
        <v>0</v>
      </c>
    </row>
    <row r="282" spans="1:4" x14ac:dyDescent="0.25">
      <c r="A282" t="s">
        <v>1737</v>
      </c>
      <c r="B282" t="s">
        <v>1736</v>
      </c>
      <c r="C282">
        <v>0</v>
      </c>
      <c r="D282">
        <v>0</v>
      </c>
    </row>
    <row r="283" spans="1:4" x14ac:dyDescent="0.25">
      <c r="A283" t="s">
        <v>1863</v>
      </c>
      <c r="B283" t="s">
        <v>1862</v>
      </c>
      <c r="C283" t="s">
        <v>1078</v>
      </c>
      <c r="D283">
        <v>0</v>
      </c>
    </row>
    <row r="284" spans="1:4" x14ac:dyDescent="0.25">
      <c r="A284" t="s">
        <v>1735</v>
      </c>
      <c r="B284" t="s">
        <v>1734</v>
      </c>
      <c r="C284" t="s">
        <v>3690</v>
      </c>
      <c r="D284">
        <v>0</v>
      </c>
    </row>
    <row r="285" spans="1:4" x14ac:dyDescent="0.25">
      <c r="A285" t="s">
        <v>1733</v>
      </c>
      <c r="B285" t="s">
        <v>1732</v>
      </c>
      <c r="C285" t="s">
        <v>3689</v>
      </c>
      <c r="D285">
        <v>0</v>
      </c>
    </row>
    <row r="286" spans="1:4" x14ac:dyDescent="0.25">
      <c r="A286" t="s">
        <v>3615</v>
      </c>
      <c r="B286" t="s">
        <v>3616</v>
      </c>
      <c r="C286" t="s">
        <v>3616</v>
      </c>
      <c r="D286" t="s">
        <v>3616</v>
      </c>
    </row>
    <row r="287" spans="1:4" x14ac:dyDescent="0.25">
      <c r="A287" t="s">
        <v>1731</v>
      </c>
      <c r="B287" t="s">
        <v>1730</v>
      </c>
      <c r="C287" t="s">
        <v>19</v>
      </c>
      <c r="D287" t="s">
        <v>19</v>
      </c>
    </row>
    <row r="288" spans="1:4" x14ac:dyDescent="0.25">
      <c r="A288" t="s">
        <v>1729</v>
      </c>
      <c r="B288" t="s">
        <v>1728</v>
      </c>
      <c r="C288" t="s">
        <v>1703</v>
      </c>
      <c r="D288">
        <v>0</v>
      </c>
    </row>
    <row r="289" spans="1:4" x14ac:dyDescent="0.25">
      <c r="A289" t="s">
        <v>1727</v>
      </c>
      <c r="B289" t="s">
        <v>1726</v>
      </c>
      <c r="C289" t="s">
        <v>1665</v>
      </c>
      <c r="D289" t="s">
        <v>1665</v>
      </c>
    </row>
    <row r="290" spans="1:4" x14ac:dyDescent="0.25">
      <c r="A290" t="s">
        <v>3819</v>
      </c>
      <c r="B290" t="s">
        <v>3820</v>
      </c>
      <c r="C290" t="s">
        <v>19</v>
      </c>
      <c r="D290" t="s">
        <v>19</v>
      </c>
    </row>
    <row r="291" spans="1:4" x14ac:dyDescent="0.25">
      <c r="A291" t="s">
        <v>3821</v>
      </c>
      <c r="B291" t="s">
        <v>3822</v>
      </c>
      <c r="C291" t="s">
        <v>1665</v>
      </c>
      <c r="D291" t="s">
        <v>1665</v>
      </c>
    </row>
    <row r="292" spans="1:4" x14ac:dyDescent="0.25">
      <c r="A292" t="s">
        <v>3823</v>
      </c>
      <c r="B292" t="s">
        <v>3824</v>
      </c>
      <c r="C292" t="s">
        <v>3825</v>
      </c>
      <c r="D292" t="s">
        <v>3825</v>
      </c>
    </row>
    <row r="293" spans="1:4" x14ac:dyDescent="0.25">
      <c r="A293" t="s">
        <v>1861</v>
      </c>
      <c r="B293" t="s">
        <v>1860</v>
      </c>
      <c r="C293" t="s">
        <v>1071</v>
      </c>
      <c r="D293">
        <v>0</v>
      </c>
    </row>
    <row r="294" spans="1:4" x14ac:dyDescent="0.25">
      <c r="A294" t="s">
        <v>1725</v>
      </c>
      <c r="B294" t="s">
        <v>1724</v>
      </c>
      <c r="C294">
        <v>0</v>
      </c>
      <c r="D294">
        <v>0</v>
      </c>
    </row>
    <row r="295" spans="1:4" x14ac:dyDescent="0.25">
      <c r="A295" t="s">
        <v>1859</v>
      </c>
      <c r="B295" t="s">
        <v>1858</v>
      </c>
      <c r="C295" t="s">
        <v>1063</v>
      </c>
      <c r="D295">
        <v>0</v>
      </c>
    </row>
    <row r="296" spans="1:4" x14ac:dyDescent="0.25">
      <c r="A296" t="s">
        <v>1723</v>
      </c>
      <c r="B296" t="s">
        <v>1722</v>
      </c>
      <c r="C296">
        <v>0</v>
      </c>
      <c r="D296">
        <v>0</v>
      </c>
    </row>
    <row r="297" spans="1:4" x14ac:dyDescent="0.25">
      <c r="A297" t="s">
        <v>1721</v>
      </c>
      <c r="B297" t="s">
        <v>1720</v>
      </c>
      <c r="C297" t="s">
        <v>1698</v>
      </c>
      <c r="D297" t="s">
        <v>1698</v>
      </c>
    </row>
    <row r="298" spans="1:4" x14ac:dyDescent="0.25">
      <c r="A298" t="s">
        <v>1719</v>
      </c>
      <c r="B298" t="s">
        <v>1718</v>
      </c>
      <c r="C298">
        <v>0</v>
      </c>
      <c r="D298">
        <v>0</v>
      </c>
    </row>
    <row r="299" spans="1:4" x14ac:dyDescent="0.25">
      <c r="A299" t="s">
        <v>1857</v>
      </c>
      <c r="B299" t="s">
        <v>1061</v>
      </c>
      <c r="C299">
        <v>0</v>
      </c>
      <c r="D299">
        <v>0</v>
      </c>
    </row>
    <row r="300" spans="1:4" x14ac:dyDescent="0.25">
      <c r="A300" t="s">
        <v>1856</v>
      </c>
      <c r="B300" t="s">
        <v>1058</v>
      </c>
      <c r="C300">
        <v>0</v>
      </c>
      <c r="D300">
        <v>0</v>
      </c>
    </row>
    <row r="301" spans="1:4" x14ac:dyDescent="0.25">
      <c r="A301" t="s">
        <v>1855</v>
      </c>
      <c r="B301" t="s">
        <v>1055</v>
      </c>
      <c r="C301">
        <v>0</v>
      </c>
      <c r="D301">
        <v>0</v>
      </c>
    </row>
    <row r="302" spans="1:4" x14ac:dyDescent="0.25">
      <c r="A302" t="s">
        <v>1717</v>
      </c>
      <c r="B302" t="s">
        <v>1716</v>
      </c>
      <c r="C302" t="s">
        <v>1703</v>
      </c>
      <c r="D302">
        <v>0</v>
      </c>
    </row>
    <row r="303" spans="1:4" x14ac:dyDescent="0.25">
      <c r="A303" t="s">
        <v>1854</v>
      </c>
      <c r="B303" t="s">
        <v>1052</v>
      </c>
      <c r="C303">
        <v>0</v>
      </c>
      <c r="D303">
        <v>0</v>
      </c>
    </row>
    <row r="304" spans="1:4" x14ac:dyDescent="0.25">
      <c r="A304" t="s">
        <v>1715</v>
      </c>
      <c r="B304" t="s">
        <v>1714</v>
      </c>
      <c r="C304" t="s">
        <v>1665</v>
      </c>
      <c r="D304" t="s">
        <v>1665</v>
      </c>
    </row>
    <row r="305" spans="1:4" x14ac:dyDescent="0.25">
      <c r="A305" t="s">
        <v>1853</v>
      </c>
      <c r="B305" t="s">
        <v>1049</v>
      </c>
      <c r="C305">
        <v>0</v>
      </c>
      <c r="D305">
        <v>0</v>
      </c>
    </row>
    <row r="306" spans="1:4" x14ac:dyDescent="0.25">
      <c r="A306" t="s">
        <v>1852</v>
      </c>
      <c r="B306" t="s">
        <v>1046</v>
      </c>
      <c r="C306">
        <v>0</v>
      </c>
      <c r="D306">
        <v>0</v>
      </c>
    </row>
    <row r="307" spans="1:4" x14ac:dyDescent="0.25">
      <c r="A307" t="s">
        <v>1851</v>
      </c>
      <c r="B307" t="s">
        <v>1043</v>
      </c>
      <c r="C307">
        <v>0</v>
      </c>
      <c r="D307">
        <v>0</v>
      </c>
    </row>
    <row r="308" spans="1:4" x14ac:dyDescent="0.25">
      <c r="A308" t="s">
        <v>1850</v>
      </c>
      <c r="B308" t="s">
        <v>1041</v>
      </c>
      <c r="C308">
        <v>0</v>
      </c>
      <c r="D308">
        <v>0</v>
      </c>
    </row>
    <row r="309" spans="1:4" x14ac:dyDescent="0.25">
      <c r="A309" t="s">
        <v>1849</v>
      </c>
      <c r="B309" t="s">
        <v>1038</v>
      </c>
      <c r="C309">
        <v>0</v>
      </c>
      <c r="D309">
        <v>0</v>
      </c>
    </row>
    <row r="310" spans="1:4" x14ac:dyDescent="0.25">
      <c r="A310" t="s">
        <v>1848</v>
      </c>
      <c r="B310" t="s">
        <v>1035</v>
      </c>
      <c r="C310">
        <v>0</v>
      </c>
      <c r="D310">
        <v>0</v>
      </c>
    </row>
    <row r="311" spans="1:4" x14ac:dyDescent="0.25">
      <c r="A311" t="s">
        <v>1847</v>
      </c>
      <c r="B311" t="s">
        <v>1023</v>
      </c>
      <c r="C311">
        <v>0</v>
      </c>
      <c r="D311">
        <v>0</v>
      </c>
    </row>
    <row r="312" spans="1:4" x14ac:dyDescent="0.25">
      <c r="A312" t="s">
        <v>3790</v>
      </c>
      <c r="B312" t="s">
        <v>3791</v>
      </c>
      <c r="C312" t="s">
        <v>3766</v>
      </c>
      <c r="D312">
        <v>0</v>
      </c>
    </row>
    <row r="313" spans="1:4" x14ac:dyDescent="0.25">
      <c r="A313" t="s">
        <v>3767</v>
      </c>
      <c r="B313" t="s">
        <v>3768</v>
      </c>
      <c r="C313" t="s">
        <v>3766</v>
      </c>
      <c r="D313">
        <v>0</v>
      </c>
    </row>
    <row r="314" spans="1:4" x14ac:dyDescent="0.25">
      <c r="A314" t="s">
        <v>3788</v>
      </c>
      <c r="B314" t="s">
        <v>3789</v>
      </c>
      <c r="C314" t="s">
        <v>3766</v>
      </c>
      <c r="D314">
        <v>0</v>
      </c>
    </row>
    <row r="315" spans="1:4" x14ac:dyDescent="0.25">
      <c r="A315" t="s">
        <v>1713</v>
      </c>
      <c r="B315" t="s">
        <v>1712</v>
      </c>
      <c r="C315" t="s">
        <v>1711</v>
      </c>
      <c r="D315" t="s">
        <v>1710</v>
      </c>
    </row>
    <row r="316" spans="1:4" x14ac:dyDescent="0.25">
      <c r="A316" t="s">
        <v>6250</v>
      </c>
      <c r="B316" t="s">
        <v>6251</v>
      </c>
      <c r="C316">
        <v>0</v>
      </c>
      <c r="D316">
        <v>0</v>
      </c>
    </row>
    <row r="317" spans="1:4" x14ac:dyDescent="0.25">
      <c r="A317" t="s">
        <v>1709</v>
      </c>
      <c r="B317" t="s">
        <v>1708</v>
      </c>
      <c r="C317" t="s">
        <v>1711</v>
      </c>
      <c r="D317">
        <v>0</v>
      </c>
    </row>
    <row r="318" spans="1:4" x14ac:dyDescent="0.25">
      <c r="A318" t="s">
        <v>6253</v>
      </c>
      <c r="B318" t="s">
        <v>6252</v>
      </c>
      <c r="C318" t="s">
        <v>1682</v>
      </c>
      <c r="D318">
        <v>0</v>
      </c>
    </row>
    <row r="319" spans="1:4" x14ac:dyDescent="0.25">
      <c r="A319" t="s">
        <v>1707</v>
      </c>
      <c r="B319" t="s">
        <v>1706</v>
      </c>
      <c r="C319" t="s">
        <v>19</v>
      </c>
      <c r="D319" t="s">
        <v>19</v>
      </c>
    </row>
    <row r="320" spans="1:4" x14ac:dyDescent="0.25">
      <c r="A320" t="s">
        <v>1705</v>
      </c>
      <c r="B320" t="s">
        <v>1704</v>
      </c>
      <c r="C320" t="s">
        <v>1703</v>
      </c>
      <c r="D320">
        <v>0</v>
      </c>
    </row>
    <row r="321" spans="1:4" x14ac:dyDescent="0.25">
      <c r="A321" t="s">
        <v>1702</v>
      </c>
      <c r="B321" t="s">
        <v>1701</v>
      </c>
      <c r="C321" t="s">
        <v>1665</v>
      </c>
      <c r="D321" t="s">
        <v>1665</v>
      </c>
    </row>
    <row r="322" spans="1:4" x14ac:dyDescent="0.25">
      <c r="A322" t="s">
        <v>1700</v>
      </c>
      <c r="B322" t="s">
        <v>1699</v>
      </c>
      <c r="C322" t="s">
        <v>1698</v>
      </c>
      <c r="D322" t="s">
        <v>1698</v>
      </c>
    </row>
    <row r="323" spans="1:4" x14ac:dyDescent="0.25">
      <c r="A323" t="s">
        <v>1697</v>
      </c>
      <c r="B323" t="s">
        <v>245</v>
      </c>
      <c r="C323" t="s">
        <v>1696</v>
      </c>
      <c r="D323" t="s">
        <v>1695</v>
      </c>
    </row>
    <row r="324" spans="1:4" x14ac:dyDescent="0.25">
      <c r="A324" t="s">
        <v>1694</v>
      </c>
      <c r="B324" t="s">
        <v>243</v>
      </c>
      <c r="C324" t="s">
        <v>1693</v>
      </c>
      <c r="D324" t="s">
        <v>1692</v>
      </c>
    </row>
    <row r="325" spans="1:4" x14ac:dyDescent="0.25">
      <c r="A325" t="s">
        <v>1691</v>
      </c>
      <c r="B325" t="s">
        <v>1690</v>
      </c>
      <c r="C325" t="s">
        <v>1689</v>
      </c>
      <c r="D325" t="s">
        <v>1689</v>
      </c>
    </row>
    <row r="326" spans="1:4" x14ac:dyDescent="0.25">
      <c r="A326" t="s">
        <v>1846</v>
      </c>
      <c r="B326" t="s">
        <v>1845</v>
      </c>
      <c r="C326">
        <v>0</v>
      </c>
      <c r="D326">
        <v>0</v>
      </c>
    </row>
    <row r="327" spans="1:4" x14ac:dyDescent="0.25">
      <c r="A327" t="s">
        <v>1688</v>
      </c>
      <c r="B327" t="s">
        <v>1687</v>
      </c>
      <c r="C327">
        <v>0</v>
      </c>
      <c r="D327">
        <v>0</v>
      </c>
    </row>
    <row r="328" spans="1:4" x14ac:dyDescent="0.25">
      <c r="A328" t="s">
        <v>1844</v>
      </c>
      <c r="B328" t="s">
        <v>1843</v>
      </c>
      <c r="C328">
        <v>0</v>
      </c>
      <c r="D328">
        <v>0</v>
      </c>
    </row>
    <row r="329" spans="1:4" x14ac:dyDescent="0.25">
      <c r="A329" t="s">
        <v>1686</v>
      </c>
      <c r="B329" t="s">
        <v>1685</v>
      </c>
      <c r="C329">
        <v>0</v>
      </c>
      <c r="D329">
        <v>0</v>
      </c>
    </row>
    <row r="330" spans="1:4" x14ac:dyDescent="0.25">
      <c r="A330" t="s">
        <v>1684</v>
      </c>
      <c r="B330" t="s">
        <v>1683</v>
      </c>
      <c r="C330" t="s">
        <v>1682</v>
      </c>
      <c r="D330">
        <v>0</v>
      </c>
    </row>
    <row r="331" spans="1:4" x14ac:dyDescent="0.25">
      <c r="A331" t="s">
        <v>1681</v>
      </c>
      <c r="B331" t="s">
        <v>1680</v>
      </c>
      <c r="C331">
        <v>0</v>
      </c>
      <c r="D331">
        <v>0</v>
      </c>
    </row>
    <row r="332" spans="1:4" x14ac:dyDescent="0.25">
      <c r="A332" s="7" t="s">
        <v>5898</v>
      </c>
      <c r="B332" s="7" t="s">
        <v>5899</v>
      </c>
      <c r="C332" t="str">
        <f>B332</f>
        <v>Material - Steel</v>
      </c>
    </row>
    <row r="333" spans="1:4" x14ac:dyDescent="0.25">
      <c r="A333" t="s">
        <v>5900</v>
      </c>
      <c r="B333" t="s">
        <v>5901</v>
      </c>
      <c r="C333" t="str">
        <f t="shared" ref="C333:C341" si="0">B333</f>
        <v>Material - Aluminium</v>
      </c>
    </row>
    <row r="334" spans="1:4" x14ac:dyDescent="0.25">
      <c r="A334" t="s">
        <v>5902</v>
      </c>
      <c r="B334" t="s">
        <v>5903</v>
      </c>
      <c r="C334" t="str">
        <f t="shared" si="0"/>
        <v>Material - Cement</v>
      </c>
    </row>
    <row r="335" spans="1:4" x14ac:dyDescent="0.25">
      <c r="A335" t="s">
        <v>5904</v>
      </c>
      <c r="B335" t="s">
        <v>5905</v>
      </c>
      <c r="C335" t="str">
        <f t="shared" si="0"/>
        <v>Material - Plastic</v>
      </c>
    </row>
    <row r="336" spans="1:4" x14ac:dyDescent="0.25">
      <c r="A336" t="s">
        <v>5906</v>
      </c>
      <c r="B336" t="s">
        <v>5907</v>
      </c>
      <c r="C336" t="str">
        <f t="shared" si="0"/>
        <v>Material - Glass</v>
      </c>
    </row>
    <row r="337" spans="1:4" x14ac:dyDescent="0.25">
      <c r="A337" t="s">
        <v>5908</v>
      </c>
      <c r="B337" t="s">
        <v>5909</v>
      </c>
      <c r="C337" t="str">
        <f t="shared" si="0"/>
        <v>Material - Copper</v>
      </c>
    </row>
    <row r="338" spans="1:4" x14ac:dyDescent="0.25">
      <c r="A338" t="s">
        <v>5910</v>
      </c>
      <c r="B338" t="s">
        <v>5911</v>
      </c>
      <c r="C338" t="str">
        <f t="shared" si="0"/>
        <v>Material - Nickel</v>
      </c>
    </row>
    <row r="339" spans="1:4" x14ac:dyDescent="0.25">
      <c r="A339" t="s">
        <v>5912</v>
      </c>
      <c r="B339" t="s">
        <v>5913</v>
      </c>
      <c r="C339" t="str">
        <f t="shared" si="0"/>
        <v>Material - Manganese</v>
      </c>
    </row>
    <row r="340" spans="1:4" x14ac:dyDescent="0.25">
      <c r="A340" t="s">
        <v>5914</v>
      </c>
      <c r="B340" t="s">
        <v>5915</v>
      </c>
      <c r="C340" t="str">
        <f t="shared" si="0"/>
        <v>Material - Cobalt</v>
      </c>
    </row>
    <row r="341" spans="1:4" x14ac:dyDescent="0.25">
      <c r="A341" t="s">
        <v>5916</v>
      </c>
      <c r="B341" t="s">
        <v>5917</v>
      </c>
      <c r="C341" t="str">
        <f t="shared" si="0"/>
        <v>Material - Silicon</v>
      </c>
    </row>
    <row r="342" spans="1:4" x14ac:dyDescent="0.25">
      <c r="A342" t="s">
        <v>3650</v>
      </c>
      <c r="B342" t="s">
        <v>3651</v>
      </c>
      <c r="C342" t="s">
        <v>3686</v>
      </c>
      <c r="D342">
        <v>0</v>
      </c>
    </row>
    <row r="343" spans="1:4" x14ac:dyDescent="0.25">
      <c r="A343" t="s">
        <v>2074</v>
      </c>
      <c r="B343" t="s">
        <v>2235</v>
      </c>
      <c r="C343">
        <v>0</v>
      </c>
      <c r="D343">
        <v>0</v>
      </c>
    </row>
    <row r="344" spans="1:4" x14ac:dyDescent="0.25">
      <c r="A344" t="s">
        <v>3652</v>
      </c>
      <c r="B344" t="s">
        <v>3653</v>
      </c>
      <c r="C344" t="s">
        <v>3589</v>
      </c>
      <c r="D344">
        <v>0</v>
      </c>
    </row>
    <row r="345" spans="1:4" x14ac:dyDescent="0.25">
      <c r="A345" t="s">
        <v>3903</v>
      </c>
      <c r="B345" t="s">
        <v>3904</v>
      </c>
      <c r="C345" t="s">
        <v>3589</v>
      </c>
      <c r="D345">
        <v>0</v>
      </c>
    </row>
    <row r="346" spans="1:4" x14ac:dyDescent="0.25">
      <c r="A346" t="s">
        <v>2071</v>
      </c>
      <c r="B346" t="s">
        <v>2234</v>
      </c>
      <c r="C346">
        <v>0</v>
      </c>
      <c r="D346">
        <v>0</v>
      </c>
    </row>
    <row r="347" spans="1:4" x14ac:dyDescent="0.25">
      <c r="A347" t="s">
        <v>2068</v>
      </c>
      <c r="B347" t="s">
        <v>2233</v>
      </c>
      <c r="C347">
        <v>0</v>
      </c>
      <c r="D347">
        <v>0</v>
      </c>
    </row>
    <row r="348" spans="1:4" x14ac:dyDescent="0.25">
      <c r="A348" t="s">
        <v>2232</v>
      </c>
      <c r="B348" t="s">
        <v>2231</v>
      </c>
      <c r="C348" t="s">
        <v>2168</v>
      </c>
      <c r="D348">
        <v>0</v>
      </c>
    </row>
    <row r="349" spans="1:4" x14ac:dyDescent="0.25">
      <c r="A349" t="s">
        <v>2230</v>
      </c>
      <c r="B349" t="s">
        <v>2229</v>
      </c>
      <c r="C349" t="s">
        <v>2104</v>
      </c>
      <c r="D349" t="s">
        <v>2103</v>
      </c>
    </row>
    <row r="350" spans="1:4" x14ac:dyDescent="0.25">
      <c r="A350" t="s">
        <v>2228</v>
      </c>
      <c r="B350" t="s">
        <v>2227</v>
      </c>
      <c r="C350" t="s">
        <v>2066</v>
      </c>
      <c r="D350">
        <v>0</v>
      </c>
    </row>
    <row r="351" spans="1:4" x14ac:dyDescent="0.25">
      <c r="A351" t="s">
        <v>2226</v>
      </c>
      <c r="B351" t="s">
        <v>2225</v>
      </c>
      <c r="C351" t="s">
        <v>1698</v>
      </c>
      <c r="D351" t="s">
        <v>1698</v>
      </c>
    </row>
    <row r="352" spans="1:4" x14ac:dyDescent="0.25">
      <c r="A352" t="s">
        <v>2224</v>
      </c>
      <c r="B352" t="s">
        <v>2223</v>
      </c>
      <c r="C352" t="s">
        <v>1696</v>
      </c>
      <c r="D352" t="s">
        <v>1695</v>
      </c>
    </row>
    <row r="353" spans="1:4" x14ac:dyDescent="0.25">
      <c r="A353" t="s">
        <v>2222</v>
      </c>
      <c r="B353" t="s">
        <v>2221</v>
      </c>
      <c r="C353" t="s">
        <v>1693</v>
      </c>
      <c r="D353" t="s">
        <v>1692</v>
      </c>
    </row>
    <row r="354" spans="1:4" x14ac:dyDescent="0.25">
      <c r="A354" t="s">
        <v>2220</v>
      </c>
      <c r="B354" t="s">
        <v>2219</v>
      </c>
      <c r="C354" t="s">
        <v>2098</v>
      </c>
      <c r="D354" t="s">
        <v>2098</v>
      </c>
    </row>
    <row r="355" spans="1:4" x14ac:dyDescent="0.25">
      <c r="A355" t="s">
        <v>3784</v>
      </c>
      <c r="B355" t="s">
        <v>3785</v>
      </c>
      <c r="C355" t="s">
        <v>3786</v>
      </c>
      <c r="D355" t="s">
        <v>2098</v>
      </c>
    </row>
    <row r="356" spans="1:4" x14ac:dyDescent="0.25">
      <c r="A356" t="s">
        <v>2218</v>
      </c>
      <c r="B356" t="s">
        <v>2217</v>
      </c>
      <c r="C356" t="s">
        <v>1689</v>
      </c>
      <c r="D356" t="s">
        <v>1689</v>
      </c>
    </row>
    <row r="357" spans="1:4" x14ac:dyDescent="0.25">
      <c r="A357" t="s">
        <v>2407</v>
      </c>
      <c r="B357" t="s">
        <v>2406</v>
      </c>
      <c r="C357" t="s">
        <v>2405</v>
      </c>
      <c r="D357" t="s">
        <v>2404</v>
      </c>
    </row>
    <row r="358" spans="1:4" x14ac:dyDescent="0.25">
      <c r="A358" t="s">
        <v>3118</v>
      </c>
      <c r="B358" t="s">
        <v>3119</v>
      </c>
      <c r="C358" t="s">
        <v>3109</v>
      </c>
      <c r="D358">
        <v>0</v>
      </c>
    </row>
    <row r="359" spans="1:4" x14ac:dyDescent="0.25">
      <c r="A359" t="s">
        <v>5805</v>
      </c>
      <c r="B359" t="s">
        <v>5714</v>
      </c>
      <c r="C359" t="s">
        <v>1747</v>
      </c>
      <c r="D359" t="s">
        <v>1747</v>
      </c>
    </row>
    <row r="360" spans="1:4" x14ac:dyDescent="0.25">
      <c r="A360" t="s">
        <v>1663</v>
      </c>
      <c r="B360" t="s">
        <v>1662</v>
      </c>
      <c r="C360">
        <v>0</v>
      </c>
      <c r="D360">
        <v>0</v>
      </c>
    </row>
    <row r="361" spans="1:4" x14ac:dyDescent="0.25">
      <c r="A361" t="s">
        <v>1661</v>
      </c>
      <c r="B361" t="s">
        <v>1660</v>
      </c>
      <c r="C361">
        <v>0</v>
      </c>
      <c r="D361">
        <v>0</v>
      </c>
    </row>
    <row r="362" spans="1:4" x14ac:dyDescent="0.25">
      <c r="A362" t="s">
        <v>1659</v>
      </c>
      <c r="B362" t="s">
        <v>1658</v>
      </c>
      <c r="C362">
        <v>0</v>
      </c>
      <c r="D362">
        <v>0</v>
      </c>
    </row>
    <row r="363" spans="1:4" x14ac:dyDescent="0.25">
      <c r="A363" t="s">
        <v>1657</v>
      </c>
      <c r="B363" t="s">
        <v>1656</v>
      </c>
      <c r="C363">
        <v>0</v>
      </c>
      <c r="D363">
        <v>0</v>
      </c>
    </row>
    <row r="364" spans="1:4" x14ac:dyDescent="0.25">
      <c r="A364" t="s">
        <v>2216</v>
      </c>
      <c r="B364" t="s">
        <v>237</v>
      </c>
      <c r="C364" t="s">
        <v>1711</v>
      </c>
      <c r="D364" t="s">
        <v>1710</v>
      </c>
    </row>
    <row r="365" spans="1:4" x14ac:dyDescent="0.25">
      <c r="A365" t="s">
        <v>2215</v>
      </c>
      <c r="B365" t="s">
        <v>235</v>
      </c>
      <c r="C365" t="s">
        <v>2214</v>
      </c>
      <c r="D365">
        <v>0</v>
      </c>
    </row>
    <row r="366" spans="1:4" x14ac:dyDescent="0.25">
      <c r="A366" t="s">
        <v>2213</v>
      </c>
      <c r="B366" t="s">
        <v>233</v>
      </c>
      <c r="C366" t="s">
        <v>1711</v>
      </c>
      <c r="D366" t="s">
        <v>1710</v>
      </c>
    </row>
    <row r="367" spans="1:4" x14ac:dyDescent="0.25">
      <c r="A367" t="s">
        <v>2212</v>
      </c>
      <c r="B367" t="s">
        <v>231</v>
      </c>
      <c r="C367" t="s">
        <v>2152</v>
      </c>
      <c r="D367" t="s">
        <v>2151</v>
      </c>
    </row>
    <row r="368" spans="1:4" x14ac:dyDescent="0.25">
      <c r="A368" t="s">
        <v>2211</v>
      </c>
      <c r="B368" t="s">
        <v>2210</v>
      </c>
      <c r="C368" t="s">
        <v>2209</v>
      </c>
      <c r="D368">
        <v>0</v>
      </c>
    </row>
    <row r="369" spans="1:4" x14ac:dyDescent="0.25">
      <c r="A369" t="s">
        <v>2208</v>
      </c>
      <c r="B369" t="s">
        <v>2207</v>
      </c>
      <c r="C369" t="s">
        <v>2089</v>
      </c>
      <c r="D369">
        <v>0</v>
      </c>
    </row>
    <row r="370" spans="1:4" x14ac:dyDescent="0.25">
      <c r="A370" t="s">
        <v>2206</v>
      </c>
      <c r="B370" t="s">
        <v>229</v>
      </c>
      <c r="C370" t="s">
        <v>2205</v>
      </c>
      <c r="D370" t="s">
        <v>19</v>
      </c>
    </row>
    <row r="371" spans="1:4" x14ac:dyDescent="0.25">
      <c r="A371" t="s">
        <v>2204</v>
      </c>
      <c r="B371" t="s">
        <v>225</v>
      </c>
      <c r="C371" t="s">
        <v>19</v>
      </c>
      <c r="D371" t="s">
        <v>19</v>
      </c>
    </row>
    <row r="372" spans="1:4" x14ac:dyDescent="0.25">
      <c r="A372" t="s">
        <v>3003</v>
      </c>
      <c r="B372" t="s">
        <v>3004</v>
      </c>
      <c r="C372" t="s">
        <v>19</v>
      </c>
      <c r="D372" t="s">
        <v>19</v>
      </c>
    </row>
    <row r="373" spans="1:4" x14ac:dyDescent="0.25">
      <c r="A373" t="s">
        <v>3005</v>
      </c>
      <c r="B373" t="s">
        <v>3006</v>
      </c>
      <c r="C373" t="s">
        <v>19</v>
      </c>
      <c r="D373" t="s">
        <v>19</v>
      </c>
    </row>
    <row r="374" spans="1:4" x14ac:dyDescent="0.25">
      <c r="A374" t="s">
        <v>3007</v>
      </c>
      <c r="B374" t="s">
        <v>3008</v>
      </c>
      <c r="C374" t="s">
        <v>19</v>
      </c>
      <c r="D374" t="s">
        <v>19</v>
      </c>
    </row>
    <row r="375" spans="1:4" x14ac:dyDescent="0.25">
      <c r="A375" t="s">
        <v>3009</v>
      </c>
      <c r="B375" t="s">
        <v>3010</v>
      </c>
      <c r="C375" t="s">
        <v>19</v>
      </c>
      <c r="D375" t="s">
        <v>19</v>
      </c>
    </row>
    <row r="376" spans="1:4" x14ac:dyDescent="0.25">
      <c r="A376" t="s">
        <v>3011</v>
      </c>
      <c r="B376" t="s">
        <v>3012</v>
      </c>
      <c r="C376" t="s">
        <v>19</v>
      </c>
      <c r="D376" t="s">
        <v>19</v>
      </c>
    </row>
    <row r="377" spans="1:4" x14ac:dyDescent="0.25">
      <c r="A377" t="s">
        <v>3013</v>
      </c>
      <c r="B377" t="s">
        <v>3014</v>
      </c>
      <c r="C377" t="s">
        <v>19</v>
      </c>
      <c r="D377" t="s">
        <v>19</v>
      </c>
    </row>
    <row r="378" spans="1:4" x14ac:dyDescent="0.25">
      <c r="A378" t="s">
        <v>3015</v>
      </c>
      <c r="B378" t="s">
        <v>3016</v>
      </c>
      <c r="C378" t="s">
        <v>19</v>
      </c>
      <c r="D378" t="s">
        <v>19</v>
      </c>
    </row>
    <row r="379" spans="1:4" x14ac:dyDescent="0.25">
      <c r="A379" t="s">
        <v>3017</v>
      </c>
      <c r="B379" t="s">
        <v>3018</v>
      </c>
      <c r="C379" t="s">
        <v>19</v>
      </c>
      <c r="D379" t="s">
        <v>19</v>
      </c>
    </row>
    <row r="380" spans="1:4" x14ac:dyDescent="0.25">
      <c r="A380" t="s">
        <v>3029</v>
      </c>
      <c r="B380" t="s">
        <v>3030</v>
      </c>
      <c r="C380" t="s">
        <v>19</v>
      </c>
      <c r="D380" t="s">
        <v>19</v>
      </c>
    </row>
    <row r="381" spans="1:4" x14ac:dyDescent="0.25">
      <c r="A381" t="s">
        <v>3019</v>
      </c>
      <c r="B381" t="s">
        <v>3020</v>
      </c>
      <c r="C381" t="s">
        <v>19</v>
      </c>
      <c r="D381" t="s">
        <v>19</v>
      </c>
    </row>
    <row r="382" spans="1:4" x14ac:dyDescent="0.25">
      <c r="A382" t="s">
        <v>3021</v>
      </c>
      <c r="B382" t="s">
        <v>3022</v>
      </c>
      <c r="C382" t="s">
        <v>19</v>
      </c>
      <c r="D382" t="s">
        <v>19</v>
      </c>
    </row>
    <row r="383" spans="1:4" x14ac:dyDescent="0.25">
      <c r="A383" t="s">
        <v>3023</v>
      </c>
      <c r="B383" t="s">
        <v>3024</v>
      </c>
      <c r="C383" t="s">
        <v>19</v>
      </c>
      <c r="D383" t="s">
        <v>19</v>
      </c>
    </row>
    <row r="384" spans="1:4" x14ac:dyDescent="0.25">
      <c r="A384" t="s">
        <v>3025</v>
      </c>
      <c r="B384" t="s">
        <v>3026</v>
      </c>
      <c r="C384" t="s">
        <v>19</v>
      </c>
      <c r="D384" t="s">
        <v>19</v>
      </c>
    </row>
    <row r="385" spans="1:4" x14ac:dyDescent="0.25">
      <c r="A385" t="s">
        <v>3031</v>
      </c>
      <c r="B385" t="s">
        <v>3032</v>
      </c>
      <c r="C385" t="s">
        <v>19</v>
      </c>
      <c r="D385" t="s">
        <v>19</v>
      </c>
    </row>
    <row r="386" spans="1:4" x14ac:dyDescent="0.25">
      <c r="A386" t="s">
        <v>3027</v>
      </c>
      <c r="B386" t="s">
        <v>3028</v>
      </c>
      <c r="C386" t="s">
        <v>19</v>
      </c>
      <c r="D386" t="s">
        <v>19</v>
      </c>
    </row>
    <row r="387" spans="1:4" x14ac:dyDescent="0.25">
      <c r="A387" t="s">
        <v>3033</v>
      </c>
      <c r="B387" t="s">
        <v>3034</v>
      </c>
      <c r="C387" t="s">
        <v>19</v>
      </c>
      <c r="D387" t="s">
        <v>19</v>
      </c>
    </row>
    <row r="388" spans="1:4" x14ac:dyDescent="0.25">
      <c r="A388" t="s">
        <v>2203</v>
      </c>
      <c r="B388" t="s">
        <v>2202</v>
      </c>
      <c r="C388" t="s">
        <v>2201</v>
      </c>
      <c r="D388">
        <v>0</v>
      </c>
    </row>
    <row r="389" spans="1:4" x14ac:dyDescent="0.25">
      <c r="A389" t="s">
        <v>2200</v>
      </c>
      <c r="B389" t="s">
        <v>2199</v>
      </c>
      <c r="C389" t="s">
        <v>2085</v>
      </c>
      <c r="D389">
        <v>0</v>
      </c>
    </row>
    <row r="390" spans="1:4" x14ac:dyDescent="0.25">
      <c r="A390" t="s">
        <v>2198</v>
      </c>
      <c r="B390" t="s">
        <v>2197</v>
      </c>
      <c r="C390" t="s">
        <v>2196</v>
      </c>
      <c r="D390">
        <v>0</v>
      </c>
    </row>
    <row r="391" spans="1:4" x14ac:dyDescent="0.25">
      <c r="A391" t="s">
        <v>2195</v>
      </c>
      <c r="B391" t="s">
        <v>2194</v>
      </c>
      <c r="C391" t="s">
        <v>2082</v>
      </c>
      <c r="D391">
        <v>0</v>
      </c>
    </row>
    <row r="392" spans="1:4" x14ac:dyDescent="0.25">
      <c r="A392" t="s">
        <v>2193</v>
      </c>
      <c r="B392" t="s">
        <v>219</v>
      </c>
      <c r="C392" t="s">
        <v>19</v>
      </c>
      <c r="D392" t="s">
        <v>19</v>
      </c>
    </row>
    <row r="393" spans="1:4" x14ac:dyDescent="0.25">
      <c r="A393" t="s">
        <v>1677</v>
      </c>
      <c r="B393" t="s">
        <v>1676</v>
      </c>
      <c r="C393">
        <v>0</v>
      </c>
      <c r="D393">
        <v>0</v>
      </c>
    </row>
    <row r="394" spans="1:4" x14ac:dyDescent="0.25">
      <c r="A394" t="s">
        <v>2192</v>
      </c>
      <c r="B394" t="s">
        <v>217</v>
      </c>
      <c r="C394" t="s">
        <v>1665</v>
      </c>
      <c r="D394" t="s">
        <v>1665</v>
      </c>
    </row>
    <row r="395" spans="1:4" x14ac:dyDescent="0.25">
      <c r="A395" t="s">
        <v>2191</v>
      </c>
      <c r="B395" t="s">
        <v>215</v>
      </c>
      <c r="C395" t="s">
        <v>1665</v>
      </c>
      <c r="D395" t="s">
        <v>1665</v>
      </c>
    </row>
    <row r="396" spans="1:4" x14ac:dyDescent="0.25">
      <c r="A396" t="s">
        <v>2190</v>
      </c>
      <c r="B396" t="s">
        <v>213</v>
      </c>
      <c r="C396" t="s">
        <v>1665</v>
      </c>
      <c r="D396" t="s">
        <v>1665</v>
      </c>
    </row>
    <row r="397" spans="1:4" x14ac:dyDescent="0.25">
      <c r="A397" t="s">
        <v>2189</v>
      </c>
      <c r="B397" t="s">
        <v>211</v>
      </c>
      <c r="C397" t="s">
        <v>1665</v>
      </c>
      <c r="D397" t="s">
        <v>1665</v>
      </c>
    </row>
    <row r="398" spans="1:4" x14ac:dyDescent="0.25">
      <c r="A398" t="s">
        <v>2188</v>
      </c>
      <c r="B398" t="s">
        <v>209</v>
      </c>
      <c r="C398" t="s">
        <v>1665</v>
      </c>
      <c r="D398" t="s">
        <v>1665</v>
      </c>
    </row>
    <row r="399" spans="1:4" x14ac:dyDescent="0.25">
      <c r="A399" t="s">
        <v>2187</v>
      </c>
      <c r="B399" t="s">
        <v>207</v>
      </c>
      <c r="C399" t="s">
        <v>1665</v>
      </c>
      <c r="D399" t="s">
        <v>1665</v>
      </c>
    </row>
    <row r="400" spans="1:4" x14ac:dyDescent="0.25">
      <c r="A400" t="s">
        <v>3602</v>
      </c>
      <c r="B400" t="s">
        <v>3463</v>
      </c>
      <c r="C400" t="s">
        <v>386</v>
      </c>
      <c r="D400">
        <v>0</v>
      </c>
    </row>
    <row r="401" spans="1:4" x14ac:dyDescent="0.25">
      <c r="A401" t="s">
        <v>2186</v>
      </c>
      <c r="B401" t="s">
        <v>205</v>
      </c>
      <c r="C401" t="s">
        <v>2185</v>
      </c>
      <c r="D401">
        <v>0</v>
      </c>
    </row>
    <row r="402" spans="1:4" x14ac:dyDescent="0.25">
      <c r="A402" t="s">
        <v>2184</v>
      </c>
      <c r="B402" t="s">
        <v>2183</v>
      </c>
      <c r="C402" t="s">
        <v>2182</v>
      </c>
      <c r="D402">
        <v>0</v>
      </c>
    </row>
    <row r="403" spans="1:4" x14ac:dyDescent="0.25">
      <c r="A403" t="s">
        <v>2181</v>
      </c>
      <c r="B403" t="s">
        <v>2180</v>
      </c>
      <c r="C403" t="s">
        <v>2074</v>
      </c>
      <c r="D403">
        <v>0</v>
      </c>
    </row>
    <row r="404" spans="1:4" x14ac:dyDescent="0.25">
      <c r="A404" t="s">
        <v>2179</v>
      </c>
      <c r="B404" t="s">
        <v>2178</v>
      </c>
      <c r="C404" t="s">
        <v>2177</v>
      </c>
      <c r="D404">
        <v>0</v>
      </c>
    </row>
    <row r="405" spans="1:4" x14ac:dyDescent="0.25">
      <c r="A405" t="s">
        <v>2176</v>
      </c>
      <c r="B405" t="s">
        <v>2175</v>
      </c>
      <c r="C405" t="s">
        <v>2071</v>
      </c>
      <c r="D405">
        <v>0</v>
      </c>
    </row>
    <row r="406" spans="1:4" x14ac:dyDescent="0.25">
      <c r="A406" t="s">
        <v>3736</v>
      </c>
      <c r="B406" t="s">
        <v>3737</v>
      </c>
      <c r="C406" t="s">
        <v>1747</v>
      </c>
      <c r="D406">
        <v>0</v>
      </c>
    </row>
    <row r="407" spans="1:4" x14ac:dyDescent="0.25">
      <c r="A407" t="s">
        <v>2174</v>
      </c>
      <c r="B407" t="s">
        <v>2173</v>
      </c>
      <c r="C407" t="s">
        <v>2172</v>
      </c>
      <c r="D407">
        <v>0</v>
      </c>
    </row>
    <row r="408" spans="1:4" x14ac:dyDescent="0.25">
      <c r="A408" t="s">
        <v>2171</v>
      </c>
      <c r="B408" t="s">
        <v>2170</v>
      </c>
      <c r="C408" t="s">
        <v>2068</v>
      </c>
      <c r="D408">
        <v>0</v>
      </c>
    </row>
    <row r="409" spans="1:4" x14ac:dyDescent="0.25">
      <c r="A409" t="s">
        <v>2169</v>
      </c>
      <c r="B409" t="s">
        <v>203</v>
      </c>
      <c r="C409" t="s">
        <v>2168</v>
      </c>
      <c r="D409">
        <v>0</v>
      </c>
    </row>
    <row r="410" spans="1:4" x14ac:dyDescent="0.25">
      <c r="A410" t="s">
        <v>2167</v>
      </c>
      <c r="B410" t="s">
        <v>201</v>
      </c>
      <c r="C410" t="s">
        <v>1698</v>
      </c>
      <c r="D410" t="s">
        <v>1698</v>
      </c>
    </row>
    <row r="411" spans="1:4" x14ac:dyDescent="0.25">
      <c r="A411" t="s">
        <v>3434</v>
      </c>
      <c r="B411" t="s">
        <v>3436</v>
      </c>
      <c r="C411" t="s">
        <v>1693</v>
      </c>
      <c r="D411" t="s">
        <v>1692</v>
      </c>
    </row>
    <row r="412" spans="1:4" x14ac:dyDescent="0.25">
      <c r="A412" t="s">
        <v>3435</v>
      </c>
      <c r="B412" t="s">
        <v>3437</v>
      </c>
      <c r="C412" t="s">
        <v>2098</v>
      </c>
      <c r="D412" t="s">
        <v>2098</v>
      </c>
    </row>
    <row r="413" spans="1:4" x14ac:dyDescent="0.25">
      <c r="A413" t="s">
        <v>2166</v>
      </c>
      <c r="B413" t="s">
        <v>2165</v>
      </c>
      <c r="C413" t="s">
        <v>2164</v>
      </c>
      <c r="D413">
        <v>0</v>
      </c>
    </row>
    <row r="414" spans="1:4" x14ac:dyDescent="0.25">
      <c r="A414" t="s">
        <v>2163</v>
      </c>
      <c r="B414" t="s">
        <v>2162</v>
      </c>
      <c r="C414" t="s">
        <v>2062</v>
      </c>
      <c r="D414">
        <v>0</v>
      </c>
    </row>
    <row r="415" spans="1:4" x14ac:dyDescent="0.25">
      <c r="A415" t="s">
        <v>2161</v>
      </c>
      <c r="B415" t="s">
        <v>199</v>
      </c>
      <c r="C415" t="s">
        <v>2122</v>
      </c>
      <c r="D415">
        <v>0</v>
      </c>
    </row>
    <row r="416" spans="1:4" x14ac:dyDescent="0.25">
      <c r="A416" t="s">
        <v>2160</v>
      </c>
      <c r="B416" t="s">
        <v>2159</v>
      </c>
      <c r="C416" t="s">
        <v>2158</v>
      </c>
      <c r="D416">
        <v>0</v>
      </c>
    </row>
    <row r="417" spans="1:4" x14ac:dyDescent="0.25">
      <c r="A417" t="s">
        <v>2157</v>
      </c>
      <c r="B417" t="s">
        <v>2156</v>
      </c>
      <c r="C417" t="s">
        <v>2059</v>
      </c>
      <c r="D417">
        <v>0</v>
      </c>
    </row>
    <row r="418" spans="1:4" x14ac:dyDescent="0.25">
      <c r="A418" t="s">
        <v>2155</v>
      </c>
      <c r="B418" t="s">
        <v>197</v>
      </c>
      <c r="C418" t="s">
        <v>2052</v>
      </c>
      <c r="D418">
        <v>0</v>
      </c>
    </row>
    <row r="419" spans="1:4" x14ac:dyDescent="0.25">
      <c r="A419" t="s">
        <v>3740</v>
      </c>
      <c r="B419" t="s">
        <v>3741</v>
      </c>
      <c r="C419" t="s">
        <v>2054</v>
      </c>
      <c r="D419" t="s">
        <v>2054</v>
      </c>
    </row>
    <row r="420" spans="1:4" x14ac:dyDescent="0.25">
      <c r="A420" t="s">
        <v>2154</v>
      </c>
      <c r="B420" t="s">
        <v>2153</v>
      </c>
      <c r="C420" t="s">
        <v>2152</v>
      </c>
      <c r="D420" t="s">
        <v>2151</v>
      </c>
    </row>
    <row r="421" spans="1:4" x14ac:dyDescent="0.25">
      <c r="A421" t="s">
        <v>1842</v>
      </c>
      <c r="B421" t="s">
        <v>1841</v>
      </c>
      <c r="C421" t="s">
        <v>1765</v>
      </c>
      <c r="D421">
        <v>0</v>
      </c>
    </row>
    <row r="422" spans="1:4" x14ac:dyDescent="0.25">
      <c r="A422" t="s">
        <v>2150</v>
      </c>
      <c r="B422" t="s">
        <v>2149</v>
      </c>
      <c r="C422" t="s">
        <v>2089</v>
      </c>
      <c r="D422">
        <v>0</v>
      </c>
    </row>
    <row r="423" spans="1:4" x14ac:dyDescent="0.25">
      <c r="A423" t="s">
        <v>2148</v>
      </c>
      <c r="B423" t="s">
        <v>2147</v>
      </c>
      <c r="C423" t="s">
        <v>2085</v>
      </c>
      <c r="D423">
        <v>0</v>
      </c>
    </row>
    <row r="424" spans="1:4" x14ac:dyDescent="0.25">
      <c r="A424" t="s">
        <v>1840</v>
      </c>
      <c r="B424" t="s">
        <v>1839</v>
      </c>
      <c r="C424" t="s">
        <v>1759</v>
      </c>
      <c r="D424">
        <v>0</v>
      </c>
    </row>
    <row r="425" spans="1:4" x14ac:dyDescent="0.25">
      <c r="A425" t="s">
        <v>2146</v>
      </c>
      <c r="B425" t="s">
        <v>2145</v>
      </c>
      <c r="C425" t="s">
        <v>2082</v>
      </c>
      <c r="D425">
        <v>0</v>
      </c>
    </row>
    <row r="426" spans="1:4" x14ac:dyDescent="0.25">
      <c r="A426" t="s">
        <v>2144</v>
      </c>
      <c r="B426" t="s">
        <v>2143</v>
      </c>
      <c r="C426" t="s">
        <v>19</v>
      </c>
      <c r="D426" t="s">
        <v>19</v>
      </c>
    </row>
    <row r="427" spans="1:4" x14ac:dyDescent="0.25">
      <c r="A427" t="s">
        <v>2142</v>
      </c>
      <c r="B427" t="s">
        <v>2141</v>
      </c>
      <c r="C427" t="s">
        <v>1703</v>
      </c>
      <c r="D427">
        <v>0</v>
      </c>
    </row>
    <row r="428" spans="1:4" x14ac:dyDescent="0.25">
      <c r="A428" t="s">
        <v>2140</v>
      </c>
      <c r="B428" t="s">
        <v>2139</v>
      </c>
      <c r="C428" t="s">
        <v>1665</v>
      </c>
      <c r="D428" t="s">
        <v>1665</v>
      </c>
    </row>
    <row r="429" spans="1:4" x14ac:dyDescent="0.25">
      <c r="A429" t="s">
        <v>1838</v>
      </c>
      <c r="B429" t="s">
        <v>1837</v>
      </c>
      <c r="C429" t="s">
        <v>1756</v>
      </c>
      <c r="D429">
        <v>0</v>
      </c>
    </row>
    <row r="430" spans="1:4" x14ac:dyDescent="0.25">
      <c r="A430" t="s">
        <v>2138</v>
      </c>
      <c r="B430" t="s">
        <v>2137</v>
      </c>
      <c r="C430" t="s">
        <v>2074</v>
      </c>
      <c r="D430">
        <v>0</v>
      </c>
    </row>
    <row r="431" spans="1:4" x14ac:dyDescent="0.25">
      <c r="A431" t="s">
        <v>2136</v>
      </c>
      <c r="B431" t="s">
        <v>2135</v>
      </c>
      <c r="C431" t="s">
        <v>2071</v>
      </c>
      <c r="D431">
        <v>0</v>
      </c>
    </row>
    <row r="432" spans="1:4" x14ac:dyDescent="0.25">
      <c r="A432" t="s">
        <v>1836</v>
      </c>
      <c r="B432" t="s">
        <v>1835</v>
      </c>
      <c r="C432" t="s">
        <v>1750</v>
      </c>
      <c r="D432">
        <v>0</v>
      </c>
    </row>
    <row r="433" spans="1:4" x14ac:dyDescent="0.25">
      <c r="A433" t="s">
        <v>2134</v>
      </c>
      <c r="B433" t="s">
        <v>2133</v>
      </c>
      <c r="C433" t="s">
        <v>2068</v>
      </c>
      <c r="D433">
        <v>0</v>
      </c>
    </row>
    <row r="434" spans="1:4" x14ac:dyDescent="0.25">
      <c r="A434" t="s">
        <v>2132</v>
      </c>
      <c r="B434" t="s">
        <v>2131</v>
      </c>
      <c r="C434" t="s">
        <v>2098</v>
      </c>
      <c r="D434" t="s">
        <v>2098</v>
      </c>
    </row>
    <row r="435" spans="1:4" x14ac:dyDescent="0.25">
      <c r="A435" t="s">
        <v>2130</v>
      </c>
      <c r="B435" t="s">
        <v>2129</v>
      </c>
      <c r="C435" t="s">
        <v>1689</v>
      </c>
      <c r="D435" t="s">
        <v>1689</v>
      </c>
    </row>
    <row r="436" spans="1:4" x14ac:dyDescent="0.25">
      <c r="A436" t="s">
        <v>2128</v>
      </c>
      <c r="B436" t="s">
        <v>2127</v>
      </c>
      <c r="C436" t="s">
        <v>2062</v>
      </c>
      <c r="D436">
        <v>0</v>
      </c>
    </row>
    <row r="437" spans="1:4" x14ac:dyDescent="0.25">
      <c r="A437" t="s">
        <v>1834</v>
      </c>
      <c r="B437" t="s">
        <v>1833</v>
      </c>
      <c r="C437" t="s">
        <v>1744</v>
      </c>
      <c r="D437">
        <v>0</v>
      </c>
    </row>
    <row r="438" spans="1:4" x14ac:dyDescent="0.25">
      <c r="A438" t="s">
        <v>2126</v>
      </c>
      <c r="B438" t="s">
        <v>2125</v>
      </c>
      <c r="C438" t="s">
        <v>2059</v>
      </c>
      <c r="D438">
        <v>0</v>
      </c>
    </row>
    <row r="439" spans="1:4" x14ac:dyDescent="0.25">
      <c r="A439" t="s">
        <v>1969</v>
      </c>
      <c r="B439" t="s">
        <v>852</v>
      </c>
      <c r="C439">
        <v>0</v>
      </c>
      <c r="D439">
        <v>0</v>
      </c>
    </row>
    <row r="440" spans="1:4" x14ac:dyDescent="0.25">
      <c r="A440" t="s">
        <v>1968</v>
      </c>
      <c r="B440" t="s">
        <v>1967</v>
      </c>
      <c r="C440">
        <v>0</v>
      </c>
      <c r="D440">
        <v>0</v>
      </c>
    </row>
    <row r="441" spans="1:4" x14ac:dyDescent="0.25">
      <c r="A441" t="s">
        <v>1966</v>
      </c>
      <c r="B441" t="s">
        <v>1965</v>
      </c>
      <c r="C441">
        <v>0</v>
      </c>
      <c r="D441">
        <v>0</v>
      </c>
    </row>
    <row r="442" spans="1:4" x14ac:dyDescent="0.25">
      <c r="A442" t="s">
        <v>1964</v>
      </c>
      <c r="B442" t="s">
        <v>1963</v>
      </c>
      <c r="C442">
        <v>0</v>
      </c>
      <c r="D442">
        <v>0</v>
      </c>
    </row>
    <row r="443" spans="1:4" x14ac:dyDescent="0.25">
      <c r="A443" t="s">
        <v>1962</v>
      </c>
      <c r="B443" t="s">
        <v>1961</v>
      </c>
      <c r="C443">
        <v>0</v>
      </c>
      <c r="D443">
        <v>0</v>
      </c>
    </row>
    <row r="444" spans="1:4" x14ac:dyDescent="0.25">
      <c r="A444" t="s">
        <v>1960</v>
      </c>
      <c r="B444" t="s">
        <v>838</v>
      </c>
      <c r="C444">
        <v>0</v>
      </c>
      <c r="D444">
        <v>0</v>
      </c>
    </row>
    <row r="445" spans="1:4" x14ac:dyDescent="0.25">
      <c r="A445" t="s">
        <v>3086</v>
      </c>
      <c r="B445" t="s">
        <v>3087</v>
      </c>
      <c r="C445">
        <v>0</v>
      </c>
      <c r="D445">
        <v>0</v>
      </c>
    </row>
    <row r="446" spans="1:4" x14ac:dyDescent="0.25">
      <c r="A446" t="s">
        <v>1959</v>
      </c>
      <c r="B446" t="s">
        <v>1958</v>
      </c>
      <c r="C446">
        <v>0</v>
      </c>
      <c r="D446">
        <v>0</v>
      </c>
    </row>
    <row r="447" spans="1:4" x14ac:dyDescent="0.25">
      <c r="A447" t="s">
        <v>1957</v>
      </c>
      <c r="B447" t="s">
        <v>824</v>
      </c>
      <c r="C447">
        <v>0</v>
      </c>
      <c r="D447">
        <v>0</v>
      </c>
    </row>
    <row r="448" spans="1:4" x14ac:dyDescent="0.25">
      <c r="A448" t="s">
        <v>1956</v>
      </c>
      <c r="B448" t="s">
        <v>1955</v>
      </c>
      <c r="C448">
        <v>0</v>
      </c>
      <c r="D448">
        <v>0</v>
      </c>
    </row>
    <row r="449" spans="1:4" x14ac:dyDescent="0.25">
      <c r="A449" t="s">
        <v>1954</v>
      </c>
      <c r="B449" t="s">
        <v>1953</v>
      </c>
      <c r="C449">
        <v>0</v>
      </c>
      <c r="D449">
        <v>0</v>
      </c>
    </row>
    <row r="450" spans="1:4" x14ac:dyDescent="0.25">
      <c r="A450" t="s">
        <v>1952</v>
      </c>
      <c r="B450" t="s">
        <v>1951</v>
      </c>
      <c r="C450">
        <v>0</v>
      </c>
      <c r="D450">
        <v>0</v>
      </c>
    </row>
    <row r="451" spans="1:4" x14ac:dyDescent="0.25">
      <c r="A451" t="s">
        <v>1950</v>
      </c>
      <c r="B451" t="s">
        <v>1949</v>
      </c>
      <c r="C451">
        <v>0</v>
      </c>
      <c r="D451">
        <v>0</v>
      </c>
    </row>
    <row r="452" spans="1:4" x14ac:dyDescent="0.25">
      <c r="A452" t="s">
        <v>1948</v>
      </c>
      <c r="B452" t="s">
        <v>806</v>
      </c>
      <c r="C452">
        <v>0</v>
      </c>
      <c r="D452">
        <v>0</v>
      </c>
    </row>
    <row r="453" spans="1:4" x14ac:dyDescent="0.25">
      <c r="A453" t="s">
        <v>1947</v>
      </c>
      <c r="B453" t="s">
        <v>798</v>
      </c>
      <c r="C453">
        <v>0</v>
      </c>
      <c r="D453">
        <v>0</v>
      </c>
    </row>
    <row r="454" spans="1:4" x14ac:dyDescent="0.25">
      <c r="A454" t="s">
        <v>1946</v>
      </c>
      <c r="B454" t="s">
        <v>1945</v>
      </c>
      <c r="C454">
        <v>0</v>
      </c>
      <c r="D454">
        <v>0</v>
      </c>
    </row>
    <row r="455" spans="1:4" x14ac:dyDescent="0.25">
      <c r="A455" t="s">
        <v>1944</v>
      </c>
      <c r="B455" t="s">
        <v>793</v>
      </c>
      <c r="C455">
        <v>0</v>
      </c>
      <c r="D455">
        <v>0</v>
      </c>
    </row>
    <row r="456" spans="1:4" x14ac:dyDescent="0.25">
      <c r="A456" t="s">
        <v>1943</v>
      </c>
      <c r="B456" t="s">
        <v>1942</v>
      </c>
      <c r="C456">
        <v>0</v>
      </c>
      <c r="D456">
        <v>0</v>
      </c>
    </row>
    <row r="457" spans="1:4" x14ac:dyDescent="0.25">
      <c r="A457" t="s">
        <v>1941</v>
      </c>
      <c r="B457" t="s">
        <v>786</v>
      </c>
      <c r="C457">
        <v>0</v>
      </c>
      <c r="D457">
        <v>0</v>
      </c>
    </row>
    <row r="458" spans="1:4" x14ac:dyDescent="0.25">
      <c r="A458" t="s">
        <v>1940</v>
      </c>
      <c r="B458" t="s">
        <v>1939</v>
      </c>
      <c r="C458">
        <v>0</v>
      </c>
      <c r="D458">
        <v>0</v>
      </c>
    </row>
    <row r="459" spans="1:4" x14ac:dyDescent="0.25">
      <c r="A459" t="s">
        <v>1938</v>
      </c>
      <c r="B459" t="s">
        <v>1937</v>
      </c>
      <c r="C459">
        <v>0</v>
      </c>
      <c r="D459">
        <v>0</v>
      </c>
    </row>
    <row r="460" spans="1:4" x14ac:dyDescent="0.25">
      <c r="A460" t="s">
        <v>1936</v>
      </c>
      <c r="B460" t="s">
        <v>771</v>
      </c>
      <c r="C460">
        <v>0</v>
      </c>
      <c r="D460">
        <v>0</v>
      </c>
    </row>
    <row r="461" spans="1:4" x14ac:dyDescent="0.25">
      <c r="A461" t="s">
        <v>1935</v>
      </c>
      <c r="B461" t="s">
        <v>764</v>
      </c>
      <c r="C461">
        <v>0</v>
      </c>
      <c r="D461">
        <v>0</v>
      </c>
    </row>
    <row r="462" spans="1:4" x14ac:dyDescent="0.25">
      <c r="A462" t="s">
        <v>1934</v>
      </c>
      <c r="B462" t="s">
        <v>762</v>
      </c>
      <c r="C462">
        <v>0</v>
      </c>
      <c r="D462">
        <v>0</v>
      </c>
    </row>
    <row r="463" spans="1:4" x14ac:dyDescent="0.25">
      <c r="A463" t="s">
        <v>1933</v>
      </c>
      <c r="B463" t="s">
        <v>1932</v>
      </c>
      <c r="C463">
        <v>0</v>
      </c>
      <c r="D463">
        <v>0</v>
      </c>
    </row>
    <row r="464" spans="1:4" x14ac:dyDescent="0.25">
      <c r="A464" t="s">
        <v>1931</v>
      </c>
      <c r="B464" t="s">
        <v>1930</v>
      </c>
      <c r="C464">
        <v>0</v>
      </c>
      <c r="D464">
        <v>0</v>
      </c>
    </row>
    <row r="465" spans="1:4" x14ac:dyDescent="0.25">
      <c r="A465" t="s">
        <v>1929</v>
      </c>
      <c r="B465" t="s">
        <v>757</v>
      </c>
      <c r="C465">
        <v>0</v>
      </c>
      <c r="D465">
        <v>0</v>
      </c>
    </row>
    <row r="466" spans="1:4" x14ac:dyDescent="0.25">
      <c r="A466" t="s">
        <v>1928</v>
      </c>
      <c r="B466">
        <v>0</v>
      </c>
      <c r="C466">
        <v>0</v>
      </c>
      <c r="D466">
        <v>0</v>
      </c>
    </row>
    <row r="467" spans="1:4" x14ac:dyDescent="0.25">
      <c r="A467" t="s">
        <v>1927</v>
      </c>
      <c r="B467" t="s">
        <v>1919</v>
      </c>
      <c r="C467">
        <v>0</v>
      </c>
      <c r="D467">
        <v>0</v>
      </c>
    </row>
    <row r="468" spans="1:4" x14ac:dyDescent="0.25">
      <c r="A468" t="s">
        <v>1926</v>
      </c>
      <c r="B468" t="s">
        <v>740</v>
      </c>
      <c r="C468">
        <v>0</v>
      </c>
      <c r="D468">
        <v>0</v>
      </c>
    </row>
    <row r="469" spans="1:4" x14ac:dyDescent="0.25">
      <c r="A469" t="s">
        <v>1925</v>
      </c>
      <c r="B469" t="s">
        <v>1924</v>
      </c>
      <c r="C469">
        <v>0</v>
      </c>
      <c r="D469">
        <v>0</v>
      </c>
    </row>
    <row r="470" spans="1:4" x14ac:dyDescent="0.25">
      <c r="A470" t="s">
        <v>1923</v>
      </c>
      <c r="B470" t="s">
        <v>730</v>
      </c>
      <c r="C470">
        <v>0</v>
      </c>
      <c r="D470">
        <v>0</v>
      </c>
    </row>
    <row r="471" spans="1:4" x14ac:dyDescent="0.25">
      <c r="A471" t="s">
        <v>1922</v>
      </c>
      <c r="B471" t="s">
        <v>1921</v>
      </c>
      <c r="C471">
        <v>0</v>
      </c>
      <c r="D471">
        <v>0</v>
      </c>
    </row>
    <row r="472" spans="1:4" x14ac:dyDescent="0.25">
      <c r="A472" t="s">
        <v>1920</v>
      </c>
      <c r="B472" t="s">
        <v>1919</v>
      </c>
      <c r="C472">
        <v>0</v>
      </c>
      <c r="D472">
        <v>0</v>
      </c>
    </row>
    <row r="473" spans="1:4" x14ac:dyDescent="0.25">
      <c r="A473" t="s">
        <v>2124</v>
      </c>
      <c r="B473" t="s">
        <v>2123</v>
      </c>
      <c r="C473" t="s">
        <v>2122</v>
      </c>
      <c r="D473">
        <v>0</v>
      </c>
    </row>
    <row r="474" spans="1:4" x14ac:dyDescent="0.25">
      <c r="A474" t="s">
        <v>2059</v>
      </c>
      <c r="B474" t="s">
        <v>2121</v>
      </c>
      <c r="C474">
        <v>0</v>
      </c>
      <c r="D474">
        <v>0</v>
      </c>
    </row>
    <row r="475" spans="1:4" x14ac:dyDescent="0.25">
      <c r="A475" t="s">
        <v>3088</v>
      </c>
      <c r="B475" t="s">
        <v>3089</v>
      </c>
      <c r="C475">
        <v>0</v>
      </c>
      <c r="D475">
        <v>0</v>
      </c>
    </row>
    <row r="476" spans="1:4" x14ac:dyDescent="0.25">
      <c r="A476" t="s">
        <v>3090</v>
      </c>
      <c r="B476" t="s">
        <v>3091</v>
      </c>
      <c r="C476">
        <v>0</v>
      </c>
      <c r="D476">
        <v>0</v>
      </c>
    </row>
    <row r="477" spans="1:4" x14ac:dyDescent="0.25">
      <c r="A477" t="s">
        <v>1918</v>
      </c>
      <c r="B477" t="s">
        <v>1917</v>
      </c>
      <c r="C477">
        <v>0</v>
      </c>
      <c r="D477">
        <v>0</v>
      </c>
    </row>
    <row r="478" spans="1:4" x14ac:dyDescent="0.25">
      <c r="A478" t="s">
        <v>1916</v>
      </c>
      <c r="B478" t="s">
        <v>1915</v>
      </c>
      <c r="C478">
        <v>0</v>
      </c>
      <c r="D478">
        <v>0</v>
      </c>
    </row>
    <row r="479" spans="1:4" x14ac:dyDescent="0.25">
      <c r="A479" t="s">
        <v>1914</v>
      </c>
      <c r="B479" t="s">
        <v>1913</v>
      </c>
      <c r="C479">
        <v>0</v>
      </c>
      <c r="D479">
        <v>0</v>
      </c>
    </row>
    <row r="480" spans="1:4" x14ac:dyDescent="0.25">
      <c r="A480" t="s">
        <v>1912</v>
      </c>
      <c r="B480" t="s">
        <v>1911</v>
      </c>
      <c r="C480">
        <v>0</v>
      </c>
      <c r="D480">
        <v>0</v>
      </c>
    </row>
    <row r="481" spans="1:4" x14ac:dyDescent="0.25">
      <c r="A481" t="s">
        <v>1910</v>
      </c>
      <c r="B481" t="s">
        <v>1909</v>
      </c>
      <c r="C481">
        <v>0</v>
      </c>
      <c r="D481">
        <v>0</v>
      </c>
    </row>
    <row r="482" spans="1:4" x14ac:dyDescent="0.25">
      <c r="A482" t="s">
        <v>1908</v>
      </c>
      <c r="B482" t="s">
        <v>1907</v>
      </c>
      <c r="C482">
        <v>0</v>
      </c>
      <c r="D482">
        <v>0</v>
      </c>
    </row>
    <row r="483" spans="1:4" x14ac:dyDescent="0.25">
      <c r="A483" t="s">
        <v>1906</v>
      </c>
      <c r="B483" t="s">
        <v>1905</v>
      </c>
      <c r="C483">
        <v>0</v>
      </c>
      <c r="D483">
        <v>0</v>
      </c>
    </row>
    <row r="484" spans="1:4" x14ac:dyDescent="0.25">
      <c r="A484" t="s">
        <v>1904</v>
      </c>
      <c r="B484" t="s">
        <v>1903</v>
      </c>
      <c r="C484">
        <v>0</v>
      </c>
      <c r="D484">
        <v>0</v>
      </c>
    </row>
    <row r="485" spans="1:4" x14ac:dyDescent="0.25">
      <c r="A485" t="s">
        <v>1902</v>
      </c>
      <c r="B485" t="s">
        <v>1901</v>
      </c>
      <c r="C485">
        <v>0</v>
      </c>
      <c r="D485">
        <v>0</v>
      </c>
    </row>
    <row r="486" spans="1:4" x14ac:dyDescent="0.25">
      <c r="A486" t="s">
        <v>1900</v>
      </c>
      <c r="B486" t="s">
        <v>1899</v>
      </c>
      <c r="C486">
        <v>0</v>
      </c>
      <c r="D486">
        <v>0</v>
      </c>
    </row>
    <row r="487" spans="1:4" x14ac:dyDescent="0.25">
      <c r="A487" t="s">
        <v>1898</v>
      </c>
      <c r="B487" t="s">
        <v>1897</v>
      </c>
      <c r="C487">
        <v>0</v>
      </c>
      <c r="D487">
        <v>0</v>
      </c>
    </row>
    <row r="488" spans="1:4" x14ac:dyDescent="0.25">
      <c r="A488" t="s">
        <v>1896</v>
      </c>
      <c r="B488" t="s">
        <v>1895</v>
      </c>
      <c r="C488">
        <v>0</v>
      </c>
      <c r="D488">
        <v>0</v>
      </c>
    </row>
    <row r="489" spans="1:4" x14ac:dyDescent="0.25">
      <c r="A489" t="s">
        <v>1894</v>
      </c>
      <c r="B489" t="s">
        <v>1893</v>
      </c>
      <c r="C489">
        <v>0</v>
      </c>
      <c r="D489">
        <v>0</v>
      </c>
    </row>
    <row r="490" spans="1:4" x14ac:dyDescent="0.25">
      <c r="A490" t="s">
        <v>1892</v>
      </c>
      <c r="B490" t="s">
        <v>1891</v>
      </c>
      <c r="C490">
        <v>0</v>
      </c>
      <c r="D490">
        <v>0</v>
      </c>
    </row>
    <row r="491" spans="1:4" x14ac:dyDescent="0.25">
      <c r="A491" t="s">
        <v>1890</v>
      </c>
      <c r="B491" t="s">
        <v>1889</v>
      </c>
      <c r="C491">
        <v>0</v>
      </c>
      <c r="D491">
        <v>0</v>
      </c>
    </row>
    <row r="492" spans="1:4" x14ac:dyDescent="0.25">
      <c r="A492" t="s">
        <v>1888</v>
      </c>
      <c r="B492" t="s">
        <v>1887</v>
      </c>
      <c r="C492">
        <v>0</v>
      </c>
      <c r="D492">
        <v>0</v>
      </c>
    </row>
    <row r="493" spans="1:4" x14ac:dyDescent="0.25">
      <c r="A493" t="s">
        <v>1886</v>
      </c>
      <c r="B493" t="s">
        <v>1885</v>
      </c>
      <c r="C493">
        <v>0</v>
      </c>
      <c r="D493">
        <v>0</v>
      </c>
    </row>
    <row r="494" spans="1:4" x14ac:dyDescent="0.25">
      <c r="A494" t="s">
        <v>1884</v>
      </c>
      <c r="B494" t="s">
        <v>1883</v>
      </c>
      <c r="C494">
        <v>0</v>
      </c>
      <c r="D494">
        <v>0</v>
      </c>
    </row>
    <row r="495" spans="1:4" x14ac:dyDescent="0.25">
      <c r="A495" t="s">
        <v>1882</v>
      </c>
      <c r="B495" t="s">
        <v>1881</v>
      </c>
      <c r="C495">
        <v>0</v>
      </c>
      <c r="D495">
        <v>0</v>
      </c>
    </row>
    <row r="496" spans="1:4" x14ac:dyDescent="0.25">
      <c r="A496" t="s">
        <v>1880</v>
      </c>
      <c r="B496" t="s">
        <v>1879</v>
      </c>
      <c r="C496">
        <v>0</v>
      </c>
      <c r="D496">
        <v>0</v>
      </c>
    </row>
    <row r="497" spans="1:4" x14ac:dyDescent="0.25">
      <c r="A497" t="s">
        <v>1878</v>
      </c>
      <c r="B497" t="s">
        <v>1877</v>
      </c>
      <c r="C497">
        <v>0</v>
      </c>
      <c r="D497">
        <v>0</v>
      </c>
    </row>
    <row r="498" spans="1:4" x14ac:dyDescent="0.25">
      <c r="A498" t="s">
        <v>1876</v>
      </c>
      <c r="B498" t="s">
        <v>1875</v>
      </c>
      <c r="C498">
        <v>0</v>
      </c>
      <c r="D498">
        <v>0</v>
      </c>
    </row>
    <row r="499" spans="1:4" x14ac:dyDescent="0.25">
      <c r="A499" t="s">
        <v>1874</v>
      </c>
      <c r="B499" t="s">
        <v>1873</v>
      </c>
      <c r="C499">
        <v>0</v>
      </c>
      <c r="D499">
        <v>0</v>
      </c>
    </row>
    <row r="500" spans="1:4" x14ac:dyDescent="0.25">
      <c r="A500" t="s">
        <v>1872</v>
      </c>
      <c r="B500" t="s">
        <v>1871</v>
      </c>
      <c r="C500">
        <v>0</v>
      </c>
      <c r="D500">
        <v>0</v>
      </c>
    </row>
    <row r="501" spans="1:4" x14ac:dyDescent="0.25">
      <c r="A501" t="s">
        <v>3683</v>
      </c>
      <c r="B501" t="s">
        <v>3684</v>
      </c>
      <c r="C501" t="s">
        <v>3687</v>
      </c>
      <c r="D501">
        <v>0</v>
      </c>
    </row>
    <row r="502" spans="1:4" x14ac:dyDescent="0.25">
      <c r="A502" t="s">
        <v>2120</v>
      </c>
      <c r="B502" t="s">
        <v>2119</v>
      </c>
      <c r="C502" t="s">
        <v>2089</v>
      </c>
      <c r="D502">
        <v>0</v>
      </c>
    </row>
    <row r="503" spans="1:4" x14ac:dyDescent="0.25">
      <c r="A503" t="s">
        <v>2118</v>
      </c>
      <c r="B503" t="s">
        <v>2117</v>
      </c>
      <c r="C503" t="s">
        <v>2085</v>
      </c>
      <c r="D503">
        <v>0</v>
      </c>
    </row>
    <row r="504" spans="1:4" x14ac:dyDescent="0.25">
      <c r="A504" t="s">
        <v>2116</v>
      </c>
      <c r="B504" t="s">
        <v>2115</v>
      </c>
      <c r="C504" t="s">
        <v>2082</v>
      </c>
      <c r="D504">
        <v>0</v>
      </c>
    </row>
    <row r="505" spans="1:4" x14ac:dyDescent="0.25">
      <c r="A505" t="s">
        <v>2114</v>
      </c>
      <c r="B505" t="s">
        <v>176</v>
      </c>
      <c r="C505" t="s">
        <v>1703</v>
      </c>
      <c r="D505">
        <v>0</v>
      </c>
    </row>
    <row r="506" spans="1:4" x14ac:dyDescent="0.25">
      <c r="A506" t="s">
        <v>2113</v>
      </c>
      <c r="B506" t="s">
        <v>169</v>
      </c>
      <c r="C506" t="s">
        <v>1665</v>
      </c>
      <c r="D506" t="s">
        <v>1665</v>
      </c>
    </row>
    <row r="507" spans="1:4" x14ac:dyDescent="0.25">
      <c r="A507" t="s">
        <v>2112</v>
      </c>
      <c r="B507" t="s">
        <v>167</v>
      </c>
      <c r="C507" t="s">
        <v>386</v>
      </c>
      <c r="D507">
        <v>0</v>
      </c>
    </row>
    <row r="508" spans="1:4" x14ac:dyDescent="0.25">
      <c r="A508" t="s">
        <v>2111</v>
      </c>
      <c r="B508" t="s">
        <v>2110</v>
      </c>
      <c r="C508" t="s">
        <v>2074</v>
      </c>
      <c r="D508">
        <v>0</v>
      </c>
    </row>
    <row r="509" spans="1:4" x14ac:dyDescent="0.25">
      <c r="A509" t="s">
        <v>3654</v>
      </c>
      <c r="B509" t="s">
        <v>3688</v>
      </c>
      <c r="C509" t="s">
        <v>3589</v>
      </c>
      <c r="D509">
        <v>0</v>
      </c>
    </row>
    <row r="510" spans="1:4" x14ac:dyDescent="0.25">
      <c r="A510" t="s">
        <v>2109</v>
      </c>
      <c r="B510" t="s">
        <v>2108</v>
      </c>
      <c r="C510" t="s">
        <v>2071</v>
      </c>
      <c r="D510">
        <v>0</v>
      </c>
    </row>
    <row r="511" spans="1:4" x14ac:dyDescent="0.25">
      <c r="A511" t="s">
        <v>2107</v>
      </c>
      <c r="B511" t="s">
        <v>2106</v>
      </c>
      <c r="C511" t="s">
        <v>2068</v>
      </c>
      <c r="D511">
        <v>0</v>
      </c>
    </row>
    <row r="512" spans="1:4" x14ac:dyDescent="0.25">
      <c r="A512" t="s">
        <v>2105</v>
      </c>
      <c r="B512" t="s">
        <v>165</v>
      </c>
      <c r="C512" t="s">
        <v>2104</v>
      </c>
      <c r="D512" t="s">
        <v>2103</v>
      </c>
    </row>
    <row r="513" spans="1:4" x14ac:dyDescent="0.25">
      <c r="A513" t="s">
        <v>2102</v>
      </c>
      <c r="B513" t="s">
        <v>163</v>
      </c>
      <c r="C513" t="s">
        <v>1698</v>
      </c>
      <c r="D513" t="s">
        <v>1698</v>
      </c>
    </row>
    <row r="514" spans="1:4" x14ac:dyDescent="0.25">
      <c r="A514" t="s">
        <v>2101</v>
      </c>
      <c r="B514" t="s">
        <v>161</v>
      </c>
      <c r="C514" t="s">
        <v>1696</v>
      </c>
      <c r="D514" t="s">
        <v>1695</v>
      </c>
    </row>
    <row r="515" spans="1:4" x14ac:dyDescent="0.25">
      <c r="A515" t="s">
        <v>2100</v>
      </c>
      <c r="B515" t="s">
        <v>159</v>
      </c>
      <c r="C515" t="s">
        <v>1693</v>
      </c>
      <c r="D515" t="s">
        <v>1692</v>
      </c>
    </row>
    <row r="516" spans="1:4" x14ac:dyDescent="0.25">
      <c r="A516" t="s">
        <v>2099</v>
      </c>
      <c r="B516" t="s">
        <v>157</v>
      </c>
      <c r="C516" t="s">
        <v>2098</v>
      </c>
      <c r="D516" t="s">
        <v>2098</v>
      </c>
    </row>
    <row r="517" spans="1:4" x14ac:dyDescent="0.25">
      <c r="A517" t="s">
        <v>2097</v>
      </c>
      <c r="B517" t="s">
        <v>2096</v>
      </c>
      <c r="C517" t="s">
        <v>2062</v>
      </c>
      <c r="D517">
        <v>0</v>
      </c>
    </row>
    <row r="518" spans="1:4" x14ac:dyDescent="0.25">
      <c r="A518" t="s">
        <v>2095</v>
      </c>
      <c r="B518" t="s">
        <v>2094</v>
      </c>
      <c r="C518" t="s">
        <v>2059</v>
      </c>
      <c r="D518">
        <v>0</v>
      </c>
    </row>
    <row r="519" spans="1:4" x14ac:dyDescent="0.25">
      <c r="A519" t="s">
        <v>1870</v>
      </c>
      <c r="B519" t="s">
        <v>1869</v>
      </c>
      <c r="C519">
        <v>0</v>
      </c>
      <c r="D519">
        <v>0</v>
      </c>
    </row>
    <row r="520" spans="1:4" x14ac:dyDescent="0.25">
      <c r="A520" t="s">
        <v>2093</v>
      </c>
      <c r="B520" t="s">
        <v>155</v>
      </c>
      <c r="C520" t="s">
        <v>1711</v>
      </c>
      <c r="D520" t="s">
        <v>1710</v>
      </c>
    </row>
    <row r="521" spans="1:4" x14ac:dyDescent="0.25">
      <c r="A521" t="s">
        <v>2092</v>
      </c>
      <c r="B521" t="s">
        <v>153</v>
      </c>
      <c r="C521" t="s">
        <v>1711</v>
      </c>
      <c r="D521" t="s">
        <v>1710</v>
      </c>
    </row>
    <row r="522" spans="1:4" x14ac:dyDescent="0.25">
      <c r="A522" t="s">
        <v>2091</v>
      </c>
      <c r="B522" t="s">
        <v>2090</v>
      </c>
      <c r="C522" t="s">
        <v>2089</v>
      </c>
      <c r="D522">
        <v>0</v>
      </c>
    </row>
    <row r="523" spans="1:4" x14ac:dyDescent="0.25">
      <c r="A523" t="s">
        <v>2088</v>
      </c>
      <c r="B523" t="s">
        <v>149</v>
      </c>
      <c r="C523" t="s">
        <v>19</v>
      </c>
      <c r="D523" t="s">
        <v>19</v>
      </c>
    </row>
    <row r="524" spans="1:4" x14ac:dyDescent="0.25">
      <c r="A524" t="s">
        <v>5793</v>
      </c>
      <c r="B524" t="s">
        <v>5533</v>
      </c>
      <c r="C524" t="s">
        <v>19</v>
      </c>
      <c r="D524" t="s">
        <v>19</v>
      </c>
    </row>
    <row r="525" spans="1:4" x14ac:dyDescent="0.25">
      <c r="A525" t="s">
        <v>2087</v>
      </c>
      <c r="B525" t="s">
        <v>2086</v>
      </c>
      <c r="C525" t="s">
        <v>2085</v>
      </c>
      <c r="D525">
        <v>0</v>
      </c>
    </row>
    <row r="526" spans="1:4" x14ac:dyDescent="0.25">
      <c r="A526" t="s">
        <v>2084</v>
      </c>
      <c r="B526" t="s">
        <v>2083</v>
      </c>
      <c r="C526" t="s">
        <v>2082</v>
      </c>
      <c r="D526">
        <v>0</v>
      </c>
    </row>
    <row r="527" spans="1:4" x14ac:dyDescent="0.25">
      <c r="A527" t="s">
        <v>2081</v>
      </c>
      <c r="B527" t="s">
        <v>146</v>
      </c>
      <c r="C527" t="s">
        <v>1703</v>
      </c>
      <c r="D527" t="s">
        <v>1703</v>
      </c>
    </row>
    <row r="528" spans="1:4" x14ac:dyDescent="0.25">
      <c r="A528" t="s">
        <v>2080</v>
      </c>
      <c r="B528" t="s">
        <v>141</v>
      </c>
      <c r="C528" t="s">
        <v>1665</v>
      </c>
      <c r="D528" t="s">
        <v>1665</v>
      </c>
    </row>
    <row r="529" spans="1:4" x14ac:dyDescent="0.25">
      <c r="A529" t="s">
        <v>2079</v>
      </c>
      <c r="B529" t="s">
        <v>138</v>
      </c>
      <c r="C529" t="s">
        <v>1665</v>
      </c>
      <c r="D529" t="s">
        <v>1665</v>
      </c>
    </row>
    <row r="530" spans="1:4" x14ac:dyDescent="0.25">
      <c r="A530" t="s">
        <v>5795</v>
      </c>
      <c r="B530" t="s">
        <v>5538</v>
      </c>
      <c r="C530" t="s">
        <v>1665</v>
      </c>
      <c r="D530" t="s">
        <v>1665</v>
      </c>
    </row>
    <row r="531" spans="1:4" x14ac:dyDescent="0.25">
      <c r="A531" t="s">
        <v>2078</v>
      </c>
      <c r="B531" t="s">
        <v>135</v>
      </c>
      <c r="C531" t="s">
        <v>1664</v>
      </c>
      <c r="D531">
        <v>0</v>
      </c>
    </row>
    <row r="532" spans="1:4" x14ac:dyDescent="0.25">
      <c r="A532" t="s">
        <v>2077</v>
      </c>
      <c r="B532" t="s">
        <v>133</v>
      </c>
      <c r="C532" t="s">
        <v>1664</v>
      </c>
      <c r="D532">
        <v>0</v>
      </c>
    </row>
    <row r="533" spans="1:4" x14ac:dyDescent="0.25">
      <c r="A533" t="s">
        <v>3603</v>
      </c>
      <c r="B533" t="s">
        <v>3465</v>
      </c>
      <c r="C533" t="s">
        <v>386</v>
      </c>
      <c r="D533">
        <v>0</v>
      </c>
    </row>
    <row r="534" spans="1:4" x14ac:dyDescent="0.25">
      <c r="A534" t="s">
        <v>2076</v>
      </c>
      <c r="B534" t="s">
        <v>2075</v>
      </c>
      <c r="C534" t="s">
        <v>2074</v>
      </c>
      <c r="D534">
        <v>0</v>
      </c>
    </row>
    <row r="535" spans="1:4" x14ac:dyDescent="0.25">
      <c r="A535" t="s">
        <v>2073</v>
      </c>
      <c r="B535" t="s">
        <v>2072</v>
      </c>
      <c r="C535" t="s">
        <v>2071</v>
      </c>
      <c r="D535">
        <v>0</v>
      </c>
    </row>
    <row r="536" spans="1:4" x14ac:dyDescent="0.25">
      <c r="A536" t="s">
        <v>2070</v>
      </c>
      <c r="B536" t="s">
        <v>2069</v>
      </c>
      <c r="C536" t="s">
        <v>2068</v>
      </c>
      <c r="D536">
        <v>0</v>
      </c>
    </row>
    <row r="537" spans="1:4" x14ac:dyDescent="0.25">
      <c r="A537" t="s">
        <v>2067</v>
      </c>
      <c r="B537" t="s">
        <v>131</v>
      </c>
      <c r="C537" t="s">
        <v>2066</v>
      </c>
      <c r="D537">
        <v>0</v>
      </c>
    </row>
    <row r="538" spans="1:4" x14ac:dyDescent="0.25">
      <c r="A538" t="s">
        <v>2065</v>
      </c>
      <c r="B538" t="s">
        <v>129</v>
      </c>
      <c r="C538" t="s">
        <v>1693</v>
      </c>
      <c r="D538" t="s">
        <v>1692</v>
      </c>
    </row>
    <row r="539" spans="1:4" x14ac:dyDescent="0.25">
      <c r="A539" t="s">
        <v>2064</v>
      </c>
      <c r="B539" t="s">
        <v>2063</v>
      </c>
      <c r="C539" t="s">
        <v>2062</v>
      </c>
      <c r="D539">
        <v>0</v>
      </c>
    </row>
    <row r="540" spans="1:4" x14ac:dyDescent="0.25">
      <c r="A540" t="s">
        <v>2061</v>
      </c>
      <c r="B540" t="s">
        <v>2060</v>
      </c>
      <c r="C540" t="s">
        <v>2059</v>
      </c>
      <c r="D540">
        <v>0</v>
      </c>
    </row>
    <row r="541" spans="1:4" x14ac:dyDescent="0.25">
      <c r="A541" t="s">
        <v>2058</v>
      </c>
      <c r="B541" t="s">
        <v>2057</v>
      </c>
      <c r="C541" t="s">
        <v>1772</v>
      </c>
      <c r="D541">
        <v>0</v>
      </c>
    </row>
    <row r="542" spans="1:4" x14ac:dyDescent="0.25">
      <c r="A542" t="s">
        <v>2056</v>
      </c>
      <c r="B542" t="s">
        <v>2055</v>
      </c>
      <c r="C542" t="s">
        <v>2054</v>
      </c>
      <c r="D542">
        <v>0</v>
      </c>
    </row>
    <row r="543" spans="1:4" x14ac:dyDescent="0.25">
      <c r="A543" t="s">
        <v>2052</v>
      </c>
      <c r="B543" t="s">
        <v>2053</v>
      </c>
      <c r="C543" t="s">
        <v>2052</v>
      </c>
      <c r="D543">
        <v>0</v>
      </c>
    </row>
    <row r="544" spans="1:4" x14ac:dyDescent="0.25">
      <c r="A544" t="s">
        <v>1655</v>
      </c>
      <c r="B544" t="s">
        <v>1654</v>
      </c>
      <c r="C544">
        <v>0</v>
      </c>
      <c r="D544">
        <v>0</v>
      </c>
    </row>
    <row r="545" spans="1:4" x14ac:dyDescent="0.25">
      <c r="A545" t="s">
        <v>2051</v>
      </c>
      <c r="B545" t="s">
        <v>2050</v>
      </c>
      <c r="C545" t="s">
        <v>2049</v>
      </c>
      <c r="D545">
        <v>0</v>
      </c>
    </row>
  </sheetData>
  <autoFilter ref="A1:D545" xr:uid="{BD3E4C1A-0A49-43DA-8794-515244C97467}">
    <sortState xmlns:xlrd2="http://schemas.microsoft.com/office/spreadsheetml/2017/richdata2" ref="A207:D207">
      <sortCondition descending="1" ref="A1:A545"/>
    </sortState>
  </autoFilter>
  <sortState xmlns:xlrd2="http://schemas.microsoft.com/office/spreadsheetml/2017/richdata2" ref="A21:D545">
    <sortCondition ref="A21:A545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topLeftCell="A190" workbookViewId="0">
      <selection activeCell="C75" sqref="C75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6220</v>
      </c>
      <c r="C1" s="2" t="s">
        <v>6077</v>
      </c>
      <c r="D1" s="2" t="s">
        <v>6210</v>
      </c>
      <c r="E1" s="2" t="s">
        <v>6077</v>
      </c>
      <c r="F1" s="2" t="s">
        <v>6211</v>
      </c>
      <c r="G1" s="2" t="s">
        <v>6077</v>
      </c>
      <c r="H1" s="2" t="s">
        <v>6212</v>
      </c>
      <c r="I1" s="2" t="s">
        <v>6077</v>
      </c>
      <c r="J1" s="2" t="s">
        <v>6238</v>
      </c>
      <c r="K1" s="2" t="s">
        <v>6077</v>
      </c>
      <c r="L1" s="2" t="s">
        <v>6239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3873</v>
      </c>
      <c r="D2" s="10" t="s">
        <v>6078</v>
      </c>
      <c r="E2" t="str">
        <f>$C2</f>
        <v>aawhe</v>
      </c>
      <c r="F2" s="10" t="s">
        <v>1622</v>
      </c>
      <c r="G2" t="str">
        <f>$C2</f>
        <v>aawhe</v>
      </c>
      <c r="H2" t="s">
        <v>6213</v>
      </c>
      <c r="I2" t="str">
        <f>$C2</f>
        <v>aawhe</v>
      </c>
      <c r="J2" s="10" t="s">
        <v>6235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3874</v>
      </c>
      <c r="D3" s="10" t="s">
        <v>6079</v>
      </c>
      <c r="E3" t="str">
        <f t="shared" ref="E3:E66" si="2">$C3</f>
        <v>aamai</v>
      </c>
      <c r="F3" s="10" t="s">
        <v>1622</v>
      </c>
      <c r="G3" t="str">
        <f t="shared" ref="G3:G66" si="3">$C3</f>
        <v>aamai</v>
      </c>
      <c r="H3" t="s">
        <v>6213</v>
      </c>
      <c r="I3" t="str">
        <f t="shared" ref="I3:K66" si="4">$C3</f>
        <v>aamai</v>
      </c>
      <c r="J3" s="10" t="s">
        <v>6235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3875</v>
      </c>
      <c r="D4" s="10" t="s">
        <v>6118</v>
      </c>
      <c r="E4" t="str">
        <f t="shared" si="2"/>
        <v>aaoce</v>
      </c>
      <c r="F4" s="10" t="s">
        <v>1622</v>
      </c>
      <c r="G4" t="str">
        <f t="shared" si="3"/>
        <v>aaoce</v>
      </c>
      <c r="H4" t="s">
        <v>6213</v>
      </c>
      <c r="I4" t="str">
        <f t="shared" si="4"/>
        <v>aaoce</v>
      </c>
      <c r="J4" s="10" t="s">
        <v>6235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3876</v>
      </c>
      <c r="D5" s="10" t="s">
        <v>6080</v>
      </c>
      <c r="E5" t="str">
        <f t="shared" si="2"/>
        <v>aaveg</v>
      </c>
      <c r="F5" s="10" t="s">
        <v>1622</v>
      </c>
      <c r="G5" t="str">
        <f t="shared" si="3"/>
        <v>aaveg</v>
      </c>
      <c r="H5" t="s">
        <v>6213</v>
      </c>
      <c r="I5" t="str">
        <f t="shared" si="4"/>
        <v>aaveg</v>
      </c>
      <c r="J5" s="10" t="s">
        <v>6235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3877</v>
      </c>
      <c r="D6" s="10" t="s">
        <v>6119</v>
      </c>
      <c r="E6" t="str">
        <f t="shared" si="2"/>
        <v>aaofr</v>
      </c>
      <c r="F6" s="10" t="s">
        <v>1622</v>
      </c>
      <c r="G6" t="str">
        <f t="shared" si="3"/>
        <v>aaofr</v>
      </c>
      <c r="H6" t="s">
        <v>6213</v>
      </c>
      <c r="I6" t="str">
        <f t="shared" si="4"/>
        <v>aaofr</v>
      </c>
      <c r="J6" s="10" t="s">
        <v>6235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3878</v>
      </c>
      <c r="D7" s="10" t="s">
        <v>6083</v>
      </c>
      <c r="E7" t="str">
        <f t="shared" si="2"/>
        <v>aagra</v>
      </c>
      <c r="F7" s="10" t="s">
        <v>1622</v>
      </c>
      <c r="G7" t="str">
        <f t="shared" si="3"/>
        <v>aagra</v>
      </c>
      <c r="H7" t="s">
        <v>6213</v>
      </c>
      <c r="I7" t="str">
        <f t="shared" si="4"/>
        <v>aagra</v>
      </c>
      <c r="J7" s="10" t="s">
        <v>6235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3879</v>
      </c>
      <c r="D8" s="10" t="s">
        <v>6120</v>
      </c>
      <c r="E8" t="str">
        <f t="shared" si="2"/>
        <v>aaoil</v>
      </c>
      <c r="F8" s="10" t="s">
        <v>1622</v>
      </c>
      <c r="G8" t="str">
        <f t="shared" si="3"/>
        <v>aaoil</v>
      </c>
      <c r="H8" t="s">
        <v>6213</v>
      </c>
      <c r="I8" t="str">
        <f t="shared" si="4"/>
        <v>aaoil</v>
      </c>
      <c r="J8" s="10" t="s">
        <v>6235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3880</v>
      </c>
      <c r="D9" s="10" t="s">
        <v>6086</v>
      </c>
      <c r="E9" t="str">
        <f t="shared" si="2"/>
        <v>aatub</v>
      </c>
      <c r="F9" s="10" t="s">
        <v>1622</v>
      </c>
      <c r="G9" t="str">
        <f t="shared" si="3"/>
        <v>aatub</v>
      </c>
      <c r="H9" t="s">
        <v>6213</v>
      </c>
      <c r="I9" t="str">
        <f t="shared" si="4"/>
        <v>aatub</v>
      </c>
      <c r="J9" s="10" t="s">
        <v>6235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3881</v>
      </c>
      <c r="D10" s="10" t="s">
        <v>6089</v>
      </c>
      <c r="E10" t="str">
        <f t="shared" si="2"/>
        <v>aapul</v>
      </c>
      <c r="F10" s="10" t="s">
        <v>1622</v>
      </c>
      <c r="G10" t="str">
        <f t="shared" si="3"/>
        <v>aapul</v>
      </c>
      <c r="H10" t="s">
        <v>6213</v>
      </c>
      <c r="I10" t="str">
        <f t="shared" si="4"/>
        <v>aapul</v>
      </c>
      <c r="J10" s="10" t="s">
        <v>6235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3882</v>
      </c>
      <c r="D11" s="10" t="s">
        <v>6091</v>
      </c>
      <c r="E11" t="str">
        <f t="shared" si="2"/>
        <v>aasug</v>
      </c>
      <c r="F11" s="10" t="s">
        <v>1622</v>
      </c>
      <c r="G11" t="str">
        <f t="shared" si="3"/>
        <v>aasug</v>
      </c>
      <c r="H11" t="s">
        <v>6213</v>
      </c>
      <c r="I11" t="str">
        <f t="shared" si="4"/>
        <v>aasug</v>
      </c>
      <c r="J11" s="10" t="s">
        <v>6235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3883</v>
      </c>
      <c r="D12" s="10" t="s">
        <v>6121</v>
      </c>
      <c r="E12" t="str">
        <f t="shared" si="2"/>
        <v>aaoth</v>
      </c>
      <c r="F12" s="10" t="s">
        <v>1622</v>
      </c>
      <c r="G12" t="str">
        <f t="shared" si="3"/>
        <v>aaoth</v>
      </c>
      <c r="H12" t="s">
        <v>6213</v>
      </c>
      <c r="I12" t="str">
        <f t="shared" si="4"/>
        <v>aaoth</v>
      </c>
      <c r="J12" s="10" t="s">
        <v>6235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3884</v>
      </c>
      <c r="D13" s="10" t="s">
        <v>6122</v>
      </c>
      <c r="E13" t="str">
        <f t="shared" si="2"/>
        <v>alani</v>
      </c>
      <c r="F13" s="10" t="s">
        <v>1622</v>
      </c>
      <c r="G13" t="str">
        <f t="shared" si="3"/>
        <v>alani</v>
      </c>
      <c r="H13" t="s">
        <v>6214</v>
      </c>
      <c r="I13" t="str">
        <f t="shared" si="4"/>
        <v>alani</v>
      </c>
      <c r="J13" s="10" t="s">
        <v>6235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2912</v>
      </c>
      <c r="D14" s="10" t="s">
        <v>6092</v>
      </c>
      <c r="E14" t="str">
        <f t="shared" si="2"/>
        <v>afore</v>
      </c>
      <c r="F14" s="10" t="s">
        <v>1622</v>
      </c>
      <c r="G14" t="str">
        <f t="shared" si="3"/>
        <v>afore</v>
      </c>
      <c r="H14" t="s">
        <v>6214</v>
      </c>
      <c r="I14" t="str">
        <f t="shared" si="4"/>
        <v>afore</v>
      </c>
      <c r="J14" s="10" t="s">
        <v>6235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2914</v>
      </c>
      <c r="D15" s="10" t="s">
        <v>6093</v>
      </c>
      <c r="E15" t="str">
        <f t="shared" si="2"/>
        <v>afish</v>
      </c>
      <c r="F15" s="10" t="s">
        <v>1622</v>
      </c>
      <c r="G15" t="str">
        <f t="shared" si="3"/>
        <v>afish</v>
      </c>
      <c r="H15" t="s">
        <v>6214</v>
      </c>
      <c r="I15" t="str">
        <f t="shared" si="4"/>
        <v>afish</v>
      </c>
      <c r="J15" s="10" t="s">
        <v>6235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2916</v>
      </c>
      <c r="D16" s="10" t="s">
        <v>19</v>
      </c>
      <c r="E16" t="str">
        <f t="shared" si="2"/>
        <v>acoal</v>
      </c>
      <c r="F16" s="10" t="s">
        <v>6094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6235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2918</v>
      </c>
      <c r="D17" s="10" t="s">
        <v>6096</v>
      </c>
      <c r="E17" t="str">
        <f t="shared" si="2"/>
        <v>agold</v>
      </c>
      <c r="F17" s="10" t="s">
        <v>6094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6235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2923</v>
      </c>
      <c r="D18" s="10" t="s">
        <v>6123</v>
      </c>
      <c r="E18" t="str">
        <f t="shared" si="2"/>
        <v>angas</v>
      </c>
      <c r="F18" s="10" t="s">
        <v>6094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6235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3807</v>
      </c>
      <c r="D19" s="10" t="s">
        <v>6097</v>
      </c>
      <c r="E19" t="str">
        <f t="shared" si="2"/>
        <v>apgm</v>
      </c>
      <c r="F19" s="10" t="s">
        <v>6094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6235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2920</v>
      </c>
      <c r="D20" s="10" t="s">
        <v>6124</v>
      </c>
      <c r="E20" t="str">
        <f t="shared" si="2"/>
        <v>amore</v>
      </c>
      <c r="F20" s="10" t="s">
        <v>6094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6235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2926</v>
      </c>
      <c r="D21" s="10" t="s">
        <v>6125</v>
      </c>
      <c r="E21" t="str">
        <f t="shared" si="2"/>
        <v>amine</v>
      </c>
      <c r="F21" s="10" t="s">
        <v>6094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6235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3885</v>
      </c>
      <c r="D22" s="10" t="s">
        <v>6098</v>
      </c>
      <c r="E22" t="str">
        <f t="shared" si="2"/>
        <v>ameat</v>
      </c>
      <c r="F22" s="10" t="s">
        <v>6126</v>
      </c>
      <c r="G22" t="str">
        <f t="shared" si="3"/>
        <v>ameat</v>
      </c>
      <c r="H22" t="s">
        <v>6215</v>
      </c>
      <c r="I22" t="str">
        <f t="shared" si="4"/>
        <v>ameat</v>
      </c>
      <c r="J22" s="10" t="s">
        <v>6236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3886</v>
      </c>
      <c r="D23" s="10" t="s">
        <v>6099</v>
      </c>
      <c r="E23" t="str">
        <f t="shared" si="2"/>
        <v>apfis</v>
      </c>
      <c r="F23" s="10" t="s">
        <v>6126</v>
      </c>
      <c r="G23" t="str">
        <f t="shared" si="3"/>
        <v>apfis</v>
      </c>
      <c r="H23" t="s">
        <v>6215</v>
      </c>
      <c r="I23" t="str">
        <f t="shared" si="4"/>
        <v>apfis</v>
      </c>
      <c r="J23" s="10" t="s">
        <v>6236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3887</v>
      </c>
      <c r="D24" s="10" t="s">
        <v>6127</v>
      </c>
      <c r="E24" t="str">
        <f t="shared" si="2"/>
        <v>avege</v>
      </c>
      <c r="F24" s="10" t="s">
        <v>6126</v>
      </c>
      <c r="G24" t="str">
        <f t="shared" si="3"/>
        <v>avege</v>
      </c>
      <c r="H24" t="s">
        <v>6215</v>
      </c>
      <c r="I24" t="str">
        <f t="shared" si="4"/>
        <v>avege</v>
      </c>
      <c r="J24" s="10" t="s">
        <v>6236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3888</v>
      </c>
      <c r="D25" s="10" t="s">
        <v>6128</v>
      </c>
      <c r="E25" t="str">
        <f t="shared" si="2"/>
        <v>afats</v>
      </c>
      <c r="F25" s="10" t="s">
        <v>6126</v>
      </c>
      <c r="G25" t="str">
        <f t="shared" si="3"/>
        <v>afats</v>
      </c>
      <c r="H25" t="s">
        <v>6215</v>
      </c>
      <c r="I25" t="str">
        <f t="shared" si="4"/>
        <v>afats</v>
      </c>
      <c r="J25" s="10" t="s">
        <v>6236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3889</v>
      </c>
      <c r="D26" s="10" t="s">
        <v>6100</v>
      </c>
      <c r="E26" t="str">
        <f t="shared" si="2"/>
        <v>adair</v>
      </c>
      <c r="F26" s="10" t="s">
        <v>6126</v>
      </c>
      <c r="G26" t="str">
        <f t="shared" si="3"/>
        <v>adair</v>
      </c>
      <c r="H26" t="s">
        <v>6215</v>
      </c>
      <c r="I26" t="str">
        <f t="shared" si="4"/>
        <v>adair</v>
      </c>
      <c r="J26" s="10" t="s">
        <v>6236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3890</v>
      </c>
      <c r="D27" s="10" t="s">
        <v>6101</v>
      </c>
      <c r="E27" t="str">
        <f t="shared" si="2"/>
        <v>agrai</v>
      </c>
      <c r="F27" s="10" t="s">
        <v>6126</v>
      </c>
      <c r="G27" t="str">
        <f t="shared" si="3"/>
        <v>agrai</v>
      </c>
      <c r="H27" t="s">
        <v>6215</v>
      </c>
      <c r="I27" t="str">
        <f t="shared" si="4"/>
        <v>agrai</v>
      </c>
      <c r="J27" s="10" t="s">
        <v>6236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3891</v>
      </c>
      <c r="D28" s="10" t="s">
        <v>6102</v>
      </c>
      <c r="E28" t="str">
        <f t="shared" si="2"/>
        <v>astar</v>
      </c>
      <c r="F28" s="10" t="s">
        <v>6126</v>
      </c>
      <c r="G28" t="str">
        <f t="shared" si="3"/>
        <v>astar</v>
      </c>
      <c r="H28" t="s">
        <v>6215</v>
      </c>
      <c r="I28" t="str">
        <f t="shared" si="4"/>
        <v>astar</v>
      </c>
      <c r="J28" s="10" t="s">
        <v>6236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3892</v>
      </c>
      <c r="D29" s="10" t="s">
        <v>6129</v>
      </c>
      <c r="E29" t="str">
        <f t="shared" si="2"/>
        <v>afeed</v>
      </c>
      <c r="F29" s="10" t="s">
        <v>6126</v>
      </c>
      <c r="G29" t="str">
        <f t="shared" si="3"/>
        <v>afeed</v>
      </c>
      <c r="H29" t="s">
        <v>6215</v>
      </c>
      <c r="I29" t="str">
        <f t="shared" si="4"/>
        <v>afeed</v>
      </c>
      <c r="J29" s="10" t="s">
        <v>6236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3893</v>
      </c>
      <c r="D30" s="10" t="s">
        <v>6130</v>
      </c>
      <c r="E30" t="str">
        <f t="shared" si="2"/>
        <v>abake</v>
      </c>
      <c r="F30" s="10" t="s">
        <v>6126</v>
      </c>
      <c r="G30" t="str">
        <f t="shared" si="3"/>
        <v>abake</v>
      </c>
      <c r="H30" t="s">
        <v>6215</v>
      </c>
      <c r="I30" t="str">
        <f t="shared" si="4"/>
        <v>abake</v>
      </c>
      <c r="J30" s="10" t="s">
        <v>6236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3894</v>
      </c>
      <c r="D31" s="10" t="s">
        <v>6091</v>
      </c>
      <c r="E31" t="str">
        <f t="shared" si="2"/>
        <v>asuga</v>
      </c>
      <c r="F31" s="10" t="s">
        <v>6126</v>
      </c>
      <c r="G31" t="str">
        <f t="shared" si="3"/>
        <v>asuga</v>
      </c>
      <c r="H31" t="s">
        <v>6215</v>
      </c>
      <c r="I31" t="str">
        <f t="shared" si="4"/>
        <v>asuga</v>
      </c>
      <c r="J31" s="10" t="s">
        <v>6236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3895</v>
      </c>
      <c r="D32" s="10" t="s">
        <v>6103</v>
      </c>
      <c r="E32" t="str">
        <f t="shared" si="2"/>
        <v>aconf</v>
      </c>
      <c r="F32" s="10" t="s">
        <v>6126</v>
      </c>
      <c r="G32" t="str">
        <f t="shared" si="3"/>
        <v>aconf</v>
      </c>
      <c r="H32" t="s">
        <v>6215</v>
      </c>
      <c r="I32" t="str">
        <f t="shared" si="4"/>
        <v>aconf</v>
      </c>
      <c r="J32" s="10" t="s">
        <v>6236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3896</v>
      </c>
      <c r="D33" s="10" t="s">
        <v>6104</v>
      </c>
      <c r="E33" t="str">
        <f t="shared" si="2"/>
        <v>apast</v>
      </c>
      <c r="F33" s="10" t="s">
        <v>6126</v>
      </c>
      <c r="G33" t="str">
        <f t="shared" si="3"/>
        <v>apast</v>
      </c>
      <c r="H33" t="s">
        <v>6215</v>
      </c>
      <c r="I33" t="str">
        <f t="shared" si="4"/>
        <v>apast</v>
      </c>
      <c r="J33" s="10" t="s">
        <v>6236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3897</v>
      </c>
      <c r="D34" s="10" t="s">
        <v>6131</v>
      </c>
      <c r="E34" t="str">
        <f t="shared" si="2"/>
        <v>aofoo</v>
      </c>
      <c r="F34" s="10" t="s">
        <v>6126</v>
      </c>
      <c r="G34" t="str">
        <f t="shared" si="3"/>
        <v>aofoo</v>
      </c>
      <c r="H34" t="s">
        <v>6215</v>
      </c>
      <c r="I34" t="str">
        <f t="shared" si="4"/>
        <v>aofoo</v>
      </c>
      <c r="J34" s="10" t="s">
        <v>6236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2927</v>
      </c>
      <c r="D35" s="10" t="s">
        <v>6105</v>
      </c>
      <c r="E35" t="str">
        <f t="shared" si="2"/>
        <v>abevt</v>
      </c>
      <c r="F35" s="10" t="s">
        <v>6126</v>
      </c>
      <c r="G35" t="str">
        <f t="shared" si="3"/>
        <v>abevt</v>
      </c>
      <c r="H35" t="s">
        <v>6215</v>
      </c>
      <c r="I35" t="str">
        <f t="shared" si="4"/>
        <v>abevt</v>
      </c>
      <c r="J35" s="10" t="s">
        <v>6236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2928</v>
      </c>
      <c r="D36" s="10" t="s">
        <v>3343</v>
      </c>
      <c r="E36" t="str">
        <f t="shared" si="2"/>
        <v>atext</v>
      </c>
      <c r="F36" s="10" t="s">
        <v>3363</v>
      </c>
      <c r="G36" t="str">
        <f t="shared" si="3"/>
        <v>atext</v>
      </c>
      <c r="H36" t="s">
        <v>6216</v>
      </c>
      <c r="I36" t="str">
        <f t="shared" si="4"/>
        <v>atext</v>
      </c>
      <c r="J36" s="10" t="s">
        <v>6236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2929</v>
      </c>
      <c r="D37" s="10" t="s">
        <v>6106</v>
      </c>
      <c r="E37" t="str">
        <f t="shared" si="2"/>
        <v>aclth</v>
      </c>
      <c r="F37" s="10" t="s">
        <v>3363</v>
      </c>
      <c r="G37" t="str">
        <f t="shared" si="3"/>
        <v>aclth</v>
      </c>
      <c r="H37" t="s">
        <v>6216</v>
      </c>
      <c r="I37" t="str">
        <f t="shared" si="4"/>
        <v>aclth</v>
      </c>
      <c r="J37" s="10" t="s">
        <v>6236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2930</v>
      </c>
      <c r="D38" s="10" t="s">
        <v>6132</v>
      </c>
      <c r="E38" t="str">
        <f t="shared" si="2"/>
        <v>aleat</v>
      </c>
      <c r="F38" s="10" t="s">
        <v>3363</v>
      </c>
      <c r="G38" t="str">
        <f t="shared" si="3"/>
        <v>aleat</v>
      </c>
      <c r="H38" t="s">
        <v>6216</v>
      </c>
      <c r="I38" t="str">
        <f t="shared" si="4"/>
        <v>aleat</v>
      </c>
      <c r="J38" s="10" t="s">
        <v>6236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2931</v>
      </c>
      <c r="D39" s="10" t="s">
        <v>6107</v>
      </c>
      <c r="E39" t="str">
        <f t="shared" si="2"/>
        <v>afoot</v>
      </c>
      <c r="F39" s="10" t="s">
        <v>3363</v>
      </c>
      <c r="G39" t="str">
        <f t="shared" si="3"/>
        <v>afoot</v>
      </c>
      <c r="H39" t="s">
        <v>6216</v>
      </c>
      <c r="I39" t="str">
        <f t="shared" si="4"/>
        <v>afoot</v>
      </c>
      <c r="J39" s="10" t="s">
        <v>6236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2932</v>
      </c>
      <c r="D40" s="10" t="s">
        <v>6133</v>
      </c>
      <c r="E40" t="str">
        <f t="shared" si="2"/>
        <v>awood</v>
      </c>
      <c r="F40" s="10" t="s">
        <v>3363</v>
      </c>
      <c r="G40" t="str">
        <f t="shared" si="3"/>
        <v>awood</v>
      </c>
      <c r="H40" t="s">
        <v>6217</v>
      </c>
      <c r="I40" t="str">
        <f t="shared" si="4"/>
        <v>awood</v>
      </c>
      <c r="J40" s="10" t="s">
        <v>6236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2933</v>
      </c>
      <c r="D41" s="10" t="s">
        <v>6108</v>
      </c>
      <c r="E41" t="str">
        <f t="shared" si="2"/>
        <v>apapr</v>
      </c>
      <c r="F41" s="10" t="s">
        <v>3363</v>
      </c>
      <c r="G41" t="str">
        <f t="shared" si="3"/>
        <v>apapr</v>
      </c>
      <c r="H41" t="s">
        <v>6217</v>
      </c>
      <c r="I41" t="str">
        <f t="shared" si="4"/>
        <v>apapr</v>
      </c>
      <c r="J41" s="10" t="s">
        <v>6236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2934</v>
      </c>
      <c r="D42" s="10" t="s">
        <v>6134</v>
      </c>
      <c r="E42" t="str">
        <f t="shared" si="2"/>
        <v>aprnt</v>
      </c>
      <c r="F42" s="10" t="s">
        <v>3363</v>
      </c>
      <c r="G42" t="str">
        <f t="shared" si="3"/>
        <v>aprnt</v>
      </c>
      <c r="H42" t="s">
        <v>6217</v>
      </c>
      <c r="I42" t="str">
        <f t="shared" si="4"/>
        <v>aprnt</v>
      </c>
      <c r="J42" s="10" t="s">
        <v>6236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2935</v>
      </c>
      <c r="D43" s="10" t="s">
        <v>6109</v>
      </c>
      <c r="E43" t="str">
        <f t="shared" si="2"/>
        <v>apetr</v>
      </c>
      <c r="F43" s="10" t="s">
        <v>3363</v>
      </c>
      <c r="G43" t="str">
        <f t="shared" si="3"/>
        <v>apetr</v>
      </c>
      <c r="H43" t="s">
        <v>6218</v>
      </c>
      <c r="I43" t="str">
        <f t="shared" si="4"/>
        <v>apetr</v>
      </c>
      <c r="J43" s="10" t="s">
        <v>6236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2925</v>
      </c>
      <c r="D44" s="10" t="s">
        <v>386</v>
      </c>
      <c r="E44" t="str">
        <f t="shared" si="2"/>
        <v>ahydr</v>
      </c>
      <c r="F44" s="10" t="s">
        <v>3363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6236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3808</v>
      </c>
      <c r="D45" s="10" t="s">
        <v>3589</v>
      </c>
      <c r="E45" t="str">
        <f t="shared" si="2"/>
        <v>aammo</v>
      </c>
      <c r="F45" s="10" t="s">
        <v>3363</v>
      </c>
      <c r="G45" t="str">
        <f t="shared" si="3"/>
        <v>aammo</v>
      </c>
      <c r="H45" t="s">
        <v>6219</v>
      </c>
      <c r="I45" t="str">
        <f t="shared" si="4"/>
        <v>aammo</v>
      </c>
      <c r="J45" s="10" t="s">
        <v>6236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2936</v>
      </c>
      <c r="D46" s="10" t="s">
        <v>6135</v>
      </c>
      <c r="E46" t="str">
        <f t="shared" si="2"/>
        <v>abchm</v>
      </c>
      <c r="F46" s="10" t="s">
        <v>3363</v>
      </c>
      <c r="G46" t="str">
        <f t="shared" si="3"/>
        <v>abchm</v>
      </c>
      <c r="H46" t="s">
        <v>6219</v>
      </c>
      <c r="I46" t="str">
        <f t="shared" si="4"/>
        <v>abchm</v>
      </c>
      <c r="J46" s="10" t="s">
        <v>6236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2937</v>
      </c>
      <c r="D47" s="10" t="s">
        <v>6136</v>
      </c>
      <c r="E47" t="str">
        <f t="shared" si="2"/>
        <v>aochm</v>
      </c>
      <c r="F47" s="10" t="s">
        <v>3363</v>
      </c>
      <c r="G47" t="str">
        <f t="shared" si="3"/>
        <v>aochm</v>
      </c>
      <c r="H47" t="s">
        <v>6219</v>
      </c>
      <c r="I47" t="str">
        <f t="shared" si="4"/>
        <v>aochm</v>
      </c>
      <c r="J47" s="10" t="s">
        <v>6236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2938</v>
      </c>
      <c r="D48" s="10" t="s">
        <v>6137</v>
      </c>
      <c r="E48" t="str">
        <f t="shared" si="2"/>
        <v>arubb</v>
      </c>
      <c r="F48" s="10" t="s">
        <v>3363</v>
      </c>
      <c r="G48" t="str">
        <f t="shared" si="3"/>
        <v>arubb</v>
      </c>
      <c r="H48" t="s">
        <v>6219</v>
      </c>
      <c r="I48" t="str">
        <f t="shared" si="4"/>
        <v>arubb</v>
      </c>
      <c r="J48" s="10" t="s">
        <v>6236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2939</v>
      </c>
      <c r="D49" s="10" t="s">
        <v>6138</v>
      </c>
      <c r="E49" t="str">
        <f t="shared" si="2"/>
        <v>aplas</v>
      </c>
      <c r="F49" s="10" t="s">
        <v>3363</v>
      </c>
      <c r="G49" t="str">
        <f t="shared" si="3"/>
        <v>aplas</v>
      </c>
      <c r="H49" t="s">
        <v>6219</v>
      </c>
      <c r="I49" t="str">
        <f t="shared" si="4"/>
        <v>aplas</v>
      </c>
      <c r="J49" s="10" t="s">
        <v>6236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5994</v>
      </c>
      <c r="D50" s="10" t="s">
        <v>6198</v>
      </c>
      <c r="E50" t="str">
        <f t="shared" si="2"/>
        <v>aconc</v>
      </c>
      <c r="F50" s="10" t="s">
        <v>3363</v>
      </c>
      <c r="G50" t="str">
        <f t="shared" si="3"/>
        <v>aconc</v>
      </c>
      <c r="H50" t="s">
        <v>6219</v>
      </c>
      <c r="I50" t="str">
        <f t="shared" si="4"/>
        <v>aconc</v>
      </c>
      <c r="J50" s="10" t="s">
        <v>6236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5995</v>
      </c>
      <c r="D51" s="10" t="s">
        <v>1078</v>
      </c>
      <c r="E51" t="str">
        <f t="shared" si="2"/>
        <v>acmnt</v>
      </c>
      <c r="F51" s="10" t="s">
        <v>3363</v>
      </c>
      <c r="G51" t="str">
        <f t="shared" si="3"/>
        <v>acmnt</v>
      </c>
      <c r="H51" t="s">
        <v>6219</v>
      </c>
      <c r="I51" t="str">
        <f t="shared" si="4"/>
        <v>acmnt</v>
      </c>
      <c r="J51" s="10" t="s">
        <v>6236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2941</v>
      </c>
      <c r="D52" s="10" t="s">
        <v>6115</v>
      </c>
      <c r="E52" t="str">
        <f t="shared" si="2"/>
        <v>anmet</v>
      </c>
      <c r="F52" s="10" t="s">
        <v>3363</v>
      </c>
      <c r="G52" t="str">
        <f t="shared" si="3"/>
        <v>anmet</v>
      </c>
      <c r="H52" t="s">
        <v>6219</v>
      </c>
      <c r="I52" t="str">
        <f t="shared" si="4"/>
        <v>anmet</v>
      </c>
      <c r="J52" s="10" t="s">
        <v>6236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2942</v>
      </c>
      <c r="D53" s="10" t="s">
        <v>6139</v>
      </c>
      <c r="E53" t="str">
        <f t="shared" si="2"/>
        <v>airon</v>
      </c>
      <c r="F53" s="10" t="s">
        <v>3363</v>
      </c>
      <c r="G53" t="str">
        <f t="shared" si="3"/>
        <v>airon</v>
      </c>
      <c r="H53" t="s">
        <v>6219</v>
      </c>
      <c r="I53" t="str">
        <f t="shared" si="4"/>
        <v>airon</v>
      </c>
      <c r="J53" s="10" t="s">
        <v>6236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2943</v>
      </c>
      <c r="D54" s="10" t="s">
        <v>6140</v>
      </c>
      <c r="E54" t="str">
        <f t="shared" si="2"/>
        <v>anfrm</v>
      </c>
      <c r="F54" s="10" t="s">
        <v>3363</v>
      </c>
      <c r="G54" t="str">
        <f t="shared" si="3"/>
        <v>anfrm</v>
      </c>
      <c r="H54" t="s">
        <v>6219</v>
      </c>
      <c r="I54" t="str">
        <f t="shared" si="4"/>
        <v>anfrm</v>
      </c>
      <c r="J54" s="10" t="s">
        <v>6236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2944</v>
      </c>
      <c r="D55" s="10" t="s">
        <v>6141</v>
      </c>
      <c r="E55" t="str">
        <f t="shared" si="2"/>
        <v>ametp</v>
      </c>
      <c r="F55" s="10" t="s">
        <v>3363</v>
      </c>
      <c r="G55" t="str">
        <f t="shared" si="3"/>
        <v>ametp</v>
      </c>
      <c r="H55" t="s">
        <v>6219</v>
      </c>
      <c r="I55" t="str">
        <f t="shared" si="4"/>
        <v>ametp</v>
      </c>
      <c r="J55" s="10" t="s">
        <v>6236</v>
      </c>
      <c r="K55" t="str">
        <f t="shared" si="4"/>
        <v>ametp</v>
      </c>
      <c r="L55" s="10" t="s">
        <v>6141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2945</v>
      </c>
      <c r="D56" s="10" t="s">
        <v>3353</v>
      </c>
      <c r="E56" t="str">
        <f t="shared" si="2"/>
        <v>amach</v>
      </c>
      <c r="F56" s="10" t="s">
        <v>3363</v>
      </c>
      <c r="G56" t="str">
        <f t="shared" si="3"/>
        <v>amach</v>
      </c>
      <c r="H56" t="s">
        <v>6219</v>
      </c>
      <c r="I56" t="str">
        <f t="shared" si="4"/>
        <v>amach</v>
      </c>
      <c r="J56" s="10" t="s">
        <v>6236</v>
      </c>
      <c r="K56" t="str">
        <f t="shared" si="4"/>
        <v>amach</v>
      </c>
      <c r="L56" s="10" t="s">
        <v>3353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5996</v>
      </c>
      <c r="D57" s="10" t="s">
        <v>6200</v>
      </c>
      <c r="E57" t="str">
        <f t="shared" si="2"/>
        <v>amach_e</v>
      </c>
      <c r="F57" s="10" t="s">
        <v>3363</v>
      </c>
      <c r="G57" t="str">
        <f t="shared" si="3"/>
        <v>amach_e</v>
      </c>
      <c r="H57" t="s">
        <v>6219</v>
      </c>
      <c r="I57" t="str">
        <f t="shared" si="4"/>
        <v>amach_e</v>
      </c>
      <c r="J57" s="10" t="s">
        <v>6236</v>
      </c>
      <c r="K57" t="str">
        <f t="shared" si="4"/>
        <v>amach_e</v>
      </c>
      <c r="L57" s="10" t="s">
        <v>3353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3849</v>
      </c>
      <c r="D58" s="10" t="s">
        <v>3850</v>
      </c>
      <c r="E58" t="str">
        <f t="shared" si="2"/>
        <v>afcel</v>
      </c>
      <c r="F58" s="10" t="s">
        <v>3363</v>
      </c>
      <c r="G58" t="str">
        <f t="shared" si="3"/>
        <v>afcel</v>
      </c>
      <c r="H58" t="s">
        <v>6219</v>
      </c>
      <c r="I58" t="str">
        <f t="shared" si="4"/>
        <v>afcel</v>
      </c>
      <c r="J58" s="10" t="s">
        <v>6236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3864</v>
      </c>
      <c r="D59" s="10" t="s">
        <v>3851</v>
      </c>
      <c r="E59" t="str">
        <f t="shared" si="2"/>
        <v>aelct</v>
      </c>
      <c r="F59" s="10" t="s">
        <v>3363</v>
      </c>
      <c r="G59" t="str">
        <f t="shared" si="3"/>
        <v>aelct</v>
      </c>
      <c r="H59" t="s">
        <v>6219</v>
      </c>
      <c r="I59" t="str">
        <f t="shared" si="4"/>
        <v>aelct</v>
      </c>
      <c r="J59" s="10" t="s">
        <v>6236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2946</v>
      </c>
      <c r="D60" s="10" t="s">
        <v>6142</v>
      </c>
      <c r="E60" t="str">
        <f t="shared" si="2"/>
        <v>aemch</v>
      </c>
      <c r="F60" s="10" t="s">
        <v>3363</v>
      </c>
      <c r="G60" t="str">
        <f t="shared" si="3"/>
        <v>aemch</v>
      </c>
      <c r="H60" t="s">
        <v>6219</v>
      </c>
      <c r="I60" t="str">
        <f t="shared" si="4"/>
        <v>aemch</v>
      </c>
      <c r="J60" s="10" t="s">
        <v>6236</v>
      </c>
      <c r="K60" t="str">
        <f t="shared" si="4"/>
        <v>aemch</v>
      </c>
      <c r="L60" s="10" t="s">
        <v>6142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5997</v>
      </c>
      <c r="D61" s="10" t="s">
        <v>6199</v>
      </c>
      <c r="E61" t="str">
        <f t="shared" si="2"/>
        <v>aemch_e</v>
      </c>
      <c r="F61" s="10" t="s">
        <v>3363</v>
      </c>
      <c r="G61" t="str">
        <f t="shared" si="3"/>
        <v>aemch_e</v>
      </c>
      <c r="H61" t="s">
        <v>6219</v>
      </c>
      <c r="I61" t="str">
        <f t="shared" si="4"/>
        <v>aemch_e</v>
      </c>
      <c r="J61" s="10" t="s">
        <v>6236</v>
      </c>
      <c r="K61" t="str">
        <f t="shared" si="4"/>
        <v>aemch_e</v>
      </c>
      <c r="L61" s="10" t="s">
        <v>6142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2947</v>
      </c>
      <c r="D62" s="10" t="s">
        <v>6143</v>
      </c>
      <c r="E62" t="str">
        <f t="shared" si="2"/>
        <v>asequ</v>
      </c>
      <c r="F62" s="10" t="s">
        <v>3363</v>
      </c>
      <c r="G62" t="str">
        <f t="shared" si="3"/>
        <v>asequ</v>
      </c>
      <c r="H62" t="s">
        <v>6219</v>
      </c>
      <c r="I62" t="str">
        <f t="shared" si="4"/>
        <v>asequ</v>
      </c>
      <c r="J62" s="10" t="s">
        <v>6236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2948</v>
      </c>
      <c r="D63" s="10" t="s">
        <v>3355</v>
      </c>
      <c r="E63" t="str">
        <f t="shared" si="2"/>
        <v>avehi</v>
      </c>
      <c r="F63" s="10" t="s">
        <v>3363</v>
      </c>
      <c r="G63" t="str">
        <f t="shared" si="3"/>
        <v>avehi</v>
      </c>
      <c r="H63" t="s">
        <v>3355</v>
      </c>
      <c r="I63" t="str">
        <f t="shared" si="4"/>
        <v>avehi</v>
      </c>
      <c r="J63" s="10" t="s">
        <v>6236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2949</v>
      </c>
      <c r="D64" s="10" t="s">
        <v>6144</v>
      </c>
      <c r="E64" t="str">
        <f t="shared" si="2"/>
        <v>atequ</v>
      </c>
      <c r="F64" s="10" t="s">
        <v>3363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6236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2950</v>
      </c>
      <c r="D65" s="10" t="s">
        <v>6110</v>
      </c>
      <c r="E65" t="str">
        <f t="shared" si="2"/>
        <v>afurn</v>
      </c>
      <c r="F65" s="10" t="s">
        <v>3363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6236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2951</v>
      </c>
      <c r="D66" s="10" t="s">
        <v>3363</v>
      </c>
      <c r="E66" t="str">
        <f t="shared" si="2"/>
        <v>aoman</v>
      </c>
      <c r="F66" s="10" t="s">
        <v>3363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6236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2952</v>
      </c>
      <c r="D67" s="10" t="s">
        <v>1703</v>
      </c>
      <c r="E67" t="str">
        <f t="shared" ref="E67:E130" si="8">$C67</f>
        <v>aelec</v>
      </c>
      <c r="F67" s="10" t="s">
        <v>6111</v>
      </c>
      <c r="G67" t="str">
        <f t="shared" ref="G67:G130" si="9">$C67</f>
        <v>aelec</v>
      </c>
      <c r="H67" t="s">
        <v>1703</v>
      </c>
      <c r="I67" t="str">
        <f t="shared" ref="I67:K130" si="10">$C67</f>
        <v>aelec</v>
      </c>
      <c r="J67" s="10" t="s">
        <v>6236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2953</v>
      </c>
      <c r="D68" s="10" t="s">
        <v>6145</v>
      </c>
      <c r="E68" t="str">
        <f t="shared" si="8"/>
        <v>awatr</v>
      </c>
      <c r="F68" s="10" t="s">
        <v>6111</v>
      </c>
      <c r="G68" t="str">
        <f t="shared" si="9"/>
        <v>awatr</v>
      </c>
      <c r="H68" t="s">
        <v>2054</v>
      </c>
      <c r="I68" t="str">
        <f t="shared" si="10"/>
        <v>awatr</v>
      </c>
      <c r="J68" s="10" t="s">
        <v>6236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2954</v>
      </c>
      <c r="D69" s="10" t="s">
        <v>5918</v>
      </c>
      <c r="E69" t="str">
        <f t="shared" si="8"/>
        <v>acons</v>
      </c>
      <c r="F69" s="10" t="s">
        <v>5918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6236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5998</v>
      </c>
      <c r="D70" s="10" t="s">
        <v>6201</v>
      </c>
      <c r="E70" t="str">
        <f t="shared" si="8"/>
        <v>acons_e</v>
      </c>
      <c r="F70" s="10" t="s">
        <v>5918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6236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2955</v>
      </c>
      <c r="D71" s="10" t="s">
        <v>6146</v>
      </c>
      <c r="E71" t="str">
        <f t="shared" si="8"/>
        <v>atrad</v>
      </c>
      <c r="F71" s="10" t="s">
        <v>6112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6237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2956</v>
      </c>
      <c r="D72" s="10" t="s">
        <v>6147</v>
      </c>
      <c r="E72" t="str">
        <f t="shared" si="8"/>
        <v>ahotl</v>
      </c>
      <c r="F72" s="10" t="s">
        <v>6112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6237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2958</v>
      </c>
      <c r="D73" s="10" t="s">
        <v>6148</v>
      </c>
      <c r="E73" t="str">
        <f t="shared" si="8"/>
        <v>altrp-p</v>
      </c>
      <c r="F73" s="10" t="s">
        <v>6112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6237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2959</v>
      </c>
      <c r="D74" s="10" t="s">
        <v>6149</v>
      </c>
      <c r="E74" t="str">
        <f t="shared" si="8"/>
        <v>altrp-f</v>
      </c>
      <c r="F74" s="10" t="s">
        <v>6112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6237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5999</v>
      </c>
      <c r="D75" s="10" t="s">
        <v>6150</v>
      </c>
      <c r="E75" t="str">
        <f t="shared" si="8"/>
        <v>aotrp-p</v>
      </c>
      <c r="F75" s="10" t="s">
        <v>6112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6237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3898</v>
      </c>
      <c r="D76" s="10" t="s">
        <v>6151</v>
      </c>
      <c r="E76" t="str">
        <f t="shared" si="8"/>
        <v>aotrp-f</v>
      </c>
      <c r="F76" s="10" t="s">
        <v>6112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6237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6000</v>
      </c>
      <c r="D77" s="10" t="s">
        <v>6152</v>
      </c>
      <c r="E77" t="str">
        <f t="shared" si="8"/>
        <v>aprtr</v>
      </c>
      <c r="F77" s="10" t="s">
        <v>6112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6237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2957</v>
      </c>
      <c r="D78" s="10" t="s">
        <v>6153</v>
      </c>
      <c r="E78" t="str">
        <f t="shared" si="8"/>
        <v>atrps</v>
      </c>
      <c r="F78" s="10" t="s">
        <v>6112</v>
      </c>
      <c r="G78" t="str">
        <f t="shared" si="9"/>
        <v>atrps</v>
      </c>
      <c r="H78" t="s">
        <v>6153</v>
      </c>
      <c r="I78" t="str">
        <f t="shared" si="10"/>
        <v>atrps</v>
      </c>
      <c r="J78" s="10" t="s">
        <v>6237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2960</v>
      </c>
      <c r="D79" s="10" t="s">
        <v>6113</v>
      </c>
      <c r="E79" t="str">
        <f t="shared" si="8"/>
        <v>acomm</v>
      </c>
      <c r="F79" s="10" t="s">
        <v>6112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6237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2961</v>
      </c>
      <c r="D80" s="10" t="s">
        <v>6154</v>
      </c>
      <c r="E80" t="str">
        <f t="shared" si="8"/>
        <v>afsrv</v>
      </c>
      <c r="F80" s="10" t="s">
        <v>6112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6237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2962</v>
      </c>
      <c r="D81" s="10" t="s">
        <v>6155</v>
      </c>
      <c r="E81" t="str">
        <f t="shared" si="8"/>
        <v>absrv</v>
      </c>
      <c r="F81" s="10" t="s">
        <v>6112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6237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2963</v>
      </c>
      <c r="D82" s="10" t="s">
        <v>6156</v>
      </c>
      <c r="E82" t="str">
        <f t="shared" si="8"/>
        <v>agsrv</v>
      </c>
      <c r="F82" s="10" t="s">
        <v>6112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6237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2964</v>
      </c>
      <c r="D83" s="10" t="s">
        <v>6157</v>
      </c>
      <c r="E83" t="str">
        <f t="shared" si="8"/>
        <v>aosrv</v>
      </c>
      <c r="F83" s="10" t="s">
        <v>6112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6237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6001</v>
      </c>
      <c r="D84" s="10" t="s">
        <v>6078</v>
      </c>
      <c r="E84" t="str">
        <f t="shared" si="8"/>
        <v>cawhe</v>
      </c>
      <c r="F84" s="10" t="s">
        <v>1622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6002</v>
      </c>
      <c r="D85" s="10" t="s">
        <v>6079</v>
      </c>
      <c r="E85" t="str">
        <f t="shared" si="8"/>
        <v>camai</v>
      </c>
      <c r="F85" s="10" t="s">
        <v>1622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6003</v>
      </c>
      <c r="D86" s="10" t="s">
        <v>6118</v>
      </c>
      <c r="E86" t="str">
        <f t="shared" si="8"/>
        <v>caoce</v>
      </c>
      <c r="F86" s="10" t="s">
        <v>1622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6004</v>
      </c>
      <c r="D87" s="10" t="s">
        <v>6080</v>
      </c>
      <c r="E87" t="str">
        <f t="shared" si="8"/>
        <v>caveg</v>
      </c>
      <c r="F87" s="10" t="s">
        <v>1622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6005</v>
      </c>
      <c r="D88" s="10" t="s">
        <v>6119</v>
      </c>
      <c r="E88" t="str">
        <f t="shared" si="8"/>
        <v>caofr</v>
      </c>
      <c r="F88" s="10" t="s">
        <v>1622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6006</v>
      </c>
      <c r="D89" s="10" t="s">
        <v>6083</v>
      </c>
      <c r="E89" t="str">
        <f t="shared" si="8"/>
        <v>cagra</v>
      </c>
      <c r="F89" s="10" t="s">
        <v>1622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6007</v>
      </c>
      <c r="D90" s="10" t="s">
        <v>6120</v>
      </c>
      <c r="E90" t="str">
        <f t="shared" si="8"/>
        <v>caoil</v>
      </c>
      <c r="F90" s="10" t="s">
        <v>1622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6008</v>
      </c>
      <c r="D91" s="10" t="s">
        <v>6086</v>
      </c>
      <c r="E91" t="str">
        <f t="shared" si="8"/>
        <v>catub</v>
      </c>
      <c r="F91" s="10" t="s">
        <v>1622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6009</v>
      </c>
      <c r="D92" s="10" t="s">
        <v>6089</v>
      </c>
      <c r="E92" t="str">
        <f t="shared" si="8"/>
        <v>capul</v>
      </c>
      <c r="F92" s="10" t="s">
        <v>1622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6010</v>
      </c>
      <c r="D93" s="10" t="s">
        <v>6091</v>
      </c>
      <c r="E93" t="str">
        <f t="shared" si="8"/>
        <v>casug</v>
      </c>
      <c r="F93" s="10" t="s">
        <v>1622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6011</v>
      </c>
      <c r="D94" s="10" t="s">
        <v>6121</v>
      </c>
      <c r="E94" t="str">
        <f t="shared" si="8"/>
        <v>caoth</v>
      </c>
      <c r="F94" s="10" t="s">
        <v>1622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6012</v>
      </c>
      <c r="D95" s="10" t="s">
        <v>6122</v>
      </c>
      <c r="E95" t="str">
        <f t="shared" si="8"/>
        <v>clani</v>
      </c>
      <c r="F95" s="10" t="s">
        <v>1622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6013</v>
      </c>
      <c r="D96" s="10" t="s">
        <v>6092</v>
      </c>
      <c r="E96" t="str">
        <f t="shared" si="8"/>
        <v>cfore</v>
      </c>
      <c r="F96" s="10" t="s">
        <v>1622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3335</v>
      </c>
      <c r="D97" s="10" t="s">
        <v>6093</v>
      </c>
      <c r="E97" t="str">
        <f t="shared" si="8"/>
        <v>cfish</v>
      </c>
      <c r="F97" s="10" t="s">
        <v>1622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2999</v>
      </c>
      <c r="D98" s="10" t="s">
        <v>6116</v>
      </c>
      <c r="E98" t="str">
        <f t="shared" si="8"/>
        <v>ccoal-low</v>
      </c>
      <c r="F98" s="10" t="s">
        <v>6094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2997</v>
      </c>
      <c r="D99" s="10" t="s">
        <v>6117</v>
      </c>
      <c r="E99" t="str">
        <f t="shared" si="8"/>
        <v>ccoal-hgh</v>
      </c>
      <c r="F99" s="10" t="s">
        <v>6094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3001</v>
      </c>
      <c r="D100" s="10" t="s">
        <v>6158</v>
      </c>
      <c r="E100" t="str">
        <f t="shared" si="8"/>
        <v>ccoil</v>
      </c>
      <c r="F100" s="10" t="s">
        <v>6094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2995</v>
      </c>
      <c r="D101" s="10" t="s">
        <v>6123</v>
      </c>
      <c r="E101" t="str">
        <f t="shared" si="8"/>
        <v>cngas</v>
      </c>
      <c r="F101" s="10" t="s">
        <v>6094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6014</v>
      </c>
      <c r="D102" s="10" t="s">
        <v>6097</v>
      </c>
      <c r="E102" t="str">
        <f t="shared" si="8"/>
        <v>cpgm</v>
      </c>
      <c r="F102" s="10" t="s">
        <v>6094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3336</v>
      </c>
      <c r="D103" s="10" t="s">
        <v>6124</v>
      </c>
      <c r="E103" t="str">
        <f t="shared" si="8"/>
        <v>cmore</v>
      </c>
      <c r="F103" s="10" t="s">
        <v>6094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3337</v>
      </c>
      <c r="D104" s="10" t="s">
        <v>6125</v>
      </c>
      <c r="E104" t="str">
        <f t="shared" si="8"/>
        <v>cmine</v>
      </c>
      <c r="F104" s="10" t="s">
        <v>6094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6015</v>
      </c>
      <c r="D105" s="10" t="s">
        <v>6098</v>
      </c>
      <c r="E105" t="str">
        <f t="shared" si="8"/>
        <v>cmeat</v>
      </c>
      <c r="F105" s="10" t="s">
        <v>6126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6016</v>
      </c>
      <c r="D106" s="10" t="s">
        <v>6099</v>
      </c>
      <c r="E106" t="str">
        <f t="shared" si="8"/>
        <v>cpfis</v>
      </c>
      <c r="F106" s="10" t="s">
        <v>6126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6017</v>
      </c>
      <c r="D107" s="10" t="s">
        <v>6127</v>
      </c>
      <c r="E107" t="str">
        <f t="shared" si="8"/>
        <v>cvege</v>
      </c>
      <c r="F107" s="10" t="s">
        <v>6126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6018</v>
      </c>
      <c r="D108" s="10" t="s">
        <v>6128</v>
      </c>
      <c r="E108" t="str">
        <f t="shared" si="8"/>
        <v>cfats</v>
      </c>
      <c r="F108" s="10" t="s">
        <v>6126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6019</v>
      </c>
      <c r="D109" s="10" t="s">
        <v>6100</v>
      </c>
      <c r="E109" t="str">
        <f t="shared" si="8"/>
        <v>cdair</v>
      </c>
      <c r="F109" s="10" t="s">
        <v>6126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6020</v>
      </c>
      <c r="D110" s="10" t="s">
        <v>6101</v>
      </c>
      <c r="E110" t="str">
        <f t="shared" si="8"/>
        <v>cgrai</v>
      </c>
      <c r="F110" s="10" t="s">
        <v>6126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6021</v>
      </c>
      <c r="D111" s="10" t="s">
        <v>6102</v>
      </c>
      <c r="E111" t="str">
        <f t="shared" si="8"/>
        <v>cstar</v>
      </c>
      <c r="F111" s="10" t="s">
        <v>6126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6022</v>
      </c>
      <c r="D112" s="10" t="s">
        <v>6129</v>
      </c>
      <c r="E112" t="str">
        <f t="shared" si="8"/>
        <v>cafee</v>
      </c>
      <c r="F112" s="10" t="s">
        <v>6126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6023</v>
      </c>
      <c r="D113" s="10" t="s">
        <v>6130</v>
      </c>
      <c r="E113" t="str">
        <f t="shared" si="8"/>
        <v>cbake</v>
      </c>
      <c r="F113" s="10" t="s">
        <v>6126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6024</v>
      </c>
      <c r="D114" s="10" t="s">
        <v>6091</v>
      </c>
      <c r="E114" t="str">
        <f t="shared" si="8"/>
        <v>csuga</v>
      </c>
      <c r="F114" s="10" t="s">
        <v>6126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6025</v>
      </c>
      <c r="D115" s="10" t="s">
        <v>6103</v>
      </c>
      <c r="E115" t="str">
        <f t="shared" si="8"/>
        <v>cconf</v>
      </c>
      <c r="F115" s="10" t="s">
        <v>6126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6026</v>
      </c>
      <c r="D116" s="10" t="s">
        <v>6104</v>
      </c>
      <c r="E116" t="str">
        <f t="shared" si="8"/>
        <v>cpast</v>
      </c>
      <c r="F116" s="10" t="s">
        <v>6126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6027</v>
      </c>
      <c r="D117" s="10" t="s">
        <v>6131</v>
      </c>
      <c r="E117" t="str">
        <f t="shared" si="8"/>
        <v>cofoo</v>
      </c>
      <c r="F117" s="10" t="s">
        <v>6126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3339</v>
      </c>
      <c r="D118" s="10" t="s">
        <v>6105</v>
      </c>
      <c r="E118" t="str">
        <f t="shared" si="8"/>
        <v>cbevt</v>
      </c>
      <c r="F118" s="10" t="s">
        <v>6126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3340</v>
      </c>
      <c r="D119" s="10" t="s">
        <v>3343</v>
      </c>
      <c r="E119" t="str">
        <f t="shared" si="8"/>
        <v>ctext</v>
      </c>
      <c r="F119" s="10" t="s">
        <v>3363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3305</v>
      </c>
      <c r="D120" s="10" t="s">
        <v>6106</v>
      </c>
      <c r="E120" t="str">
        <f t="shared" si="8"/>
        <v>cclth</v>
      </c>
      <c r="F120" s="10" t="s">
        <v>3363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3306</v>
      </c>
      <c r="D121" s="10" t="s">
        <v>6132</v>
      </c>
      <c r="E121" t="str">
        <f t="shared" si="8"/>
        <v>cleat</v>
      </c>
      <c r="F121" s="10" t="s">
        <v>3363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3346</v>
      </c>
      <c r="D122" s="10" t="s">
        <v>6107</v>
      </c>
      <c r="E122" t="str">
        <f t="shared" si="8"/>
        <v>cfoot</v>
      </c>
      <c r="F122" s="10" t="s">
        <v>3363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3307</v>
      </c>
      <c r="D123" s="10" t="s">
        <v>6133</v>
      </c>
      <c r="E123" t="str">
        <f t="shared" si="8"/>
        <v>cwood</v>
      </c>
      <c r="F123" s="10" t="s">
        <v>3363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3308</v>
      </c>
      <c r="D124" s="10" t="s">
        <v>6108</v>
      </c>
      <c r="E124" t="str">
        <f t="shared" si="8"/>
        <v>cpapr</v>
      </c>
      <c r="F124" s="10" t="s">
        <v>3363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3309</v>
      </c>
      <c r="D125" s="10" t="s">
        <v>6134</v>
      </c>
      <c r="E125" t="str">
        <f t="shared" si="8"/>
        <v>cprnt</v>
      </c>
      <c r="F125" s="10" t="s">
        <v>3363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3869</v>
      </c>
      <c r="D126" s="10" t="s">
        <v>6159</v>
      </c>
      <c r="E126" t="str">
        <f t="shared" si="8"/>
        <v>cpetr-p</v>
      </c>
      <c r="F126" s="10" t="s">
        <v>3363</v>
      </c>
      <c r="G126" t="str">
        <f t="shared" si="9"/>
        <v>cpetr-p</v>
      </c>
      <c r="H126" t="s">
        <v>6218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3868</v>
      </c>
      <c r="D127" s="10" t="s">
        <v>6160</v>
      </c>
      <c r="E127" t="str">
        <f t="shared" si="8"/>
        <v>cpetr-d</v>
      </c>
      <c r="F127" s="10" t="s">
        <v>3363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3870</v>
      </c>
      <c r="D128" s="10" t="s">
        <v>6161</v>
      </c>
      <c r="E128" t="str">
        <f t="shared" si="8"/>
        <v>cpetr-h</v>
      </c>
      <c r="F128" s="10" t="s">
        <v>3363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3872</v>
      </c>
      <c r="D129" s="10" t="s">
        <v>6162</v>
      </c>
      <c r="E129" t="str">
        <f t="shared" si="8"/>
        <v>cpetr-k</v>
      </c>
      <c r="F129" s="10" t="s">
        <v>3363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3871</v>
      </c>
      <c r="D130" s="10" t="s">
        <v>6163</v>
      </c>
      <c r="E130" t="str">
        <f t="shared" si="8"/>
        <v>cpetr-l</v>
      </c>
      <c r="F130" s="10" t="s">
        <v>3363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3000</v>
      </c>
      <c r="D131" s="10" t="s">
        <v>386</v>
      </c>
      <c r="E131" t="str">
        <f t="shared" ref="E131:E194" si="22">$C131</f>
        <v>chydr</v>
      </c>
      <c r="F131" s="10" t="s">
        <v>3363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3840</v>
      </c>
      <c r="D132" s="10" t="s">
        <v>3589</v>
      </c>
      <c r="E132" t="str">
        <f t="shared" si="22"/>
        <v>cammo</v>
      </c>
      <c r="F132" s="10" t="s">
        <v>3363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3310</v>
      </c>
      <c r="D133" s="10" t="s">
        <v>6135</v>
      </c>
      <c r="E133" t="str">
        <f t="shared" si="22"/>
        <v>cbchm</v>
      </c>
      <c r="F133" s="10" t="s">
        <v>3363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3311</v>
      </c>
      <c r="D134" s="10" t="s">
        <v>6136</v>
      </c>
      <c r="E134" t="str">
        <f t="shared" si="22"/>
        <v>cochm</v>
      </c>
      <c r="F134" s="10" t="s">
        <v>3363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3312</v>
      </c>
      <c r="D135" s="10" t="s">
        <v>6137</v>
      </c>
      <c r="E135" t="str">
        <f t="shared" si="22"/>
        <v>crubb</v>
      </c>
      <c r="F135" s="10" t="s">
        <v>3363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3313</v>
      </c>
      <c r="D136" s="10" t="s">
        <v>6138</v>
      </c>
      <c r="E136" t="str">
        <f t="shared" si="22"/>
        <v>cplas</v>
      </c>
      <c r="F136" s="10" t="s">
        <v>3363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6028</v>
      </c>
      <c r="D137" s="10" t="s">
        <v>6198</v>
      </c>
      <c r="E137" t="str">
        <f t="shared" si="22"/>
        <v>cconc</v>
      </c>
      <c r="F137" s="10" t="s">
        <v>3363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6029</v>
      </c>
      <c r="D138" s="10" t="s">
        <v>1078</v>
      </c>
      <c r="E138" t="str">
        <f t="shared" si="22"/>
        <v>ccmnt</v>
      </c>
      <c r="F138" s="10" t="s">
        <v>3363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3314</v>
      </c>
      <c r="D139" s="10" t="s">
        <v>6115</v>
      </c>
      <c r="E139" t="str">
        <f t="shared" si="22"/>
        <v>cnmet</v>
      </c>
      <c r="F139" s="10" t="s">
        <v>3363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3315</v>
      </c>
      <c r="D140" s="10" t="s">
        <v>6139</v>
      </c>
      <c r="E140" t="str">
        <f t="shared" si="22"/>
        <v>ciron</v>
      </c>
      <c r="F140" s="10" t="s">
        <v>3363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3316</v>
      </c>
      <c r="D141" s="10" t="s">
        <v>6140</v>
      </c>
      <c r="E141" t="str">
        <f t="shared" si="22"/>
        <v>cnfrm</v>
      </c>
      <c r="F141" s="10" t="s">
        <v>3363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3317</v>
      </c>
      <c r="D142" s="10" t="s">
        <v>6141</v>
      </c>
      <c r="E142" t="str">
        <f t="shared" si="22"/>
        <v>cmetp</v>
      </c>
      <c r="F142" s="10" t="s">
        <v>3363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3318</v>
      </c>
      <c r="D143" s="10" t="s">
        <v>3353</v>
      </c>
      <c r="E143" t="str">
        <f t="shared" si="22"/>
        <v>cmach</v>
      </c>
      <c r="F143" s="10" t="s">
        <v>3363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5923</v>
      </c>
      <c r="D144" s="10" t="s">
        <v>6200</v>
      </c>
      <c r="E144" t="str">
        <f t="shared" si="22"/>
        <v>cmach_e</v>
      </c>
      <c r="F144" s="10" t="s">
        <v>3363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6030</v>
      </c>
      <c r="D145" s="10" t="s">
        <v>3850</v>
      </c>
      <c r="E145" t="str">
        <f t="shared" si="22"/>
        <v>cfcel</v>
      </c>
      <c r="F145" s="10" t="s">
        <v>3363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6031</v>
      </c>
      <c r="D146" s="10" t="s">
        <v>3851</v>
      </c>
      <c r="E146" t="str">
        <f t="shared" si="22"/>
        <v>celct</v>
      </c>
      <c r="F146" s="10" t="s">
        <v>3363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3319</v>
      </c>
      <c r="D147" s="10" t="s">
        <v>6142</v>
      </c>
      <c r="E147" t="str">
        <f t="shared" si="22"/>
        <v>cemch</v>
      </c>
      <c r="F147" s="10" t="s">
        <v>3363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5924</v>
      </c>
      <c r="D148" s="10" t="s">
        <v>6199</v>
      </c>
      <c r="E148" t="str">
        <f t="shared" si="22"/>
        <v>cemch_e</v>
      </c>
      <c r="F148" s="10" t="s">
        <v>3363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3320</v>
      </c>
      <c r="D149" s="10" t="s">
        <v>6143</v>
      </c>
      <c r="E149" t="str">
        <f t="shared" si="22"/>
        <v>csequ</v>
      </c>
      <c r="F149" s="10" t="s">
        <v>3363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3321</v>
      </c>
      <c r="D150" s="10" t="s">
        <v>3355</v>
      </c>
      <c r="E150" t="str">
        <f t="shared" si="22"/>
        <v>cvehi</v>
      </c>
      <c r="F150" s="10" t="s">
        <v>3363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3322</v>
      </c>
      <c r="D151" s="10" t="s">
        <v>6144</v>
      </c>
      <c r="E151" t="str">
        <f t="shared" si="22"/>
        <v>ctequ</v>
      </c>
      <c r="F151" s="10" t="s">
        <v>3363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3323</v>
      </c>
      <c r="D152" s="10" t="s">
        <v>6110</v>
      </c>
      <c r="E152" t="str">
        <f t="shared" si="22"/>
        <v>cfurn</v>
      </c>
      <c r="F152" s="10" t="s">
        <v>3363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3324</v>
      </c>
      <c r="D153" s="10" t="s">
        <v>3363</v>
      </c>
      <c r="E153" t="str">
        <f t="shared" si="22"/>
        <v>coman</v>
      </c>
      <c r="F153" s="10" t="s">
        <v>3363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2996</v>
      </c>
      <c r="D154" s="10" t="s">
        <v>1703</v>
      </c>
      <c r="E154" t="str">
        <f t="shared" si="22"/>
        <v>celec</v>
      </c>
      <c r="F154" s="10" t="s">
        <v>6111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6032</v>
      </c>
      <c r="D155" s="10" t="s">
        <v>6145</v>
      </c>
      <c r="E155" t="str">
        <f t="shared" si="22"/>
        <v>cwatr</v>
      </c>
      <c r="F155" s="10" t="s">
        <v>6111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6033</v>
      </c>
      <c r="D156" s="10" t="s">
        <v>5918</v>
      </c>
      <c r="E156" t="str">
        <f t="shared" si="22"/>
        <v>ccons</v>
      </c>
      <c r="F156" s="10" t="s">
        <v>5918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5922</v>
      </c>
      <c r="D157" s="10" t="s">
        <v>6201</v>
      </c>
      <c r="E157" t="str">
        <f t="shared" si="22"/>
        <v>ccons_e</v>
      </c>
      <c r="F157" s="10" t="s">
        <v>5918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3325</v>
      </c>
      <c r="D158" s="10" t="s">
        <v>6146</v>
      </c>
      <c r="E158" t="str">
        <f t="shared" si="22"/>
        <v>ctrad</v>
      </c>
      <c r="F158" s="10" t="s">
        <v>6112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3326</v>
      </c>
      <c r="D159" s="10" t="s">
        <v>6147</v>
      </c>
      <c r="E159" t="str">
        <f t="shared" si="22"/>
        <v>chotl</v>
      </c>
      <c r="F159" s="10" t="s">
        <v>6112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3327</v>
      </c>
      <c r="D160" s="10" t="s">
        <v>6148</v>
      </c>
      <c r="E160" t="str">
        <f t="shared" si="22"/>
        <v>cptrp-l</v>
      </c>
      <c r="F160" s="10" t="s">
        <v>6112</v>
      </c>
      <c r="G160" t="str">
        <f t="shared" si="23"/>
        <v>cptrp-l</v>
      </c>
      <c r="H160" t="s">
        <v>6153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3328</v>
      </c>
      <c r="D161" s="10" t="s">
        <v>6149</v>
      </c>
      <c r="E161" t="str">
        <f t="shared" si="22"/>
        <v>cftrp-l</v>
      </c>
      <c r="F161" s="10" t="s">
        <v>6112</v>
      </c>
      <c r="G161" t="str">
        <f t="shared" si="23"/>
        <v>cftrp-l</v>
      </c>
      <c r="H161" t="s">
        <v>6153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3329</v>
      </c>
      <c r="D162" s="10" t="s">
        <v>6150</v>
      </c>
      <c r="E162" t="str">
        <f t="shared" si="22"/>
        <v>cptrp-o</v>
      </c>
      <c r="F162" s="10" t="s">
        <v>6112</v>
      </c>
      <c r="G162" t="str">
        <f t="shared" si="23"/>
        <v>cptrp-o</v>
      </c>
      <c r="H162" t="s">
        <v>6153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6034</v>
      </c>
      <c r="D163" s="10" t="s">
        <v>6151</v>
      </c>
      <c r="E163" t="str">
        <f t="shared" si="22"/>
        <v>cftrp-o</v>
      </c>
      <c r="F163" s="10" t="s">
        <v>6112</v>
      </c>
      <c r="G163" t="str">
        <f t="shared" si="23"/>
        <v>cftrp-o</v>
      </c>
      <c r="H163" t="s">
        <v>6153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6035</v>
      </c>
      <c r="D164" s="10" t="s">
        <v>6152</v>
      </c>
      <c r="E164" t="str">
        <f t="shared" si="22"/>
        <v>cprtr</v>
      </c>
      <c r="F164" s="10" t="s">
        <v>6112</v>
      </c>
      <c r="G164" t="str">
        <f t="shared" si="23"/>
        <v>cprtr</v>
      </c>
      <c r="H164" t="s">
        <v>6152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3348</v>
      </c>
      <c r="D165" s="10" t="s">
        <v>6153</v>
      </c>
      <c r="E165" t="str">
        <f t="shared" si="22"/>
        <v>ctrps</v>
      </c>
      <c r="F165" s="10" t="s">
        <v>6112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3330</v>
      </c>
      <c r="D166" s="10" t="s">
        <v>6113</v>
      </c>
      <c r="E166" t="str">
        <f t="shared" si="22"/>
        <v>ccomm</v>
      </c>
      <c r="F166" s="10" t="s">
        <v>6112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3331</v>
      </c>
      <c r="D167" s="10" t="s">
        <v>6154</v>
      </c>
      <c r="E167" t="str">
        <f t="shared" si="22"/>
        <v>cfsrv</v>
      </c>
      <c r="F167" s="10" t="s">
        <v>6112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3332</v>
      </c>
      <c r="D168" s="10" t="s">
        <v>6155</v>
      </c>
      <c r="E168" t="str">
        <f t="shared" si="22"/>
        <v>cbsrv</v>
      </c>
      <c r="F168" s="10" t="s">
        <v>6112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6036</v>
      </c>
      <c r="D169" s="10" t="s">
        <v>6156</v>
      </c>
      <c r="E169" t="str">
        <f t="shared" si="22"/>
        <v>cgsrv</v>
      </c>
      <c r="F169" s="10" t="s">
        <v>6112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3333</v>
      </c>
      <c r="D170" s="10" t="s">
        <v>6157</v>
      </c>
      <c r="E170" t="str">
        <f t="shared" si="22"/>
        <v>cosrv</v>
      </c>
      <c r="F170" s="10" t="s">
        <v>6112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3349</v>
      </c>
      <c r="D171" s="10" t="s">
        <v>6164</v>
      </c>
      <c r="E171" t="str">
        <f t="shared" si="22"/>
        <v>cimpt</v>
      </c>
      <c r="F171" s="10" t="s">
        <v>6114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6037</v>
      </c>
      <c r="D172" s="10" t="s">
        <v>6190</v>
      </c>
      <c r="E172" t="str">
        <f t="shared" si="22"/>
        <v>trc</v>
      </c>
      <c r="F172" s="10" t="s">
        <v>6202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6038</v>
      </c>
      <c r="D173" t="s">
        <v>6232</v>
      </c>
      <c r="E173" t="str">
        <f t="shared" si="22"/>
        <v>trd</v>
      </c>
      <c r="F173" s="10" t="s">
        <v>6202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6039</v>
      </c>
      <c r="D174" t="s">
        <v>6233</v>
      </c>
      <c r="E174" t="str">
        <f t="shared" si="22"/>
        <v>tre</v>
      </c>
      <c r="F174" s="10" t="s">
        <v>6202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6040</v>
      </c>
      <c r="D175" t="s">
        <v>6234</v>
      </c>
      <c r="E175" t="str">
        <f t="shared" si="22"/>
        <v>trm</v>
      </c>
      <c r="F175" s="10" t="s">
        <v>6202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2415</v>
      </c>
      <c r="D176" t="s">
        <v>6221</v>
      </c>
      <c r="E176" t="str">
        <f t="shared" si="22"/>
        <v>flab-p</v>
      </c>
      <c r="F176" s="10" t="s">
        <v>6203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2413</v>
      </c>
      <c r="D177" t="s">
        <v>6222</v>
      </c>
      <c r="E177" t="str">
        <f t="shared" si="22"/>
        <v>flab-m</v>
      </c>
      <c r="F177" s="10" t="s">
        <v>6203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2411</v>
      </c>
      <c r="D178" t="s">
        <v>6223</v>
      </c>
      <c r="E178" t="str">
        <f t="shared" si="22"/>
        <v>flab-s</v>
      </c>
      <c r="F178" s="10" t="s">
        <v>6203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2409</v>
      </c>
      <c r="D179" t="s">
        <v>6224</v>
      </c>
      <c r="E179" t="str">
        <f t="shared" si="22"/>
        <v>flab-t</v>
      </c>
      <c r="F179" s="10" t="s">
        <v>6203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6041</v>
      </c>
      <c r="D180" t="s">
        <v>6187</v>
      </c>
      <c r="E180" t="str">
        <f t="shared" si="22"/>
        <v>fcap</v>
      </c>
      <c r="F180" s="10" t="s">
        <v>6204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6042</v>
      </c>
      <c r="D181" t="s">
        <v>6186</v>
      </c>
      <c r="E181" t="str">
        <f t="shared" si="22"/>
        <v>fegy</v>
      </c>
      <c r="F181" s="10" t="s">
        <v>6204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6043</v>
      </c>
      <c r="D182" t="s">
        <v>6188</v>
      </c>
      <c r="E182" t="str">
        <f t="shared" si="22"/>
        <v>fsas</v>
      </c>
      <c r="F182" s="10" t="s">
        <v>6204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6044</v>
      </c>
      <c r="D183" t="s">
        <v>6189</v>
      </c>
      <c r="E183" t="str">
        <f t="shared" si="22"/>
        <v>fpsa</v>
      </c>
      <c r="F183" s="10" t="s">
        <v>6204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6045</v>
      </c>
      <c r="D184" t="s">
        <v>6184</v>
      </c>
      <c r="E184" t="str">
        <f t="shared" si="22"/>
        <v>fland</v>
      </c>
      <c r="F184" s="10" t="s">
        <v>6205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6046</v>
      </c>
      <c r="D185" t="s">
        <v>6081</v>
      </c>
      <c r="E185" t="str">
        <f t="shared" si="22"/>
        <v>ent-n</v>
      </c>
      <c r="F185" s="10" t="s">
        <v>6081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6047</v>
      </c>
      <c r="D186" t="s">
        <v>6185</v>
      </c>
      <c r="E186" t="str">
        <f t="shared" si="22"/>
        <v>ent-e</v>
      </c>
      <c r="F186" s="10" t="s">
        <v>6081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2910</v>
      </c>
      <c r="D187" t="s">
        <v>6165</v>
      </c>
      <c r="E187" t="str">
        <f t="shared" si="22"/>
        <v>hhd-0</v>
      </c>
      <c r="F187" s="10" t="s">
        <v>6087</v>
      </c>
      <c r="G187" t="str">
        <f t="shared" si="23"/>
        <v>hhd-0</v>
      </c>
      <c r="H187" t="s">
        <v>6225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2911</v>
      </c>
      <c r="D188" t="s">
        <v>6166</v>
      </c>
      <c r="E188" t="str">
        <f t="shared" si="22"/>
        <v>hhd-1</v>
      </c>
      <c r="F188" s="10" t="s">
        <v>6087</v>
      </c>
      <c r="G188" t="str">
        <f t="shared" si="23"/>
        <v>hhd-1</v>
      </c>
      <c r="H188" t="s">
        <v>6225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2913</v>
      </c>
      <c r="D189" t="s">
        <v>6167</v>
      </c>
      <c r="E189" t="str">
        <f t="shared" si="22"/>
        <v>hhd-2</v>
      </c>
      <c r="F189" s="10" t="s">
        <v>6087</v>
      </c>
      <c r="G189" t="str">
        <f t="shared" si="23"/>
        <v>hhd-2</v>
      </c>
      <c r="H189" t="s">
        <v>6225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2915</v>
      </c>
      <c r="D190" t="s">
        <v>6168</v>
      </c>
      <c r="E190" t="str">
        <f t="shared" si="22"/>
        <v>hhd-3</v>
      </c>
      <c r="F190" s="10" t="s">
        <v>6087</v>
      </c>
      <c r="G190" t="str">
        <f t="shared" si="23"/>
        <v>hhd-3</v>
      </c>
      <c r="H190" t="s">
        <v>6225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2917</v>
      </c>
      <c r="D191" t="s">
        <v>6169</v>
      </c>
      <c r="E191" t="str">
        <f t="shared" si="22"/>
        <v>hhd-4</v>
      </c>
      <c r="F191" s="10" t="s">
        <v>6087</v>
      </c>
      <c r="G191" t="str">
        <f t="shared" si="23"/>
        <v>hhd-4</v>
      </c>
      <c r="H191" t="s">
        <v>6225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2919</v>
      </c>
      <c r="D192" t="s">
        <v>6170</v>
      </c>
      <c r="E192" t="str">
        <f t="shared" si="22"/>
        <v>hhd-5</v>
      </c>
      <c r="F192" s="10" t="s">
        <v>6087</v>
      </c>
      <c r="G192" t="str">
        <f t="shared" si="23"/>
        <v>hhd-5</v>
      </c>
      <c r="H192" t="s">
        <v>6226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2921</v>
      </c>
      <c r="D193" t="s">
        <v>6171</v>
      </c>
      <c r="E193" t="str">
        <f t="shared" si="22"/>
        <v>hhd-6</v>
      </c>
      <c r="F193" s="10" t="s">
        <v>6087</v>
      </c>
      <c r="G193" t="str">
        <f t="shared" si="23"/>
        <v>hhd-6</v>
      </c>
      <c r="H193" t="s">
        <v>6226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2922</v>
      </c>
      <c r="D194" t="s">
        <v>6172</v>
      </c>
      <c r="E194" t="str">
        <f t="shared" si="22"/>
        <v>hhd-7</v>
      </c>
      <c r="F194" s="10" t="s">
        <v>6087</v>
      </c>
      <c r="G194" t="str">
        <f t="shared" si="23"/>
        <v>hhd-7</v>
      </c>
      <c r="H194" t="s">
        <v>6226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2924</v>
      </c>
      <c r="D195" t="s">
        <v>6173</v>
      </c>
      <c r="E195" t="str">
        <f t="shared" ref="E195:E225" si="34">$C195</f>
        <v>hhd-8</v>
      </c>
      <c r="F195" s="10" t="s">
        <v>6087</v>
      </c>
      <c r="G195" t="str">
        <f t="shared" ref="G195:G225" si="35">$C195</f>
        <v>hhd-8</v>
      </c>
      <c r="H195" t="s">
        <v>6227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2967</v>
      </c>
      <c r="D196" t="s">
        <v>6174</v>
      </c>
      <c r="E196" t="str">
        <f t="shared" si="34"/>
        <v>hhd-9</v>
      </c>
      <c r="F196" s="10" t="s">
        <v>6087</v>
      </c>
      <c r="G196" t="str">
        <f t="shared" si="35"/>
        <v>hhd-9</v>
      </c>
      <c r="H196" t="s">
        <v>6227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6048</v>
      </c>
      <c r="D197" t="s">
        <v>6090</v>
      </c>
      <c r="E197" t="str">
        <f t="shared" si="34"/>
        <v>gov</v>
      </c>
      <c r="F197" s="10" t="s">
        <v>6090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6049</v>
      </c>
      <c r="D198" t="s">
        <v>6082</v>
      </c>
      <c r="E198" t="str">
        <f t="shared" si="34"/>
        <v>atax</v>
      </c>
      <c r="F198" s="10" t="s">
        <v>6208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6050</v>
      </c>
      <c r="D199" t="s">
        <v>6175</v>
      </c>
      <c r="E199" t="str">
        <f t="shared" si="34"/>
        <v>ctax</v>
      </c>
      <c r="F199" s="10" t="s">
        <v>6208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6051</v>
      </c>
      <c r="D200" t="s">
        <v>6084</v>
      </c>
      <c r="E200" t="str">
        <f t="shared" si="34"/>
        <v>dtax</v>
      </c>
      <c r="F200" s="10" t="s">
        <v>6208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6052</v>
      </c>
      <c r="D201" t="s">
        <v>6085</v>
      </c>
      <c r="E201" t="str">
        <f t="shared" si="34"/>
        <v>mtax</v>
      </c>
      <c r="F201" s="10" t="s">
        <v>6208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6053</v>
      </c>
      <c r="D202" t="s">
        <v>6088</v>
      </c>
      <c r="E202" t="str">
        <f t="shared" si="34"/>
        <v>stax</v>
      </c>
      <c r="F202" s="10" t="s">
        <v>6208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6054</v>
      </c>
      <c r="D203" t="s">
        <v>6191</v>
      </c>
      <c r="E203" t="str">
        <f t="shared" si="34"/>
        <v>utax</v>
      </c>
      <c r="F203" s="10" t="s">
        <v>6191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6055</v>
      </c>
      <c r="D204" t="s">
        <v>6193</v>
      </c>
      <c r="E204" t="str">
        <f t="shared" si="34"/>
        <v>utax-cl</v>
      </c>
      <c r="F204" s="10" t="s">
        <v>6191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6056</v>
      </c>
      <c r="D205" t="s">
        <v>6192</v>
      </c>
      <c r="E205" t="str">
        <f t="shared" si="34"/>
        <v>utax-ch</v>
      </c>
      <c r="F205" s="10" t="s">
        <v>6191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6057</v>
      </c>
      <c r="D206" t="s">
        <v>6228</v>
      </c>
      <c r="E206" t="str">
        <f t="shared" si="34"/>
        <v>s-i</v>
      </c>
      <c r="F206" s="10" t="s">
        <v>6206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6058</v>
      </c>
      <c r="D207" t="s">
        <v>6194</v>
      </c>
      <c r="E207" t="str">
        <f t="shared" si="34"/>
        <v>s-e</v>
      </c>
      <c r="F207" s="10" t="s">
        <v>6206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6059</v>
      </c>
      <c r="D208" t="s">
        <v>6229</v>
      </c>
      <c r="E208" t="str">
        <f t="shared" si="34"/>
        <v>dstk</v>
      </c>
      <c r="F208" s="10" t="s">
        <v>6207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6060</v>
      </c>
      <c r="D209" t="s">
        <v>6230</v>
      </c>
      <c r="E209" t="str">
        <f t="shared" si="34"/>
        <v>row</v>
      </c>
      <c r="F209" s="10" t="s">
        <v>6209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6061</v>
      </c>
      <c r="D210" t="s">
        <v>6176</v>
      </c>
      <c r="E210" t="str">
        <f t="shared" si="34"/>
        <v>nat</v>
      </c>
      <c r="F210" s="10" t="s">
        <v>6209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6062</v>
      </c>
      <c r="D211" t="s">
        <v>6095</v>
      </c>
      <c r="E211" t="str">
        <f t="shared" si="34"/>
        <v>nafta</v>
      </c>
      <c r="F211" s="10" t="s">
        <v>6209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6063</v>
      </c>
      <c r="D212" t="s">
        <v>6231</v>
      </c>
      <c r="E212" t="str">
        <f t="shared" si="34"/>
        <v>eu</v>
      </c>
      <c r="F212" s="10" t="s">
        <v>6209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6064</v>
      </c>
      <c r="D213" t="s">
        <v>6230</v>
      </c>
      <c r="E213" t="str">
        <f t="shared" si="34"/>
        <v>rest</v>
      </c>
      <c r="F213" s="10" t="s">
        <v>6209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6065</v>
      </c>
      <c r="D214" t="s">
        <v>6195</v>
      </c>
      <c r="E214" t="str">
        <f t="shared" si="34"/>
        <v>trncstdom</v>
      </c>
      <c r="F214" s="10" t="s">
        <v>6202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6066</v>
      </c>
      <c r="D215" t="s">
        <v>6196</v>
      </c>
      <c r="E215" t="str">
        <f t="shared" si="34"/>
        <v>trncstexp</v>
      </c>
      <c r="F215" s="10" t="s">
        <v>6202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6067</v>
      </c>
      <c r="D216" t="s">
        <v>6197</v>
      </c>
      <c r="E216" t="str">
        <f t="shared" si="34"/>
        <v>trncstimp</v>
      </c>
      <c r="F216" s="10" t="s">
        <v>6202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6068</v>
      </c>
      <c r="D217" t="s">
        <v>6177</v>
      </c>
      <c r="E217" t="str">
        <f t="shared" si="34"/>
        <v>instax</v>
      </c>
      <c r="F217" s="10" t="s">
        <v>6208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6069</v>
      </c>
      <c r="D218" t="s">
        <v>6178</v>
      </c>
      <c r="E218" t="str">
        <f t="shared" si="34"/>
        <v>factax</v>
      </c>
      <c r="F218" s="10" t="s">
        <v>6208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6070</v>
      </c>
      <c r="D219" t="s">
        <v>6179</v>
      </c>
      <c r="E219" t="str">
        <f t="shared" si="34"/>
        <v>imptax</v>
      </c>
      <c r="F219" s="10" t="s">
        <v>6208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6071</v>
      </c>
      <c r="D220" t="s">
        <v>6180</v>
      </c>
      <c r="E220" t="str">
        <f t="shared" si="34"/>
        <v>exptax</v>
      </c>
      <c r="F220" s="10" t="s">
        <v>6208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6072</v>
      </c>
      <c r="D221" t="s">
        <v>6181</v>
      </c>
      <c r="E221" t="str">
        <f t="shared" si="34"/>
        <v>vatax</v>
      </c>
      <c r="F221" s="10" t="s">
        <v>6208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6073</v>
      </c>
      <c r="D222" t="s">
        <v>6182</v>
      </c>
      <c r="E222" t="str">
        <f t="shared" si="34"/>
        <v>acttax</v>
      </c>
      <c r="F222" s="10" t="s">
        <v>6208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6074</v>
      </c>
      <c r="D223" t="s">
        <v>6175</v>
      </c>
      <c r="E223" t="str">
        <f t="shared" si="34"/>
        <v>comtax</v>
      </c>
      <c r="F223" s="10" t="s">
        <v>6208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6075</v>
      </c>
      <c r="D224" t="s">
        <v>2049</v>
      </c>
      <c r="E224" t="str">
        <f t="shared" si="34"/>
        <v>dum</v>
      </c>
      <c r="F224" s="10" t="s">
        <v>2049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6076</v>
      </c>
      <c r="D225" t="s">
        <v>6183</v>
      </c>
      <c r="E225" t="str">
        <f t="shared" si="34"/>
        <v>total</v>
      </c>
      <c r="F225" s="10" t="s">
        <v>6183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workbookViewId="0">
      <selection activeCell="G23" sqref="G23:K23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1652</v>
      </c>
      <c r="B1" s="2" t="s">
        <v>1651</v>
      </c>
      <c r="C1" s="2" t="s">
        <v>1650</v>
      </c>
      <c r="G1" t="s">
        <v>1653</v>
      </c>
      <c r="H1" s="2" t="s">
        <v>1652</v>
      </c>
      <c r="I1" s="2" t="s">
        <v>1651</v>
      </c>
      <c r="J1" t="s">
        <v>1650</v>
      </c>
      <c r="K1" t="s">
        <v>1649</v>
      </c>
    </row>
    <row r="2" spans="1:11" x14ac:dyDescent="0.25">
      <c r="A2" t="s">
        <v>2440</v>
      </c>
      <c r="B2" t="s">
        <v>2444</v>
      </c>
      <c r="C2" t="s">
        <v>2434</v>
      </c>
      <c r="G2" t="s">
        <v>1622</v>
      </c>
      <c r="H2" t="s">
        <v>2424</v>
      </c>
      <c r="I2" t="s">
        <v>2425</v>
      </c>
      <c r="J2" t="str">
        <f t="shared" ref="J2:J21" si="0">IFERROR(INDEX($B$2:$B$13,MATCH(K2,$C$2:$C$13,0)),0)</f>
        <v>1A4 Other Sectors</v>
      </c>
      <c r="K2" t="s">
        <v>2441</v>
      </c>
    </row>
    <row r="3" spans="1:11" x14ac:dyDescent="0.25">
      <c r="A3" t="s">
        <v>2440</v>
      </c>
      <c r="B3" t="s">
        <v>2444</v>
      </c>
      <c r="C3" t="s">
        <v>2426</v>
      </c>
      <c r="G3" t="s">
        <v>1578</v>
      </c>
      <c r="H3" t="s">
        <v>2424</v>
      </c>
      <c r="I3" t="s">
        <v>2425</v>
      </c>
      <c r="J3" t="str">
        <f t="shared" si="0"/>
        <v>1A4 Other Sectors</v>
      </c>
      <c r="K3" t="s">
        <v>2442</v>
      </c>
    </row>
    <row r="4" spans="1:11" x14ac:dyDescent="0.25">
      <c r="A4" t="s">
        <v>2440</v>
      </c>
      <c r="B4" t="s">
        <v>2444</v>
      </c>
      <c r="C4" t="s">
        <v>2427</v>
      </c>
      <c r="G4" t="s">
        <v>1489</v>
      </c>
      <c r="H4" t="s">
        <v>2424</v>
      </c>
      <c r="I4" t="s">
        <v>2425</v>
      </c>
      <c r="J4" t="str">
        <f t="shared" si="0"/>
        <v>1A4 Other Sectors</v>
      </c>
      <c r="K4" t="s">
        <v>2442</v>
      </c>
    </row>
    <row r="5" spans="1:11" x14ac:dyDescent="0.25">
      <c r="A5" t="s">
        <v>2440</v>
      </c>
      <c r="B5" t="s">
        <v>2433</v>
      </c>
      <c r="C5" s="1" t="s">
        <v>2433</v>
      </c>
      <c r="G5" s="3" t="s">
        <v>2986</v>
      </c>
      <c r="H5" t="s">
        <v>2424</v>
      </c>
      <c r="I5" t="s">
        <v>2425</v>
      </c>
      <c r="J5" t="s">
        <v>2433</v>
      </c>
      <c r="K5" t="s">
        <v>3769</v>
      </c>
    </row>
    <row r="6" spans="1:11" x14ac:dyDescent="0.25">
      <c r="A6" t="s">
        <v>2440</v>
      </c>
      <c r="B6" t="s">
        <v>2443</v>
      </c>
      <c r="C6" t="s">
        <v>2431</v>
      </c>
      <c r="G6" s="3" t="s">
        <v>2987</v>
      </c>
      <c r="H6" t="s">
        <v>2424</v>
      </c>
      <c r="I6" t="s">
        <v>2425</v>
      </c>
      <c r="J6" t="str">
        <f t="shared" si="0"/>
        <v>1A1 Energy Industries</v>
      </c>
      <c r="K6" t="s">
        <v>2427</v>
      </c>
    </row>
    <row r="7" spans="1:11" x14ac:dyDescent="0.25">
      <c r="A7" t="s">
        <v>2440</v>
      </c>
      <c r="B7" t="s">
        <v>2443</v>
      </c>
      <c r="C7" t="s">
        <v>2429</v>
      </c>
      <c r="G7" t="s">
        <v>1466</v>
      </c>
      <c r="H7" t="s">
        <v>2424</v>
      </c>
      <c r="I7" t="s">
        <v>2425</v>
      </c>
      <c r="J7" t="str">
        <f t="shared" si="0"/>
        <v>1A1 Energy Industries</v>
      </c>
      <c r="K7" t="s">
        <v>2434</v>
      </c>
    </row>
    <row r="8" spans="1:11" x14ac:dyDescent="0.25">
      <c r="A8" t="s">
        <v>2440</v>
      </c>
      <c r="B8" t="s">
        <v>2443</v>
      </c>
      <c r="C8" t="s">
        <v>2430</v>
      </c>
      <c r="G8" t="s">
        <v>1461</v>
      </c>
      <c r="H8" t="s">
        <v>2424</v>
      </c>
      <c r="I8" t="s">
        <v>2425</v>
      </c>
      <c r="J8" t="str">
        <f t="shared" si="0"/>
        <v>1A1 Energy Industries</v>
      </c>
      <c r="K8" t="s">
        <v>2434</v>
      </c>
    </row>
    <row r="9" spans="1:11" x14ac:dyDescent="0.25">
      <c r="A9" t="s">
        <v>2440</v>
      </c>
      <c r="B9" t="s">
        <v>2443</v>
      </c>
      <c r="C9" t="s">
        <v>2428</v>
      </c>
      <c r="G9" t="s">
        <v>1454</v>
      </c>
      <c r="H9" t="s">
        <v>2424</v>
      </c>
      <c r="I9" t="s">
        <v>2425</v>
      </c>
      <c r="J9" t="str">
        <f t="shared" si="0"/>
        <v>1A1 Energy Industries</v>
      </c>
      <c r="K9" t="s">
        <v>2434</v>
      </c>
    </row>
    <row r="10" spans="1:11" x14ac:dyDescent="0.25">
      <c r="A10" t="s">
        <v>2440</v>
      </c>
      <c r="B10" t="s">
        <v>2439</v>
      </c>
      <c r="C10" t="s">
        <v>2442</v>
      </c>
      <c r="G10" t="s">
        <v>1310</v>
      </c>
      <c r="H10" t="s">
        <v>2424</v>
      </c>
      <c r="I10" t="s">
        <v>2425</v>
      </c>
      <c r="J10" t="str">
        <f t="shared" si="0"/>
        <v>1A1 Energy Industries</v>
      </c>
      <c r="K10" t="s">
        <v>2434</v>
      </c>
    </row>
    <row r="11" spans="1:11" x14ac:dyDescent="0.25">
      <c r="A11" t="s">
        <v>2440</v>
      </c>
      <c r="B11" t="s">
        <v>2439</v>
      </c>
      <c r="C11" t="s">
        <v>2432</v>
      </c>
      <c r="G11" t="s">
        <v>1412</v>
      </c>
      <c r="H11" t="s">
        <v>2424</v>
      </c>
      <c r="I11" t="s">
        <v>2425</v>
      </c>
      <c r="J11" t="str">
        <f t="shared" si="0"/>
        <v>1A1 Energy Industries</v>
      </c>
      <c r="K11" t="s">
        <v>2434</v>
      </c>
    </row>
    <row r="12" spans="1:11" x14ac:dyDescent="0.25">
      <c r="A12" t="s">
        <v>2440</v>
      </c>
      <c r="B12" t="s">
        <v>2439</v>
      </c>
      <c r="C12" t="s">
        <v>2441</v>
      </c>
      <c r="G12" t="s">
        <v>1391</v>
      </c>
      <c r="H12" t="s">
        <v>2424</v>
      </c>
      <c r="I12" t="s">
        <v>2425</v>
      </c>
      <c r="J12" t="str">
        <f t="shared" si="0"/>
        <v>1A1 Energy Industries</v>
      </c>
      <c r="K12" t="s">
        <v>2434</v>
      </c>
    </row>
    <row r="13" spans="1:11" x14ac:dyDescent="0.25">
      <c r="A13" t="s">
        <v>2440</v>
      </c>
      <c r="B13" t="s">
        <v>2439</v>
      </c>
      <c r="C13" t="s">
        <v>2438</v>
      </c>
      <c r="G13" t="s">
        <v>1386</v>
      </c>
      <c r="H13" t="s">
        <v>2424</v>
      </c>
      <c r="I13" t="s">
        <v>2425</v>
      </c>
      <c r="J13" t="str">
        <f t="shared" si="0"/>
        <v>1A1 Energy Industries</v>
      </c>
      <c r="K13" t="s">
        <v>2434</v>
      </c>
    </row>
    <row r="14" spans="1:11" x14ac:dyDescent="0.25">
      <c r="A14" t="s">
        <v>2436</v>
      </c>
      <c r="B14" t="s">
        <v>2437</v>
      </c>
      <c r="C14" t="str">
        <f>B14</f>
        <v>1B1 Solid Fuels</v>
      </c>
      <c r="G14" t="s">
        <v>1363</v>
      </c>
      <c r="H14" t="s">
        <v>2424</v>
      </c>
      <c r="I14" t="s">
        <v>2425</v>
      </c>
      <c r="J14" t="str">
        <f t="shared" si="0"/>
        <v>1A1 Energy Industries</v>
      </c>
      <c r="K14" t="s">
        <v>2434</v>
      </c>
    </row>
    <row r="15" spans="1:11" x14ac:dyDescent="0.25">
      <c r="A15" t="s">
        <v>2436</v>
      </c>
      <c r="B15" t="s">
        <v>2437</v>
      </c>
      <c r="C15" t="str">
        <f>B15</f>
        <v>1B1 Solid Fuels</v>
      </c>
      <c r="G15" t="s">
        <v>1322</v>
      </c>
      <c r="H15" t="s">
        <v>2424</v>
      </c>
      <c r="I15" t="s">
        <v>2425</v>
      </c>
      <c r="J15" t="str">
        <f t="shared" si="0"/>
        <v>1A1 Energy Industries</v>
      </c>
      <c r="K15" t="s">
        <v>2434</v>
      </c>
    </row>
    <row r="16" spans="1:11" x14ac:dyDescent="0.25">
      <c r="A16" t="s">
        <v>2436</v>
      </c>
      <c r="B16" t="s">
        <v>140</v>
      </c>
      <c r="C16" t="str">
        <f>B16</f>
        <v>1B2 Oil and Natural Gas</v>
      </c>
      <c r="G16" t="s">
        <v>3582</v>
      </c>
      <c r="H16" t="s">
        <v>2424</v>
      </c>
      <c r="I16" t="s">
        <v>2425</v>
      </c>
      <c r="J16" t="str">
        <f t="shared" si="0"/>
        <v>1A1 Energy Industries</v>
      </c>
      <c r="K16" t="s">
        <v>2434</v>
      </c>
    </row>
    <row r="17" spans="1:11" x14ac:dyDescent="0.25">
      <c r="A17" t="s">
        <v>2436</v>
      </c>
      <c r="B17" t="s">
        <v>2435</v>
      </c>
      <c r="C17" t="str">
        <f>B17</f>
        <v>1B3 Other Emissions from Energy Production</v>
      </c>
      <c r="G17" t="s">
        <v>1313</v>
      </c>
      <c r="H17" t="s">
        <v>2424</v>
      </c>
      <c r="I17" t="s">
        <v>2425</v>
      </c>
      <c r="J17" t="str">
        <f t="shared" si="0"/>
        <v>1A1 Energy Industries</v>
      </c>
      <c r="K17" t="s">
        <v>2434</v>
      </c>
    </row>
    <row r="18" spans="1:11" x14ac:dyDescent="0.25">
      <c r="G18" t="s">
        <v>3584</v>
      </c>
      <c r="H18" t="s">
        <v>2424</v>
      </c>
      <c r="I18" t="s">
        <v>2425</v>
      </c>
      <c r="J18" t="str">
        <f t="shared" si="0"/>
        <v>1A1 Energy Industries</v>
      </c>
      <c r="K18" t="s">
        <v>2434</v>
      </c>
    </row>
    <row r="19" spans="1:11" x14ac:dyDescent="0.25">
      <c r="G19" t="s">
        <v>1305</v>
      </c>
      <c r="H19" t="s">
        <v>2424</v>
      </c>
      <c r="I19" t="s">
        <v>2425</v>
      </c>
      <c r="J19" t="str">
        <f t="shared" si="0"/>
        <v>1A1 Energy Industries</v>
      </c>
      <c r="K19" t="s">
        <v>2434</v>
      </c>
    </row>
    <row r="20" spans="1:11" x14ac:dyDescent="0.25">
      <c r="G20" t="s">
        <v>1301</v>
      </c>
      <c r="H20" t="s">
        <v>2424</v>
      </c>
      <c r="I20" t="s">
        <v>2425</v>
      </c>
      <c r="J20" t="str">
        <f t="shared" si="0"/>
        <v>1A1 Energy Industries</v>
      </c>
      <c r="K20" t="s">
        <v>2434</v>
      </c>
    </row>
    <row r="21" spans="1:11" x14ac:dyDescent="0.25">
      <c r="G21" t="s">
        <v>1296</v>
      </c>
      <c r="H21" t="s">
        <v>2424</v>
      </c>
      <c r="J21">
        <f t="shared" si="0"/>
        <v>0</v>
      </c>
    </row>
    <row r="22" spans="1:11" x14ac:dyDescent="0.25">
      <c r="G22" t="s">
        <v>1264</v>
      </c>
      <c r="H22" t="s">
        <v>2424</v>
      </c>
      <c r="I22" t="s">
        <v>2425</v>
      </c>
      <c r="J22" t="s">
        <v>2433</v>
      </c>
      <c r="K22" t="s">
        <v>3769</v>
      </c>
    </row>
    <row r="23" spans="1:11" x14ac:dyDescent="0.25">
      <c r="G23" t="s">
        <v>1262</v>
      </c>
      <c r="H23" t="s">
        <v>2424</v>
      </c>
      <c r="I23" t="s">
        <v>2425</v>
      </c>
      <c r="J23" t="s">
        <v>2433</v>
      </c>
      <c r="K23" t="s">
        <v>3770</v>
      </c>
    </row>
    <row r="24" spans="1:11" x14ac:dyDescent="0.25">
      <c r="G24" t="s">
        <v>1235</v>
      </c>
      <c r="H24" t="s">
        <v>2424</v>
      </c>
      <c r="I24" t="s">
        <v>2425</v>
      </c>
      <c r="J24" t="s">
        <v>2433</v>
      </c>
      <c r="K24" t="s">
        <v>3773</v>
      </c>
    </row>
    <row r="25" spans="1:11" x14ac:dyDescent="0.25">
      <c r="G25" t="s">
        <v>1193</v>
      </c>
      <c r="H25" t="s">
        <v>2424</v>
      </c>
      <c r="I25" t="s">
        <v>2425</v>
      </c>
      <c r="J25" t="s">
        <v>2433</v>
      </c>
      <c r="K25" t="s">
        <v>3770</v>
      </c>
    </row>
    <row r="26" spans="1:11" x14ac:dyDescent="0.25">
      <c r="G26" t="s">
        <v>1159</v>
      </c>
      <c r="H26" t="s">
        <v>2424</v>
      </c>
      <c r="I26" t="s">
        <v>2425</v>
      </c>
      <c r="J26" t="s">
        <v>2433</v>
      </c>
      <c r="K26" t="s">
        <v>3775</v>
      </c>
    </row>
    <row r="27" spans="1:11" x14ac:dyDescent="0.25">
      <c r="G27" t="s">
        <v>423</v>
      </c>
      <c r="H27" t="s">
        <v>2424</v>
      </c>
      <c r="J27">
        <v>0</v>
      </c>
    </row>
    <row r="28" spans="1:11" x14ac:dyDescent="0.25">
      <c r="G28" t="s">
        <v>1107</v>
      </c>
      <c r="H28" t="s">
        <v>2424</v>
      </c>
      <c r="I28" t="s">
        <v>2425</v>
      </c>
      <c r="J28" t="s">
        <v>2433</v>
      </c>
      <c r="K28" t="s">
        <v>3771</v>
      </c>
    </row>
    <row r="29" spans="1:11" x14ac:dyDescent="0.25">
      <c r="G29" t="s">
        <v>3766</v>
      </c>
      <c r="H29" t="s">
        <v>2424</v>
      </c>
      <c r="I29" t="s">
        <v>2425</v>
      </c>
      <c r="J29" t="s">
        <v>2433</v>
      </c>
      <c r="K29" t="s">
        <v>3771</v>
      </c>
    </row>
    <row r="30" spans="1:11" x14ac:dyDescent="0.25">
      <c r="G30" t="s">
        <v>3049</v>
      </c>
      <c r="H30" t="s">
        <v>2424</v>
      </c>
      <c r="I30" t="s">
        <v>2425</v>
      </c>
      <c r="J30" t="s">
        <v>2433</v>
      </c>
      <c r="K30" t="s">
        <v>3771</v>
      </c>
    </row>
    <row r="31" spans="1:11" x14ac:dyDescent="0.25">
      <c r="G31" t="s">
        <v>3795</v>
      </c>
      <c r="H31" t="s">
        <v>2424</v>
      </c>
      <c r="I31" t="s">
        <v>2425</v>
      </c>
      <c r="J31" t="s">
        <v>2433</v>
      </c>
      <c r="K31" t="s">
        <v>3774</v>
      </c>
    </row>
    <row r="32" spans="1:11" x14ac:dyDescent="0.25">
      <c r="G32" t="s">
        <v>1064</v>
      </c>
      <c r="H32" t="s">
        <v>2424</v>
      </c>
      <c r="I32" t="s">
        <v>2425</v>
      </c>
      <c r="J32" t="s">
        <v>2433</v>
      </c>
      <c r="K32" t="s">
        <v>3774</v>
      </c>
    </row>
    <row r="33" spans="7:11" x14ac:dyDescent="0.25">
      <c r="G33" t="s">
        <v>1022</v>
      </c>
      <c r="H33" t="s">
        <v>2424</v>
      </c>
      <c r="I33" t="s">
        <v>2425</v>
      </c>
      <c r="J33" t="s">
        <v>2433</v>
      </c>
      <c r="K33" t="s">
        <v>3776</v>
      </c>
    </row>
    <row r="34" spans="7:11" x14ac:dyDescent="0.25">
      <c r="G34" t="s">
        <v>959</v>
      </c>
      <c r="H34" t="s">
        <v>2424</v>
      </c>
      <c r="I34" t="s">
        <v>2425</v>
      </c>
      <c r="J34" t="s">
        <v>2433</v>
      </c>
      <c r="K34" t="s">
        <v>3772</v>
      </c>
    </row>
    <row r="35" spans="7:11" x14ac:dyDescent="0.25">
      <c r="G35" t="s">
        <v>2857</v>
      </c>
      <c r="H35" t="s">
        <v>2424</v>
      </c>
      <c r="I35" t="s">
        <v>2423</v>
      </c>
      <c r="J35" t="s">
        <v>2437</v>
      </c>
      <c r="K35" t="s">
        <v>3274</v>
      </c>
    </row>
    <row r="36" spans="7:11" x14ac:dyDescent="0.25">
      <c r="G36" t="s">
        <v>2858</v>
      </c>
      <c r="H36" t="s">
        <v>2424</v>
      </c>
      <c r="I36" t="s">
        <v>2423</v>
      </c>
      <c r="J36" t="s">
        <v>140</v>
      </c>
      <c r="K36" t="s">
        <v>3275</v>
      </c>
    </row>
    <row r="37" spans="7:11" x14ac:dyDescent="0.25">
      <c r="G37" t="s">
        <v>2903</v>
      </c>
      <c r="H37" t="s">
        <v>2424</v>
      </c>
      <c r="I37" t="s">
        <v>2423</v>
      </c>
      <c r="J37" t="s">
        <v>140</v>
      </c>
      <c r="K37" t="s">
        <v>3275</v>
      </c>
    </row>
    <row r="38" spans="7:11" x14ac:dyDescent="0.25">
      <c r="G38" t="s">
        <v>859</v>
      </c>
      <c r="H38" t="s">
        <v>2424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2424</v>
      </c>
      <c r="I39" t="s">
        <v>2425</v>
      </c>
      <c r="J39" t="str">
        <f t="shared" ref="J39:J49" si="2">IFERROR(INDEX($B$2:$B$13,MATCH(K39,$C$2:$C$13,0)),0)</f>
        <v>1A4 Other Sectors</v>
      </c>
      <c r="K39" t="s">
        <v>2432</v>
      </c>
    </row>
    <row r="40" spans="7:11" x14ac:dyDescent="0.25">
      <c r="G40" t="s">
        <v>778</v>
      </c>
      <c r="H40" t="s">
        <v>2424</v>
      </c>
      <c r="I40" t="s">
        <v>2425</v>
      </c>
      <c r="J40" t="str">
        <f t="shared" si="2"/>
        <v>1A4 Other Sectors</v>
      </c>
      <c r="K40" t="s">
        <v>2432</v>
      </c>
    </row>
    <row r="41" spans="7:11" x14ac:dyDescent="0.25">
      <c r="G41" t="s">
        <v>718</v>
      </c>
      <c r="H41" t="s">
        <v>2424</v>
      </c>
      <c r="I41" t="s">
        <v>2425</v>
      </c>
      <c r="J41" t="str">
        <f t="shared" si="2"/>
        <v>1A4 Other Sectors</v>
      </c>
      <c r="K41" t="s">
        <v>2432</v>
      </c>
    </row>
    <row r="42" spans="7:11" x14ac:dyDescent="0.25">
      <c r="G42" t="s">
        <v>3076</v>
      </c>
      <c r="H42" t="s">
        <v>2424</v>
      </c>
      <c r="I42" t="s">
        <v>2425</v>
      </c>
      <c r="J42" t="str">
        <f t="shared" si="2"/>
        <v>1A3 Transport</v>
      </c>
      <c r="K42" t="s">
        <v>2431</v>
      </c>
    </row>
    <row r="43" spans="7:11" x14ac:dyDescent="0.25">
      <c r="G43" t="s">
        <v>37</v>
      </c>
      <c r="H43" t="s">
        <v>2424</v>
      </c>
      <c r="I43" t="s">
        <v>2425</v>
      </c>
      <c r="J43" t="str">
        <f t="shared" si="2"/>
        <v>1A3 Transport</v>
      </c>
      <c r="K43" t="s">
        <v>2429</v>
      </c>
    </row>
    <row r="44" spans="7:11" x14ac:dyDescent="0.25">
      <c r="G44" t="s">
        <v>598</v>
      </c>
      <c r="H44" t="s">
        <v>2424</v>
      </c>
      <c r="I44" t="s">
        <v>2425</v>
      </c>
      <c r="J44">
        <f t="shared" si="2"/>
        <v>0</v>
      </c>
    </row>
    <row r="45" spans="7:11" x14ac:dyDescent="0.25">
      <c r="G45" t="s">
        <v>578</v>
      </c>
      <c r="H45" t="s">
        <v>2424</v>
      </c>
      <c r="I45" t="s">
        <v>2425</v>
      </c>
      <c r="J45" t="str">
        <f t="shared" si="2"/>
        <v>1A3 Transport</v>
      </c>
      <c r="K45" t="s">
        <v>2430</v>
      </c>
    </row>
    <row r="46" spans="7:11" x14ac:dyDescent="0.25">
      <c r="G46" t="s">
        <v>30</v>
      </c>
      <c r="H46" t="s">
        <v>2424</v>
      </c>
      <c r="I46" t="s">
        <v>2425</v>
      </c>
      <c r="J46" t="str">
        <f t="shared" si="2"/>
        <v>1A3 Transport</v>
      </c>
      <c r="K46" t="s">
        <v>2429</v>
      </c>
    </row>
    <row r="47" spans="7:11" x14ac:dyDescent="0.25">
      <c r="G47" t="s">
        <v>25</v>
      </c>
      <c r="H47" t="s">
        <v>2424</v>
      </c>
      <c r="I47" t="s">
        <v>2425</v>
      </c>
      <c r="J47" t="str">
        <f t="shared" si="2"/>
        <v>1A3 Transport</v>
      </c>
      <c r="K47" t="s">
        <v>2429</v>
      </c>
    </row>
    <row r="48" spans="7:11" x14ac:dyDescent="0.25">
      <c r="G48" t="s">
        <v>457</v>
      </c>
      <c r="H48" t="s">
        <v>2424</v>
      </c>
      <c r="I48" t="s">
        <v>2425</v>
      </c>
      <c r="J48" t="str">
        <f t="shared" si="2"/>
        <v>1A3 Transport</v>
      </c>
      <c r="K48" t="s">
        <v>2428</v>
      </c>
    </row>
    <row r="49" spans="7:11" x14ac:dyDescent="0.25">
      <c r="G49" t="s">
        <v>445</v>
      </c>
      <c r="H49" t="s">
        <v>2424</v>
      </c>
      <c r="I49" t="s">
        <v>2425</v>
      </c>
      <c r="J49" t="str">
        <f t="shared" si="2"/>
        <v>1A1 Energy Industries</v>
      </c>
      <c r="K49" t="s">
        <v>2426</v>
      </c>
    </row>
    <row r="50" spans="7:11" x14ac:dyDescent="0.25">
      <c r="G50" t="s">
        <v>3448</v>
      </c>
      <c r="H50" t="s">
        <v>2420</v>
      </c>
      <c r="I50" t="s">
        <v>334</v>
      </c>
      <c r="J50" t="s">
        <v>3777</v>
      </c>
      <c r="K50" t="s">
        <v>3777</v>
      </c>
    </row>
    <row r="51" spans="7:11" x14ac:dyDescent="0.25">
      <c r="G51" t="s">
        <v>3450</v>
      </c>
      <c r="H51" t="s">
        <v>2420</v>
      </c>
      <c r="I51" t="s">
        <v>334</v>
      </c>
      <c r="J51" t="s">
        <v>3777</v>
      </c>
      <c r="K51" t="s">
        <v>3777</v>
      </c>
    </row>
    <row r="52" spans="7:11" x14ac:dyDescent="0.25">
      <c r="G52" t="s">
        <v>411</v>
      </c>
      <c r="H52" t="s">
        <v>2424</v>
      </c>
      <c r="I52" t="s">
        <v>2423</v>
      </c>
      <c r="J52" t="s">
        <v>2422</v>
      </c>
      <c r="K52" t="s">
        <v>383</v>
      </c>
    </row>
    <row r="53" spans="7:11" x14ac:dyDescent="0.25">
      <c r="G53" t="s">
        <v>3125</v>
      </c>
      <c r="H53" t="s">
        <v>2424</v>
      </c>
      <c r="I53" t="s">
        <v>2425</v>
      </c>
      <c r="J53" t="s">
        <v>2444</v>
      </c>
      <c r="K53" t="s">
        <v>2427</v>
      </c>
    </row>
    <row r="54" spans="7:11" x14ac:dyDescent="0.25">
      <c r="G54" t="s">
        <v>2427</v>
      </c>
      <c r="H54" t="s">
        <v>2424</v>
      </c>
      <c r="I54" t="s">
        <v>2425</v>
      </c>
      <c r="J54" t="str">
        <f t="shared" ref="J54:J60" si="3">IFERROR(INDEX($B$2:$B$13,MATCH(K54,$C$2:$C$13,0)),0)</f>
        <v>1A1 Energy Industries</v>
      </c>
      <c r="K54" t="s">
        <v>2427</v>
      </c>
    </row>
    <row r="55" spans="7:11" x14ac:dyDescent="0.25">
      <c r="G55" t="s">
        <v>403</v>
      </c>
      <c r="H55" t="s">
        <v>2424</v>
      </c>
      <c r="I55" t="s">
        <v>2425</v>
      </c>
      <c r="J55">
        <f t="shared" si="3"/>
        <v>0</v>
      </c>
    </row>
    <row r="56" spans="7:11" x14ac:dyDescent="0.25">
      <c r="G56" t="s">
        <v>399</v>
      </c>
      <c r="H56" t="s">
        <v>2424</v>
      </c>
      <c r="I56" t="s">
        <v>2425</v>
      </c>
      <c r="J56">
        <f t="shared" si="3"/>
        <v>0</v>
      </c>
    </row>
    <row r="57" spans="7:11" x14ac:dyDescent="0.25">
      <c r="G57" t="s">
        <v>392</v>
      </c>
      <c r="H57" t="s">
        <v>2424</v>
      </c>
      <c r="I57" t="s">
        <v>2425</v>
      </c>
      <c r="J57" t="str">
        <f t="shared" si="3"/>
        <v>1A1 Energy Industries</v>
      </c>
      <c r="K57" t="s">
        <v>2426</v>
      </c>
    </row>
    <row r="58" spans="7:11" x14ac:dyDescent="0.25">
      <c r="G58" t="s">
        <v>144</v>
      </c>
      <c r="H58" t="s">
        <v>2424</v>
      </c>
      <c r="J58">
        <f t="shared" si="3"/>
        <v>0</v>
      </c>
    </row>
    <row r="59" spans="7:11" x14ac:dyDescent="0.25">
      <c r="G59" t="s">
        <v>44</v>
      </c>
      <c r="H59" t="s">
        <v>2424</v>
      </c>
      <c r="J59">
        <f t="shared" si="3"/>
        <v>0</v>
      </c>
    </row>
    <row r="60" spans="7:11" x14ac:dyDescent="0.25">
      <c r="G60" t="s">
        <v>20</v>
      </c>
      <c r="H60" t="s">
        <v>2424</v>
      </c>
      <c r="I60" t="s">
        <v>2425</v>
      </c>
      <c r="J60">
        <f t="shared" si="3"/>
        <v>0</v>
      </c>
    </row>
    <row r="61" spans="7:11" x14ac:dyDescent="0.25">
      <c r="G61" t="s">
        <v>148</v>
      </c>
      <c r="H61" t="s">
        <v>2424</v>
      </c>
      <c r="I61" t="s">
        <v>2423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2424</v>
      </c>
      <c r="I62" t="s">
        <v>2423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2424</v>
      </c>
      <c r="I63" t="s">
        <v>2423</v>
      </c>
      <c r="J63" t="s">
        <v>2422</v>
      </c>
      <c r="K63" t="s">
        <v>383</v>
      </c>
    </row>
    <row r="64" spans="7:11" x14ac:dyDescent="0.25">
      <c r="G64" t="s">
        <v>416</v>
      </c>
      <c r="H64" t="s">
        <v>2424</v>
      </c>
      <c r="I64" t="s">
        <v>2423</v>
      </c>
      <c r="J64" t="s">
        <v>2422</v>
      </c>
      <c r="K64" t="s">
        <v>137</v>
      </c>
    </row>
    <row r="65" spans="7:11" x14ac:dyDescent="0.25">
      <c r="G65" t="s">
        <v>264</v>
      </c>
      <c r="H65" t="s">
        <v>2420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2420</v>
      </c>
      <c r="I67" t="s">
        <v>2421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2420</v>
      </c>
      <c r="I68" t="s">
        <v>2421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2420</v>
      </c>
      <c r="I69" t="s">
        <v>2421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3597</v>
      </c>
      <c r="H71" t="s">
        <v>2424</v>
      </c>
      <c r="I71" t="s">
        <v>2425</v>
      </c>
      <c r="J71" t="s">
        <v>2444</v>
      </c>
      <c r="K71" t="s">
        <v>2434</v>
      </c>
    </row>
    <row r="72" spans="7:11" x14ac:dyDescent="0.25">
      <c r="G72" t="s">
        <v>3719</v>
      </c>
      <c r="H72" t="s">
        <v>2424</v>
      </c>
      <c r="I72" t="s">
        <v>2425</v>
      </c>
      <c r="J72" t="s">
        <v>2444</v>
      </c>
      <c r="K72" t="s">
        <v>2434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2451</v>
      </c>
      <c r="B2" t="s">
        <v>2452</v>
      </c>
    </row>
    <row r="3" spans="1:2" x14ac:dyDescent="0.25">
      <c r="A3" t="s">
        <v>2453</v>
      </c>
      <c r="B3" t="s">
        <v>2454</v>
      </c>
    </row>
    <row r="4" spans="1:2" x14ac:dyDescent="0.25">
      <c r="A4" t="s">
        <v>2455</v>
      </c>
      <c r="B4" t="s">
        <v>2456</v>
      </c>
    </row>
    <row r="5" spans="1:2" x14ac:dyDescent="0.25">
      <c r="A5" t="s">
        <v>2457</v>
      </c>
      <c r="B5" t="s">
        <v>2456</v>
      </c>
    </row>
    <row r="6" spans="1:2" x14ac:dyDescent="0.25">
      <c r="A6" t="s">
        <v>2458</v>
      </c>
      <c r="B6" t="s">
        <v>2459</v>
      </c>
    </row>
    <row r="7" spans="1:2" x14ac:dyDescent="0.25">
      <c r="A7" t="s">
        <v>2460</v>
      </c>
      <c r="B7" t="s">
        <v>2461</v>
      </c>
    </row>
    <row r="8" spans="1:2" x14ac:dyDescent="0.25">
      <c r="A8" t="s">
        <v>2462</v>
      </c>
      <c r="B8" t="s">
        <v>2463</v>
      </c>
    </row>
    <row r="9" spans="1:2" x14ac:dyDescent="0.25">
      <c r="A9" t="s">
        <v>2464</v>
      </c>
      <c r="B9" t="s">
        <v>2465</v>
      </c>
    </row>
    <row r="10" spans="1:2" x14ac:dyDescent="0.25">
      <c r="A10" t="s">
        <v>2466</v>
      </c>
      <c r="B10" t="s">
        <v>2467</v>
      </c>
    </row>
    <row r="11" spans="1:2" x14ac:dyDescent="0.25">
      <c r="A11" t="s">
        <v>2468</v>
      </c>
      <c r="B11" t="s">
        <v>2469</v>
      </c>
    </row>
    <row r="12" spans="1:2" x14ac:dyDescent="0.25">
      <c r="A12" t="s">
        <v>2470</v>
      </c>
      <c r="B12" t="s">
        <v>2471</v>
      </c>
    </row>
    <row r="13" spans="1:2" x14ac:dyDescent="0.25">
      <c r="A13" t="s">
        <v>2472</v>
      </c>
      <c r="B13" t="s">
        <v>2473</v>
      </c>
    </row>
    <row r="14" spans="1:2" x14ac:dyDescent="0.25">
      <c r="A14" t="s">
        <v>2474</v>
      </c>
      <c r="B14" t="s">
        <v>2475</v>
      </c>
    </row>
    <row r="15" spans="1:2" x14ac:dyDescent="0.25">
      <c r="A15" t="s">
        <v>2476</v>
      </c>
      <c r="B15" t="s">
        <v>2477</v>
      </c>
    </row>
    <row r="16" spans="1:2" x14ac:dyDescent="0.25">
      <c r="A16" t="s">
        <v>2478</v>
      </c>
      <c r="B16" t="s">
        <v>2477</v>
      </c>
    </row>
    <row r="17" spans="1:2" x14ac:dyDescent="0.25">
      <c r="A17" t="s">
        <v>2479</v>
      </c>
      <c r="B17" t="s">
        <v>2480</v>
      </c>
    </row>
    <row r="18" spans="1:2" x14ac:dyDescent="0.25">
      <c r="A18" t="s">
        <v>2481</v>
      </c>
      <c r="B18" t="s">
        <v>2482</v>
      </c>
    </row>
    <row r="19" spans="1:2" x14ac:dyDescent="0.25">
      <c r="A19" t="s">
        <v>2483</v>
      </c>
      <c r="B19" t="s">
        <v>2484</v>
      </c>
    </row>
    <row r="20" spans="1:2" x14ac:dyDescent="0.25">
      <c r="A20" t="s">
        <v>2485</v>
      </c>
      <c r="B20" t="s">
        <v>2486</v>
      </c>
    </row>
    <row r="21" spans="1:2" x14ac:dyDescent="0.25">
      <c r="A21" t="s">
        <v>2487</v>
      </c>
      <c r="B21" t="s">
        <v>2488</v>
      </c>
    </row>
    <row r="22" spans="1:2" x14ac:dyDescent="0.25">
      <c r="A22" t="s">
        <v>2489</v>
      </c>
      <c r="B22" t="s">
        <v>2490</v>
      </c>
    </row>
    <row r="23" spans="1:2" x14ac:dyDescent="0.25">
      <c r="A23" t="s">
        <v>2491</v>
      </c>
      <c r="B23" t="s">
        <v>2492</v>
      </c>
    </row>
    <row r="24" spans="1:2" x14ac:dyDescent="0.25">
      <c r="A24" t="s">
        <v>2493</v>
      </c>
      <c r="B24" t="s">
        <v>2494</v>
      </c>
    </row>
    <row r="25" spans="1:2" x14ac:dyDescent="0.25">
      <c r="A25" t="s">
        <v>2495</v>
      </c>
      <c r="B25" t="s">
        <v>2496</v>
      </c>
    </row>
    <row r="26" spans="1:2" x14ac:dyDescent="0.25">
      <c r="A26" t="s">
        <v>2497</v>
      </c>
      <c r="B26" t="s">
        <v>2498</v>
      </c>
    </row>
    <row r="27" spans="1:2" x14ac:dyDescent="0.25">
      <c r="A27" t="s">
        <v>2499</v>
      </c>
      <c r="B27" t="s">
        <v>2500</v>
      </c>
    </row>
    <row r="28" spans="1:2" x14ac:dyDescent="0.25">
      <c r="A28" t="s">
        <v>2501</v>
      </c>
      <c r="B28" t="s">
        <v>2502</v>
      </c>
    </row>
    <row r="29" spans="1:2" x14ac:dyDescent="0.25">
      <c r="A29" t="s">
        <v>2503</v>
      </c>
      <c r="B29" t="s">
        <v>2504</v>
      </c>
    </row>
    <row r="30" spans="1:2" x14ac:dyDescent="0.25">
      <c r="A30" t="s">
        <v>2505</v>
      </c>
      <c r="B30" t="s">
        <v>2506</v>
      </c>
    </row>
    <row r="31" spans="1:2" x14ac:dyDescent="0.25">
      <c r="A31" t="s">
        <v>2507</v>
      </c>
      <c r="B31" t="s">
        <v>2508</v>
      </c>
    </row>
    <row r="32" spans="1:2" x14ac:dyDescent="0.25">
      <c r="A32" t="s">
        <v>2509</v>
      </c>
      <c r="B32" t="s">
        <v>2510</v>
      </c>
    </row>
    <row r="33" spans="1:2" x14ac:dyDescent="0.25">
      <c r="A33" t="s">
        <v>2511</v>
      </c>
      <c r="B33" t="s">
        <v>2512</v>
      </c>
    </row>
    <row r="34" spans="1:2" x14ac:dyDescent="0.25">
      <c r="A34" t="s">
        <v>2513</v>
      </c>
      <c r="B34" t="s">
        <v>2514</v>
      </c>
    </row>
    <row r="35" spans="1:2" x14ac:dyDescent="0.25">
      <c r="A35" t="s">
        <v>2515</v>
      </c>
      <c r="B35" t="s">
        <v>2516</v>
      </c>
    </row>
    <row r="36" spans="1:2" x14ac:dyDescent="0.25">
      <c r="A36" t="s">
        <v>2517</v>
      </c>
      <c r="B36" t="s">
        <v>2518</v>
      </c>
    </row>
    <row r="37" spans="1:2" x14ac:dyDescent="0.25">
      <c r="A37" t="s">
        <v>2519</v>
      </c>
      <c r="B37" t="s">
        <v>2520</v>
      </c>
    </row>
    <row r="38" spans="1:2" x14ac:dyDescent="0.25">
      <c r="A38" t="s">
        <v>2521</v>
      </c>
      <c r="B38" t="s">
        <v>2522</v>
      </c>
    </row>
    <row r="39" spans="1:2" x14ac:dyDescent="0.25">
      <c r="A39" t="s">
        <v>2523</v>
      </c>
      <c r="B39" t="s">
        <v>2524</v>
      </c>
    </row>
    <row r="40" spans="1:2" x14ac:dyDescent="0.25">
      <c r="A40" t="s">
        <v>2525</v>
      </c>
      <c r="B40" t="s">
        <v>2526</v>
      </c>
    </row>
    <row r="41" spans="1:2" x14ac:dyDescent="0.25">
      <c r="A41" t="s">
        <v>2527</v>
      </c>
      <c r="B41" t="s">
        <v>2528</v>
      </c>
    </row>
    <row r="42" spans="1:2" x14ac:dyDescent="0.25">
      <c r="A42" t="s">
        <v>2529</v>
      </c>
      <c r="B42" t="s">
        <v>2530</v>
      </c>
    </row>
    <row r="43" spans="1:2" x14ac:dyDescent="0.25">
      <c r="A43" t="s">
        <v>2531</v>
      </c>
      <c r="B43" t="s">
        <v>2532</v>
      </c>
    </row>
    <row r="44" spans="1:2" x14ac:dyDescent="0.25">
      <c r="A44" t="s">
        <v>2533</v>
      </c>
      <c r="B44" t="s">
        <v>2534</v>
      </c>
    </row>
    <row r="45" spans="1:2" x14ac:dyDescent="0.25">
      <c r="A45" t="s">
        <v>2535</v>
      </c>
      <c r="B45" t="s">
        <v>2536</v>
      </c>
    </row>
    <row r="46" spans="1:2" x14ac:dyDescent="0.25">
      <c r="A46" t="s">
        <v>2537</v>
      </c>
      <c r="B46" t="s">
        <v>2538</v>
      </c>
    </row>
    <row r="47" spans="1:2" x14ac:dyDescent="0.25">
      <c r="A47" t="s">
        <v>2539</v>
      </c>
      <c r="B47" t="s">
        <v>2540</v>
      </c>
    </row>
    <row r="48" spans="1:2" x14ac:dyDescent="0.25">
      <c r="A48" t="s">
        <v>2541</v>
      </c>
      <c r="B48" t="s">
        <v>2542</v>
      </c>
    </row>
    <row r="49" spans="1:2" x14ac:dyDescent="0.25">
      <c r="A49" t="s">
        <v>2543</v>
      </c>
      <c r="B49" t="s">
        <v>2544</v>
      </c>
    </row>
    <row r="50" spans="1:2" x14ac:dyDescent="0.25">
      <c r="A50" t="s">
        <v>2545</v>
      </c>
      <c r="B50" t="s">
        <v>2546</v>
      </c>
    </row>
    <row r="51" spans="1:2" x14ac:dyDescent="0.25">
      <c r="A51" t="s">
        <v>2547</v>
      </c>
      <c r="B51" t="s">
        <v>2548</v>
      </c>
    </row>
    <row r="52" spans="1:2" x14ac:dyDescent="0.25">
      <c r="A52" t="s">
        <v>2549</v>
      </c>
      <c r="B52" t="s">
        <v>2550</v>
      </c>
    </row>
    <row r="53" spans="1:2" x14ac:dyDescent="0.25">
      <c r="A53" t="s">
        <v>2551</v>
      </c>
      <c r="B53" t="s">
        <v>2552</v>
      </c>
    </row>
    <row r="54" spans="1:2" x14ac:dyDescent="0.25">
      <c r="A54" t="s">
        <v>2553</v>
      </c>
      <c r="B54" t="s">
        <v>2554</v>
      </c>
    </row>
    <row r="55" spans="1:2" x14ac:dyDescent="0.25">
      <c r="A55" t="s">
        <v>2555</v>
      </c>
      <c r="B55" t="s">
        <v>2556</v>
      </c>
    </row>
    <row r="56" spans="1:2" x14ac:dyDescent="0.25">
      <c r="A56" t="s">
        <v>2557</v>
      </c>
      <c r="B56" t="s">
        <v>2558</v>
      </c>
    </row>
    <row r="57" spans="1:2" x14ac:dyDescent="0.25">
      <c r="A57" t="s">
        <v>2559</v>
      </c>
      <c r="B57" t="s">
        <v>2560</v>
      </c>
    </row>
    <row r="58" spans="1:2" x14ac:dyDescent="0.25">
      <c r="A58" t="s">
        <v>2561</v>
      </c>
      <c r="B58" t="s">
        <v>2562</v>
      </c>
    </row>
    <row r="59" spans="1:2" x14ac:dyDescent="0.25">
      <c r="A59" t="s">
        <v>2563</v>
      </c>
      <c r="B59" t="s">
        <v>2564</v>
      </c>
    </row>
    <row r="60" spans="1:2" x14ac:dyDescent="0.25">
      <c r="A60" t="s">
        <v>2565</v>
      </c>
      <c r="B60" t="s">
        <v>2566</v>
      </c>
    </row>
    <row r="61" spans="1:2" x14ac:dyDescent="0.25">
      <c r="A61" t="s">
        <v>2567</v>
      </c>
      <c r="B61" t="s">
        <v>2568</v>
      </c>
    </row>
    <row r="62" spans="1:2" x14ac:dyDescent="0.25">
      <c r="A62" t="s">
        <v>2569</v>
      </c>
      <c r="B62" t="s">
        <v>2570</v>
      </c>
    </row>
    <row r="63" spans="1:2" x14ac:dyDescent="0.25">
      <c r="A63" t="s">
        <v>2571</v>
      </c>
      <c r="B63" t="s">
        <v>2572</v>
      </c>
    </row>
    <row r="64" spans="1:2" x14ac:dyDescent="0.25">
      <c r="A64" t="s">
        <v>2573</v>
      </c>
      <c r="B64" t="s">
        <v>2574</v>
      </c>
    </row>
    <row r="65" spans="1:2" x14ac:dyDescent="0.25">
      <c r="A65" t="s">
        <v>2575</v>
      </c>
      <c r="B65" t="s">
        <v>2576</v>
      </c>
    </row>
    <row r="66" spans="1:2" x14ac:dyDescent="0.25">
      <c r="A66" t="s">
        <v>2577</v>
      </c>
      <c r="B66" t="s">
        <v>2578</v>
      </c>
    </row>
    <row r="67" spans="1:2" x14ac:dyDescent="0.25">
      <c r="A67" t="s">
        <v>2579</v>
      </c>
      <c r="B67" t="s">
        <v>2580</v>
      </c>
    </row>
    <row r="68" spans="1:2" x14ac:dyDescent="0.25">
      <c r="A68" t="s">
        <v>2581</v>
      </c>
      <c r="B68" t="s">
        <v>2582</v>
      </c>
    </row>
    <row r="69" spans="1:2" x14ac:dyDescent="0.25">
      <c r="A69" t="s">
        <v>2583</v>
      </c>
      <c r="B69" t="s">
        <v>2584</v>
      </c>
    </row>
    <row r="70" spans="1:2" x14ac:dyDescent="0.25">
      <c r="A70" t="s">
        <v>2585</v>
      </c>
      <c r="B70" t="s">
        <v>2586</v>
      </c>
    </row>
    <row r="71" spans="1:2" x14ac:dyDescent="0.25">
      <c r="A71" t="s">
        <v>2587</v>
      </c>
      <c r="B71" t="s">
        <v>2588</v>
      </c>
    </row>
    <row r="72" spans="1:2" x14ac:dyDescent="0.25">
      <c r="A72" t="s">
        <v>2589</v>
      </c>
      <c r="B72" t="s">
        <v>2590</v>
      </c>
    </row>
    <row r="73" spans="1:2" x14ac:dyDescent="0.25">
      <c r="A73" t="s">
        <v>2591</v>
      </c>
      <c r="B73" t="s">
        <v>2592</v>
      </c>
    </row>
    <row r="74" spans="1:2" x14ac:dyDescent="0.25">
      <c r="A74" t="s">
        <v>2593</v>
      </c>
      <c r="B74" t="s">
        <v>2594</v>
      </c>
    </row>
    <row r="75" spans="1:2" x14ac:dyDescent="0.25">
      <c r="A75" t="s">
        <v>2595</v>
      </c>
      <c r="B75" t="s">
        <v>2596</v>
      </c>
    </row>
    <row r="76" spans="1:2" x14ac:dyDescent="0.25">
      <c r="A76" t="s">
        <v>2597</v>
      </c>
      <c r="B76" t="s">
        <v>2598</v>
      </c>
    </row>
    <row r="77" spans="1:2" x14ac:dyDescent="0.25">
      <c r="A77" t="s">
        <v>2599</v>
      </c>
      <c r="B77" t="s">
        <v>2600</v>
      </c>
    </row>
    <row r="78" spans="1:2" x14ac:dyDescent="0.25">
      <c r="A78" t="s">
        <v>2601</v>
      </c>
      <c r="B78" t="s">
        <v>2602</v>
      </c>
    </row>
    <row r="79" spans="1:2" x14ac:dyDescent="0.25">
      <c r="A79" t="s">
        <v>2603</v>
      </c>
      <c r="B79" t="s">
        <v>2604</v>
      </c>
    </row>
    <row r="80" spans="1:2" x14ac:dyDescent="0.25">
      <c r="A80" t="s">
        <v>2605</v>
      </c>
      <c r="B80" t="s">
        <v>2606</v>
      </c>
    </row>
    <row r="81" spans="1:2" x14ac:dyDescent="0.25">
      <c r="A81" t="s">
        <v>2607</v>
      </c>
      <c r="B81" t="s">
        <v>2608</v>
      </c>
    </row>
    <row r="82" spans="1:2" x14ac:dyDescent="0.25">
      <c r="A82" t="s">
        <v>2609</v>
      </c>
      <c r="B82" t="s">
        <v>2610</v>
      </c>
    </row>
    <row r="83" spans="1:2" x14ac:dyDescent="0.25">
      <c r="A83" t="s">
        <v>2611</v>
      </c>
      <c r="B83" t="s">
        <v>2612</v>
      </c>
    </row>
    <row r="84" spans="1:2" x14ac:dyDescent="0.25">
      <c r="A84" t="s">
        <v>2613</v>
      </c>
      <c r="B84" t="s">
        <v>2614</v>
      </c>
    </row>
    <row r="85" spans="1:2" x14ac:dyDescent="0.25">
      <c r="A85" t="s">
        <v>2615</v>
      </c>
      <c r="B85" t="s">
        <v>2616</v>
      </c>
    </row>
    <row r="86" spans="1:2" x14ac:dyDescent="0.25">
      <c r="A86" t="s">
        <v>2617</v>
      </c>
      <c r="B86" t="s">
        <v>2616</v>
      </c>
    </row>
    <row r="87" spans="1:2" x14ac:dyDescent="0.25">
      <c r="A87" t="s">
        <v>2618</v>
      </c>
      <c r="B87" t="s">
        <v>2619</v>
      </c>
    </row>
    <row r="88" spans="1:2" x14ac:dyDescent="0.25">
      <c r="A88" t="s">
        <v>2620</v>
      </c>
      <c r="B88" t="s">
        <v>2621</v>
      </c>
    </row>
    <row r="89" spans="1:2" x14ac:dyDescent="0.25">
      <c r="A89" t="s">
        <v>2622</v>
      </c>
      <c r="B89" t="s">
        <v>2623</v>
      </c>
    </row>
    <row r="90" spans="1:2" x14ac:dyDescent="0.25">
      <c r="A90" t="s">
        <v>2624</v>
      </c>
      <c r="B90" t="s">
        <v>2623</v>
      </c>
    </row>
    <row r="91" spans="1:2" x14ac:dyDescent="0.25">
      <c r="A91" t="s">
        <v>2625</v>
      </c>
      <c r="B91" t="s">
        <v>2626</v>
      </c>
    </row>
    <row r="92" spans="1:2" x14ac:dyDescent="0.25">
      <c r="A92" t="s">
        <v>2627</v>
      </c>
      <c r="B92" t="s">
        <v>2626</v>
      </c>
    </row>
    <row r="93" spans="1:2" x14ac:dyDescent="0.25">
      <c r="A93" t="s">
        <v>2628</v>
      </c>
      <c r="B93" t="s">
        <v>2629</v>
      </c>
    </row>
    <row r="94" spans="1:2" x14ac:dyDescent="0.25">
      <c r="A94" t="s">
        <v>2630</v>
      </c>
      <c r="B94" t="s">
        <v>2629</v>
      </c>
    </row>
    <row r="95" spans="1:2" x14ac:dyDescent="0.25">
      <c r="A95" t="s">
        <v>2631</v>
      </c>
      <c r="B95" t="s">
        <v>2632</v>
      </c>
    </row>
    <row r="96" spans="1:2" x14ac:dyDescent="0.25">
      <c r="A96" t="s">
        <v>2633</v>
      </c>
      <c r="B96" t="s">
        <v>2634</v>
      </c>
    </row>
    <row r="97" spans="1:2" x14ac:dyDescent="0.25">
      <c r="A97" t="s">
        <v>2635</v>
      </c>
      <c r="B97" t="s">
        <v>587</v>
      </c>
    </row>
    <row r="98" spans="1:2" x14ac:dyDescent="0.25">
      <c r="A98" t="s">
        <v>2636</v>
      </c>
      <c r="B98" t="s">
        <v>587</v>
      </c>
    </row>
    <row r="99" spans="1:2" x14ac:dyDescent="0.25">
      <c r="A99" t="s">
        <v>2637</v>
      </c>
      <c r="B99" t="s">
        <v>2638</v>
      </c>
    </row>
    <row r="100" spans="1:2" x14ac:dyDescent="0.25">
      <c r="A100" t="s">
        <v>2639</v>
      </c>
      <c r="B100" t="s">
        <v>2638</v>
      </c>
    </row>
    <row r="101" spans="1:2" x14ac:dyDescent="0.25">
      <c r="A101" t="s">
        <v>2640</v>
      </c>
      <c r="B101" t="s">
        <v>576</v>
      </c>
    </row>
    <row r="102" spans="1:2" x14ac:dyDescent="0.25">
      <c r="A102" t="s">
        <v>2641</v>
      </c>
      <c r="B102" t="s">
        <v>576</v>
      </c>
    </row>
    <row r="103" spans="1:2" x14ac:dyDescent="0.25">
      <c r="A103" t="s">
        <v>2642</v>
      </c>
      <c r="B103" t="s">
        <v>2643</v>
      </c>
    </row>
    <row r="104" spans="1:2" x14ac:dyDescent="0.25">
      <c r="A104" t="s">
        <v>2644</v>
      </c>
      <c r="B104" t="s">
        <v>2643</v>
      </c>
    </row>
    <row r="105" spans="1:2" x14ac:dyDescent="0.25">
      <c r="A105" t="s">
        <v>2645</v>
      </c>
      <c r="B105" t="s">
        <v>2646</v>
      </c>
    </row>
    <row r="106" spans="1:2" x14ac:dyDescent="0.25">
      <c r="A106" t="s">
        <v>2647</v>
      </c>
      <c r="B106" t="s">
        <v>2648</v>
      </c>
    </row>
    <row r="107" spans="1:2" x14ac:dyDescent="0.25">
      <c r="A107" t="s">
        <v>2649</v>
      </c>
      <c r="B107" t="s">
        <v>567</v>
      </c>
    </row>
    <row r="108" spans="1:2" x14ac:dyDescent="0.25">
      <c r="A108" t="s">
        <v>2650</v>
      </c>
      <c r="B108" t="s">
        <v>567</v>
      </c>
    </row>
    <row r="109" spans="1:2" x14ac:dyDescent="0.25">
      <c r="A109" t="s">
        <v>2651</v>
      </c>
      <c r="B109" t="s">
        <v>2652</v>
      </c>
    </row>
    <row r="110" spans="1:2" x14ac:dyDescent="0.25">
      <c r="A110" t="s">
        <v>2653</v>
      </c>
      <c r="B110" t="s">
        <v>2652</v>
      </c>
    </row>
    <row r="111" spans="1:2" x14ac:dyDescent="0.25">
      <c r="A111" t="s">
        <v>2654</v>
      </c>
      <c r="B111" t="s">
        <v>560</v>
      </c>
    </row>
    <row r="112" spans="1:2" x14ac:dyDescent="0.25">
      <c r="A112" t="s">
        <v>2655</v>
      </c>
      <c r="B112" t="s">
        <v>560</v>
      </c>
    </row>
    <row r="113" spans="1:2" x14ac:dyDescent="0.25">
      <c r="A113" t="s">
        <v>2656</v>
      </c>
      <c r="B113" t="s">
        <v>2657</v>
      </c>
    </row>
    <row r="114" spans="1:2" x14ac:dyDescent="0.25">
      <c r="A114" t="s">
        <v>2658</v>
      </c>
      <c r="B114" t="s">
        <v>2657</v>
      </c>
    </row>
    <row r="115" spans="1:2" x14ac:dyDescent="0.25">
      <c r="A115" t="s">
        <v>2659</v>
      </c>
      <c r="B115" t="s">
        <v>551</v>
      </c>
    </row>
    <row r="116" spans="1:2" x14ac:dyDescent="0.25">
      <c r="A116" t="s">
        <v>2660</v>
      </c>
      <c r="B116" t="s">
        <v>551</v>
      </c>
    </row>
    <row r="117" spans="1:2" x14ac:dyDescent="0.25">
      <c r="A117" t="s">
        <v>2661</v>
      </c>
      <c r="B117" t="s">
        <v>2662</v>
      </c>
    </row>
    <row r="118" spans="1:2" x14ac:dyDescent="0.25">
      <c r="A118" t="s">
        <v>2663</v>
      </c>
      <c r="B118" t="s">
        <v>2662</v>
      </c>
    </row>
    <row r="119" spans="1:2" x14ac:dyDescent="0.25">
      <c r="A119" t="s">
        <v>2664</v>
      </c>
      <c r="B119" t="s">
        <v>2665</v>
      </c>
    </row>
    <row r="120" spans="1:2" x14ac:dyDescent="0.25">
      <c r="A120" t="s">
        <v>2666</v>
      </c>
      <c r="B120" t="s">
        <v>2665</v>
      </c>
    </row>
    <row r="121" spans="1:2" x14ac:dyDescent="0.25">
      <c r="A121" t="s">
        <v>2667</v>
      </c>
      <c r="B121" t="s">
        <v>543</v>
      </c>
    </row>
    <row r="122" spans="1:2" x14ac:dyDescent="0.25">
      <c r="A122" t="s">
        <v>2668</v>
      </c>
      <c r="B122" t="s">
        <v>543</v>
      </c>
    </row>
    <row r="123" spans="1:2" x14ac:dyDescent="0.25">
      <c r="A123" t="s">
        <v>2669</v>
      </c>
      <c r="B123" t="s">
        <v>2670</v>
      </c>
    </row>
    <row r="124" spans="1:2" x14ac:dyDescent="0.25">
      <c r="A124" t="s">
        <v>2671</v>
      </c>
      <c r="B124" t="s">
        <v>2670</v>
      </c>
    </row>
    <row r="125" spans="1:2" x14ac:dyDescent="0.25">
      <c r="A125" t="s">
        <v>2672</v>
      </c>
      <c r="B125" t="s">
        <v>2673</v>
      </c>
    </row>
    <row r="126" spans="1:2" x14ac:dyDescent="0.25">
      <c r="A126" t="s">
        <v>2674</v>
      </c>
      <c r="B126" t="s">
        <v>2675</v>
      </c>
    </row>
    <row r="127" spans="1:2" x14ac:dyDescent="0.25">
      <c r="A127" t="s">
        <v>2676</v>
      </c>
      <c r="B127" t="s">
        <v>537</v>
      </c>
    </row>
    <row r="128" spans="1:2" x14ac:dyDescent="0.25">
      <c r="A128" t="s">
        <v>2677</v>
      </c>
      <c r="B128" t="s">
        <v>537</v>
      </c>
    </row>
    <row r="129" spans="1:2" x14ac:dyDescent="0.25">
      <c r="A129" t="s">
        <v>2678</v>
      </c>
      <c r="B129" t="s">
        <v>2679</v>
      </c>
    </row>
    <row r="130" spans="1:2" x14ac:dyDescent="0.25">
      <c r="A130" t="s">
        <v>2680</v>
      </c>
      <c r="B130" t="s">
        <v>2679</v>
      </c>
    </row>
    <row r="131" spans="1:2" x14ac:dyDescent="0.25">
      <c r="A131" t="s">
        <v>2681</v>
      </c>
      <c r="B131" t="s">
        <v>530</v>
      </c>
    </row>
    <row r="132" spans="1:2" x14ac:dyDescent="0.25">
      <c r="A132" t="s">
        <v>2682</v>
      </c>
      <c r="B132" t="s">
        <v>530</v>
      </c>
    </row>
    <row r="133" spans="1:2" x14ac:dyDescent="0.25">
      <c r="A133" t="s">
        <v>2683</v>
      </c>
      <c r="B133" t="s">
        <v>2684</v>
      </c>
    </row>
    <row r="134" spans="1:2" x14ac:dyDescent="0.25">
      <c r="A134" t="s">
        <v>2685</v>
      </c>
      <c r="B134" t="s">
        <v>2684</v>
      </c>
    </row>
    <row r="135" spans="1:2" x14ac:dyDescent="0.25">
      <c r="A135" t="s">
        <v>2686</v>
      </c>
      <c r="B135" t="s">
        <v>523</v>
      </c>
    </row>
    <row r="136" spans="1:2" x14ac:dyDescent="0.25">
      <c r="A136" t="s">
        <v>2687</v>
      </c>
      <c r="B136" t="s">
        <v>523</v>
      </c>
    </row>
    <row r="137" spans="1:2" x14ac:dyDescent="0.25">
      <c r="A137" t="s">
        <v>2688</v>
      </c>
      <c r="B137" t="s">
        <v>520</v>
      </c>
    </row>
    <row r="138" spans="1:2" x14ac:dyDescent="0.25">
      <c r="A138" t="s">
        <v>2689</v>
      </c>
      <c r="B138" t="s">
        <v>520</v>
      </c>
    </row>
    <row r="139" spans="1:2" x14ac:dyDescent="0.25">
      <c r="A139" t="s">
        <v>2690</v>
      </c>
      <c r="B139" t="s">
        <v>2691</v>
      </c>
    </row>
    <row r="140" spans="1:2" x14ac:dyDescent="0.25">
      <c r="A140" t="s">
        <v>2692</v>
      </c>
      <c r="B140" t="s">
        <v>2693</v>
      </c>
    </row>
    <row r="141" spans="1:2" x14ac:dyDescent="0.25">
      <c r="A141" t="s">
        <v>2694</v>
      </c>
      <c r="B141" t="s">
        <v>2695</v>
      </c>
    </row>
    <row r="142" spans="1:2" x14ac:dyDescent="0.25">
      <c r="A142" t="s">
        <v>2696</v>
      </c>
      <c r="B142" t="s">
        <v>2697</v>
      </c>
    </row>
    <row r="143" spans="1:2" x14ac:dyDescent="0.25">
      <c r="A143" t="s">
        <v>2698</v>
      </c>
      <c r="B143" t="s">
        <v>2699</v>
      </c>
    </row>
    <row r="144" spans="1:2" x14ac:dyDescent="0.25">
      <c r="A144" t="s">
        <v>2700</v>
      </c>
      <c r="B144" t="s">
        <v>2701</v>
      </c>
    </row>
    <row r="145" spans="1:2" x14ac:dyDescent="0.25">
      <c r="A145" t="s">
        <v>2702</v>
      </c>
      <c r="B145" t="s">
        <v>2703</v>
      </c>
    </row>
    <row r="146" spans="1:2" x14ac:dyDescent="0.25">
      <c r="A146" t="s">
        <v>2704</v>
      </c>
      <c r="B146" t="s">
        <v>2705</v>
      </c>
    </row>
    <row r="147" spans="1:2" x14ac:dyDescent="0.25">
      <c r="A147" t="s">
        <v>2706</v>
      </c>
      <c r="B147" t="s">
        <v>505</v>
      </c>
    </row>
    <row r="148" spans="1:2" x14ac:dyDescent="0.25">
      <c r="A148" t="s">
        <v>2707</v>
      </c>
      <c r="B148" t="s">
        <v>505</v>
      </c>
    </row>
    <row r="149" spans="1:2" x14ac:dyDescent="0.25">
      <c r="A149" t="s">
        <v>2708</v>
      </c>
      <c r="B149" t="s">
        <v>2709</v>
      </c>
    </row>
    <row r="150" spans="1:2" x14ac:dyDescent="0.25">
      <c r="A150" t="s">
        <v>2710</v>
      </c>
      <c r="B150" t="s">
        <v>2711</v>
      </c>
    </row>
    <row r="151" spans="1:2" x14ac:dyDescent="0.25">
      <c r="A151" t="s">
        <v>2712</v>
      </c>
      <c r="B151" t="s">
        <v>2713</v>
      </c>
    </row>
    <row r="152" spans="1:2" x14ac:dyDescent="0.25">
      <c r="A152" t="s">
        <v>2714</v>
      </c>
      <c r="B152" t="s">
        <v>2715</v>
      </c>
    </row>
    <row r="153" spans="1:2" x14ac:dyDescent="0.25">
      <c r="A153" t="s">
        <v>2716</v>
      </c>
      <c r="B153" t="s">
        <v>2717</v>
      </c>
    </row>
    <row r="154" spans="1:2" x14ac:dyDescent="0.25">
      <c r="A154" t="s">
        <v>2718</v>
      </c>
      <c r="B154" t="s">
        <v>2717</v>
      </c>
    </row>
    <row r="155" spans="1:2" x14ac:dyDescent="0.25">
      <c r="A155" t="s">
        <v>2719</v>
      </c>
      <c r="B155" t="s">
        <v>2720</v>
      </c>
    </row>
    <row r="156" spans="1:2" x14ac:dyDescent="0.25">
      <c r="A156" t="s">
        <v>2721</v>
      </c>
      <c r="B156" t="s">
        <v>2722</v>
      </c>
    </row>
    <row r="157" spans="1:2" x14ac:dyDescent="0.25">
      <c r="A157" t="s">
        <v>2723</v>
      </c>
      <c r="B157" t="s">
        <v>2724</v>
      </c>
    </row>
    <row r="158" spans="1:2" x14ac:dyDescent="0.25">
      <c r="A158" t="s">
        <v>2725</v>
      </c>
      <c r="B158" t="s">
        <v>2724</v>
      </c>
    </row>
    <row r="159" spans="1:2" x14ac:dyDescent="0.25">
      <c r="A159" t="s">
        <v>2726</v>
      </c>
      <c r="B159" t="s">
        <v>486</v>
      </c>
    </row>
    <row r="160" spans="1:2" x14ac:dyDescent="0.25">
      <c r="A160" t="s">
        <v>2727</v>
      </c>
      <c r="B160" t="s">
        <v>486</v>
      </c>
    </row>
    <row r="161" spans="1:2" x14ac:dyDescent="0.25">
      <c r="A161" t="s">
        <v>2728</v>
      </c>
      <c r="B161" t="s">
        <v>2729</v>
      </c>
    </row>
    <row r="162" spans="1:2" x14ac:dyDescent="0.25">
      <c r="A162" t="s">
        <v>2730</v>
      </c>
      <c r="B162" t="s">
        <v>2729</v>
      </c>
    </row>
    <row r="163" spans="1:2" x14ac:dyDescent="0.25">
      <c r="A163" t="s">
        <v>2731</v>
      </c>
      <c r="B163" t="s">
        <v>2732</v>
      </c>
    </row>
    <row r="164" spans="1:2" x14ac:dyDescent="0.25">
      <c r="A164" t="s">
        <v>2733</v>
      </c>
      <c r="B164" t="s">
        <v>2734</v>
      </c>
    </row>
    <row r="165" spans="1:2" x14ac:dyDescent="0.25">
      <c r="A165" t="s">
        <v>2735</v>
      </c>
      <c r="B165" t="s">
        <v>2736</v>
      </c>
    </row>
    <row r="166" spans="1:2" x14ac:dyDescent="0.25">
      <c r="A166" t="s">
        <v>2737</v>
      </c>
      <c r="B166" t="s">
        <v>2736</v>
      </c>
    </row>
    <row r="167" spans="1:2" x14ac:dyDescent="0.25">
      <c r="A167" t="s">
        <v>2738</v>
      </c>
      <c r="B167" t="s">
        <v>2739</v>
      </c>
    </row>
    <row r="168" spans="1:2" x14ac:dyDescent="0.25">
      <c r="A168" t="s">
        <v>2740</v>
      </c>
      <c r="B168" t="s">
        <v>2739</v>
      </c>
    </row>
    <row r="169" spans="1:2" x14ac:dyDescent="0.25">
      <c r="A169" t="s">
        <v>2741</v>
      </c>
      <c r="B169" t="s">
        <v>2742</v>
      </c>
    </row>
    <row r="170" spans="1:2" x14ac:dyDescent="0.25">
      <c r="A170" t="s">
        <v>2743</v>
      </c>
      <c r="B170" t="s">
        <v>2742</v>
      </c>
    </row>
    <row r="171" spans="1:2" x14ac:dyDescent="0.25">
      <c r="A171" t="s">
        <v>2744</v>
      </c>
      <c r="B171" t="s">
        <v>2745</v>
      </c>
    </row>
    <row r="172" spans="1:2" x14ac:dyDescent="0.25">
      <c r="A172" t="s">
        <v>2746</v>
      </c>
      <c r="B172" t="s">
        <v>2745</v>
      </c>
    </row>
    <row r="173" spans="1:2" x14ac:dyDescent="0.25">
      <c r="A173" t="s">
        <v>2747</v>
      </c>
      <c r="B173" t="s">
        <v>2748</v>
      </c>
    </row>
    <row r="174" spans="1:2" x14ac:dyDescent="0.25">
      <c r="A174" t="s">
        <v>2749</v>
      </c>
      <c r="B174" t="s">
        <v>2748</v>
      </c>
    </row>
    <row r="175" spans="1:2" x14ac:dyDescent="0.25">
      <c r="A175" t="s">
        <v>2750</v>
      </c>
      <c r="B175" t="s">
        <v>2751</v>
      </c>
    </row>
    <row r="176" spans="1:2" x14ac:dyDescent="0.25">
      <c r="A176" t="s">
        <v>2752</v>
      </c>
      <c r="B176" t="s">
        <v>2753</v>
      </c>
    </row>
    <row r="177" spans="1:2" x14ac:dyDescent="0.25">
      <c r="A177" t="s">
        <v>2754</v>
      </c>
      <c r="B177" t="s">
        <v>2755</v>
      </c>
    </row>
    <row r="178" spans="1:2" x14ac:dyDescent="0.25">
      <c r="A178" t="s">
        <v>2756</v>
      </c>
      <c r="B178" t="s">
        <v>2757</v>
      </c>
    </row>
    <row r="179" spans="1:2" x14ac:dyDescent="0.25">
      <c r="A179" t="s">
        <v>2758</v>
      </c>
      <c r="B179" t="s">
        <v>2759</v>
      </c>
    </row>
    <row r="180" spans="1:2" x14ac:dyDescent="0.25">
      <c r="A180" t="s">
        <v>2760</v>
      </c>
      <c r="B180" t="s">
        <v>2761</v>
      </c>
    </row>
    <row r="181" spans="1:2" x14ac:dyDescent="0.25">
      <c r="A181" t="s">
        <v>2762</v>
      </c>
      <c r="B181" t="s">
        <v>2763</v>
      </c>
    </row>
    <row r="182" spans="1:2" x14ac:dyDescent="0.25">
      <c r="A182" t="s">
        <v>2764</v>
      </c>
      <c r="B182" t="s">
        <v>2763</v>
      </c>
    </row>
    <row r="183" spans="1:2" x14ac:dyDescent="0.25">
      <c r="A183" t="s">
        <v>2765</v>
      </c>
      <c r="B183" t="s">
        <v>2763</v>
      </c>
    </row>
    <row r="184" spans="1:2" x14ac:dyDescent="0.25">
      <c r="A184" t="s">
        <v>2766</v>
      </c>
      <c r="B184" t="s">
        <v>2767</v>
      </c>
    </row>
    <row r="185" spans="1:2" x14ac:dyDescent="0.25">
      <c r="A185" t="s">
        <v>2768</v>
      </c>
      <c r="B185" t="s">
        <v>2767</v>
      </c>
    </row>
    <row r="186" spans="1:2" x14ac:dyDescent="0.25">
      <c r="A186" t="s">
        <v>2769</v>
      </c>
      <c r="B186" t="s">
        <v>2767</v>
      </c>
    </row>
    <row r="187" spans="1:2" x14ac:dyDescent="0.25">
      <c r="A187" t="s">
        <v>2770</v>
      </c>
      <c r="B187" t="s">
        <v>2771</v>
      </c>
    </row>
    <row r="188" spans="1:2" x14ac:dyDescent="0.25">
      <c r="A188" t="s">
        <v>2772</v>
      </c>
      <c r="B188" t="s">
        <v>2771</v>
      </c>
    </row>
    <row r="189" spans="1:2" x14ac:dyDescent="0.25">
      <c r="A189" t="s">
        <v>2773</v>
      </c>
      <c r="B189" t="s">
        <v>2771</v>
      </c>
    </row>
    <row r="190" spans="1:2" x14ac:dyDescent="0.25">
      <c r="A190" t="s">
        <v>2774</v>
      </c>
      <c r="B190" t="s">
        <v>2775</v>
      </c>
    </row>
    <row r="191" spans="1:2" x14ac:dyDescent="0.25">
      <c r="A191" t="s">
        <v>2776</v>
      </c>
      <c r="B191" t="s">
        <v>2777</v>
      </c>
    </row>
    <row r="192" spans="1:2" x14ac:dyDescent="0.25">
      <c r="A192" t="s">
        <v>2778</v>
      </c>
      <c r="B192" t="s">
        <v>2777</v>
      </c>
    </row>
    <row r="193" spans="1:2" x14ac:dyDescent="0.25">
      <c r="A193" t="s">
        <v>2779</v>
      </c>
      <c r="B193" t="s">
        <v>2777</v>
      </c>
    </row>
    <row r="194" spans="1:2" x14ac:dyDescent="0.25">
      <c r="A194" t="s">
        <v>2780</v>
      </c>
      <c r="B194" t="s">
        <v>2781</v>
      </c>
    </row>
    <row r="195" spans="1:2" x14ac:dyDescent="0.25">
      <c r="A195" t="s">
        <v>2782</v>
      </c>
      <c r="B195" t="s">
        <v>2781</v>
      </c>
    </row>
    <row r="196" spans="1:2" x14ac:dyDescent="0.25">
      <c r="A196" t="s">
        <v>2783</v>
      </c>
      <c r="B196" t="s">
        <v>2784</v>
      </c>
    </row>
    <row r="197" spans="1:2" x14ac:dyDescent="0.25">
      <c r="A197" t="s">
        <v>2785</v>
      </c>
      <c r="B197" t="s">
        <v>2784</v>
      </c>
    </row>
    <row r="198" spans="1:2" x14ac:dyDescent="0.25">
      <c r="A198" t="s">
        <v>2786</v>
      </c>
      <c r="B198" t="s">
        <v>2784</v>
      </c>
    </row>
    <row r="199" spans="1:2" x14ac:dyDescent="0.25">
      <c r="A199" t="s">
        <v>2787</v>
      </c>
      <c r="B199" t="s">
        <v>2784</v>
      </c>
    </row>
    <row r="200" spans="1:2" x14ac:dyDescent="0.25">
      <c r="A200" t="s">
        <v>2788</v>
      </c>
      <c r="B200" t="s">
        <v>2789</v>
      </c>
    </row>
    <row r="201" spans="1:2" x14ac:dyDescent="0.25">
      <c r="A201" t="s">
        <v>2790</v>
      </c>
      <c r="B201" t="s">
        <v>2789</v>
      </c>
    </row>
    <row r="202" spans="1:2" x14ac:dyDescent="0.25">
      <c r="A202" t="s">
        <v>2791</v>
      </c>
      <c r="B202" t="s">
        <v>2789</v>
      </c>
    </row>
    <row r="203" spans="1:2" x14ac:dyDescent="0.25">
      <c r="A203" t="s">
        <v>2792</v>
      </c>
      <c r="B203" t="s">
        <v>2793</v>
      </c>
    </row>
    <row r="204" spans="1:2" x14ac:dyDescent="0.25">
      <c r="A204" t="s">
        <v>2794</v>
      </c>
      <c r="B204" t="s">
        <v>2793</v>
      </c>
    </row>
    <row r="205" spans="1:2" x14ac:dyDescent="0.25">
      <c r="A205" t="s">
        <v>2795</v>
      </c>
      <c r="B205" t="s">
        <v>2793</v>
      </c>
    </row>
    <row r="206" spans="1:2" x14ac:dyDescent="0.25">
      <c r="A206" t="s">
        <v>2796</v>
      </c>
      <c r="B206" t="s">
        <v>2797</v>
      </c>
    </row>
    <row r="207" spans="1:2" x14ac:dyDescent="0.25">
      <c r="A207" t="s">
        <v>2798</v>
      </c>
      <c r="B207" t="s">
        <v>2797</v>
      </c>
    </row>
    <row r="208" spans="1:2" x14ac:dyDescent="0.25">
      <c r="A208" t="s">
        <v>2799</v>
      </c>
      <c r="B208" t="s">
        <v>2797</v>
      </c>
    </row>
    <row r="209" spans="1:2" x14ac:dyDescent="0.25">
      <c r="A209" t="s">
        <v>2800</v>
      </c>
      <c r="B209" t="s">
        <v>2801</v>
      </c>
    </row>
    <row r="210" spans="1:2" x14ac:dyDescent="0.25">
      <c r="A210" t="s">
        <v>2802</v>
      </c>
      <c r="B210" t="s">
        <v>2803</v>
      </c>
    </row>
    <row r="211" spans="1:2" x14ac:dyDescent="0.25">
      <c r="A211" t="s">
        <v>2804</v>
      </c>
      <c r="B211" t="s">
        <v>2803</v>
      </c>
    </row>
    <row r="212" spans="1:2" x14ac:dyDescent="0.25">
      <c r="A212" t="s">
        <v>2805</v>
      </c>
      <c r="B212" t="s">
        <v>2806</v>
      </c>
    </row>
    <row r="213" spans="1:2" x14ac:dyDescent="0.25">
      <c r="A213" t="s">
        <v>2807</v>
      </c>
      <c r="B213" t="s">
        <v>2808</v>
      </c>
    </row>
    <row r="214" spans="1:2" x14ac:dyDescent="0.25">
      <c r="A214" t="s">
        <v>2809</v>
      </c>
      <c r="B214" t="s">
        <v>2806</v>
      </c>
    </row>
    <row r="215" spans="1:2" x14ac:dyDescent="0.25">
      <c r="A215" t="s">
        <v>2810</v>
      </c>
      <c r="B215" t="s">
        <v>2806</v>
      </c>
    </row>
    <row r="216" spans="1:2" x14ac:dyDescent="0.25">
      <c r="A216" t="s">
        <v>2811</v>
      </c>
      <c r="B216" t="s">
        <v>2812</v>
      </c>
    </row>
    <row r="217" spans="1:2" x14ac:dyDescent="0.25">
      <c r="A217" t="s">
        <v>2813</v>
      </c>
      <c r="B217" t="s">
        <v>2814</v>
      </c>
    </row>
    <row r="218" spans="1:2" x14ac:dyDescent="0.25">
      <c r="A218" t="s">
        <v>2815</v>
      </c>
      <c r="B218" t="s">
        <v>2816</v>
      </c>
    </row>
    <row r="219" spans="1:2" x14ac:dyDescent="0.25">
      <c r="A219" t="s">
        <v>2817</v>
      </c>
      <c r="B219" t="s">
        <v>2818</v>
      </c>
    </row>
    <row r="220" spans="1:2" x14ac:dyDescent="0.25">
      <c r="A220" t="s">
        <v>2819</v>
      </c>
      <c r="B220" t="s">
        <v>2818</v>
      </c>
    </row>
    <row r="221" spans="1:2" x14ac:dyDescent="0.25">
      <c r="A221" t="s">
        <v>2820</v>
      </c>
      <c r="B221" t="s">
        <v>2818</v>
      </c>
    </row>
    <row r="222" spans="1:2" x14ac:dyDescent="0.25">
      <c r="A222" t="s">
        <v>2821</v>
      </c>
      <c r="B222" t="s">
        <v>2822</v>
      </c>
    </row>
    <row r="223" spans="1:2" x14ac:dyDescent="0.25">
      <c r="A223" t="s">
        <v>2823</v>
      </c>
      <c r="B223" t="s">
        <v>2824</v>
      </c>
    </row>
    <row r="224" spans="1:2" x14ac:dyDescent="0.25">
      <c r="A224" t="s">
        <v>2825</v>
      </c>
      <c r="B224" t="s">
        <v>2824</v>
      </c>
    </row>
    <row r="225" spans="1:2" x14ac:dyDescent="0.25">
      <c r="A225" t="s">
        <v>2826</v>
      </c>
      <c r="B225" t="s">
        <v>2822</v>
      </c>
    </row>
    <row r="226" spans="1:2" x14ac:dyDescent="0.25">
      <c r="A226" t="s">
        <v>2827</v>
      </c>
      <c r="B226" t="s">
        <v>2822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I1" workbookViewId="0">
      <selection activeCell="AA23" sqref="AA23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5927</v>
      </c>
      <c r="AQ4" t="s">
        <v>3364</v>
      </c>
      <c r="AT4" t="s">
        <v>3365</v>
      </c>
    </row>
    <row r="5" spans="1:58" x14ac:dyDescent="0.25">
      <c r="C5" t="s">
        <v>3036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2971</v>
      </c>
      <c r="Z5" s="2"/>
      <c r="AA5" s="2" t="s">
        <v>2970</v>
      </c>
      <c r="AC5" s="2" t="s">
        <v>2992</v>
      </c>
      <c r="AD5" s="2"/>
      <c r="AE5" s="2" t="s">
        <v>3042</v>
      </c>
      <c r="AF5" s="2"/>
      <c r="AG5" s="2"/>
      <c r="AH5" s="2" t="s">
        <v>5925</v>
      </c>
      <c r="AI5" s="2"/>
      <c r="AJ5" s="2"/>
      <c r="AK5" s="2" t="s">
        <v>2906</v>
      </c>
      <c r="AL5" s="2"/>
      <c r="AM5" s="2"/>
      <c r="AN5" s="2" t="s">
        <v>2907</v>
      </c>
      <c r="AO5" s="2"/>
      <c r="AP5" s="2"/>
      <c r="AQ5" s="2" t="s">
        <v>3362</v>
      </c>
      <c r="AR5" s="2"/>
      <c r="AS5" s="2"/>
      <c r="AT5" s="2" t="s">
        <v>3369</v>
      </c>
      <c r="AU5" s="2"/>
      <c r="AV5" s="2"/>
      <c r="AZ5" t="s">
        <v>3123</v>
      </c>
      <c r="BA5" s="2"/>
      <c r="BB5" t="s">
        <v>3360</v>
      </c>
      <c r="BD5" t="s">
        <v>3002</v>
      </c>
      <c r="BF5" t="s">
        <v>3738</v>
      </c>
    </row>
    <row r="6" spans="1:58" x14ac:dyDescent="0.25">
      <c r="A6" s="2" t="s">
        <v>2968</v>
      </c>
      <c r="B6" s="2"/>
      <c r="C6" s="2" t="s">
        <v>3035</v>
      </c>
      <c r="D6" s="2"/>
      <c r="E6" t="s">
        <v>3392</v>
      </c>
      <c r="F6" s="2"/>
      <c r="G6" t="s">
        <v>3393</v>
      </c>
      <c r="H6" s="2"/>
      <c r="I6" t="s">
        <v>3394</v>
      </c>
      <c r="J6" s="2"/>
      <c r="K6" s="2" t="s">
        <v>2830</v>
      </c>
      <c r="L6" s="2"/>
      <c r="M6" s="2" t="s">
        <v>2832</v>
      </c>
      <c r="N6" s="2"/>
      <c r="O6" s="2" t="s">
        <v>5928</v>
      </c>
      <c r="P6" s="2"/>
      <c r="Q6" s="2" t="s">
        <v>3128</v>
      </c>
      <c r="S6" s="2" t="s">
        <v>3268</v>
      </c>
      <c r="U6" s="2" t="s">
        <v>3269</v>
      </c>
      <c r="W6" s="2" t="s">
        <v>2831</v>
      </c>
      <c r="X6" s="2"/>
      <c r="Y6" s="2" t="s">
        <v>2446</v>
      </c>
      <c r="Z6" s="2" t="s">
        <v>2831</v>
      </c>
      <c r="AA6" s="2" t="s">
        <v>2446</v>
      </c>
      <c r="AB6" s="2" t="s">
        <v>2854</v>
      </c>
      <c r="AC6" s="2" t="s">
        <v>2449</v>
      </c>
      <c r="AD6" s="2" t="s">
        <v>2993</v>
      </c>
      <c r="AE6" s="2" t="s">
        <v>2449</v>
      </c>
      <c r="AF6" s="2" t="s">
        <v>3043</v>
      </c>
      <c r="AG6" s="2"/>
      <c r="AH6" s="2" t="s">
        <v>2449</v>
      </c>
      <c r="AI6" s="2" t="s">
        <v>5926</v>
      </c>
      <c r="AJ6" s="2"/>
      <c r="AK6" s="2" t="s">
        <v>2832</v>
      </c>
      <c r="AL6" s="2" t="s">
        <v>2908</v>
      </c>
      <c r="AM6" s="2"/>
      <c r="AN6" s="2" t="s">
        <v>2831</v>
      </c>
      <c r="AO6" s="2" t="s">
        <v>2909</v>
      </c>
      <c r="AP6" s="2"/>
      <c r="AQ6" s="1" t="s">
        <v>2993</v>
      </c>
      <c r="AR6" s="1" t="s">
        <v>3361</v>
      </c>
      <c r="AS6" s="2"/>
      <c r="AT6" s="2" t="s">
        <v>2908</v>
      </c>
      <c r="AU6" s="2" t="s">
        <v>3366</v>
      </c>
      <c r="AV6" s="2"/>
      <c r="AW6" s="2" t="s">
        <v>2966</v>
      </c>
      <c r="AX6" s="2" t="s">
        <v>2854</v>
      </c>
      <c r="AY6" s="2"/>
      <c r="AZ6" s="2" t="s">
        <v>3122</v>
      </c>
      <c r="BB6" s="2" t="s">
        <v>3361</v>
      </c>
      <c r="BD6" t="s">
        <v>2415</v>
      </c>
      <c r="BE6" t="str">
        <f>""</f>
        <v/>
      </c>
      <c r="BF6" s="2" t="s">
        <v>3739</v>
      </c>
    </row>
    <row r="7" spans="1:58" x14ac:dyDescent="0.25">
      <c r="A7" t="s">
        <v>2860</v>
      </c>
      <c r="C7" t="s">
        <v>3037</v>
      </c>
      <c r="E7" t="s">
        <v>3952</v>
      </c>
      <c r="G7" t="s">
        <v>4960</v>
      </c>
      <c r="I7" t="s">
        <v>3938</v>
      </c>
      <c r="K7" t="s">
        <v>2833</v>
      </c>
      <c r="M7" t="s">
        <v>2833</v>
      </c>
      <c r="O7" t="s">
        <v>5922</v>
      </c>
      <c r="Q7" t="s">
        <v>3196</v>
      </c>
      <c r="S7" t="s">
        <v>2427</v>
      </c>
      <c r="U7" t="s">
        <v>43</v>
      </c>
      <c r="V7" s="2"/>
      <c r="W7" t="s">
        <v>2834</v>
      </c>
      <c r="Y7" t="str">
        <f>mapPRC!A107</f>
        <v>AHCOA-E</v>
      </c>
      <c r="Z7" t="str">
        <f>IFERROR(INDEX($AX$7:$AX$89,MATCH(mapPRC!C107,$AW$7:$AW$89,0)),"")</f>
        <v>agr</v>
      </c>
      <c r="AA7" t="s">
        <v>911</v>
      </c>
      <c r="AB7" t="s">
        <v>2855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2415</v>
      </c>
      <c r="AF7" t="s">
        <v>2415</v>
      </c>
      <c r="AH7" t="s">
        <v>5922</v>
      </c>
      <c r="AI7" t="s">
        <v>5922</v>
      </c>
      <c r="AK7" t="s">
        <v>2833</v>
      </c>
      <c r="AL7" t="s">
        <v>2910</v>
      </c>
      <c r="AN7" t="s">
        <v>2834</v>
      </c>
      <c r="AO7" t="s">
        <v>3873</v>
      </c>
      <c r="AQ7" t="s">
        <v>3334</v>
      </c>
      <c r="AR7" t="s">
        <v>3367</v>
      </c>
      <c r="AT7" t="s">
        <v>2910</v>
      </c>
      <c r="AU7" t="s">
        <v>2910</v>
      </c>
      <c r="AW7" t="s">
        <v>1622</v>
      </c>
      <c r="AX7" t="str">
        <f>W7</f>
        <v>agr</v>
      </c>
      <c r="AZ7" t="s">
        <v>2048</v>
      </c>
      <c r="BB7" t="s">
        <v>3367</v>
      </c>
      <c r="BD7" t="s">
        <v>2413</v>
      </c>
      <c r="BE7" t="s">
        <v>2994</v>
      </c>
      <c r="BF7" t="s">
        <v>2059</v>
      </c>
    </row>
    <row r="8" spans="1:58" x14ac:dyDescent="0.25">
      <c r="A8" t="s">
        <v>2862</v>
      </c>
      <c r="C8" t="s">
        <v>3938</v>
      </c>
      <c r="E8" t="s">
        <v>3953</v>
      </c>
      <c r="G8" t="s">
        <v>4961</v>
      </c>
      <c r="I8" t="s">
        <v>3939</v>
      </c>
      <c r="K8" t="s">
        <v>2835</v>
      </c>
      <c r="M8" t="s">
        <v>2835</v>
      </c>
      <c r="O8" t="s">
        <v>5923</v>
      </c>
      <c r="Q8" t="s">
        <v>1622</v>
      </c>
      <c r="S8" t="s">
        <v>140</v>
      </c>
      <c r="U8" t="s">
        <v>3589</v>
      </c>
      <c r="W8" t="s">
        <v>2836</v>
      </c>
      <c r="Y8" t="str">
        <f>mapPRC!A108</f>
        <v>AHELC-E</v>
      </c>
      <c r="Z8" t="str">
        <f>IFERROR(INDEX($AX$7:$AX$89,MATCH(mapPRC!C108,$AW$7:$AW$89,0)),"")</f>
        <v>agr</v>
      </c>
      <c r="AA8" t="s">
        <v>901</v>
      </c>
      <c r="AB8" t="s">
        <v>2904</v>
      </c>
      <c r="AC8" t="str">
        <f>mapCOM!A22</f>
        <v>AGRCH4S</v>
      </c>
      <c r="AD8" t="str">
        <f t="shared" si="0"/>
        <v/>
      </c>
      <c r="AE8" t="s">
        <v>2413</v>
      </c>
      <c r="AF8" t="s">
        <v>2413</v>
      </c>
      <c r="AH8" t="s">
        <v>5923</v>
      </c>
      <c r="AI8" t="s">
        <v>5923</v>
      </c>
      <c r="AK8" t="s">
        <v>2833</v>
      </c>
      <c r="AL8" t="s">
        <v>2911</v>
      </c>
      <c r="AN8" t="s">
        <v>2834</v>
      </c>
      <c r="AO8" t="s">
        <v>3874</v>
      </c>
      <c r="AQ8" t="s">
        <v>2997</v>
      </c>
      <c r="AR8" t="s">
        <v>3368</v>
      </c>
      <c r="AT8" t="s">
        <v>2911</v>
      </c>
      <c r="AU8" t="s">
        <v>2911</v>
      </c>
      <c r="AW8" t="s">
        <v>1578</v>
      </c>
      <c r="AX8" t="str">
        <f>W18</f>
        <v>com</v>
      </c>
      <c r="AZ8" t="s">
        <v>2046</v>
      </c>
      <c r="BB8" t="s">
        <v>3368</v>
      </c>
      <c r="BD8" t="s">
        <v>2411</v>
      </c>
      <c r="BE8" t="s">
        <v>2994</v>
      </c>
      <c r="BF8" t="s">
        <v>2068</v>
      </c>
    </row>
    <row r="9" spans="1:58" x14ac:dyDescent="0.25">
      <c r="A9" t="s">
        <v>3734</v>
      </c>
      <c r="C9" t="s">
        <v>3939</v>
      </c>
      <c r="E9" t="s">
        <v>3954</v>
      </c>
      <c r="K9" t="s">
        <v>2838</v>
      </c>
      <c r="M9" t="s">
        <v>2838</v>
      </c>
      <c r="O9" t="s">
        <v>5924</v>
      </c>
      <c r="Q9" t="s">
        <v>3467</v>
      </c>
      <c r="S9" t="s">
        <v>3196</v>
      </c>
      <c r="U9" t="s">
        <v>1263</v>
      </c>
      <c r="W9" t="s">
        <v>2839</v>
      </c>
      <c r="Y9" t="str">
        <f>mapPRC!A109</f>
        <v>AHOHF-E</v>
      </c>
      <c r="Z9" t="str">
        <f>IFERROR(INDEX($AX$7:$AX$89,MATCH(mapPRC!C109,$AW$7:$AW$89,0)),"")</f>
        <v>agr</v>
      </c>
      <c r="AA9" t="s">
        <v>441</v>
      </c>
      <c r="AB9" t="s">
        <v>2853</v>
      </c>
      <c r="AC9" t="str">
        <f>mapCOM!A23</f>
        <v>AGRCMOX</v>
      </c>
      <c r="AD9" t="str">
        <f t="shared" si="0"/>
        <v/>
      </c>
      <c r="AE9" t="s">
        <v>2411</v>
      </c>
      <c r="AF9" t="s">
        <v>2411</v>
      </c>
      <c r="AH9" t="s">
        <v>5924</v>
      </c>
      <c r="AI9" t="s">
        <v>5924</v>
      </c>
      <c r="AK9" t="s">
        <v>2833</v>
      </c>
      <c r="AL9" t="s">
        <v>2913</v>
      </c>
      <c r="AN9" t="s">
        <v>2834</v>
      </c>
      <c r="AO9" t="s">
        <v>3875</v>
      </c>
      <c r="AQ9" t="s">
        <v>3336</v>
      </c>
      <c r="AR9" t="s">
        <v>3341</v>
      </c>
      <c r="AT9" t="s">
        <v>2913</v>
      </c>
      <c r="AU9" t="s">
        <v>2913</v>
      </c>
      <c r="AW9" t="s">
        <v>1489</v>
      </c>
      <c r="AX9" t="str">
        <f>W18</f>
        <v>com</v>
      </c>
      <c r="AZ9" t="s">
        <v>2044</v>
      </c>
      <c r="BB9" t="s">
        <v>3341</v>
      </c>
      <c r="BD9" t="s">
        <v>2409</v>
      </c>
      <c r="BE9" t="s">
        <v>2994</v>
      </c>
      <c r="BF9" t="s">
        <v>5805</v>
      </c>
    </row>
    <row r="10" spans="1:58" x14ac:dyDescent="0.25">
      <c r="A10" t="s">
        <v>2865</v>
      </c>
      <c r="C10" t="s">
        <v>3940</v>
      </c>
      <c r="E10" t="s">
        <v>3955</v>
      </c>
      <c r="K10" t="s">
        <v>2834</v>
      </c>
      <c r="O10" t="s">
        <v>3317</v>
      </c>
      <c r="Q10" t="s">
        <v>3716</v>
      </c>
      <c r="S10" t="s">
        <v>1622</v>
      </c>
      <c r="U10" t="s">
        <v>2988</v>
      </c>
      <c r="W10" t="s">
        <v>2840</v>
      </c>
      <c r="Y10" t="str">
        <f>mapPRC!A110</f>
        <v>AHOKE-E</v>
      </c>
      <c r="Z10" t="str">
        <f>IFERROR(INDEX($AX$7:$AX$89,MATCH(mapPRC!C110,$AW$7:$AW$89,0)),"")</f>
        <v>agr</v>
      </c>
      <c r="AA10" t="s">
        <v>3457</v>
      </c>
      <c r="AB10" t="s">
        <v>2846</v>
      </c>
      <c r="AC10" t="str">
        <f>mapCOM!A24</f>
        <v>AGRCO2S</v>
      </c>
      <c r="AD10" t="str">
        <f t="shared" si="0"/>
        <v/>
      </c>
      <c r="AE10" t="s">
        <v>2409</v>
      </c>
      <c r="AF10" t="s">
        <v>2409</v>
      </c>
      <c r="AH10" t="s">
        <v>3317</v>
      </c>
      <c r="AI10" t="s">
        <v>3317</v>
      </c>
      <c r="AK10" t="s">
        <v>2833</v>
      </c>
      <c r="AL10" t="s">
        <v>2915</v>
      </c>
      <c r="AN10" t="s">
        <v>2834</v>
      </c>
      <c r="AO10" t="s">
        <v>3876</v>
      </c>
      <c r="AQ10" t="s">
        <v>3337</v>
      </c>
      <c r="AR10" t="s">
        <v>3341</v>
      </c>
      <c r="AT10" t="s">
        <v>2915</v>
      </c>
      <c r="AU10" t="s">
        <v>2915</v>
      </c>
      <c r="AW10" t="s">
        <v>2986</v>
      </c>
      <c r="AX10" t="s">
        <v>2842</v>
      </c>
      <c r="AZ10" t="s">
        <v>2042</v>
      </c>
      <c r="BB10" t="s">
        <v>3373</v>
      </c>
      <c r="BD10" t="s">
        <v>2407</v>
      </c>
      <c r="BE10" t="s">
        <v>2994</v>
      </c>
    </row>
    <row r="11" spans="1:58" x14ac:dyDescent="0.25">
      <c r="A11" t="s">
        <v>2867</v>
      </c>
      <c r="C11" t="s">
        <v>3941</v>
      </c>
      <c r="E11" t="s">
        <v>3956</v>
      </c>
      <c r="G11" t="s">
        <v>4962</v>
      </c>
      <c r="I11" t="s">
        <v>3940</v>
      </c>
      <c r="K11" t="s">
        <v>2836</v>
      </c>
      <c r="O11" t="s">
        <v>3332</v>
      </c>
      <c r="Q11" t="s">
        <v>1472</v>
      </c>
      <c r="S11" t="s">
        <v>3049</v>
      </c>
      <c r="U11" t="s">
        <v>2990</v>
      </c>
      <c r="W11" t="s">
        <v>2841</v>
      </c>
      <c r="Y11" t="str">
        <f>mapPRC!A111</f>
        <v>AHOLP-E</v>
      </c>
      <c r="Z11" t="str">
        <f>IFERROR(INDEX($AX$7:$AX$89,MATCH(mapPRC!C111,$AW$7:$AW$89,0)),"")</f>
        <v>agr</v>
      </c>
      <c r="AA11" t="s">
        <v>1646</v>
      </c>
      <c r="AB11" t="s">
        <v>2969</v>
      </c>
      <c r="AC11" t="str">
        <f>mapCOM!A25</f>
        <v>AGRCOA</v>
      </c>
      <c r="AD11" t="str">
        <f t="shared" si="0"/>
        <v>ccoal-hgh</v>
      </c>
      <c r="AE11" t="s">
        <v>1663</v>
      </c>
      <c r="AF11" t="s">
        <v>2413</v>
      </c>
      <c r="AH11" t="s">
        <v>3332</v>
      </c>
      <c r="AI11" t="s">
        <v>3332</v>
      </c>
      <c r="AK11" t="s">
        <v>2833</v>
      </c>
      <c r="AL11" t="s">
        <v>2917</v>
      </c>
      <c r="AN11" t="s">
        <v>2834</v>
      </c>
      <c r="AO11" t="s">
        <v>3877</v>
      </c>
      <c r="AQ11" t="s">
        <v>3001</v>
      </c>
      <c r="AR11" t="s">
        <v>3373</v>
      </c>
      <c r="AT11" t="s">
        <v>2917</v>
      </c>
      <c r="AU11" t="s">
        <v>2917</v>
      </c>
      <c r="AW11" t="s">
        <v>2987</v>
      </c>
      <c r="AX11" t="s">
        <v>2853</v>
      </c>
      <c r="AZ11" t="s">
        <v>2040</v>
      </c>
      <c r="BB11" t="s">
        <v>3358</v>
      </c>
      <c r="BD11" t="s">
        <v>2403</v>
      </c>
      <c r="BE11" t="s">
        <v>2995</v>
      </c>
    </row>
    <row r="12" spans="1:58" x14ac:dyDescent="0.25">
      <c r="A12" t="s">
        <v>2869</v>
      </c>
      <c r="C12" t="s">
        <v>3942</v>
      </c>
      <c r="E12" t="s">
        <v>3957</v>
      </c>
      <c r="G12" t="s">
        <v>4963</v>
      </c>
      <c r="I12" t="s">
        <v>3941</v>
      </c>
      <c r="K12" t="s">
        <v>2839</v>
      </c>
      <c r="Q12" t="s">
        <v>3304</v>
      </c>
      <c r="S12" t="s">
        <v>3589</v>
      </c>
      <c r="U12" t="s">
        <v>2989</v>
      </c>
      <c r="W12" t="s">
        <v>2842</v>
      </c>
      <c r="Y12" t="str">
        <f>mapPRC!A112</f>
        <v>AIELC-E</v>
      </c>
      <c r="Z12" t="str">
        <f>IFERROR(INDEX($AX$7:$AX$89,MATCH(mapPRC!C112,$AW$7:$AW$89,0)),"")</f>
        <v>agr</v>
      </c>
      <c r="AA12" t="s">
        <v>1621</v>
      </c>
      <c r="AB12" t="s">
        <v>2449</v>
      </c>
      <c r="AC12" t="str">
        <f>mapCOM!A26</f>
        <v>AGRELC</v>
      </c>
      <c r="AD12" t="str">
        <f t="shared" si="0"/>
        <v>celec</v>
      </c>
      <c r="AE12" t="s">
        <v>1661</v>
      </c>
      <c r="AF12" t="s">
        <v>2415</v>
      </c>
      <c r="AK12" t="s">
        <v>2835</v>
      </c>
      <c r="AL12" t="s">
        <v>2919</v>
      </c>
      <c r="AN12" t="s">
        <v>2834</v>
      </c>
      <c r="AO12" t="s">
        <v>3878</v>
      </c>
      <c r="AQ12" t="s">
        <v>2995</v>
      </c>
      <c r="AR12" t="s">
        <v>3358</v>
      </c>
      <c r="AT12" t="s">
        <v>2919</v>
      </c>
      <c r="AU12" t="s">
        <v>2919</v>
      </c>
      <c r="AW12" t="s">
        <v>1466</v>
      </c>
      <c r="AX12" t="s">
        <v>2847</v>
      </c>
      <c r="AZ12" t="s">
        <v>2011</v>
      </c>
      <c r="BB12" t="s">
        <v>3342</v>
      </c>
      <c r="BD12" t="s">
        <v>2401</v>
      </c>
      <c r="BE12" t="s">
        <v>2996</v>
      </c>
    </row>
    <row r="13" spans="1:58" x14ac:dyDescent="0.25">
      <c r="A13" t="s">
        <v>2871</v>
      </c>
      <c r="C13" t="s">
        <v>3943</v>
      </c>
      <c r="E13" t="s">
        <v>3958</v>
      </c>
      <c r="G13" t="s">
        <v>4964</v>
      </c>
      <c r="I13" t="s">
        <v>3942</v>
      </c>
      <c r="K13" t="s">
        <v>2840</v>
      </c>
      <c r="Q13" t="s">
        <v>386</v>
      </c>
      <c r="S13" t="s">
        <v>1471</v>
      </c>
      <c r="U13" t="s">
        <v>2991</v>
      </c>
      <c r="W13" t="s">
        <v>2843</v>
      </c>
      <c r="Y13" t="str">
        <f>mapPRC!A113</f>
        <v>AIODS-E</v>
      </c>
      <c r="Z13" t="str">
        <f>IFERROR(INDEX($AX$7:$AX$89,MATCH(mapPRC!C113,$AW$7:$AW$89,0)),"")</f>
        <v>agr</v>
      </c>
      <c r="AA13" t="s">
        <v>716</v>
      </c>
      <c r="AB13" t="s">
        <v>2851</v>
      </c>
      <c r="AC13" t="str">
        <f>mapCOM!A27</f>
        <v>AGRN2OS</v>
      </c>
      <c r="AD13" t="str">
        <f t="shared" si="0"/>
        <v/>
      </c>
      <c r="AE13" t="s">
        <v>1659</v>
      </c>
      <c r="AF13" t="s">
        <v>2411</v>
      </c>
      <c r="AK13" t="s">
        <v>2835</v>
      </c>
      <c r="AL13" t="s">
        <v>2921</v>
      </c>
      <c r="AN13" t="s">
        <v>2834</v>
      </c>
      <c r="AO13" t="s">
        <v>3879</v>
      </c>
      <c r="AQ13" t="s">
        <v>3338</v>
      </c>
      <c r="AR13" t="s">
        <v>3342</v>
      </c>
      <c r="AT13" t="s">
        <v>2921</v>
      </c>
      <c r="AU13" t="s">
        <v>2921</v>
      </c>
      <c r="AW13" t="s">
        <v>1461</v>
      </c>
      <c r="AX13" t="str">
        <f t="shared" ref="AX13:AX21" si="1">AX12</f>
        <v>elec</v>
      </c>
      <c r="AZ13" t="s">
        <v>2010</v>
      </c>
      <c r="BB13" t="s">
        <v>3343</v>
      </c>
      <c r="BD13" t="s">
        <v>2399</v>
      </c>
      <c r="BE13" t="s">
        <v>2994</v>
      </c>
    </row>
    <row r="14" spans="1:58" x14ac:dyDescent="0.25">
      <c r="A14" t="s">
        <v>2873</v>
      </c>
      <c r="C14" t="s">
        <v>3944</v>
      </c>
      <c r="E14" t="s">
        <v>3959</v>
      </c>
      <c r="G14" t="s">
        <v>4965</v>
      </c>
      <c r="I14" t="s">
        <v>3943</v>
      </c>
      <c r="K14" t="s">
        <v>2841</v>
      </c>
      <c r="Q14" t="s">
        <v>960</v>
      </c>
      <c r="S14" t="s">
        <v>2986</v>
      </c>
      <c r="U14" t="s">
        <v>708</v>
      </c>
      <c r="W14" t="s">
        <v>2844</v>
      </c>
      <c r="Y14" t="str">
        <f>mapPRC!A114</f>
        <v>AIOGS-E</v>
      </c>
      <c r="Z14" t="str">
        <f>IFERROR(INDEX($AX$7:$AX$89,MATCH(mapPRC!C114,$AW$7:$AW$89,0)),"")</f>
        <v>agr</v>
      </c>
      <c r="AA14" t="s">
        <v>707</v>
      </c>
      <c r="AB14" t="s">
        <v>2850</v>
      </c>
      <c r="AC14" t="str">
        <f>mapCOM!A28</f>
        <v>AGRNMVS</v>
      </c>
      <c r="AD14" t="str">
        <f t="shared" si="0"/>
        <v/>
      </c>
      <c r="AE14" t="s">
        <v>1657</v>
      </c>
      <c r="AF14" t="s">
        <v>2409</v>
      </c>
      <c r="AK14" t="s">
        <v>2835</v>
      </c>
      <c r="AL14" t="s">
        <v>2922</v>
      </c>
      <c r="AN14" t="s">
        <v>2834</v>
      </c>
      <c r="AO14" t="s">
        <v>3880</v>
      </c>
      <c r="AQ14" t="s">
        <v>3339</v>
      </c>
      <c r="AR14" t="s">
        <v>3342</v>
      </c>
      <c r="AT14" t="s">
        <v>2922</v>
      </c>
      <c r="AU14" t="s">
        <v>2922</v>
      </c>
      <c r="AW14" t="s">
        <v>1454</v>
      </c>
      <c r="AX14" t="str">
        <f t="shared" si="1"/>
        <v>elec</v>
      </c>
      <c r="AZ14" t="s">
        <v>2009</v>
      </c>
      <c r="BB14" t="s">
        <v>3344</v>
      </c>
      <c r="BD14" t="s">
        <v>2397</v>
      </c>
      <c r="BE14" t="s">
        <v>2994</v>
      </c>
    </row>
    <row r="15" spans="1:58" x14ac:dyDescent="0.25">
      <c r="A15" t="s">
        <v>2875</v>
      </c>
      <c r="C15" t="s">
        <v>3945</v>
      </c>
      <c r="E15" t="s">
        <v>4084</v>
      </c>
      <c r="G15" t="s">
        <v>4966</v>
      </c>
      <c r="I15" t="s">
        <v>3944</v>
      </c>
      <c r="K15" t="s">
        <v>2842</v>
      </c>
      <c r="Q15" t="s">
        <v>3197</v>
      </c>
      <c r="S15" t="s">
        <v>2987</v>
      </c>
      <c r="U15" t="s">
        <v>1229</v>
      </c>
      <c r="W15" t="s">
        <v>2845</v>
      </c>
      <c r="Y15" t="str">
        <f>mapPRC!A115</f>
        <v>AOELC-E</v>
      </c>
      <c r="Z15" t="str">
        <f>IFERROR(INDEX($AX$7:$AX$89,MATCH(mapPRC!C115,$AW$7:$AW$89,0)),"")</f>
        <v>agr</v>
      </c>
      <c r="AA15" t="s">
        <v>521</v>
      </c>
      <c r="AB15" t="s">
        <v>2849</v>
      </c>
      <c r="AC15" t="str">
        <f>mapCOM!A29</f>
        <v>AGRNOXS</v>
      </c>
      <c r="AD15" t="str">
        <f t="shared" si="0"/>
        <v/>
      </c>
      <c r="AK15" t="s">
        <v>2838</v>
      </c>
      <c r="AL15" t="s">
        <v>2924</v>
      </c>
      <c r="AN15" t="s">
        <v>2834</v>
      </c>
      <c r="AO15" t="s">
        <v>3881</v>
      </c>
      <c r="AQ15" t="s">
        <v>3340</v>
      </c>
      <c r="AR15" t="s">
        <v>3343</v>
      </c>
      <c r="AT15" t="s">
        <v>2924</v>
      </c>
      <c r="AU15" t="s">
        <v>2924</v>
      </c>
      <c r="AW15" t="s">
        <v>1310</v>
      </c>
      <c r="AX15" t="str">
        <f t="shared" si="1"/>
        <v>elec</v>
      </c>
      <c r="AZ15" t="s">
        <v>2008</v>
      </c>
      <c r="BB15" t="s">
        <v>3350</v>
      </c>
      <c r="BD15" t="s">
        <v>2395</v>
      </c>
      <c r="BE15" t="s">
        <v>2994</v>
      </c>
    </row>
    <row r="16" spans="1:58" x14ac:dyDescent="0.25">
      <c r="A16" t="s">
        <v>2877</v>
      </c>
      <c r="C16" t="s">
        <v>3946</v>
      </c>
      <c r="E16" t="s">
        <v>4085</v>
      </c>
      <c r="G16" t="s">
        <v>4967</v>
      </c>
      <c r="I16" t="s">
        <v>3945</v>
      </c>
      <c r="K16" t="s">
        <v>2843</v>
      </c>
      <c r="Q16" t="s">
        <v>3280</v>
      </c>
      <c r="S16" t="s">
        <v>3076</v>
      </c>
      <c r="U16" t="s">
        <v>1226</v>
      </c>
      <c r="W16" t="s">
        <v>2846</v>
      </c>
      <c r="Y16" t="str">
        <f>mapPRC!A116</f>
        <v>APELC-E</v>
      </c>
      <c r="Z16" t="str">
        <f>IFERROR(INDEX($AX$7:$AX$89,MATCH(mapPRC!C116,$AW$7:$AW$89,0)),"")</f>
        <v>agr</v>
      </c>
      <c r="AA16" t="s">
        <v>461</v>
      </c>
      <c r="AB16" t="s">
        <v>2852</v>
      </c>
      <c r="AC16" t="str">
        <f>mapCOM!A30</f>
        <v>AGRODS</v>
      </c>
      <c r="AD16" t="str">
        <f t="shared" si="0"/>
        <v>cpetr-d</v>
      </c>
      <c r="AK16" t="s">
        <v>2838</v>
      </c>
      <c r="AL16" t="s">
        <v>2967</v>
      </c>
      <c r="AN16" t="s">
        <v>2834</v>
      </c>
      <c r="AO16" t="s">
        <v>3882</v>
      </c>
      <c r="AQ16" t="s">
        <v>3305</v>
      </c>
      <c r="AR16" t="s">
        <v>3343</v>
      </c>
      <c r="AT16" t="s">
        <v>2967</v>
      </c>
      <c r="AU16" t="s">
        <v>2967</v>
      </c>
      <c r="AW16" t="s">
        <v>1412</v>
      </c>
      <c r="AX16" t="str">
        <f t="shared" si="1"/>
        <v>elec</v>
      </c>
      <c r="AZ16" t="s">
        <v>2007</v>
      </c>
      <c r="BB16" t="s">
        <v>3354</v>
      </c>
      <c r="BD16" t="s">
        <v>2393</v>
      </c>
      <c r="BE16" t="s">
        <v>2994</v>
      </c>
    </row>
    <row r="17" spans="1:57" x14ac:dyDescent="0.25">
      <c r="A17" t="s">
        <v>2879</v>
      </c>
      <c r="C17" t="s">
        <v>3947</v>
      </c>
      <c r="E17" t="s">
        <v>4086</v>
      </c>
      <c r="G17" t="s">
        <v>4968</v>
      </c>
      <c r="I17" t="s">
        <v>3946</v>
      </c>
      <c r="K17" t="s">
        <v>2844</v>
      </c>
      <c r="Q17" t="s">
        <v>3290</v>
      </c>
      <c r="S17" t="s">
        <v>3077</v>
      </c>
      <c r="U17" t="s">
        <v>444</v>
      </c>
      <c r="W17" t="s">
        <v>2847</v>
      </c>
      <c r="Y17" t="str">
        <f>mapPRC!A117</f>
        <v>ATELC-E</v>
      </c>
      <c r="Z17" t="str">
        <f>IFERROR(INDEX($AX$7:$AX$89,MATCH(mapPRC!C117,$AW$7:$AW$89,0)),"")</f>
        <v>agr</v>
      </c>
      <c r="AA17" t="s">
        <v>1295</v>
      </c>
      <c r="AB17" t="s">
        <v>2842</v>
      </c>
      <c r="AC17" t="str">
        <f>mapCOM!A31</f>
        <v>AGROGS</v>
      </c>
      <c r="AD17" t="str">
        <f t="shared" si="0"/>
        <v/>
      </c>
      <c r="AN17" t="s">
        <v>2834</v>
      </c>
      <c r="AO17" t="s">
        <v>3883</v>
      </c>
      <c r="AQ17" t="s">
        <v>3306</v>
      </c>
      <c r="AR17" t="s">
        <v>3343</v>
      </c>
      <c r="AW17" t="s">
        <v>1391</v>
      </c>
      <c r="AX17" t="str">
        <f t="shared" si="1"/>
        <v>elec</v>
      </c>
      <c r="AZ17" t="s">
        <v>2006</v>
      </c>
      <c r="BB17" t="s">
        <v>3345</v>
      </c>
      <c r="BD17" t="s">
        <v>2391</v>
      </c>
      <c r="BE17" t="s">
        <v>2997</v>
      </c>
    </row>
    <row r="18" spans="1:57" x14ac:dyDescent="0.25">
      <c r="A18" t="s">
        <v>2881</v>
      </c>
      <c r="C18" t="s">
        <v>3948</v>
      </c>
      <c r="E18" t="s">
        <v>4087</v>
      </c>
      <c r="G18" t="s">
        <v>4969</v>
      </c>
      <c r="I18" t="s">
        <v>3947</v>
      </c>
      <c r="K18" t="s">
        <v>2845</v>
      </c>
      <c r="Q18" t="s">
        <v>145</v>
      </c>
      <c r="S18" t="s">
        <v>44</v>
      </c>
      <c r="U18" t="s">
        <v>448</v>
      </c>
      <c r="W18" t="s">
        <v>2848</v>
      </c>
      <c r="Y18" t="str">
        <f>mapPRC!A118</f>
        <v>ATODS-E</v>
      </c>
      <c r="Z18" t="str">
        <f>IFERROR(INDEX($AX$7:$AX$89,MATCH(mapPRC!C118,$AW$7:$AW$89,0)),"")</f>
        <v>agr</v>
      </c>
      <c r="AA18" t="s">
        <v>1261</v>
      </c>
      <c r="AB18" t="s">
        <v>2839</v>
      </c>
      <c r="AC18" t="str">
        <f>mapCOM!A32</f>
        <v>AGROHF</v>
      </c>
      <c r="AD18" t="str">
        <f t="shared" si="0"/>
        <v>cpetr-h</v>
      </c>
      <c r="AN18" t="s">
        <v>2834</v>
      </c>
      <c r="AO18" t="s">
        <v>3884</v>
      </c>
      <c r="AQ18" t="s">
        <v>3346</v>
      </c>
      <c r="AR18" t="s">
        <v>3343</v>
      </c>
      <c r="AW18" t="s">
        <v>1386</v>
      </c>
      <c r="AX18" t="str">
        <f t="shared" si="1"/>
        <v>elec</v>
      </c>
      <c r="AZ18" t="s">
        <v>2005</v>
      </c>
      <c r="BB18" t="s">
        <v>3351</v>
      </c>
      <c r="BD18" t="s">
        <v>2389</v>
      </c>
      <c r="BE18" t="s">
        <v>2996</v>
      </c>
    </row>
    <row r="19" spans="1:57" x14ac:dyDescent="0.25">
      <c r="A19" t="s">
        <v>2883</v>
      </c>
      <c r="C19" t="s">
        <v>3949</v>
      </c>
      <c r="E19" t="s">
        <v>4088</v>
      </c>
      <c r="G19" t="s">
        <v>4970</v>
      </c>
      <c r="I19" t="s">
        <v>3948</v>
      </c>
      <c r="K19" t="s">
        <v>2846</v>
      </c>
      <c r="Q19" t="s">
        <v>3165</v>
      </c>
      <c r="S19" t="s">
        <v>445</v>
      </c>
      <c r="U19" t="s">
        <v>406</v>
      </c>
      <c r="W19" t="s">
        <v>2849</v>
      </c>
      <c r="Y19" t="str">
        <f>mapPRC!A119</f>
        <v>ATOGS-E</v>
      </c>
      <c r="Z19" t="str">
        <f>IFERROR(INDEX($AX$7:$AX$89,MATCH(mapPRC!C119,$AW$7:$AW$89,0)),"")</f>
        <v>agr</v>
      </c>
      <c r="AA19" t="s">
        <v>1228</v>
      </c>
      <c r="AB19" t="s">
        <v>2844</v>
      </c>
      <c r="AC19" t="str">
        <f>mapCOM!A33</f>
        <v>AGROKE</v>
      </c>
      <c r="AD19" t="str">
        <f t="shared" si="0"/>
        <v>cpetr-k</v>
      </c>
      <c r="AN19" t="s">
        <v>2834</v>
      </c>
      <c r="AO19" t="s">
        <v>2912</v>
      </c>
      <c r="AQ19" t="s">
        <v>3307</v>
      </c>
      <c r="AR19" t="s">
        <v>3344</v>
      </c>
      <c r="AW19" t="s">
        <v>1363</v>
      </c>
      <c r="AX19" t="str">
        <f t="shared" si="1"/>
        <v>elec</v>
      </c>
      <c r="AZ19" t="s">
        <v>2004</v>
      </c>
      <c r="BB19" t="s">
        <v>3352</v>
      </c>
      <c r="BD19" t="s">
        <v>2387</v>
      </c>
      <c r="BE19" t="s">
        <v>2994</v>
      </c>
    </row>
    <row r="20" spans="1:57" x14ac:dyDescent="0.25">
      <c r="A20" t="s">
        <v>2885</v>
      </c>
      <c r="C20" t="s">
        <v>4960</v>
      </c>
      <c r="E20" t="s">
        <v>4089</v>
      </c>
      <c r="G20" t="s">
        <v>4971</v>
      </c>
      <c r="I20" t="s">
        <v>3949</v>
      </c>
      <c r="K20" t="s">
        <v>2847</v>
      </c>
      <c r="Q20" t="s">
        <v>387</v>
      </c>
      <c r="S20" t="s">
        <v>1264</v>
      </c>
      <c r="U20" t="s">
        <v>958</v>
      </c>
      <c r="W20" t="s">
        <v>2850</v>
      </c>
      <c r="Y20" t="str">
        <f>mapPRC!A120</f>
        <v>CECELCCEN-E</v>
      </c>
      <c r="Z20" t="str">
        <f>IFERROR(INDEX($AX$7:$AX$89,MATCH(mapPRC!C120,$AW$7:$AW$89,0)),"")</f>
        <v>com</v>
      </c>
      <c r="AA20" t="s">
        <v>1191</v>
      </c>
      <c r="AB20" t="s">
        <v>2836</v>
      </c>
      <c r="AC20" t="str">
        <f>mapCOM!A34</f>
        <v>AGROLP</v>
      </c>
      <c r="AD20" t="str">
        <f t="shared" si="0"/>
        <v>cpetr-l</v>
      </c>
      <c r="AN20" t="s">
        <v>2834</v>
      </c>
      <c r="AO20" t="s">
        <v>2914</v>
      </c>
      <c r="AQ20" t="s">
        <v>3308</v>
      </c>
      <c r="AR20" t="s">
        <v>3344</v>
      </c>
      <c r="AW20" t="s">
        <v>1322</v>
      </c>
      <c r="AX20" t="str">
        <f t="shared" si="1"/>
        <v>elec</v>
      </c>
      <c r="AZ20" t="s">
        <v>2003</v>
      </c>
      <c r="BB20" t="s">
        <v>3353</v>
      </c>
      <c r="BD20" t="s">
        <v>2385</v>
      </c>
      <c r="BE20" t="s">
        <v>2994</v>
      </c>
    </row>
    <row r="21" spans="1:57" x14ac:dyDescent="0.25">
      <c r="A21" t="s">
        <v>2887</v>
      </c>
      <c r="C21" t="s">
        <v>4961</v>
      </c>
      <c r="K21" t="s">
        <v>2848</v>
      </c>
      <c r="Q21" t="s">
        <v>719</v>
      </c>
      <c r="S21" t="s">
        <v>3717</v>
      </c>
      <c r="U21" t="s">
        <v>1101</v>
      </c>
      <c r="W21" t="s">
        <v>2851</v>
      </c>
      <c r="Y21" t="str">
        <f>mapPRC!A121</f>
        <v>CECELCCEN-N</v>
      </c>
      <c r="Z21" t="str">
        <f>IFERROR(INDEX($AX$7:$AX$89,MATCH(mapPRC!C121,$AW$7:$AW$89,0)),"")</f>
        <v>com</v>
      </c>
      <c r="AA21" t="s">
        <v>1132</v>
      </c>
      <c r="AB21" t="s">
        <v>2845</v>
      </c>
      <c r="AC21" t="str">
        <f>mapCOM!A35</f>
        <v>AGRP10S</v>
      </c>
      <c r="AD21" t="str">
        <f t="shared" si="0"/>
        <v/>
      </c>
      <c r="AN21" t="s">
        <v>2905</v>
      </c>
      <c r="AO21" t="s">
        <v>2916</v>
      </c>
      <c r="AQ21" t="s">
        <v>3309</v>
      </c>
      <c r="AR21" t="s">
        <v>3344</v>
      </c>
      <c r="AW21" t="s">
        <v>3581</v>
      </c>
      <c r="AX21" t="str">
        <f t="shared" si="1"/>
        <v>elec</v>
      </c>
      <c r="AZ21" t="s">
        <v>2002</v>
      </c>
      <c r="BB21" t="s">
        <v>3355</v>
      </c>
      <c r="BD21" t="s">
        <v>2383</v>
      </c>
      <c r="BE21" t="s">
        <v>2994</v>
      </c>
    </row>
    <row r="22" spans="1:57" x14ac:dyDescent="0.25">
      <c r="A22" t="s">
        <v>2889</v>
      </c>
      <c r="C22" t="s">
        <v>4962</v>
      </c>
      <c r="K22" t="s">
        <v>2837</v>
      </c>
      <c r="Q22" t="s">
        <v>21</v>
      </c>
      <c r="S22" t="s">
        <v>3719</v>
      </c>
      <c r="U22" t="s">
        <v>516</v>
      </c>
      <c r="W22" t="s">
        <v>2852</v>
      </c>
      <c r="Y22" t="str">
        <f>mapPRC!A122</f>
        <v>CECELCCHIL-E</v>
      </c>
      <c r="Z22" t="str">
        <f>IFERROR(INDEX($AX$7:$AX$89,MATCH(mapPRC!C122,$AW$7:$AW$89,0)),"")</f>
        <v>com</v>
      </c>
      <c r="AA22" t="s">
        <v>1106</v>
      </c>
      <c r="AB22" t="s">
        <v>2843</v>
      </c>
      <c r="AC22" t="str">
        <f>mapCOM!A36</f>
        <v>AGRSOXS</v>
      </c>
      <c r="AD22" t="str">
        <f t="shared" si="0"/>
        <v/>
      </c>
      <c r="AN22" t="s">
        <v>2836</v>
      </c>
      <c r="AO22" t="s">
        <v>2918</v>
      </c>
      <c r="AQ22" t="s">
        <v>3868</v>
      </c>
      <c r="AR22" t="s">
        <v>3350</v>
      </c>
      <c r="AW22" t="s">
        <v>1313</v>
      </c>
      <c r="AX22" t="str">
        <f>AX20</f>
        <v>elec</v>
      </c>
      <c r="AZ22" t="s">
        <v>2001</v>
      </c>
      <c r="BB22" t="s">
        <v>3363</v>
      </c>
      <c r="BD22" t="s">
        <v>2381</v>
      </c>
      <c r="BE22" t="s">
        <v>3868</v>
      </c>
    </row>
    <row r="23" spans="1:57" x14ac:dyDescent="0.25">
      <c r="A23" t="s">
        <v>2891</v>
      </c>
      <c r="C23" t="s">
        <v>4963</v>
      </c>
      <c r="K23" t="s">
        <v>2849</v>
      </c>
      <c r="Q23" t="s">
        <v>26</v>
      </c>
      <c r="S23" t="s">
        <v>3718</v>
      </c>
      <c r="U23" t="s">
        <v>519</v>
      </c>
      <c r="W23" t="s">
        <v>2853</v>
      </c>
      <c r="Y23" t="str">
        <f>mapPRC!A123</f>
        <v>CECELCHP-E</v>
      </c>
      <c r="Z23" t="str">
        <f>IFERROR(INDEX($AX$7:$AX$89,MATCH(mapPRC!C123,$AW$7:$AW$89,0)),"")</f>
        <v>com</v>
      </c>
      <c r="AA23" t="s">
        <v>1062</v>
      </c>
      <c r="AB23" t="s">
        <v>2840</v>
      </c>
      <c r="AC23" t="str">
        <f>mapCOM!A37</f>
        <v>AH</v>
      </c>
      <c r="AD23" t="str">
        <f t="shared" si="0"/>
        <v/>
      </c>
      <c r="AN23" t="s">
        <v>2836</v>
      </c>
      <c r="AO23" t="s">
        <v>2920</v>
      </c>
      <c r="AQ23" t="s">
        <v>3870</v>
      </c>
      <c r="AR23" t="s">
        <v>3354</v>
      </c>
      <c r="AW23" t="s">
        <v>3583</v>
      </c>
      <c r="AX23" t="str">
        <f>AX22</f>
        <v>elec</v>
      </c>
      <c r="AZ23" t="s">
        <v>3606</v>
      </c>
      <c r="BB23" t="s">
        <v>3356</v>
      </c>
      <c r="BD23" t="s">
        <v>2379</v>
      </c>
      <c r="BE23" t="s">
        <v>2994</v>
      </c>
    </row>
    <row r="24" spans="1:57" x14ac:dyDescent="0.25">
      <c r="A24" t="s">
        <v>2893</v>
      </c>
      <c r="C24" t="s">
        <v>4964</v>
      </c>
      <c r="K24" t="s">
        <v>2850</v>
      </c>
      <c r="Q24" t="s">
        <v>1772</v>
      </c>
      <c r="S24" t="s">
        <v>1578</v>
      </c>
      <c r="U24" t="s">
        <v>513</v>
      </c>
      <c r="W24" t="s">
        <v>2972</v>
      </c>
      <c r="Y24" t="str">
        <f>mapPRC!A124</f>
        <v>CECELCHP-N</v>
      </c>
      <c r="Z24" t="str">
        <f>IFERROR(INDEX($AX$7:$AX$89,MATCH(mapPRC!C124,$AW$7:$AW$89,0)),"")</f>
        <v>com</v>
      </c>
      <c r="AA24" t="s">
        <v>1016</v>
      </c>
      <c r="AB24" t="s">
        <v>2841</v>
      </c>
      <c r="AC24" t="str">
        <f>mapCOM!A38</f>
        <v>AI</v>
      </c>
      <c r="AD24" t="str">
        <f t="shared" si="0"/>
        <v/>
      </c>
      <c r="AN24" t="s">
        <v>2836</v>
      </c>
      <c r="AO24" t="s">
        <v>2923</v>
      </c>
      <c r="AQ24" t="s">
        <v>3872</v>
      </c>
      <c r="AR24" t="s">
        <v>3354</v>
      </c>
      <c r="AW24" t="s">
        <v>3585</v>
      </c>
      <c r="AX24" t="str">
        <f>AX23</f>
        <v>elec</v>
      </c>
      <c r="AZ24" t="s">
        <v>3727</v>
      </c>
      <c r="BB24" t="s">
        <v>3357</v>
      </c>
      <c r="BD24" t="s">
        <v>2377</v>
      </c>
      <c r="BE24" t="s">
        <v>3870</v>
      </c>
    </row>
    <row r="25" spans="1:57" x14ac:dyDescent="0.25">
      <c r="A25" t="s">
        <v>2895</v>
      </c>
      <c r="C25" t="s">
        <v>4965</v>
      </c>
      <c r="K25" t="s">
        <v>2851</v>
      </c>
      <c r="S25" t="s">
        <v>1489</v>
      </c>
      <c r="U25" t="s">
        <v>510</v>
      </c>
      <c r="W25" t="s">
        <v>2973</v>
      </c>
      <c r="Y25" t="str">
        <f>mapPRC!A125</f>
        <v>CECELCROOM-E</v>
      </c>
      <c r="Z25" t="str">
        <f>IFERROR(INDEX($AX$7:$AX$89,MATCH(mapPRC!C125,$AW$7:$AW$89,0)),"")</f>
        <v>com</v>
      </c>
      <c r="AA25" t="s">
        <v>918</v>
      </c>
      <c r="AB25" t="s">
        <v>2905</v>
      </c>
      <c r="AC25" t="str">
        <f>mapCOM!A39</f>
        <v>AO</v>
      </c>
      <c r="AD25" t="str">
        <f t="shared" si="0"/>
        <v/>
      </c>
      <c r="AN25" t="s">
        <v>3793</v>
      </c>
      <c r="AO25" t="s">
        <v>3807</v>
      </c>
      <c r="AQ25" t="s">
        <v>3871</v>
      </c>
      <c r="AR25" t="s">
        <v>3354</v>
      </c>
      <c r="AW25" t="s">
        <v>1305</v>
      </c>
      <c r="AX25" t="str">
        <f>AX22</f>
        <v>elec</v>
      </c>
      <c r="AZ25" t="s">
        <v>2000</v>
      </c>
      <c r="BB25" t="s">
        <v>3359</v>
      </c>
      <c r="BD25" t="s">
        <v>2375</v>
      </c>
      <c r="BE25" t="s">
        <v>3872</v>
      </c>
    </row>
    <row r="26" spans="1:57" x14ac:dyDescent="0.25">
      <c r="A26" t="s">
        <v>2897</v>
      </c>
      <c r="C26" t="s">
        <v>4966</v>
      </c>
      <c r="E26" t="s">
        <v>3955</v>
      </c>
      <c r="K26" t="s">
        <v>2852</v>
      </c>
      <c r="S26" t="s">
        <v>392</v>
      </c>
      <c r="U26" t="s">
        <v>507</v>
      </c>
      <c r="W26" t="s">
        <v>2855</v>
      </c>
      <c r="Y26" t="str">
        <f>mapPRC!A126</f>
        <v>CEGELCHAL-E</v>
      </c>
      <c r="Z26" t="str">
        <f>IFERROR(INDEX($AX$7:$AX$89,MATCH(mapPRC!C126,$AW$7:$AW$89,0)),"")</f>
        <v>com</v>
      </c>
      <c r="AA26" t="s">
        <v>1298</v>
      </c>
      <c r="AB26" t="s">
        <v>2847</v>
      </c>
      <c r="AC26" t="str">
        <f>mapCOM!A40</f>
        <v>AP</v>
      </c>
      <c r="AD26" t="str">
        <f t="shared" si="0"/>
        <v/>
      </c>
      <c r="AN26" t="s">
        <v>2836</v>
      </c>
      <c r="AO26" t="s">
        <v>2926</v>
      </c>
      <c r="AQ26" t="s">
        <v>3310</v>
      </c>
      <c r="AR26" t="s">
        <v>3345</v>
      </c>
      <c r="AW26" t="s">
        <v>1301</v>
      </c>
      <c r="AX26" t="str">
        <f>AX25</f>
        <v>elec</v>
      </c>
      <c r="AZ26" t="s">
        <v>1999</v>
      </c>
      <c r="BD26" t="s">
        <v>2373</v>
      </c>
      <c r="BE26" t="s">
        <v>3871</v>
      </c>
    </row>
    <row r="27" spans="1:57" x14ac:dyDescent="0.25">
      <c r="A27" t="s">
        <v>2899</v>
      </c>
      <c r="C27" t="s">
        <v>4967</v>
      </c>
      <c r="E27" t="s">
        <v>3956</v>
      </c>
      <c r="K27" t="s">
        <v>2853</v>
      </c>
      <c r="S27" t="s">
        <v>411</v>
      </c>
      <c r="U27" t="s">
        <v>501</v>
      </c>
      <c r="W27" t="s">
        <v>2904</v>
      </c>
      <c r="Y27" t="str">
        <f>mapPRC!A127</f>
        <v>CEGELCHPM-E</v>
      </c>
      <c r="Z27" t="str">
        <f>IFERROR(INDEX($AX$7:$AX$89,MATCH(mapPRC!C127,$AW$7:$AW$89,0)),"")</f>
        <v>com</v>
      </c>
      <c r="AA27" t="s">
        <v>3796</v>
      </c>
      <c r="AB27" t="s">
        <v>3793</v>
      </c>
      <c r="AC27" t="str">
        <f>mapCOM!A41</f>
        <v>AT</v>
      </c>
      <c r="AD27" t="str">
        <f t="shared" si="0"/>
        <v/>
      </c>
      <c r="AN27" t="s">
        <v>2839</v>
      </c>
      <c r="AO27" t="s">
        <v>3885</v>
      </c>
      <c r="AQ27" t="s">
        <v>3311</v>
      </c>
      <c r="AR27" t="s">
        <v>3345</v>
      </c>
      <c r="AW27" t="s">
        <v>1296</v>
      </c>
      <c r="AX27" t="str">
        <f>AX26</f>
        <v>elec</v>
      </c>
      <c r="AZ27" t="s">
        <v>1998</v>
      </c>
      <c r="BD27" t="s">
        <v>2371</v>
      </c>
      <c r="BE27" t="s">
        <v>2994</v>
      </c>
    </row>
    <row r="28" spans="1:57" x14ac:dyDescent="0.25">
      <c r="A28" t="s">
        <v>2901</v>
      </c>
      <c r="C28" t="s">
        <v>4968</v>
      </c>
      <c r="E28" t="s">
        <v>3957</v>
      </c>
      <c r="K28" t="s">
        <v>2972</v>
      </c>
      <c r="S28" t="s">
        <v>3125</v>
      </c>
      <c r="U28" t="s">
        <v>504</v>
      </c>
      <c r="W28" t="s">
        <v>2905</v>
      </c>
      <c r="Y28" t="str">
        <f>mapPRC!A128</f>
        <v>CEGELCHPS-E</v>
      </c>
      <c r="Z28" t="str">
        <f>IFERROR(INDEX($AX$7:$AX$89,MATCH(mapPRC!C128,$AW$7:$AW$89,0)),"")</f>
        <v>com</v>
      </c>
      <c r="AA28" t="s">
        <v>1073</v>
      </c>
      <c r="AB28" t="s">
        <v>3794</v>
      </c>
      <c r="AC28" t="str">
        <f>mapCOM!A42</f>
        <v>BBE</v>
      </c>
      <c r="AD28" t="str">
        <f t="shared" si="0"/>
        <v/>
      </c>
      <c r="AN28" t="s">
        <v>2839</v>
      </c>
      <c r="AO28" t="s">
        <v>3886</v>
      </c>
      <c r="AQ28" t="s">
        <v>3312</v>
      </c>
      <c r="AR28" t="s">
        <v>3345</v>
      </c>
      <c r="AW28" t="s">
        <v>1264</v>
      </c>
      <c r="AX28" t="str">
        <f>W12</f>
        <v>cp</v>
      </c>
      <c r="AZ28" t="s">
        <v>1997</v>
      </c>
      <c r="BD28" t="s">
        <v>2369</v>
      </c>
      <c r="BE28" t="s">
        <v>2994</v>
      </c>
    </row>
    <row r="29" spans="1:57" x14ac:dyDescent="0.25">
      <c r="C29" t="s">
        <v>4969</v>
      </c>
      <c r="E29" t="s">
        <v>3958</v>
      </c>
      <c r="K29" t="s">
        <v>2973</v>
      </c>
      <c r="S29" t="s">
        <v>3597</v>
      </c>
      <c r="U29" t="s">
        <v>498</v>
      </c>
      <c r="W29" t="s">
        <v>3120</v>
      </c>
      <c r="Y29" t="str">
        <f>mapPRC!A129</f>
        <v>CEGELCINC-E</v>
      </c>
      <c r="Z29" t="str">
        <f>IFERROR(INDEX($AX$7:$AX$89,MATCH(mapPRC!C129,$AW$7:$AW$89,0)),"")</f>
        <v>com</v>
      </c>
      <c r="AA29" t="s">
        <v>3566</v>
      </c>
      <c r="AB29" t="s">
        <v>3792</v>
      </c>
      <c r="AC29" t="str">
        <f>mapCOM!A43</f>
        <v>BCA</v>
      </c>
      <c r="AD29" t="str">
        <f t="shared" si="0"/>
        <v/>
      </c>
      <c r="AN29" t="s">
        <v>2839</v>
      </c>
      <c r="AO29" t="s">
        <v>3887</v>
      </c>
      <c r="AQ29" t="s">
        <v>3313</v>
      </c>
      <c r="AR29" t="s">
        <v>3345</v>
      </c>
      <c r="AW29" t="s">
        <v>1262</v>
      </c>
      <c r="AX29" t="str">
        <f>W14</f>
        <v>is</v>
      </c>
      <c r="AZ29" t="s">
        <v>1996</v>
      </c>
      <c r="BD29" t="s">
        <v>3655</v>
      </c>
      <c r="BE29" t="s">
        <v>2994</v>
      </c>
    </row>
    <row r="30" spans="1:57" x14ac:dyDescent="0.25">
      <c r="C30" t="s">
        <v>4970</v>
      </c>
      <c r="E30" t="s">
        <v>3959</v>
      </c>
      <c r="K30" t="s">
        <v>2855</v>
      </c>
      <c r="S30" t="s">
        <v>1363</v>
      </c>
      <c r="U30" t="s">
        <v>495</v>
      </c>
      <c r="W30" t="s">
        <v>3121</v>
      </c>
      <c r="Y30" t="str">
        <f>mapPRC!A130</f>
        <v>CEGELCLED-N</v>
      </c>
      <c r="Z30" t="str">
        <f>IFERROR(INDEX($AX$7:$AX$89,MATCH(mapPRC!C130,$AW$7:$AW$89,0)),"")</f>
        <v>com</v>
      </c>
      <c r="AA30" t="s">
        <v>3829</v>
      </c>
      <c r="AB30" t="s">
        <v>3837</v>
      </c>
      <c r="AC30" t="str">
        <f>mapCOM!A44</f>
        <v>BIB</v>
      </c>
      <c r="AD30" t="str">
        <f t="shared" si="0"/>
        <v/>
      </c>
      <c r="AN30" t="s">
        <v>2839</v>
      </c>
      <c r="AO30" t="s">
        <v>3888</v>
      </c>
      <c r="AQ30" t="s">
        <v>3347</v>
      </c>
      <c r="AR30" t="s">
        <v>3351</v>
      </c>
      <c r="AW30" t="s">
        <v>1235</v>
      </c>
      <c r="AX30" t="str">
        <f>W9</f>
        <v>fb</v>
      </c>
      <c r="AZ30" t="s">
        <v>1995</v>
      </c>
      <c r="BD30" t="s">
        <v>3657</v>
      </c>
      <c r="BE30" t="s">
        <v>2994</v>
      </c>
    </row>
    <row r="31" spans="1:57" x14ac:dyDescent="0.25">
      <c r="C31" t="s">
        <v>4971</v>
      </c>
      <c r="E31" t="s">
        <v>3960</v>
      </c>
      <c r="K31" t="s">
        <v>2904</v>
      </c>
      <c r="S31" t="s">
        <v>1461</v>
      </c>
      <c r="U31" t="s">
        <v>490</v>
      </c>
      <c r="W31" t="s">
        <v>3793</v>
      </c>
      <c r="Y31" t="str">
        <f>mapPRC!A131</f>
        <v>CEGELCMHL-E</v>
      </c>
      <c r="Z31" t="str">
        <f>IFERROR(INDEX($AX$7:$AX$89,MATCH(mapPRC!C131,$AW$7:$AW$89,0)),"")</f>
        <v>com</v>
      </c>
      <c r="AA31" t="s">
        <v>3848</v>
      </c>
      <c r="AB31" t="s">
        <v>3847</v>
      </c>
      <c r="AC31" t="str">
        <f>mapCOM!A45</f>
        <v>BIB2</v>
      </c>
      <c r="AD31" t="str">
        <f t="shared" si="0"/>
        <v/>
      </c>
      <c r="AN31" t="s">
        <v>2839</v>
      </c>
      <c r="AO31" t="s">
        <v>3889</v>
      </c>
      <c r="AQ31" t="s">
        <v>3314</v>
      </c>
      <c r="AR31" t="s">
        <v>3351</v>
      </c>
      <c r="AW31" t="s">
        <v>1193</v>
      </c>
      <c r="AX31" t="str">
        <f>W14</f>
        <v>is</v>
      </c>
      <c r="AZ31" t="s">
        <v>1994</v>
      </c>
      <c r="BD31" t="s">
        <v>2367</v>
      </c>
      <c r="BE31" t="s">
        <v>2994</v>
      </c>
    </row>
    <row r="32" spans="1:57" x14ac:dyDescent="0.25">
      <c r="C32" t="s">
        <v>3952</v>
      </c>
      <c r="E32" t="s">
        <v>3961</v>
      </c>
      <c r="K32" t="s">
        <v>2905</v>
      </c>
      <c r="S32" t="s">
        <v>1322</v>
      </c>
      <c r="U32" t="s">
        <v>572</v>
      </c>
      <c r="W32" t="s">
        <v>3794</v>
      </c>
      <c r="Y32" t="str">
        <f>mapPRC!A132</f>
        <v>CEHCOA-E</v>
      </c>
      <c r="Z32" t="str">
        <f>IFERROR(INDEX($AX$7:$AX$89,MATCH(mapPRC!C132,$AW$7:$AW$89,0)),"")</f>
        <v>com</v>
      </c>
      <c r="AC32" t="str">
        <f>mapCOM!A46</f>
        <v>BID</v>
      </c>
      <c r="AD32" t="str">
        <f t="shared" si="0"/>
        <v/>
      </c>
      <c r="AN32" t="s">
        <v>2839</v>
      </c>
      <c r="AO32" t="s">
        <v>3890</v>
      </c>
      <c r="AQ32" t="s">
        <v>3315</v>
      </c>
      <c r="AR32" t="s">
        <v>3352</v>
      </c>
      <c r="AW32" t="s">
        <v>1159</v>
      </c>
      <c r="AX32" t="str">
        <f>W8</f>
        <v>mi</v>
      </c>
      <c r="AZ32" t="s">
        <v>1993</v>
      </c>
      <c r="BD32" t="s">
        <v>3659</v>
      </c>
      <c r="BE32" t="s">
        <v>2994</v>
      </c>
    </row>
    <row r="33" spans="3:57" x14ac:dyDescent="0.25">
      <c r="C33" t="s">
        <v>3953</v>
      </c>
      <c r="E33" t="s">
        <v>3962</v>
      </c>
      <c r="K33" t="s">
        <v>3120</v>
      </c>
      <c r="S33" t="s">
        <v>3582</v>
      </c>
      <c r="U33" t="s">
        <v>575</v>
      </c>
      <c r="W33" t="s">
        <v>3792</v>
      </c>
      <c r="Y33" t="str">
        <f>mapPRC!A133</f>
        <v>CEHELC-E</v>
      </c>
      <c r="Z33" t="str">
        <f>IFERROR(INDEX($AX$7:$AX$89,MATCH(mapPRC!C133,$AW$7:$AW$89,0)),"")</f>
        <v>com</v>
      </c>
      <c r="AC33" t="str">
        <f>mapCOM!A47</f>
        <v>BIE</v>
      </c>
      <c r="AD33" t="str">
        <f t="shared" si="0"/>
        <v/>
      </c>
      <c r="AN33" t="s">
        <v>2839</v>
      </c>
      <c r="AO33" t="s">
        <v>3891</v>
      </c>
      <c r="AQ33" t="s">
        <v>3316</v>
      </c>
      <c r="AR33" t="s">
        <v>3352</v>
      </c>
      <c r="AW33" t="s">
        <v>423</v>
      </c>
      <c r="AX33" t="s">
        <v>2972</v>
      </c>
      <c r="AZ33" t="s">
        <v>1992</v>
      </c>
      <c r="BD33" t="s">
        <v>2365</v>
      </c>
      <c r="BE33" t="s">
        <v>2994</v>
      </c>
    </row>
    <row r="34" spans="3:57" x14ac:dyDescent="0.25">
      <c r="C34" t="s">
        <v>3954</v>
      </c>
      <c r="E34" t="s">
        <v>3963</v>
      </c>
      <c r="K34" t="s">
        <v>3121</v>
      </c>
      <c r="S34" t="s">
        <v>1391</v>
      </c>
      <c r="U34" t="s">
        <v>569</v>
      </c>
      <c r="W34" t="s">
        <v>3837</v>
      </c>
      <c r="Y34" t="str">
        <f>mapPRC!A134</f>
        <v>CEHELC-N</v>
      </c>
      <c r="Z34" t="str">
        <f>IFERROR(INDEX($AX$7:$AX$89,MATCH(mapPRC!C134,$AW$7:$AW$89,0)),"")</f>
        <v>com</v>
      </c>
      <c r="AC34" t="str">
        <f>mapCOM!A48</f>
        <v>BIG</v>
      </c>
      <c r="AD34" t="str">
        <f t="shared" si="0"/>
        <v/>
      </c>
      <c r="AN34" t="s">
        <v>2839</v>
      </c>
      <c r="AO34" t="s">
        <v>3892</v>
      </c>
      <c r="AQ34" t="s">
        <v>3317</v>
      </c>
      <c r="AR34" t="s">
        <v>3352</v>
      </c>
      <c r="AW34" t="s">
        <v>1107</v>
      </c>
      <c r="AX34" t="str">
        <f>W15</f>
        <v>nf</v>
      </c>
      <c r="AZ34" t="s">
        <v>1991</v>
      </c>
      <c r="BD34" t="s">
        <v>2363</v>
      </c>
      <c r="BE34" t="s">
        <v>2994</v>
      </c>
    </row>
    <row r="35" spans="3:57" x14ac:dyDescent="0.25">
      <c r="C35" t="s">
        <v>3955</v>
      </c>
      <c r="E35" t="s">
        <v>3964</v>
      </c>
      <c r="K35" t="s">
        <v>3793</v>
      </c>
      <c r="S35" t="s">
        <v>144</v>
      </c>
      <c r="U35" t="s">
        <v>550</v>
      </c>
      <c r="W35" t="s">
        <v>3847</v>
      </c>
      <c r="Y35" t="str">
        <f>mapPRC!A135</f>
        <v>CEHGAS-E</v>
      </c>
      <c r="Z35" t="str">
        <f>IFERROR(INDEX($AX$7:$AX$89,MATCH(mapPRC!C135,$AW$7:$AW$89,0)),"")</f>
        <v>com</v>
      </c>
      <c r="AC35" t="str">
        <f>mapCOM!A49</f>
        <v>BIO</v>
      </c>
      <c r="AD35" t="str">
        <f t="shared" si="0"/>
        <v/>
      </c>
      <c r="AN35" t="s">
        <v>2839</v>
      </c>
      <c r="AO35" t="s">
        <v>3893</v>
      </c>
      <c r="AQ35" t="s">
        <v>3318</v>
      </c>
      <c r="AR35" t="s">
        <v>3353</v>
      </c>
      <c r="AW35" t="s">
        <v>3049</v>
      </c>
      <c r="AX35" t="str">
        <f>AX34</f>
        <v>nf</v>
      </c>
      <c r="AZ35" t="s">
        <v>1990</v>
      </c>
      <c r="BD35" t="s">
        <v>2361</v>
      </c>
      <c r="BE35" t="s">
        <v>2994</v>
      </c>
    </row>
    <row r="36" spans="3:57" x14ac:dyDescent="0.25">
      <c r="C36" t="s">
        <v>3956</v>
      </c>
      <c r="E36" t="s">
        <v>3965</v>
      </c>
      <c r="K36" t="s">
        <v>3794</v>
      </c>
      <c r="S36" t="s">
        <v>1313</v>
      </c>
      <c r="U36" t="s">
        <v>566</v>
      </c>
      <c r="Y36" t="str">
        <f>mapPRC!A136</f>
        <v>CEHGAS-N</v>
      </c>
      <c r="Z36" t="str">
        <f>IFERROR(INDEX($AX$7:$AX$89,MATCH(mapPRC!C136,$AW$7:$AW$89,0)),"")</f>
        <v>com</v>
      </c>
      <c r="AC36" t="str">
        <f>mapCOM!A50</f>
        <v>BIW</v>
      </c>
      <c r="AD36" t="str">
        <f t="shared" si="0"/>
        <v/>
      </c>
      <c r="AN36" t="s">
        <v>2839</v>
      </c>
      <c r="AO36" t="s">
        <v>3894</v>
      </c>
      <c r="AQ36" t="s">
        <v>3319</v>
      </c>
      <c r="AR36" t="s">
        <v>3353</v>
      </c>
      <c r="AW36" t="s">
        <v>1064</v>
      </c>
      <c r="AX36" t="str">
        <f>W13</f>
        <v>nm</v>
      </c>
      <c r="AZ36" t="s">
        <v>1989</v>
      </c>
      <c r="BD36" t="s">
        <v>2359</v>
      </c>
      <c r="BE36" t="s">
        <v>2994</v>
      </c>
    </row>
    <row r="37" spans="3:57" x14ac:dyDescent="0.25">
      <c r="C37" t="s">
        <v>3957</v>
      </c>
      <c r="E37" t="s">
        <v>3966</v>
      </c>
      <c r="K37" t="s">
        <v>3792</v>
      </c>
      <c r="S37" t="s">
        <v>3584</v>
      </c>
      <c r="U37" t="s">
        <v>553</v>
      </c>
      <c r="Y37" t="str">
        <f>mapPRC!A137</f>
        <v>CEKCOA-E</v>
      </c>
      <c r="Z37" t="str">
        <f>IFERROR(INDEX($AX$7:$AX$89,MATCH(mapPRC!C137,$AW$7:$AW$89,0)),"")</f>
        <v>com</v>
      </c>
      <c r="AC37" t="str">
        <f>mapCOM!A51</f>
        <v>BSC</v>
      </c>
      <c r="AD37" t="str">
        <f t="shared" si="0"/>
        <v/>
      </c>
      <c r="AN37" t="s">
        <v>2839</v>
      </c>
      <c r="AO37" t="s">
        <v>3895</v>
      </c>
      <c r="AQ37" t="s">
        <v>3320</v>
      </c>
      <c r="AR37" t="s">
        <v>3353</v>
      </c>
      <c r="AW37" t="s">
        <v>1022</v>
      </c>
      <c r="AX37" t="str">
        <f>W10</f>
        <v>ot</v>
      </c>
      <c r="AZ37" t="s">
        <v>1988</v>
      </c>
      <c r="BD37" t="s">
        <v>2357</v>
      </c>
      <c r="BE37" t="s">
        <v>2994</v>
      </c>
    </row>
    <row r="38" spans="3:57" x14ac:dyDescent="0.25">
      <c r="C38" t="s">
        <v>3958</v>
      </c>
      <c r="E38" t="s">
        <v>3967</v>
      </c>
      <c r="K38" t="s">
        <v>3837</v>
      </c>
      <c r="S38" t="s">
        <v>1454</v>
      </c>
      <c r="U38" t="s">
        <v>1078</v>
      </c>
      <c r="Y38" t="str">
        <f>mapPRC!A138</f>
        <v>CEKELC-E</v>
      </c>
      <c r="Z38" t="str">
        <f>IFERROR(INDEX($AX$7:$AX$89,MATCH(mapPRC!C138,$AW$7:$AW$89,0)),"")</f>
        <v>com</v>
      </c>
      <c r="AC38" t="str">
        <f>mapCOM!A52</f>
        <v>BSR</v>
      </c>
      <c r="AD38" t="str">
        <f t="shared" si="0"/>
        <v/>
      </c>
      <c r="AN38" t="s">
        <v>2839</v>
      </c>
      <c r="AO38" t="s">
        <v>3896</v>
      </c>
      <c r="AQ38" t="s">
        <v>3321</v>
      </c>
      <c r="AR38" t="s">
        <v>3355</v>
      </c>
      <c r="AW38" t="s">
        <v>3766</v>
      </c>
      <c r="AX38" t="s">
        <v>3765</v>
      </c>
      <c r="AZ38" t="s">
        <v>1987</v>
      </c>
      <c r="BD38" t="s">
        <v>3661</v>
      </c>
      <c r="BE38" t="s">
        <v>2994</v>
      </c>
    </row>
    <row r="39" spans="3:57" x14ac:dyDescent="0.25">
      <c r="C39" t="s">
        <v>3959</v>
      </c>
      <c r="E39" t="s">
        <v>3968</v>
      </c>
      <c r="K39" t="s">
        <v>3847</v>
      </c>
      <c r="S39" t="s">
        <v>3585</v>
      </c>
      <c r="U39" t="s">
        <v>1014</v>
      </c>
      <c r="Y39" t="str">
        <f>mapPRC!A139</f>
        <v>CEKOLP-E</v>
      </c>
      <c r="Z39" t="str">
        <f>IFERROR(INDEX($AX$7:$AX$89,MATCH(mapPRC!C139,$AW$7:$AW$89,0)),"")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2839</v>
      </c>
      <c r="AO39" t="s">
        <v>3897</v>
      </c>
      <c r="AQ39" t="s">
        <v>3322</v>
      </c>
      <c r="AR39" t="s">
        <v>3353</v>
      </c>
      <c r="AW39" t="s">
        <v>959</v>
      </c>
      <c r="AX39" t="str">
        <f>W11</f>
        <v>pp</v>
      </c>
      <c r="AZ39" t="s">
        <v>1986</v>
      </c>
      <c r="BD39" t="s">
        <v>3663</v>
      </c>
      <c r="BE39" t="s">
        <v>2994</v>
      </c>
    </row>
    <row r="40" spans="3:57" x14ac:dyDescent="0.25">
      <c r="C40" t="s">
        <v>3960</v>
      </c>
      <c r="E40" t="s">
        <v>3969</v>
      </c>
      <c r="S40" t="s">
        <v>1305</v>
      </c>
      <c r="U40" t="s">
        <v>1007</v>
      </c>
      <c r="Y40" t="str">
        <f>mapPRC!A140</f>
        <v>CELELCCFL-E</v>
      </c>
      <c r="Z40" t="str">
        <f>IFERROR(INDEX($AX$7:$AX$89,MATCH(mapPRC!C140,$AW$7:$AW$89,0)),"")</f>
        <v>com</v>
      </c>
      <c r="AC40" t="str">
        <f>mapCOM!A59</f>
        <v>CEC</v>
      </c>
      <c r="AD40" t="str">
        <f t="shared" si="2"/>
        <v/>
      </c>
      <c r="AN40" t="s">
        <v>2839</v>
      </c>
      <c r="AO40" t="s">
        <v>2927</v>
      </c>
      <c r="AQ40" t="s">
        <v>3323</v>
      </c>
      <c r="AR40" t="s">
        <v>3363</v>
      </c>
      <c r="AW40" t="s">
        <v>2857</v>
      </c>
      <c r="AX40" t="s">
        <v>2905</v>
      </c>
      <c r="AZ40" t="s">
        <v>1985</v>
      </c>
      <c r="BD40" t="s">
        <v>3665</v>
      </c>
      <c r="BE40" t="s">
        <v>2994</v>
      </c>
    </row>
    <row r="41" spans="3:57" x14ac:dyDescent="0.25">
      <c r="C41" t="s">
        <v>3961</v>
      </c>
      <c r="E41" t="s">
        <v>3970</v>
      </c>
      <c r="S41" t="s">
        <v>1301</v>
      </c>
      <c r="U41" t="s">
        <v>3717</v>
      </c>
      <c r="Y41" t="str">
        <f>mapPRC!A141</f>
        <v>CELELCFLU-E</v>
      </c>
      <c r="Z41" t="str">
        <f>IFERROR(INDEX($AX$7:$AX$89,MATCH(mapPRC!C141,$AW$7:$AW$89,0)),"")</f>
        <v>com</v>
      </c>
      <c r="AC41" t="str">
        <f>mapCOM!A60</f>
        <v>CEG</v>
      </c>
      <c r="AD41" t="str">
        <f t="shared" si="2"/>
        <v/>
      </c>
      <c r="AN41" t="s">
        <v>2840</v>
      </c>
      <c r="AO41" t="s">
        <v>2928</v>
      </c>
      <c r="AQ41" t="s">
        <v>3324</v>
      </c>
      <c r="AR41" t="s">
        <v>3363</v>
      </c>
      <c r="AW41" t="s">
        <v>859</v>
      </c>
      <c r="AX41" t="s">
        <v>2973</v>
      </c>
      <c r="AZ41" t="s">
        <v>1984</v>
      </c>
      <c r="BD41" t="s">
        <v>3169</v>
      </c>
      <c r="BE41" t="s">
        <v>2994</v>
      </c>
    </row>
    <row r="42" spans="3:57" x14ac:dyDescent="0.25">
      <c r="C42" t="s">
        <v>3962</v>
      </c>
      <c r="E42" t="s">
        <v>3971</v>
      </c>
      <c r="S42" t="s">
        <v>1466</v>
      </c>
      <c r="U42" t="s">
        <v>3719</v>
      </c>
      <c r="Y42" t="str">
        <f>mapPRC!A142</f>
        <v>CELELCHAL-E</v>
      </c>
      <c r="Z42" t="str">
        <f>IFERROR(INDEX($AX$7:$AX$89,MATCH(mapPRC!C142,$AW$7:$AW$89,0)),"")</f>
        <v>com</v>
      </c>
      <c r="AC42" t="str">
        <f>mapCOM!A61</f>
        <v>CEH</v>
      </c>
      <c r="AD42" t="str">
        <f t="shared" si="2"/>
        <v/>
      </c>
      <c r="AN42" t="s">
        <v>2840</v>
      </c>
      <c r="AO42" t="s">
        <v>2929</v>
      </c>
      <c r="AQ42" t="s">
        <v>2996</v>
      </c>
      <c r="AR42" t="s">
        <v>3356</v>
      </c>
      <c r="AW42" t="s">
        <v>830</v>
      </c>
      <c r="AX42" t="str">
        <f>K9</f>
        <v>hhd-he</v>
      </c>
      <c r="AZ42" t="s">
        <v>1983</v>
      </c>
      <c r="BD42" t="s">
        <v>3170</v>
      </c>
      <c r="BE42" t="s">
        <v>2994</v>
      </c>
    </row>
    <row r="43" spans="3:57" x14ac:dyDescent="0.25">
      <c r="C43" t="s">
        <v>3963</v>
      </c>
      <c r="E43" t="s">
        <v>3972</v>
      </c>
      <c r="S43" t="s">
        <v>1412</v>
      </c>
      <c r="U43" t="s">
        <v>3718</v>
      </c>
      <c r="Y43" t="str">
        <f>mapPRC!A143</f>
        <v>CELELCHID-E</v>
      </c>
      <c r="Z43" t="str">
        <f>IFERROR(INDEX($AX$7:$AX$89,MATCH(mapPRC!C143,$AW$7:$AW$89,0)),"")</f>
        <v>com</v>
      </c>
      <c r="AC43" t="str">
        <f>mapCOM!A62</f>
        <v>CEK</v>
      </c>
      <c r="AD43" t="str">
        <f t="shared" si="2"/>
        <v/>
      </c>
      <c r="AN43" t="s">
        <v>2840</v>
      </c>
      <c r="AO43" t="s">
        <v>2930</v>
      </c>
      <c r="AQ43" t="s">
        <v>3325</v>
      </c>
      <c r="AR43" t="s">
        <v>3357</v>
      </c>
      <c r="AW43" t="s">
        <v>778</v>
      </c>
      <c r="AX43" t="str">
        <f>K7</f>
        <v>hhd-le</v>
      </c>
      <c r="AZ43" t="s">
        <v>1982</v>
      </c>
      <c r="BD43" t="s">
        <v>2355</v>
      </c>
      <c r="BE43" t="s">
        <v>2994</v>
      </c>
    </row>
    <row r="44" spans="3:57" x14ac:dyDescent="0.25">
      <c r="C44" t="s">
        <v>3964</v>
      </c>
      <c r="E44" t="s">
        <v>3973</v>
      </c>
      <c r="S44" t="s">
        <v>1296</v>
      </c>
      <c r="U44" t="s">
        <v>916</v>
      </c>
      <c r="Y44" t="str">
        <f>mapPRC!A144</f>
        <v>CELELCINC-E</v>
      </c>
      <c r="Z44" t="str">
        <f>IFERROR(INDEX($AX$7:$AX$89,MATCH(mapPRC!C144,$AW$7:$AW$89,0)),"")</f>
        <v>com</v>
      </c>
      <c r="AC44" t="str">
        <f>mapCOM!A63</f>
        <v>CEL</v>
      </c>
      <c r="AD44" t="str">
        <f t="shared" si="2"/>
        <v/>
      </c>
      <c r="AN44" t="s">
        <v>2840</v>
      </c>
      <c r="AO44" t="s">
        <v>2931</v>
      </c>
      <c r="AQ44" t="s">
        <v>3326</v>
      </c>
      <c r="AR44" t="s">
        <v>3357</v>
      </c>
      <c r="AW44" t="s">
        <v>718</v>
      </c>
      <c r="AX44" t="str">
        <f>K8</f>
        <v>hhd-me</v>
      </c>
      <c r="AZ44" t="s">
        <v>1981</v>
      </c>
      <c r="BD44" t="s">
        <v>2089</v>
      </c>
      <c r="BE44" t="s">
        <v>2994</v>
      </c>
    </row>
    <row r="45" spans="3:57" x14ac:dyDescent="0.25">
      <c r="C45" t="s">
        <v>3965</v>
      </c>
      <c r="E45" t="s">
        <v>3974</v>
      </c>
      <c r="S45" t="s">
        <v>1386</v>
      </c>
      <c r="U45" t="s">
        <v>921</v>
      </c>
      <c r="Y45" t="str">
        <f>mapPRC!A145</f>
        <v>CELELCLED-N</v>
      </c>
      <c r="Z45" t="str">
        <f>IFERROR(INDEX($AX$7:$AX$89,MATCH(mapPRC!C145,$AW$7:$AW$89,0)),"")</f>
        <v>com</v>
      </c>
      <c r="AC45" t="str">
        <f>mapCOM!A64</f>
        <v>CEO</v>
      </c>
      <c r="AD45" t="str">
        <f t="shared" si="2"/>
        <v/>
      </c>
      <c r="AN45" t="s">
        <v>2840</v>
      </c>
      <c r="AO45" t="s">
        <v>2932</v>
      </c>
      <c r="AQ45" t="s">
        <v>3327</v>
      </c>
      <c r="AR45" t="s">
        <v>3357</v>
      </c>
      <c r="AW45" t="s">
        <v>708</v>
      </c>
      <c r="AX45" t="str">
        <f>W21</f>
        <v>trana</v>
      </c>
      <c r="AZ45" t="s">
        <v>1980</v>
      </c>
      <c r="BD45" t="s">
        <v>2352</v>
      </c>
      <c r="BE45" t="s">
        <v>2994</v>
      </c>
    </row>
    <row r="46" spans="3:57" x14ac:dyDescent="0.25">
      <c r="C46" t="s">
        <v>3966</v>
      </c>
      <c r="E46" t="s">
        <v>3975</v>
      </c>
      <c r="S46" t="s">
        <v>859</v>
      </c>
      <c r="U46" t="s">
        <v>1217</v>
      </c>
      <c r="Y46" t="str">
        <f>mapPRC!A146</f>
        <v>CEOCOA-E</v>
      </c>
      <c r="Z46" t="str">
        <f>IFERROR(INDEX($AX$7:$AX$89,MATCH(mapPRC!C146,$AW$7:$AW$89,0)),"")</f>
        <v>com</v>
      </c>
      <c r="AC46" t="str">
        <f>mapCOM!A65</f>
        <v>CER</v>
      </c>
      <c r="AD46" t="str">
        <f t="shared" si="2"/>
        <v/>
      </c>
      <c r="AN46" t="s">
        <v>2841</v>
      </c>
      <c r="AO46" t="s">
        <v>2933</v>
      </c>
      <c r="AQ46" t="s">
        <v>3328</v>
      </c>
      <c r="AR46" t="s">
        <v>3357</v>
      </c>
      <c r="AW46" t="s">
        <v>37</v>
      </c>
      <c r="AX46" t="str">
        <f>W20</f>
        <v>tranlf</v>
      </c>
      <c r="AZ46" t="s">
        <v>1979</v>
      </c>
      <c r="BD46" t="s">
        <v>2351</v>
      </c>
      <c r="BE46" t="s">
        <v>2998</v>
      </c>
    </row>
    <row r="47" spans="3:57" x14ac:dyDescent="0.25">
      <c r="C47" t="s">
        <v>3967</v>
      </c>
      <c r="E47" t="s">
        <v>3976</v>
      </c>
      <c r="S47" t="s">
        <v>42</v>
      </c>
      <c r="U47" t="s">
        <v>1060</v>
      </c>
      <c r="Y47" t="str">
        <f>mapPRC!A147</f>
        <v>CEOELC-E</v>
      </c>
      <c r="Z47" t="str">
        <f>IFERROR(INDEX($AX$7:$AX$89,MATCH(mapPRC!C147,$AW$7:$AW$89,0)),"")</f>
        <v>com</v>
      </c>
      <c r="AC47" t="str">
        <f>mapCOM!A66</f>
        <v>CET</v>
      </c>
      <c r="AD47" t="str">
        <f t="shared" si="2"/>
        <v/>
      </c>
      <c r="AN47" t="s">
        <v>2840</v>
      </c>
      <c r="AO47" t="s">
        <v>2934</v>
      </c>
      <c r="AQ47" t="s">
        <v>3348</v>
      </c>
      <c r="AR47" t="s">
        <v>3357</v>
      </c>
      <c r="AW47" t="s">
        <v>598</v>
      </c>
      <c r="AX47" t="str">
        <f>W22</f>
        <v>trano</v>
      </c>
      <c r="AZ47" t="s">
        <v>1978</v>
      </c>
      <c r="BD47" t="s">
        <v>2349</v>
      </c>
      <c r="BE47" t="s">
        <v>2999</v>
      </c>
    </row>
    <row r="48" spans="3:57" x14ac:dyDescent="0.25">
      <c r="C48" t="s">
        <v>3968</v>
      </c>
      <c r="E48" t="s">
        <v>3977</v>
      </c>
      <c r="S48" t="s">
        <v>2856</v>
      </c>
      <c r="U48" t="s">
        <v>732</v>
      </c>
      <c r="Y48" t="str">
        <f>mapPRC!A148</f>
        <v>CEOGAS-E</v>
      </c>
      <c r="Z48" t="str">
        <f>IFERROR(INDEX($AX$7:$AX$89,MATCH(mapPRC!C148,$AW$7:$AW$89,0)),"")</f>
        <v>com</v>
      </c>
      <c r="AC48" t="str">
        <f>mapCOM!A67</f>
        <v>CEW</v>
      </c>
      <c r="AD48" t="str">
        <f t="shared" si="2"/>
        <v/>
      </c>
      <c r="AN48" t="s">
        <v>2853</v>
      </c>
      <c r="AO48" t="s">
        <v>2935</v>
      </c>
      <c r="AQ48" t="s">
        <v>3331</v>
      </c>
      <c r="AR48" t="s">
        <v>3357</v>
      </c>
      <c r="AW48" t="s">
        <v>578</v>
      </c>
      <c r="AX48" t="str">
        <f>W20</f>
        <v>tranlf</v>
      </c>
      <c r="AZ48" t="s">
        <v>1977</v>
      </c>
      <c r="BD48" t="s">
        <v>2085</v>
      </c>
      <c r="BE48" t="s">
        <v>2994</v>
      </c>
    </row>
    <row r="49" spans="3:57" x14ac:dyDescent="0.25">
      <c r="C49" t="s">
        <v>3969</v>
      </c>
      <c r="E49" t="s">
        <v>3978</v>
      </c>
      <c r="S49" t="s">
        <v>2857</v>
      </c>
      <c r="U49" t="s">
        <v>1057</v>
      </c>
      <c r="Y49" t="str">
        <f>mapPRC!A149</f>
        <v>CEOODS-E</v>
      </c>
      <c r="Z49" t="str">
        <f>IFERROR(INDEX($AX$7:$AX$89,MATCH(mapPRC!C149,$AW$7:$AW$89,0)),"")</f>
        <v>com</v>
      </c>
      <c r="AC49" t="str">
        <f>mapCOM!A68</f>
        <v>CF4</v>
      </c>
      <c r="AD49" t="str">
        <f t="shared" si="2"/>
        <v/>
      </c>
      <c r="AN49" t="s">
        <v>2846</v>
      </c>
      <c r="AO49" t="s">
        <v>2925</v>
      </c>
      <c r="AQ49" t="s">
        <v>3332</v>
      </c>
      <c r="AR49" t="s">
        <v>3357</v>
      </c>
      <c r="AW49" t="s">
        <v>30</v>
      </c>
      <c r="AX49" t="s">
        <v>2837</v>
      </c>
      <c r="AZ49" t="s">
        <v>1976</v>
      </c>
      <c r="BD49" t="s">
        <v>2346</v>
      </c>
      <c r="BE49" t="s">
        <v>2994</v>
      </c>
    </row>
    <row r="50" spans="3:57" x14ac:dyDescent="0.25">
      <c r="C50" t="s">
        <v>3970</v>
      </c>
      <c r="E50" t="s">
        <v>3979</v>
      </c>
      <c r="S50" t="s">
        <v>2858</v>
      </c>
      <c r="U50" t="s">
        <v>1220</v>
      </c>
      <c r="Y50" t="str">
        <f>mapPRC!A150</f>
        <v>CEOOGS-E</v>
      </c>
      <c r="Z50" t="str">
        <f>IFERROR(INDEX($AX$7:$AX$89,MATCH(mapPRC!C150,$AW$7:$AW$89,0)),"")</f>
        <v>com</v>
      </c>
      <c r="AC50" t="str">
        <f>mapCOM!A69</f>
        <v>CF6</v>
      </c>
      <c r="AD50" t="str">
        <f t="shared" si="2"/>
        <v/>
      </c>
      <c r="AN50" t="s">
        <v>3792</v>
      </c>
      <c r="AO50" t="s">
        <v>3808</v>
      </c>
      <c r="AQ50" t="s">
        <v>3333</v>
      </c>
      <c r="AR50" t="s">
        <v>3357</v>
      </c>
      <c r="AW50" t="s">
        <v>25</v>
      </c>
      <c r="AX50" t="str">
        <f>W19</f>
        <v>tranlp</v>
      </c>
      <c r="AZ50" t="s">
        <v>1975</v>
      </c>
      <c r="BD50" t="s">
        <v>2082</v>
      </c>
      <c r="BE50" t="s">
        <v>2994</v>
      </c>
    </row>
    <row r="51" spans="3:57" x14ac:dyDescent="0.25">
      <c r="C51" t="s">
        <v>3971</v>
      </c>
      <c r="E51" t="s">
        <v>3980</v>
      </c>
      <c r="S51" t="s">
        <v>2903</v>
      </c>
      <c r="U51" t="s">
        <v>392</v>
      </c>
      <c r="Y51" t="str">
        <f>mapPRC!A151</f>
        <v>CEOOHF-E</v>
      </c>
      <c r="Z51" t="str">
        <f>IFERROR(INDEX($AX$7:$AX$89,MATCH(mapPRC!C151,$AW$7:$AW$89,0)),"")</f>
        <v>com</v>
      </c>
      <c r="AC51" t="str">
        <f>mapCOM!A71</f>
        <v>CH4C</v>
      </c>
      <c r="AN51" t="s">
        <v>2842</v>
      </c>
      <c r="AO51" t="s">
        <v>2936</v>
      </c>
      <c r="AQ51" t="s">
        <v>3349</v>
      </c>
      <c r="AR51" t="s">
        <v>3357</v>
      </c>
      <c r="AW51" t="s">
        <v>457</v>
      </c>
      <c r="AX51" t="str">
        <f>W22</f>
        <v>trano</v>
      </c>
      <c r="AZ51" t="s">
        <v>1974</v>
      </c>
      <c r="BD51" t="s">
        <v>2342</v>
      </c>
      <c r="BE51" t="s">
        <v>2994</v>
      </c>
    </row>
    <row r="52" spans="3:57" x14ac:dyDescent="0.25">
      <c r="C52" t="s">
        <v>3972</v>
      </c>
      <c r="E52" t="s">
        <v>3981</v>
      </c>
      <c r="S52" t="s">
        <v>2859</v>
      </c>
      <c r="U52" t="s">
        <v>411</v>
      </c>
      <c r="Y52" t="str">
        <f>mapPRC!A152</f>
        <v>CEOOKE-E</v>
      </c>
      <c r="Z52" t="str">
        <f>IFERROR(INDEX($AX$7:$AX$89,MATCH(mapPRC!C152,$AW$7:$AW$89,0)),"")</f>
        <v>com</v>
      </c>
      <c r="AC52" t="str">
        <f>mapCOM!A72</f>
        <v>CH4S</v>
      </c>
      <c r="AD52" t="str">
        <f t="shared" si="2"/>
        <v/>
      </c>
      <c r="AN52" t="s">
        <v>2842</v>
      </c>
      <c r="AO52" t="s">
        <v>2937</v>
      </c>
      <c r="AQ52" t="s">
        <v>3335</v>
      </c>
      <c r="AR52" t="s">
        <v>3357</v>
      </c>
      <c r="AW52" t="s">
        <v>445</v>
      </c>
      <c r="AX52" t="str">
        <f>W23</f>
        <v>petr</v>
      </c>
      <c r="AZ52" t="s">
        <v>1973</v>
      </c>
      <c r="BD52" t="s">
        <v>2340</v>
      </c>
      <c r="BE52" t="s">
        <v>2994</v>
      </c>
    </row>
    <row r="53" spans="3:57" x14ac:dyDescent="0.25">
      <c r="C53" t="s">
        <v>3973</v>
      </c>
      <c r="E53" t="s">
        <v>3982</v>
      </c>
      <c r="S53" t="s">
        <v>1262</v>
      </c>
      <c r="U53" t="s">
        <v>3597</v>
      </c>
      <c r="Y53" t="str">
        <f>mapPRC!A153</f>
        <v>CERELC-E</v>
      </c>
      <c r="Z53" t="str">
        <f>IFERROR(INDEX($AX$7:$AX$89,MATCH(mapPRC!C153,$AW$7:$AW$89,0)),"")</f>
        <v>com</v>
      </c>
      <c r="AC53" t="str">
        <f>mapCOM!A73</f>
        <v>CH4SF</v>
      </c>
      <c r="AD53" t="str">
        <f t="shared" si="2"/>
        <v/>
      </c>
      <c r="AN53" t="s">
        <v>2842</v>
      </c>
      <c r="AO53" t="s">
        <v>2938</v>
      </c>
      <c r="AQ53" t="s">
        <v>2999</v>
      </c>
      <c r="AR53" t="s">
        <v>3368</v>
      </c>
      <c r="AW53" t="s">
        <v>386</v>
      </c>
      <c r="AX53" t="str">
        <f>W16</f>
        <v>hydr</v>
      </c>
      <c r="AZ53" t="s">
        <v>1972</v>
      </c>
      <c r="BD53" t="s">
        <v>3728</v>
      </c>
      <c r="BE53" t="s">
        <v>2994</v>
      </c>
    </row>
    <row r="54" spans="3:57" x14ac:dyDescent="0.25">
      <c r="C54" t="s">
        <v>3974</v>
      </c>
      <c r="E54" t="s">
        <v>3983</v>
      </c>
      <c r="S54" t="s">
        <v>1235</v>
      </c>
      <c r="U54" t="s">
        <v>1000</v>
      </c>
      <c r="Y54" t="str">
        <f>mapPRC!A154</f>
        <v>CERELC-N</v>
      </c>
      <c r="Z54" t="str">
        <f>IFERROR(INDEX($AX$7:$AX$89,MATCH(mapPRC!C154,$AW$7:$AW$89,0)),"")</f>
        <v>com</v>
      </c>
      <c r="AC54" t="str">
        <f>mapCOM!A74</f>
        <v>CLD</v>
      </c>
      <c r="AD54" t="str">
        <f t="shared" si="2"/>
        <v>ccoal-dis</v>
      </c>
      <c r="AN54" t="s">
        <v>2842</v>
      </c>
      <c r="AO54" t="s">
        <v>2939</v>
      </c>
      <c r="AQ54" t="s">
        <v>3000</v>
      </c>
      <c r="AR54" t="s">
        <v>3359</v>
      </c>
      <c r="AW54" t="s">
        <v>411</v>
      </c>
      <c r="AX54" t="str">
        <f>W23</f>
        <v>petr</v>
      </c>
      <c r="AZ54" t="s">
        <v>1971</v>
      </c>
      <c r="BD54" t="s">
        <v>3692</v>
      </c>
      <c r="BE54" t="s">
        <v>2994</v>
      </c>
    </row>
    <row r="55" spans="3:57" x14ac:dyDescent="0.25">
      <c r="C55" t="s">
        <v>3975</v>
      </c>
      <c r="E55" t="s">
        <v>3984</v>
      </c>
      <c r="S55" t="s">
        <v>598</v>
      </c>
      <c r="U55" t="s">
        <v>1209</v>
      </c>
      <c r="Y55" t="str">
        <f>mapPRC!A155</f>
        <v>CETELC-E</v>
      </c>
      <c r="Z55" t="str">
        <f>IFERROR(INDEX($AX$7:$AX$89,MATCH(mapPRC!C155,$AW$7:$AW$89,0)),"")</f>
        <v>com</v>
      </c>
      <c r="AC55" t="str">
        <f>mapCOM!A75</f>
        <v>CLE</v>
      </c>
      <c r="AD55" t="str">
        <f t="shared" si="2"/>
        <v>ccoal-low</v>
      </c>
      <c r="AN55" t="s">
        <v>2843</v>
      </c>
      <c r="AO55" t="s">
        <v>2941</v>
      </c>
      <c r="AQ55" t="s">
        <v>3869</v>
      </c>
      <c r="AR55" t="s">
        <v>3350</v>
      </c>
      <c r="AW55" t="s">
        <v>3125</v>
      </c>
      <c r="AX55" t="str">
        <f>W23</f>
        <v>petr</v>
      </c>
      <c r="AZ55" t="s">
        <v>1970</v>
      </c>
      <c r="BD55" t="s">
        <v>3693</v>
      </c>
      <c r="BE55" t="s">
        <v>2994</v>
      </c>
    </row>
    <row r="56" spans="3:57" x14ac:dyDescent="0.25">
      <c r="C56" t="s">
        <v>3976</v>
      </c>
      <c r="E56" t="s">
        <v>3985</v>
      </c>
      <c r="S56" t="s">
        <v>578</v>
      </c>
      <c r="U56" t="s">
        <v>1211</v>
      </c>
      <c r="Y56" t="str">
        <f>mapPRC!A156</f>
        <v>CEWCOA-E</v>
      </c>
      <c r="Z56" t="str">
        <f>IFERROR(INDEX($AX$7:$AX$89,MATCH(mapPRC!C156,$AW$7:$AW$89,0)),"")</f>
        <v>com</v>
      </c>
      <c r="AC56" t="str">
        <f>mapCOM!A77</f>
        <v>CMU</v>
      </c>
      <c r="AD56" t="str">
        <f>AD55</f>
        <v>ccoal-low</v>
      </c>
      <c r="AN56" t="s">
        <v>3794</v>
      </c>
      <c r="AO56" s="1" t="s">
        <v>2940</v>
      </c>
      <c r="AQ56" t="s">
        <v>3329</v>
      </c>
      <c r="AR56" t="s">
        <v>3357</v>
      </c>
      <c r="AW56" t="s">
        <v>416</v>
      </c>
      <c r="AX56" t="str">
        <f>W23</f>
        <v>petr</v>
      </c>
      <c r="AZ56" t="s">
        <v>1857</v>
      </c>
      <c r="BD56" t="s">
        <v>3721</v>
      </c>
      <c r="BE56" t="s">
        <v>2994</v>
      </c>
    </row>
    <row r="57" spans="3:57" x14ac:dyDescent="0.25">
      <c r="C57" t="s">
        <v>3977</v>
      </c>
      <c r="E57" t="s">
        <v>3986</v>
      </c>
      <c r="S57" t="s">
        <v>37</v>
      </c>
      <c r="U57" t="s">
        <v>1206</v>
      </c>
      <c r="Y57" t="str">
        <f>mapPRC!A157</f>
        <v>CEWELC-E</v>
      </c>
      <c r="Z57" t="str">
        <f>IFERROR(INDEX($AX$7:$AX$89,MATCH(mapPRC!C157,$AW$7:$AW$89,0)),"")</f>
        <v>com</v>
      </c>
      <c r="AC57" t="str">
        <f>mapCOM!A78</f>
        <v>CNC</v>
      </c>
      <c r="AD57" t="str">
        <f t="shared" si="2"/>
        <v/>
      </c>
      <c r="AN57" t="s">
        <v>2844</v>
      </c>
      <c r="AO57" t="s">
        <v>2942</v>
      </c>
      <c r="AQ57" t="s">
        <v>3330</v>
      </c>
      <c r="AR57" t="s">
        <v>3357</v>
      </c>
      <c r="AW57" t="s">
        <v>403</v>
      </c>
      <c r="AX57" t="str">
        <f>W26</f>
        <v>gas</v>
      </c>
      <c r="AZ57" t="s">
        <v>1856</v>
      </c>
      <c r="BD57" t="s">
        <v>3723</v>
      </c>
      <c r="BE57" t="s">
        <v>2994</v>
      </c>
    </row>
    <row r="58" spans="3:57" x14ac:dyDescent="0.25">
      <c r="C58" t="s">
        <v>3978</v>
      </c>
      <c r="E58" t="s">
        <v>3987</v>
      </c>
      <c r="S58" t="s">
        <v>416</v>
      </c>
      <c r="U58" t="s">
        <v>3440</v>
      </c>
      <c r="Y58" t="str">
        <f>mapPRC!A158</f>
        <v>CEWELCHP-N</v>
      </c>
      <c r="Z58" t="str">
        <f>IFERROR(INDEX($AX$7:$AX$89,MATCH(mapPRC!C158,$AW$7:$AW$89,0)),"")</f>
        <v>com</v>
      </c>
      <c r="AC58" t="str">
        <f>mapCOM!A79</f>
        <v>CNG</v>
      </c>
      <c r="AD58" t="str">
        <f t="shared" si="2"/>
        <v/>
      </c>
      <c r="AN58" t="s">
        <v>2845</v>
      </c>
      <c r="AO58" t="s">
        <v>2943</v>
      </c>
      <c r="AW58" t="s">
        <v>399</v>
      </c>
      <c r="AX58" t="str">
        <f>W26</f>
        <v>gas</v>
      </c>
      <c r="AZ58" t="s">
        <v>1855</v>
      </c>
      <c r="BD58" t="s">
        <v>3730</v>
      </c>
      <c r="BE58" t="s">
        <v>2994</v>
      </c>
    </row>
    <row r="59" spans="3:57" x14ac:dyDescent="0.25">
      <c r="C59" t="s">
        <v>3979</v>
      </c>
      <c r="E59" t="s">
        <v>3988</v>
      </c>
      <c r="S59" t="s">
        <v>3293</v>
      </c>
      <c r="U59" t="s">
        <v>3439</v>
      </c>
      <c r="Y59" t="str">
        <f>mapPRC!A159</f>
        <v>CEWELC-N</v>
      </c>
      <c r="Z59" t="str">
        <f>IFERROR(INDEX($AX$7:$AX$89,MATCH(mapPRC!C159,$AW$7:$AW$89,0)),"")</f>
        <v>com</v>
      </c>
      <c r="AC59" t="str">
        <f>mapCOM!A80</f>
        <v>CNH</v>
      </c>
      <c r="AD59" t="str">
        <f t="shared" si="2"/>
        <v/>
      </c>
      <c r="AN59" t="s">
        <v>2840</v>
      </c>
      <c r="AO59" t="s">
        <v>2944</v>
      </c>
      <c r="AW59" t="s">
        <v>392</v>
      </c>
      <c r="AX59" t="str">
        <f>W23</f>
        <v>petr</v>
      </c>
      <c r="AZ59" t="s">
        <v>1854</v>
      </c>
      <c r="BD59" t="s">
        <v>2338</v>
      </c>
      <c r="BE59" t="s">
        <v>2997</v>
      </c>
    </row>
    <row r="60" spans="3:57" x14ac:dyDescent="0.25">
      <c r="C60" t="s">
        <v>3980</v>
      </c>
      <c r="E60" t="s">
        <v>3989</v>
      </c>
      <c r="S60" t="s">
        <v>830</v>
      </c>
      <c r="U60" t="s">
        <v>1461</v>
      </c>
      <c r="Y60" t="str">
        <f>mapPRC!A160</f>
        <v>CEWGAS-E</v>
      </c>
      <c r="Z60" t="str">
        <f>IFERROR(INDEX($AX$7:$AX$89,MATCH(mapPRC!C160,$AW$7:$AW$89,0)),"")</f>
        <v>com</v>
      </c>
      <c r="AC60" t="str">
        <f>mapCOM!A81</f>
        <v>CNK</v>
      </c>
      <c r="AD60" t="str">
        <f t="shared" si="2"/>
        <v/>
      </c>
      <c r="AN60" t="s">
        <v>2840</v>
      </c>
      <c r="AO60" t="s">
        <v>2945</v>
      </c>
      <c r="AW60" t="s">
        <v>144</v>
      </c>
      <c r="AX60" t="str">
        <f>W17</f>
        <v>elec</v>
      </c>
      <c r="AZ60" t="s">
        <v>1853</v>
      </c>
      <c r="BD60" t="s">
        <v>2336</v>
      </c>
      <c r="BE60" t="s">
        <v>2994</v>
      </c>
    </row>
    <row r="61" spans="3:57" x14ac:dyDescent="0.25">
      <c r="C61" t="s">
        <v>3981</v>
      </c>
      <c r="E61" t="s">
        <v>3990</v>
      </c>
      <c r="S61" t="s">
        <v>3294</v>
      </c>
      <c r="U61" t="s">
        <v>3581</v>
      </c>
      <c r="Y61" t="str">
        <f>mapPRC!A161</f>
        <v>CEWOKE-E</v>
      </c>
      <c r="Z61" t="str">
        <f>IFERROR(INDEX($AX$7:$AX$89,MATCH(mapPRC!C161,$AW$7:$AW$89,0)),"")</f>
        <v>com</v>
      </c>
      <c r="AC61" t="str">
        <f>mapCOM!A82</f>
        <v>CNL</v>
      </c>
      <c r="AD61" t="str">
        <f t="shared" si="2"/>
        <v/>
      </c>
      <c r="AN61" t="s">
        <v>3837</v>
      </c>
      <c r="AO61" t="s">
        <v>3849</v>
      </c>
      <c r="AW61" t="s">
        <v>3448</v>
      </c>
      <c r="AX61" t="s">
        <v>2846</v>
      </c>
      <c r="AZ61" t="s">
        <v>1852</v>
      </c>
      <c r="BD61" t="s">
        <v>2334</v>
      </c>
      <c r="BE61" t="s">
        <v>2994</v>
      </c>
    </row>
    <row r="62" spans="3:57" x14ac:dyDescent="0.25">
      <c r="C62" t="s">
        <v>3982</v>
      </c>
      <c r="E62" t="s">
        <v>3991</v>
      </c>
      <c r="S62" t="s">
        <v>3295</v>
      </c>
      <c r="U62" t="s">
        <v>3444</v>
      </c>
      <c r="Y62" t="str">
        <f>mapPRC!A162</f>
        <v>CEWOLP-E</v>
      </c>
      <c r="Z62" t="str">
        <f>IFERROR(INDEX($AX$7:$AX$89,MATCH(mapPRC!C162,$AW$7:$AW$89,0)),"")</f>
        <v>com</v>
      </c>
      <c r="AC62" t="str">
        <f>mapCOM!A83</f>
        <v>CNO</v>
      </c>
      <c r="AD62" t="str">
        <f t="shared" si="2"/>
        <v/>
      </c>
      <c r="AN62" t="s">
        <v>3847</v>
      </c>
      <c r="AO62" t="s">
        <v>3864</v>
      </c>
      <c r="AW62" t="s">
        <v>3449</v>
      </c>
      <c r="AX62" t="s">
        <v>2846</v>
      </c>
      <c r="AZ62" t="s">
        <v>1851</v>
      </c>
      <c r="BD62" t="s">
        <v>2332</v>
      </c>
      <c r="BE62" t="s">
        <v>2994</v>
      </c>
    </row>
    <row r="63" spans="3:57" x14ac:dyDescent="0.25">
      <c r="C63" t="s">
        <v>3983</v>
      </c>
      <c r="E63" t="s">
        <v>3992</v>
      </c>
      <c r="S63" t="s">
        <v>3296</v>
      </c>
      <c r="U63" t="s">
        <v>3445</v>
      </c>
      <c r="Y63" t="str">
        <f>mapPRC!A163</f>
        <v>CNCELCCEN-E</v>
      </c>
      <c r="Z63" t="str">
        <f>IFERROR(INDEX($AX$7:$AX$89,MATCH(mapPRC!C163,$AW$7:$AW$89,0)),"")</f>
        <v>com</v>
      </c>
      <c r="AC63" t="str">
        <f>mapCOM!A84</f>
        <v>CNR</v>
      </c>
      <c r="AD63" t="str">
        <f t="shared" si="2"/>
        <v/>
      </c>
      <c r="AN63" t="s">
        <v>2840</v>
      </c>
      <c r="AO63" t="s">
        <v>2946</v>
      </c>
      <c r="AW63" t="s">
        <v>3449</v>
      </c>
      <c r="AX63" t="s">
        <v>2846</v>
      </c>
      <c r="AZ63" t="s">
        <v>1850</v>
      </c>
      <c r="BD63" t="s">
        <v>2330</v>
      </c>
      <c r="BE63" t="s">
        <v>2994</v>
      </c>
    </row>
    <row r="64" spans="3:57" x14ac:dyDescent="0.25">
      <c r="C64" t="s">
        <v>3984</v>
      </c>
      <c r="E64" t="s">
        <v>3993</v>
      </c>
      <c r="S64" t="s">
        <v>3297</v>
      </c>
      <c r="U64" t="s">
        <v>1391</v>
      </c>
      <c r="Y64" t="str">
        <f>mapPRC!A164</f>
        <v>CNCELCCEN-N</v>
      </c>
      <c r="Z64" t="str">
        <f>IFERROR(INDEX($AX$7:$AX$89,MATCH(mapPRC!C164,$AW$7:$AW$89,0)),"")</f>
        <v>com</v>
      </c>
      <c r="AC64" t="str">
        <f>mapCOM!A85</f>
        <v>CNT</v>
      </c>
      <c r="AD64" t="str">
        <f t="shared" si="2"/>
        <v/>
      </c>
      <c r="AN64" t="s">
        <v>2840</v>
      </c>
      <c r="AO64" t="s">
        <v>2947</v>
      </c>
      <c r="AW64" t="s">
        <v>3450</v>
      </c>
      <c r="AX64" t="s">
        <v>2846</v>
      </c>
      <c r="AZ64" t="s">
        <v>1849</v>
      </c>
      <c r="BD64" t="s">
        <v>2328</v>
      </c>
      <c r="BE64" t="s">
        <v>2997</v>
      </c>
    </row>
    <row r="65" spans="3:57" x14ac:dyDescent="0.25">
      <c r="C65" t="s">
        <v>3985</v>
      </c>
      <c r="E65" t="s">
        <v>3994</v>
      </c>
      <c r="S65" t="s">
        <v>3298</v>
      </c>
      <c r="U65" t="s">
        <v>366</v>
      </c>
      <c r="Y65" t="str">
        <f>mapPRC!A165</f>
        <v>CNCELCCHIL-E</v>
      </c>
      <c r="Z65" t="str">
        <f>IFERROR(INDEX($AX$7:$AX$89,MATCH(mapPRC!C165,$AW$7:$AW$89,0)),"")</f>
        <v>com</v>
      </c>
      <c r="AC65" t="str">
        <f>mapCOM!A86</f>
        <v>CNW</v>
      </c>
      <c r="AD65" t="str">
        <f t="shared" si="2"/>
        <v/>
      </c>
      <c r="AN65" t="s">
        <v>2840</v>
      </c>
      <c r="AO65" t="s">
        <v>2948</v>
      </c>
      <c r="AW65" t="s">
        <v>3450</v>
      </c>
      <c r="AX65" t="s">
        <v>2846</v>
      </c>
      <c r="AZ65" t="s">
        <v>1847</v>
      </c>
      <c r="BD65" t="s">
        <v>2326</v>
      </c>
      <c r="BE65" t="s">
        <v>2996</v>
      </c>
    </row>
    <row r="66" spans="3:57" x14ac:dyDescent="0.25">
      <c r="C66" t="s">
        <v>3986</v>
      </c>
      <c r="E66" t="s">
        <v>3995</v>
      </c>
      <c r="S66" t="s">
        <v>3299</v>
      </c>
      <c r="U66" t="s">
        <v>351</v>
      </c>
      <c r="Y66" t="str">
        <f>mapPRC!A166</f>
        <v>CNCELCHP-E</v>
      </c>
      <c r="Z66" t="str">
        <f>IFERROR(INDEX($AX$7:$AX$89,MATCH(mapPRC!C166,$AW$7:$AW$89,0)),"")</f>
        <v>com</v>
      </c>
      <c r="AC66" t="str">
        <f>mapCOM!A88</f>
        <v>CO2CAPT</v>
      </c>
      <c r="AD66" t="str">
        <f t="shared" si="2"/>
        <v/>
      </c>
      <c r="AN66" t="s">
        <v>2840</v>
      </c>
      <c r="AO66" t="s">
        <v>2949</v>
      </c>
      <c r="AW66" t="s">
        <v>3850</v>
      </c>
      <c r="AX66" t="s">
        <v>3837</v>
      </c>
      <c r="AZ66" t="s">
        <v>1969</v>
      </c>
      <c r="BD66" t="s">
        <v>2324</v>
      </c>
      <c r="BE66" t="s">
        <v>2995</v>
      </c>
    </row>
    <row r="67" spans="3:57" x14ac:dyDescent="0.25">
      <c r="C67" t="s">
        <v>3987</v>
      </c>
      <c r="E67" t="s">
        <v>3996</v>
      </c>
      <c r="S67" t="s">
        <v>3300</v>
      </c>
      <c r="U67" t="s">
        <v>143</v>
      </c>
      <c r="Y67" t="str">
        <f>mapPRC!A167</f>
        <v>CNCELCHP-N</v>
      </c>
      <c r="Z67" t="str">
        <f>IFERROR(INDEX($AX$7:$AX$89,MATCH(mapPRC!C167,$AW$7:$AW$89,0)),"")</f>
        <v>com</v>
      </c>
      <c r="AC67" t="str">
        <f>mapCOM!A89</f>
        <v>CO2EQS</v>
      </c>
      <c r="AD67" t="str">
        <f t="shared" si="2"/>
        <v/>
      </c>
      <c r="AN67" t="s">
        <v>2840</v>
      </c>
      <c r="AO67" t="s">
        <v>2950</v>
      </c>
      <c r="AW67" t="s">
        <v>3851</v>
      </c>
      <c r="AX67" t="s">
        <v>3847</v>
      </c>
      <c r="AZ67" t="s">
        <v>1968</v>
      </c>
      <c r="BD67" t="s">
        <v>2322</v>
      </c>
      <c r="BE67" t="s">
        <v>2994</v>
      </c>
    </row>
    <row r="68" spans="3:57" x14ac:dyDescent="0.25">
      <c r="C68" t="s">
        <v>3988</v>
      </c>
      <c r="E68" t="s">
        <v>3997</v>
      </c>
      <c r="S68" t="s">
        <v>3301</v>
      </c>
      <c r="U68" t="s">
        <v>190</v>
      </c>
      <c r="Y68" t="str">
        <f>mapPRC!A168</f>
        <v>CNCELCROOM-E</v>
      </c>
      <c r="Z68" t="str">
        <f>IFERROR(INDEX($AX$7:$AX$89,MATCH(mapPRC!C168,$AW$7:$AW$89,0)),"")</f>
        <v>com</v>
      </c>
      <c r="AC68" t="str">
        <f>mapCOM!A91</f>
        <v>CO2S</v>
      </c>
      <c r="AD68" t="str">
        <f t="shared" si="2"/>
        <v/>
      </c>
      <c r="AN68" t="s">
        <v>2840</v>
      </c>
      <c r="AO68" t="s">
        <v>2951</v>
      </c>
      <c r="AW68" t="s">
        <v>3589</v>
      </c>
      <c r="AX68" t="s">
        <v>3792</v>
      </c>
      <c r="AZ68" t="s">
        <v>1966</v>
      </c>
      <c r="BD68" t="s">
        <v>2320</v>
      </c>
      <c r="BE68" t="s">
        <v>2994</v>
      </c>
    </row>
    <row r="69" spans="3:57" x14ac:dyDescent="0.25">
      <c r="C69" t="s">
        <v>3989</v>
      </c>
      <c r="E69" t="s">
        <v>3998</v>
      </c>
      <c r="S69" t="s">
        <v>3302</v>
      </c>
      <c r="U69" t="s">
        <v>175</v>
      </c>
      <c r="Y69" t="str">
        <f>mapPRC!A169</f>
        <v>CNGELCHAL-E</v>
      </c>
      <c r="Z69" t="str">
        <f>IFERROR(INDEX($AX$7:$AX$89,MATCH(mapPRC!C169,$AW$7:$AW$89,0)),"")</f>
        <v>com</v>
      </c>
      <c r="AC69" t="str">
        <f>mapCOM!A92</f>
        <v>CO2SF</v>
      </c>
      <c r="AD69" t="str">
        <f t="shared" si="2"/>
        <v/>
      </c>
      <c r="AN69" t="s">
        <v>2847</v>
      </c>
      <c r="AO69" t="s">
        <v>2952</v>
      </c>
      <c r="AZ69" t="s">
        <v>1962</v>
      </c>
      <c r="BD69" t="s">
        <v>2318</v>
      </c>
      <c r="BE69" t="s">
        <v>2994</v>
      </c>
    </row>
    <row r="70" spans="3:57" x14ac:dyDescent="0.25">
      <c r="C70" t="s">
        <v>3990</v>
      </c>
      <c r="E70" t="s">
        <v>3999</v>
      </c>
      <c r="S70" t="s">
        <v>3303</v>
      </c>
      <c r="U70" t="s">
        <v>1313</v>
      </c>
      <c r="Y70" t="str">
        <f>mapPRC!A170</f>
        <v>CNGELCHPM-E</v>
      </c>
      <c r="Z70" t="str">
        <f>IFERROR(INDEX($AX$7:$AX$89,MATCH(mapPRC!C170,$AW$7:$AW$89,0)),"")</f>
        <v>com</v>
      </c>
      <c r="AC70" t="str">
        <f>mapCOM!A93</f>
        <v>CO2SP</v>
      </c>
      <c r="AD70" t="str">
        <f t="shared" si="2"/>
        <v/>
      </c>
      <c r="AN70" t="s">
        <v>2848</v>
      </c>
      <c r="AO70" t="s">
        <v>2953</v>
      </c>
      <c r="AZ70" t="s">
        <v>1960</v>
      </c>
      <c r="BD70" t="s">
        <v>2316</v>
      </c>
      <c r="BE70" t="s">
        <v>3868</v>
      </c>
    </row>
    <row r="71" spans="3:57" x14ac:dyDescent="0.25">
      <c r="C71" t="s">
        <v>3991</v>
      </c>
      <c r="E71" t="s">
        <v>4000</v>
      </c>
      <c r="S71" t="s">
        <v>3588</v>
      </c>
      <c r="U71" t="s">
        <v>3583</v>
      </c>
      <c r="Y71" t="str">
        <f>mapPRC!A171</f>
        <v>CNGELCHPS-E</v>
      </c>
      <c r="Z71" t="str">
        <f>IFERROR(INDEX($AX$7:$AX$89,MATCH(mapPRC!C171,$AW$7:$AW$89,0)),"")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2840</v>
      </c>
      <c r="AO71" t="s">
        <v>2954</v>
      </c>
      <c r="AZ71" t="s">
        <v>1959</v>
      </c>
      <c r="BD71" t="s">
        <v>2314</v>
      </c>
      <c r="BE71" t="s">
        <v>2994</v>
      </c>
    </row>
    <row r="72" spans="3:57" x14ac:dyDescent="0.25">
      <c r="C72" t="s">
        <v>3992</v>
      </c>
      <c r="E72" t="s">
        <v>4001</v>
      </c>
      <c r="S72" t="s">
        <v>3587</v>
      </c>
      <c r="U72" t="s">
        <v>1454</v>
      </c>
      <c r="Y72" t="str">
        <f>mapPRC!A172</f>
        <v>CNGELCINC-E</v>
      </c>
      <c r="Z72" t="str">
        <f>IFERROR(INDEX($AX$7:$AX$89,MATCH(mapPRC!C172,$AW$7:$AW$89,0)),"")</f>
        <v>com</v>
      </c>
      <c r="AC72" t="str">
        <f>mapCOM!A96</f>
        <v>CO2SPLIM</v>
      </c>
      <c r="AN72" t="s">
        <v>2848</v>
      </c>
      <c r="AO72" t="s">
        <v>2955</v>
      </c>
      <c r="AZ72" t="s">
        <v>1957</v>
      </c>
      <c r="BD72" t="s">
        <v>2312</v>
      </c>
      <c r="BE72" t="s">
        <v>3870</v>
      </c>
    </row>
    <row r="73" spans="3:57" x14ac:dyDescent="0.25">
      <c r="C73" t="s">
        <v>3993</v>
      </c>
      <c r="E73" t="s">
        <v>4002</v>
      </c>
      <c r="S73" t="s">
        <v>3600</v>
      </c>
      <c r="U73" t="s">
        <v>3586</v>
      </c>
      <c r="Y73" t="str">
        <f>mapPRC!A173</f>
        <v>CNGELCLED-N</v>
      </c>
      <c r="Z73" t="str">
        <f>IFERROR(INDEX($AX$7:$AX$89,MATCH(mapPRC!C173,$AW$7:$AW$89,0)),"")</f>
        <v>com</v>
      </c>
      <c r="AC73" t="str">
        <f>mapCOM!A97</f>
        <v>CO2SCCEM</v>
      </c>
      <c r="AN73" t="s">
        <v>2848</v>
      </c>
      <c r="AO73" t="s">
        <v>2956</v>
      </c>
      <c r="AZ73" t="s">
        <v>1956</v>
      </c>
      <c r="BD73" t="s">
        <v>2310</v>
      </c>
      <c r="BE73" t="s">
        <v>3872</v>
      </c>
    </row>
    <row r="74" spans="3:57" x14ac:dyDescent="0.25">
      <c r="C74" t="s">
        <v>3994</v>
      </c>
      <c r="E74" t="s">
        <v>4003</v>
      </c>
      <c r="S74" t="s">
        <v>3448</v>
      </c>
      <c r="U74" t="s">
        <v>1310</v>
      </c>
      <c r="Y74" t="str">
        <f>mapPRC!A174</f>
        <v>CNGELCMHL-E</v>
      </c>
      <c r="Z74" t="str">
        <f>IFERROR(INDEX($AX$7:$AX$89,MATCH(mapPRC!C174,$AW$7:$AW$89,0)),"")</f>
        <v>com</v>
      </c>
      <c r="AC74" t="str">
        <f>mapCOM!A98</f>
        <v>CO2SCLIM</v>
      </c>
      <c r="AN74" t="s">
        <v>2849</v>
      </c>
      <c r="AO74" t="s">
        <v>2958</v>
      </c>
      <c r="AZ74" t="s">
        <v>1954</v>
      </c>
      <c r="BD74" t="s">
        <v>2308</v>
      </c>
      <c r="BE74" t="s">
        <v>3871</v>
      </c>
    </row>
    <row r="75" spans="3:57" x14ac:dyDescent="0.25">
      <c r="C75" t="s">
        <v>3995</v>
      </c>
      <c r="E75" t="s">
        <v>4004</v>
      </c>
      <c r="S75" t="s">
        <v>3449</v>
      </c>
      <c r="U75" t="s">
        <v>1045</v>
      </c>
      <c r="Y75" t="str">
        <f>mapPRC!A175</f>
        <v>CNHCOA-E</v>
      </c>
      <c r="Z75" t="str">
        <f>IFERROR(INDEX($AX$7:$AX$89,MATCH(mapPRC!C175,$AW$7:$AW$89,0)),"")</f>
        <v>com</v>
      </c>
      <c r="AC75" t="str">
        <f>mapCOM!A99</f>
        <v>CO2SPIFA</v>
      </c>
      <c r="AD75" t="str">
        <f t="shared" ref="AD75:AD106" si="4">INDEX($BE$6:$BE$811,MATCH(AC75,$BD$6:$BD$811,0))</f>
        <v/>
      </c>
      <c r="AN75" t="s">
        <v>2850</v>
      </c>
      <c r="AO75" t="s">
        <v>2959</v>
      </c>
      <c r="AZ75" t="s">
        <v>1950</v>
      </c>
      <c r="BD75" t="s">
        <v>2306</v>
      </c>
      <c r="BE75" t="s">
        <v>2994</v>
      </c>
    </row>
    <row r="76" spans="3:57" x14ac:dyDescent="0.25">
      <c r="C76" t="s">
        <v>3996</v>
      </c>
      <c r="E76" t="s">
        <v>4005</v>
      </c>
      <c r="S76" t="s">
        <v>3450</v>
      </c>
      <c r="U76" t="s">
        <v>1054</v>
      </c>
      <c r="Y76" t="str">
        <f>mapPRC!A176</f>
        <v>CNHELC-E</v>
      </c>
      <c r="Z76" t="str">
        <f>IFERROR(INDEX($AX$7:$AX$89,MATCH(mapPRC!C176,$AW$7:$AW$89,0)),"")</f>
        <v>com</v>
      </c>
      <c r="AC76" t="str">
        <f>mapCOM!A100</f>
        <v>CO2SPIFC</v>
      </c>
      <c r="AD76" t="str">
        <f t="shared" si="4"/>
        <v/>
      </c>
      <c r="AN76" t="s">
        <v>2851</v>
      </c>
      <c r="AO76" t="s">
        <v>5999</v>
      </c>
      <c r="AZ76" t="s">
        <v>1948</v>
      </c>
      <c r="BD76" t="s">
        <v>2304</v>
      </c>
      <c r="BE76" t="s">
        <v>2994</v>
      </c>
    </row>
    <row r="77" spans="3:57" x14ac:dyDescent="0.25">
      <c r="C77" t="s">
        <v>3997</v>
      </c>
      <c r="E77" t="s">
        <v>4006</v>
      </c>
      <c r="S77" t="s">
        <v>423</v>
      </c>
      <c r="U77" t="s">
        <v>1301</v>
      </c>
      <c r="Y77" t="str">
        <f>mapPRC!A177</f>
        <v>CNHELC-N</v>
      </c>
      <c r="Z77" t="str">
        <f>IFERROR(INDEX($AX$7:$AX$89,MATCH(mapPRC!C177,$AW$7:$AW$89,0)),"")</f>
        <v>com</v>
      </c>
      <c r="AC77" t="str">
        <f>mapCOM!A101</f>
        <v>CO2SPIFM</v>
      </c>
      <c r="AD77" t="str">
        <f t="shared" si="4"/>
        <v/>
      </c>
      <c r="AN77" t="s">
        <v>2851</v>
      </c>
      <c r="AO77" t="s">
        <v>3898</v>
      </c>
      <c r="AZ77" t="s">
        <v>1947</v>
      </c>
      <c r="BD77" t="s">
        <v>2302</v>
      </c>
      <c r="BE77" t="s">
        <v>2994</v>
      </c>
    </row>
    <row r="78" spans="3:57" x14ac:dyDescent="0.25">
      <c r="C78" t="s">
        <v>3998</v>
      </c>
      <c r="E78" t="s">
        <v>4007</v>
      </c>
      <c r="S78" t="s">
        <v>1022</v>
      </c>
      <c r="U78" t="s">
        <v>1466</v>
      </c>
      <c r="Y78" t="str">
        <f>mapPRC!A178</f>
        <v>CNHGAS-E</v>
      </c>
      <c r="Z78" t="str">
        <f>IFERROR(INDEX($AX$7:$AX$89,MATCH(mapPRC!C178,$AW$7:$AW$89,0)),"")</f>
        <v>com</v>
      </c>
      <c r="AC78" t="str">
        <f>mapCOM!A102</f>
        <v>CO2STOR</v>
      </c>
      <c r="AD78" t="str">
        <f t="shared" si="4"/>
        <v/>
      </c>
      <c r="AN78" t="s">
        <v>2848</v>
      </c>
      <c r="AO78" t="s">
        <v>2957</v>
      </c>
      <c r="AZ78" t="s">
        <v>1941</v>
      </c>
      <c r="BD78" t="s">
        <v>2300</v>
      </c>
      <c r="BE78" t="s">
        <v>2996</v>
      </c>
    </row>
    <row r="79" spans="3:57" x14ac:dyDescent="0.25">
      <c r="C79" t="s">
        <v>3999</v>
      </c>
      <c r="E79" t="s">
        <v>4008</v>
      </c>
      <c r="S79" t="s">
        <v>1193</v>
      </c>
      <c r="U79" t="s">
        <v>3438</v>
      </c>
      <c r="Y79" t="str">
        <f>mapPRC!A179</f>
        <v>CNHGAS-N</v>
      </c>
      <c r="Z79" t="str">
        <f>IFERROR(INDEX($AX$7:$AX$89,MATCH(mapPRC!C179,$AW$7:$AW$89,0)),"")</f>
        <v>com</v>
      </c>
      <c r="AC79" t="str">
        <f>mapCOM!A103</f>
        <v>COA</v>
      </c>
      <c r="AD79" t="str">
        <f t="shared" si="4"/>
        <v>ccoal-hgh</v>
      </c>
      <c r="AN79" t="s">
        <v>2848</v>
      </c>
      <c r="AO79" t="s">
        <v>2960</v>
      </c>
      <c r="AZ79" t="s">
        <v>1936</v>
      </c>
      <c r="BD79" t="s">
        <v>2298</v>
      </c>
      <c r="BE79" t="s">
        <v>2995</v>
      </c>
    </row>
    <row r="80" spans="3:57" x14ac:dyDescent="0.25">
      <c r="C80" t="s">
        <v>4000</v>
      </c>
      <c r="E80" t="s">
        <v>4009</v>
      </c>
      <c r="S80" t="s">
        <v>3197</v>
      </c>
      <c r="U80" t="s">
        <v>1433</v>
      </c>
      <c r="Y80" t="str">
        <f>mapPRC!A180</f>
        <v>CNKCOA-E</v>
      </c>
      <c r="Z80" t="str">
        <f>IFERROR(INDEX($AX$7:$AX$89,MATCH(mapPRC!C180,$AW$7:$AW$89,0)),"")</f>
        <v>com</v>
      </c>
      <c r="AC80" t="str">
        <f>mapCOM!A104</f>
        <v>COK</v>
      </c>
      <c r="AD80" t="str">
        <f t="shared" si="4"/>
        <v/>
      </c>
      <c r="AN80" t="s">
        <v>2848</v>
      </c>
      <c r="AO80" t="s">
        <v>2961</v>
      </c>
      <c r="AZ80" t="s">
        <v>1935</v>
      </c>
      <c r="BD80" t="s">
        <v>2296</v>
      </c>
      <c r="BE80" t="s">
        <v>2995</v>
      </c>
    </row>
    <row r="81" spans="3:57" x14ac:dyDescent="0.25">
      <c r="C81" t="s">
        <v>4001</v>
      </c>
      <c r="E81" t="s">
        <v>4010</v>
      </c>
      <c r="S81" t="s">
        <v>3291</v>
      </c>
      <c r="U81" t="s">
        <v>3372</v>
      </c>
      <c r="Y81" t="str">
        <f>mapPRC!A181</f>
        <v>CNKELC-E</v>
      </c>
      <c r="Z81" t="str">
        <f>IFERROR(INDEX($AX$7:$AX$89,MATCH(mapPRC!C181,$AW$7:$AW$89,0)),"")</f>
        <v>com</v>
      </c>
      <c r="AC81" t="str">
        <f>mapCOM!A105</f>
        <v>COM_CHILLERHEAT-E</v>
      </c>
      <c r="AD81" t="str">
        <f t="shared" si="4"/>
        <v/>
      </c>
      <c r="AN81" t="s">
        <v>2848</v>
      </c>
      <c r="AO81" t="s">
        <v>2962</v>
      </c>
      <c r="AZ81" t="s">
        <v>1934</v>
      </c>
      <c r="BD81" t="s">
        <v>2294</v>
      </c>
      <c r="BE81" t="s">
        <v>2995</v>
      </c>
    </row>
    <row r="82" spans="3:57" x14ac:dyDescent="0.25">
      <c r="C82" t="s">
        <v>4002</v>
      </c>
      <c r="E82" t="s">
        <v>4011</v>
      </c>
      <c r="S82" t="s">
        <v>778</v>
      </c>
      <c r="U82" t="s">
        <v>1386</v>
      </c>
      <c r="Y82" t="str">
        <f>mapPRC!A182</f>
        <v>CNKOLP-E</v>
      </c>
      <c r="Z82" t="str">
        <f>IFERROR(INDEX($AX$7:$AX$89,MATCH(mapPRC!C182,$AW$7:$AW$89,0)),"")</f>
        <v>com</v>
      </c>
      <c r="AC82" t="str">
        <f>mapCOM!A106</f>
        <v>COM_CHILLERHEAT-N</v>
      </c>
      <c r="AD82" t="str">
        <f t="shared" si="4"/>
        <v/>
      </c>
      <c r="AN82" t="s">
        <v>2848</v>
      </c>
      <c r="AO82" t="s">
        <v>2963</v>
      </c>
      <c r="AZ82" t="s">
        <v>1931</v>
      </c>
      <c r="BD82" t="s">
        <v>2292</v>
      </c>
      <c r="BE82" t="s">
        <v>2995</v>
      </c>
    </row>
    <row r="83" spans="3:57" x14ac:dyDescent="0.25">
      <c r="C83" t="s">
        <v>4003</v>
      </c>
      <c r="E83" t="s">
        <v>4012</v>
      </c>
      <c r="S83" t="s">
        <v>3292</v>
      </c>
      <c r="U83" t="s">
        <v>859</v>
      </c>
      <c r="Y83" t="str">
        <f>mapPRC!A183</f>
        <v>CNLELCCFL-E</v>
      </c>
      <c r="Z83" t="str">
        <f>IFERROR(INDEX($AX$7:$AX$89,MATCH(mapPRC!C183,$AW$7:$AW$89,0)),"")</f>
        <v>com</v>
      </c>
      <c r="AC83" t="str">
        <f>mapCOM!A107</f>
        <v>COM_HEAT-E</v>
      </c>
      <c r="AD83" t="str">
        <f t="shared" si="4"/>
        <v/>
      </c>
      <c r="AN83" t="s">
        <v>2848</v>
      </c>
      <c r="AO83" t="s">
        <v>2964</v>
      </c>
      <c r="AZ83" t="s">
        <v>1929</v>
      </c>
      <c r="BD83" t="s">
        <v>2290</v>
      </c>
      <c r="BE83" t="s">
        <v>2995</v>
      </c>
    </row>
    <row r="84" spans="3:57" x14ac:dyDescent="0.25">
      <c r="C84" t="s">
        <v>4004</v>
      </c>
      <c r="E84" t="s">
        <v>4013</v>
      </c>
      <c r="S84" t="s">
        <v>718</v>
      </c>
      <c r="U84" t="s">
        <v>1051</v>
      </c>
      <c r="Y84" t="str">
        <f>mapPRC!A184</f>
        <v>CNLELCFLU-E</v>
      </c>
      <c r="Z84" t="str">
        <f>IFERROR(INDEX($AX$7:$AX$89,MATCH(mapPRC!C184,$AW$7:$AW$89,0)),"")</f>
        <v>com</v>
      </c>
      <c r="AC84" t="str">
        <f>mapCOM!A108</f>
        <v>COM_HEAT-N</v>
      </c>
      <c r="AD84" t="str">
        <f t="shared" si="4"/>
        <v/>
      </c>
      <c r="AN84" t="s">
        <v>2848</v>
      </c>
      <c r="AO84" s="1" t="s">
        <v>2965</v>
      </c>
      <c r="AZ84" t="s">
        <v>1928</v>
      </c>
      <c r="BD84" t="s">
        <v>2288</v>
      </c>
      <c r="BE84" t="s">
        <v>2995</v>
      </c>
    </row>
    <row r="85" spans="3:57" x14ac:dyDescent="0.25">
      <c r="C85" t="s">
        <v>4005</v>
      </c>
      <c r="E85" t="s">
        <v>4014</v>
      </c>
      <c r="S85" t="s">
        <v>1159</v>
      </c>
      <c r="U85" t="s">
        <v>3590</v>
      </c>
      <c r="Y85" t="str">
        <f>mapPRC!A185</f>
        <v>CNLELCHAL-E</v>
      </c>
      <c r="Z85" t="str">
        <f>IFERROR(INDEX($AX$7:$AX$89,MATCH(mapPRC!C185,$AW$7:$AW$89,0)),"")</f>
        <v>com</v>
      </c>
      <c r="AC85" t="str">
        <f>mapCOM!A109</f>
        <v>COMCH4</v>
      </c>
      <c r="AD85" t="str">
        <f t="shared" si="4"/>
        <v/>
      </c>
      <c r="AZ85" t="s">
        <v>1927</v>
      </c>
      <c r="BD85" t="s">
        <v>2286</v>
      </c>
      <c r="BE85" t="s">
        <v>2995</v>
      </c>
    </row>
    <row r="86" spans="3:57" x14ac:dyDescent="0.25">
      <c r="C86" t="s">
        <v>4006</v>
      </c>
      <c r="E86" t="s">
        <v>4015</v>
      </c>
      <c r="S86" t="s">
        <v>1064</v>
      </c>
      <c r="U86" t="s">
        <v>3715</v>
      </c>
      <c r="Y86" t="str">
        <f>mapPRC!A186</f>
        <v>CNLELCHID-E</v>
      </c>
      <c r="Z86" t="str">
        <f>IFERROR(INDEX($AX$7:$AX$89,MATCH(mapPRC!C186,$AW$7:$AW$89,0)),"")</f>
        <v>com</v>
      </c>
      <c r="AC86" t="str">
        <f>mapCOM!A110</f>
        <v>COMCH4S</v>
      </c>
      <c r="AD86" t="str">
        <f t="shared" si="4"/>
        <v/>
      </c>
      <c r="AZ86" t="s">
        <v>1923</v>
      </c>
      <c r="BD86" t="s">
        <v>2284</v>
      </c>
      <c r="BE86" t="s">
        <v>2995</v>
      </c>
    </row>
    <row r="87" spans="3:57" x14ac:dyDescent="0.25">
      <c r="C87" t="s">
        <v>4007</v>
      </c>
      <c r="E87" t="s">
        <v>4016</v>
      </c>
      <c r="S87" t="s">
        <v>3795</v>
      </c>
      <c r="U87" t="s">
        <v>598</v>
      </c>
      <c r="Y87" t="str">
        <f>mapPRC!A187</f>
        <v>CNLELCINC-E</v>
      </c>
      <c r="Z87" t="str">
        <f>IFERROR(INDEX($AX$7:$AX$89,MATCH(mapPRC!C187,$AW$7:$AW$89,0)),"")</f>
        <v>com</v>
      </c>
      <c r="AC87" t="str">
        <f>mapCOM!A111</f>
        <v>COMCMOX</v>
      </c>
      <c r="AD87" t="str">
        <f t="shared" si="4"/>
        <v/>
      </c>
      <c r="AZ87" t="s">
        <v>1894</v>
      </c>
      <c r="BD87" t="s">
        <v>2282</v>
      </c>
      <c r="BE87" t="s">
        <v>2995</v>
      </c>
    </row>
    <row r="88" spans="3:57" x14ac:dyDescent="0.25">
      <c r="C88" t="s">
        <v>4008</v>
      </c>
      <c r="E88" t="s">
        <v>4017</v>
      </c>
      <c r="S88" t="s">
        <v>3593</v>
      </c>
      <c r="U88" t="s">
        <v>578</v>
      </c>
      <c r="Y88" t="str">
        <f>mapPRC!A188</f>
        <v>CNLELCLED-N</v>
      </c>
      <c r="Z88" t="str">
        <f>IFERROR(INDEX($AX$7:$AX$89,MATCH(mapPRC!C188,$AW$7:$AW$89,0)),"")</f>
        <v>com</v>
      </c>
      <c r="AC88" t="str">
        <f>mapCOM!A112</f>
        <v>COMCO2</v>
      </c>
      <c r="AD88" t="str">
        <f t="shared" si="4"/>
        <v/>
      </c>
      <c r="AZ88" t="s">
        <v>3090</v>
      </c>
      <c r="BD88" t="s">
        <v>2280</v>
      </c>
      <c r="BE88" t="s">
        <v>2994</v>
      </c>
    </row>
    <row r="89" spans="3:57" x14ac:dyDescent="0.25">
      <c r="C89" t="s">
        <v>4009</v>
      </c>
      <c r="E89" t="s">
        <v>4018</v>
      </c>
      <c r="S89" t="s">
        <v>3592</v>
      </c>
      <c r="U89" t="s">
        <v>909</v>
      </c>
      <c r="Y89" t="str">
        <f>mapPRC!A189</f>
        <v>CNOCOA-E</v>
      </c>
      <c r="Z89" t="str">
        <f>IFERROR(INDEX($AX$7:$AX$89,MATCH(mapPRC!C189,$AW$7:$AW$89,0)),"")</f>
        <v>com</v>
      </c>
      <c r="AC89" t="str">
        <f>mapCOM!A113</f>
        <v>COMCO2S</v>
      </c>
      <c r="AD89" t="str">
        <f t="shared" si="4"/>
        <v/>
      </c>
      <c r="AZ89" t="s">
        <v>3088</v>
      </c>
      <c r="BD89" t="s">
        <v>2278</v>
      </c>
      <c r="BE89" t="s">
        <v>2994</v>
      </c>
    </row>
    <row r="90" spans="3:57" x14ac:dyDescent="0.25">
      <c r="C90" t="s">
        <v>4010</v>
      </c>
      <c r="E90" t="s">
        <v>4019</v>
      </c>
      <c r="S90" t="s">
        <v>3280</v>
      </c>
      <c r="U90" t="s">
        <v>906</v>
      </c>
      <c r="Y90" t="str">
        <f>mapPRC!A190</f>
        <v>CNOELC-E</v>
      </c>
      <c r="Z90" t="str">
        <f>IFERROR(INDEX($AX$7:$AX$89,MATCH(mapPRC!C190,$AW$7:$AW$89,0)),"")</f>
        <v>com</v>
      </c>
      <c r="AC90" t="str">
        <f>mapCOM!A114</f>
        <v>COMCOA</v>
      </c>
      <c r="AD90" t="str">
        <f t="shared" si="4"/>
        <v>ccoal-hgh</v>
      </c>
      <c r="AZ90" t="s">
        <v>1916</v>
      </c>
      <c r="BD90" t="s">
        <v>2276</v>
      </c>
      <c r="BE90" t="s">
        <v>2994</v>
      </c>
    </row>
    <row r="91" spans="3:57" x14ac:dyDescent="0.25">
      <c r="C91" t="s">
        <v>4011</v>
      </c>
      <c r="E91" t="s">
        <v>4020</v>
      </c>
      <c r="S91" t="s">
        <v>30</v>
      </c>
      <c r="U91" t="s">
        <v>1071</v>
      </c>
      <c r="Y91" t="str">
        <f>mapPRC!A191</f>
        <v>CNOGAS-E</v>
      </c>
      <c r="Z91" t="str">
        <f>IFERROR(INDEX($AX$7:$AX$89,MATCH(mapPRC!C191,$AW$7:$AW$89,0)),"")</f>
        <v>com</v>
      </c>
      <c r="AC91" t="str">
        <f>mapCOM!A115</f>
        <v>COMELC</v>
      </c>
      <c r="AD91" t="str">
        <f t="shared" si="4"/>
        <v>celec</v>
      </c>
      <c r="AZ91" t="s">
        <v>1896</v>
      </c>
      <c r="BD91" t="s">
        <v>2274</v>
      </c>
      <c r="BE91" t="s">
        <v>3000</v>
      </c>
    </row>
    <row r="92" spans="3:57" x14ac:dyDescent="0.25">
      <c r="C92" t="s">
        <v>4012</v>
      </c>
      <c r="E92" t="s">
        <v>4021</v>
      </c>
      <c r="S92" t="s">
        <v>25</v>
      </c>
      <c r="U92" t="s">
        <v>3596</v>
      </c>
      <c r="Y92" t="str">
        <f>mapPRC!A192</f>
        <v>CNOODS-E</v>
      </c>
      <c r="Z92" t="str">
        <f>IFERROR(INDEX($AX$7:$AX$89,MATCH(mapPRC!C192,$AW$7:$AW$89,0)),"")</f>
        <v>com</v>
      </c>
      <c r="AC92" t="str">
        <f>mapCOM!A116</f>
        <v>COMGAS</v>
      </c>
      <c r="AD92" t="str">
        <f t="shared" si="4"/>
        <v>cngas</v>
      </c>
      <c r="AZ92" t="s">
        <v>1914</v>
      </c>
      <c r="BD92" t="s">
        <v>2272</v>
      </c>
      <c r="BE92" t="s">
        <v>2994</v>
      </c>
    </row>
    <row r="93" spans="3:57" x14ac:dyDescent="0.25">
      <c r="C93" t="s">
        <v>4013</v>
      </c>
      <c r="E93" t="s">
        <v>4022</v>
      </c>
      <c r="S93" t="s">
        <v>3766</v>
      </c>
      <c r="U93" t="s">
        <v>416</v>
      </c>
      <c r="Y93" t="str">
        <f>mapPRC!A193</f>
        <v>CNOOGS-E</v>
      </c>
      <c r="Z93" t="str">
        <f>IFERROR(INDEX($AX$7:$AX$89,MATCH(mapPRC!C193,$AW$7:$AW$89,0)),"")</f>
        <v>com</v>
      </c>
      <c r="AC93" t="str">
        <f>mapCOM!A117</f>
        <v>COMN2O</v>
      </c>
      <c r="AD93" t="str">
        <f t="shared" si="4"/>
        <v/>
      </c>
      <c r="AZ93" t="s">
        <v>1912</v>
      </c>
      <c r="BD93" t="s">
        <v>3609</v>
      </c>
      <c r="BE93" t="s">
        <v>2994</v>
      </c>
    </row>
    <row r="94" spans="3:57" x14ac:dyDescent="0.25">
      <c r="C94" t="s">
        <v>4014</v>
      </c>
      <c r="E94" t="s">
        <v>4023</v>
      </c>
      <c r="S94" t="s">
        <v>1107</v>
      </c>
      <c r="U94" t="s">
        <v>705</v>
      </c>
      <c r="Y94" t="str">
        <f>mapPRC!A194</f>
        <v>CNOOHF-E</v>
      </c>
      <c r="Z94" t="str">
        <f>IFERROR(INDEX($AX$7:$AX$89,MATCH(mapPRC!C194,$AW$7:$AW$89,0)),"")</f>
        <v>com</v>
      </c>
      <c r="AC94" t="str">
        <f>mapCOM!A118</f>
        <v>COMN2OS</v>
      </c>
      <c r="AD94" t="str">
        <f t="shared" si="4"/>
        <v/>
      </c>
      <c r="AZ94" t="s">
        <v>1910</v>
      </c>
      <c r="BD94" t="s">
        <v>2270</v>
      </c>
      <c r="BE94" t="s">
        <v>2994</v>
      </c>
    </row>
    <row r="95" spans="3:57" x14ac:dyDescent="0.25">
      <c r="C95" t="s">
        <v>4015</v>
      </c>
      <c r="E95" t="s">
        <v>4024</v>
      </c>
      <c r="S95" t="s">
        <v>3165</v>
      </c>
      <c r="U95" t="s">
        <v>702</v>
      </c>
      <c r="Y95" t="str">
        <f>mapPRC!A195</f>
        <v>CNOOKE-E</v>
      </c>
      <c r="Z95" t="str">
        <f>IFERROR(INDEX($AX$7:$AX$89,MATCH(mapPRC!C195,$AW$7:$AW$89,0)),"")</f>
        <v>com</v>
      </c>
      <c r="AC95" t="str">
        <f>mapCOM!A119</f>
        <v>COMNMVS</v>
      </c>
      <c r="AD95" t="str">
        <f t="shared" si="4"/>
        <v/>
      </c>
      <c r="AZ95" t="s">
        <v>1908</v>
      </c>
      <c r="BD95" t="s">
        <v>2268</v>
      </c>
      <c r="BE95" t="s">
        <v>2994</v>
      </c>
    </row>
    <row r="96" spans="3:57" x14ac:dyDescent="0.25">
      <c r="C96" t="s">
        <v>4016</v>
      </c>
      <c r="E96" t="s">
        <v>4025</v>
      </c>
      <c r="S96" t="s">
        <v>959</v>
      </c>
      <c r="U96" t="s">
        <v>693</v>
      </c>
      <c r="Y96" t="str">
        <f>mapPRC!A196</f>
        <v>CNRELC-E</v>
      </c>
      <c r="Z96" t="str">
        <f>IFERROR(INDEX($AX$7:$AX$89,MATCH(mapPRC!C196,$AW$7:$AW$89,0)),"")</f>
        <v>com</v>
      </c>
      <c r="AC96" t="str">
        <f>mapCOM!A120</f>
        <v>COMNOX</v>
      </c>
      <c r="AD96" t="str">
        <f t="shared" si="4"/>
        <v/>
      </c>
      <c r="AZ96" t="s">
        <v>1906</v>
      </c>
      <c r="BD96" t="s">
        <v>2266</v>
      </c>
      <c r="BE96" t="s">
        <v>2994</v>
      </c>
    </row>
    <row r="97" spans="3:57" x14ac:dyDescent="0.25">
      <c r="C97" t="s">
        <v>4017</v>
      </c>
      <c r="E97" t="s">
        <v>4026</v>
      </c>
      <c r="S97" t="s">
        <v>457</v>
      </c>
      <c r="U97" t="s">
        <v>680</v>
      </c>
      <c r="Y97" t="str">
        <f>mapPRC!A197</f>
        <v>CNRELC-N</v>
      </c>
      <c r="Z97" t="str">
        <f>IFERROR(INDEX($AX$7:$AX$89,MATCH(mapPRC!C197,$AW$7:$AW$89,0)),"")</f>
        <v>com</v>
      </c>
      <c r="AC97" t="str">
        <f>mapCOM!A121</f>
        <v>COMNOXS</v>
      </c>
      <c r="AD97" t="str">
        <f t="shared" si="4"/>
        <v/>
      </c>
      <c r="AZ97" t="s">
        <v>1904</v>
      </c>
      <c r="BD97" t="s">
        <v>2264</v>
      </c>
      <c r="BE97" t="s">
        <v>2994</v>
      </c>
    </row>
    <row r="98" spans="3:57" x14ac:dyDescent="0.25">
      <c r="C98" t="s">
        <v>4018</v>
      </c>
      <c r="E98" t="s">
        <v>4027</v>
      </c>
      <c r="S98" t="s">
        <v>1772</v>
      </c>
      <c r="U98" t="s">
        <v>661</v>
      </c>
      <c r="Y98" t="str">
        <f>mapPRC!A198</f>
        <v>CNTELC-E</v>
      </c>
      <c r="Z98" t="str">
        <f>IFERROR(INDEX($AX$7:$AX$89,MATCH(mapPRC!C198,$AW$7:$AW$89,0)),"")</f>
        <v>com</v>
      </c>
      <c r="AC98" t="str">
        <f>mapCOM!A122</f>
        <v>COMODS</v>
      </c>
      <c r="AD98" t="str">
        <f t="shared" si="4"/>
        <v>cpetr-d</v>
      </c>
      <c r="AZ98" t="s">
        <v>1902</v>
      </c>
      <c r="BD98" t="s">
        <v>2262</v>
      </c>
      <c r="BE98" t="s">
        <v>2994</v>
      </c>
    </row>
    <row r="99" spans="3:57" x14ac:dyDescent="0.25">
      <c r="C99" t="s">
        <v>4019</v>
      </c>
      <c r="E99" t="s">
        <v>4028</v>
      </c>
      <c r="S99" t="s">
        <v>3850</v>
      </c>
      <c r="U99" t="s">
        <v>658</v>
      </c>
      <c r="Y99" t="str">
        <f>mapPRC!A199</f>
        <v>CNWCOA-E</v>
      </c>
      <c r="Z99" t="str">
        <f>IFERROR(INDEX($AX$7:$AX$89,MATCH(mapPRC!C199,$AW$7:$AW$89,0)),"")</f>
        <v>com</v>
      </c>
      <c r="AC99" t="str">
        <f>mapCOM!A123</f>
        <v>COMOGS</v>
      </c>
      <c r="AD99" t="str">
        <f t="shared" si="4"/>
        <v/>
      </c>
      <c r="AZ99" t="s">
        <v>1900</v>
      </c>
      <c r="BD99" t="s">
        <v>2260</v>
      </c>
      <c r="BE99" t="s">
        <v>2997</v>
      </c>
    </row>
    <row r="100" spans="3:57" x14ac:dyDescent="0.25">
      <c r="C100" t="s">
        <v>4020</v>
      </c>
      <c r="E100" t="s">
        <v>4029</v>
      </c>
      <c r="S100" t="s">
        <v>3851</v>
      </c>
      <c r="U100" t="s">
        <v>653</v>
      </c>
      <c r="Y100" t="str">
        <f>mapPRC!A200</f>
        <v>CNWELC-E</v>
      </c>
      <c r="Z100" t="str">
        <f>IFERROR(INDEX($AX$7:$AX$89,MATCH(mapPRC!C200,$AW$7:$AW$89,0)),"")</f>
        <v>com</v>
      </c>
      <c r="AC100" t="str">
        <f>mapCOM!A124</f>
        <v>COMOHF</v>
      </c>
      <c r="AD100" t="str">
        <f t="shared" si="4"/>
        <v>cpetr-h</v>
      </c>
      <c r="AZ100" t="s">
        <v>1898</v>
      </c>
      <c r="BD100" t="s">
        <v>2258</v>
      </c>
      <c r="BE100" t="s">
        <v>2994</v>
      </c>
    </row>
    <row r="101" spans="3:57" x14ac:dyDescent="0.25">
      <c r="C101" t="s">
        <v>4021</v>
      </c>
      <c r="E101" t="s">
        <v>4030</v>
      </c>
      <c r="S101" t="s">
        <v>5987</v>
      </c>
      <c r="U101" t="s">
        <v>5881</v>
      </c>
      <c r="Y101" t="str">
        <f>mapPRC!A201</f>
        <v>CNWELCHP-N</v>
      </c>
      <c r="Z101" t="str">
        <f>IFERROR(INDEX($AX$7:$AX$89,MATCH(mapPRC!C201,$AW$7:$AW$89,0)),"")</f>
        <v>com</v>
      </c>
      <c r="AC101" t="str">
        <f>mapCOM!A125</f>
        <v>COMOKE</v>
      </c>
      <c r="AD101" t="str">
        <f t="shared" si="4"/>
        <v>cpetr-k</v>
      </c>
      <c r="AZ101" t="s">
        <v>1892</v>
      </c>
      <c r="BD101" t="s">
        <v>2257</v>
      </c>
      <c r="BE101" t="s">
        <v>2996</v>
      </c>
    </row>
    <row r="102" spans="3:57" x14ac:dyDescent="0.25">
      <c r="C102" t="s">
        <v>4022</v>
      </c>
      <c r="E102" t="s">
        <v>4031</v>
      </c>
      <c r="U102" t="s">
        <v>626</v>
      </c>
      <c r="Y102" t="str">
        <f>mapPRC!A202</f>
        <v>CNWELC-N</v>
      </c>
      <c r="Z102" t="str">
        <f>IFERROR(INDEX($AX$7:$AX$89,MATCH(mapPRC!C202,$AW$7:$AW$89,0)),"")</f>
        <v>com</v>
      </c>
      <c r="AC102" t="str">
        <f>mapCOM!A126</f>
        <v>COMOLP</v>
      </c>
      <c r="AD102" t="str">
        <f t="shared" si="4"/>
        <v>cpetr-l</v>
      </c>
      <c r="AZ102" t="s">
        <v>1888</v>
      </c>
      <c r="BD102" t="s">
        <v>2256</v>
      </c>
      <c r="BE102" t="s">
        <v>2995</v>
      </c>
    </row>
    <row r="103" spans="3:57" x14ac:dyDescent="0.25">
      <c r="C103" t="s">
        <v>4023</v>
      </c>
      <c r="E103" t="s">
        <v>4032</v>
      </c>
      <c r="U103" t="s">
        <v>623</v>
      </c>
      <c r="Y103" t="str">
        <f>mapPRC!A203</f>
        <v>CNWGAS-E</v>
      </c>
      <c r="Z103" t="str">
        <f>IFERROR(INDEX($AX$7:$AX$89,MATCH(mapPRC!C203,$AW$7:$AW$89,0)),"")</f>
        <v>com</v>
      </c>
      <c r="AC103" t="str">
        <f>mapCOM!A127</f>
        <v>COMP10S</v>
      </c>
      <c r="AD103" t="str">
        <f t="shared" si="4"/>
        <v/>
      </c>
      <c r="AZ103" t="s">
        <v>1890</v>
      </c>
      <c r="BD103" t="s">
        <v>2254</v>
      </c>
      <c r="BE103" t="s">
        <v>2994</v>
      </c>
    </row>
    <row r="104" spans="3:57" x14ac:dyDescent="0.25">
      <c r="C104" t="s">
        <v>4024</v>
      </c>
      <c r="E104" t="s">
        <v>4033</v>
      </c>
      <c r="U104" t="s">
        <v>618</v>
      </c>
      <c r="Y104" t="str">
        <f>mapPRC!A204</f>
        <v>CNWOKE-E</v>
      </c>
      <c r="Z104" t="str">
        <f>IFERROR(INDEX($AX$7:$AX$89,MATCH(mapPRC!C204,$AW$7:$AW$89,0)),"")</f>
        <v>com</v>
      </c>
      <c r="AC104" t="str">
        <f>mapCOM!A128</f>
        <v>COMSOX</v>
      </c>
      <c r="AD104" t="str">
        <f t="shared" si="4"/>
        <v/>
      </c>
      <c r="AZ104" t="s">
        <v>1886</v>
      </c>
      <c r="BD104" t="s">
        <v>2252</v>
      </c>
      <c r="BE104" t="s">
        <v>2994</v>
      </c>
    </row>
    <row r="105" spans="3:57" x14ac:dyDescent="0.25">
      <c r="C105" t="s">
        <v>4025</v>
      </c>
      <c r="E105" t="s">
        <v>4034</v>
      </c>
      <c r="U105" t="s">
        <v>3293</v>
      </c>
      <c r="Y105" t="str">
        <f>mapPRC!A205</f>
        <v>CNWOLP-E</v>
      </c>
      <c r="Z105" t="str">
        <f>IFERROR(INDEX($AX$7:$AX$89,MATCH(mapPRC!C205,$AW$7:$AW$89,0)),"")</f>
        <v>com</v>
      </c>
      <c r="AC105" t="str">
        <f>mapCOM!A129</f>
        <v>COMSOXS</v>
      </c>
      <c r="AD105" t="str">
        <f t="shared" si="4"/>
        <v/>
      </c>
      <c r="AZ105" t="s">
        <v>1884</v>
      </c>
      <c r="BD105" t="s">
        <v>2250</v>
      </c>
      <c r="BE105" t="s">
        <v>2994</v>
      </c>
    </row>
    <row r="106" spans="3:57" x14ac:dyDescent="0.25">
      <c r="C106" t="s">
        <v>4026</v>
      </c>
      <c r="E106" t="s">
        <v>4035</v>
      </c>
      <c r="U106" t="s">
        <v>3294</v>
      </c>
      <c r="Y106" t="str">
        <f>mapPRC!A206</f>
        <v>COM_ACHILLER-E</v>
      </c>
      <c r="Z106" t="str">
        <f>IFERROR(INDEX($AX$7:$AX$89,MATCH(mapPRC!C206,$AW$7:$AW$89,0)),"")</f>
        <v/>
      </c>
      <c r="AC106" t="str">
        <f>mapCOM!A130</f>
        <v>COMTHRM-E</v>
      </c>
      <c r="AD106" t="str">
        <f t="shared" si="4"/>
        <v/>
      </c>
      <c r="AZ106" t="s">
        <v>1882</v>
      </c>
      <c r="BD106" t="s">
        <v>2248</v>
      </c>
      <c r="BE106" t="s">
        <v>3868</v>
      </c>
    </row>
    <row r="107" spans="3:57" x14ac:dyDescent="0.25">
      <c r="C107" t="s">
        <v>4027</v>
      </c>
      <c r="E107" t="s">
        <v>4036</v>
      </c>
      <c r="U107" t="s">
        <v>3295</v>
      </c>
      <c r="Y107" t="str">
        <f>mapPRC!A207</f>
        <v>COM_ACHILLER-N</v>
      </c>
      <c r="Z107" t="str">
        <f>IFERROR(INDEX($AX$7:$AX$89,MATCH(mapPRC!C207,$AW$7:$AW$89,0)),"")</f>
        <v/>
      </c>
      <c r="AC107" t="str">
        <f>mapCOM!A131</f>
        <v>COMTHRM-N</v>
      </c>
      <c r="AD107" t="str">
        <f t="shared" ref="AD107:AD128" si="5">INDEX($BE$6:$BE$811,MATCH(AC107,$BD$6:$BD$811,0))</f>
        <v/>
      </c>
      <c r="AZ107" t="s">
        <v>1880</v>
      </c>
      <c r="BD107" t="s">
        <v>2246</v>
      </c>
      <c r="BE107" t="s">
        <v>2994</v>
      </c>
    </row>
    <row r="108" spans="3:57" x14ac:dyDescent="0.25">
      <c r="C108" t="s">
        <v>4028</v>
      </c>
      <c r="E108" t="s">
        <v>4037</v>
      </c>
      <c r="U108" t="s">
        <v>3296</v>
      </c>
      <c r="Y108" t="str">
        <f>mapPRC!A208</f>
        <v>COM_HEATER-E</v>
      </c>
      <c r="Z108" t="str">
        <f>IFERROR(INDEX($AX$7:$AX$89,MATCH(mapPRC!C208,$AW$7:$AW$89,0)),"")</f>
        <v/>
      </c>
      <c r="AC108" t="str">
        <f>mapCOM!A132</f>
        <v>CRB</v>
      </c>
      <c r="AD108" t="str">
        <f t="shared" si="5"/>
        <v/>
      </c>
      <c r="AZ108" t="s">
        <v>1878</v>
      </c>
      <c r="BD108" t="s">
        <v>2245</v>
      </c>
      <c r="BE108" t="s">
        <v>3870</v>
      </c>
    </row>
    <row r="109" spans="3:57" x14ac:dyDescent="0.25">
      <c r="C109" t="s">
        <v>4029</v>
      </c>
      <c r="E109" t="s">
        <v>4038</v>
      </c>
      <c r="U109" t="s">
        <v>3297</v>
      </c>
      <c r="Y109" t="str">
        <f>mapPRC!A209</f>
        <v>COM_HEATER-N</v>
      </c>
      <c r="Z109" t="str">
        <f>IFERROR(INDEX($AX$7:$AX$89,MATCH(mapPRC!C209,$AW$7:$AW$89,0)),"")</f>
        <v/>
      </c>
      <c r="AC109" t="str">
        <f>mapCOM!A133</f>
        <v>ELC</v>
      </c>
      <c r="AD109" t="str">
        <f t="shared" si="5"/>
        <v>celec</v>
      </c>
      <c r="AZ109" t="s">
        <v>1876</v>
      </c>
      <c r="BD109" t="s">
        <v>2243</v>
      </c>
      <c r="BE109" t="s">
        <v>3871</v>
      </c>
    </row>
    <row r="110" spans="3:57" x14ac:dyDescent="0.25">
      <c r="C110" t="s">
        <v>4030</v>
      </c>
      <c r="E110" t="s">
        <v>4039</v>
      </c>
      <c r="U110" t="s">
        <v>3298</v>
      </c>
      <c r="Y110" t="str">
        <f>mapPRC!A210</f>
        <v>COMTHRM_SWITCH-E</v>
      </c>
      <c r="Z110" t="str">
        <f>IFERROR(INDEX($AX$7:$AX$89,MATCH(mapPRC!C210,$AW$7:$AW$89,0)),"")</f>
        <v/>
      </c>
      <c r="AC110" t="str">
        <f>mapCOM!A134</f>
        <v>ELCC</v>
      </c>
      <c r="AD110" t="str">
        <f t="shared" si="5"/>
        <v>celec</v>
      </c>
      <c r="AZ110" t="s">
        <v>1874</v>
      </c>
      <c r="BD110" t="s">
        <v>2241</v>
      </c>
      <c r="BE110" t="s">
        <v>2994</v>
      </c>
    </row>
    <row r="111" spans="3:57" x14ac:dyDescent="0.25">
      <c r="C111" t="s">
        <v>4031</v>
      </c>
      <c r="E111" t="s">
        <v>4040</v>
      </c>
      <c r="U111" t="s">
        <v>3299</v>
      </c>
      <c r="Y111" t="str">
        <f>mapPRC!A211</f>
        <v>COMTHRM_SWITCH-N</v>
      </c>
      <c r="Z111" t="str">
        <f>IFERROR(INDEX($AX$7:$AX$89,MATCH(mapPRC!C211,$AW$7:$AW$89,0)),"")</f>
        <v/>
      </c>
      <c r="AC111" t="str">
        <f>mapCOM!A135</f>
        <v>FEORE</v>
      </c>
      <c r="AD111" t="str">
        <f t="shared" si="5"/>
        <v/>
      </c>
      <c r="AZ111" t="s">
        <v>1872</v>
      </c>
      <c r="BD111" t="s">
        <v>2239</v>
      </c>
      <c r="BE111" t="s">
        <v>2994</v>
      </c>
    </row>
    <row r="112" spans="3:57" x14ac:dyDescent="0.25">
      <c r="C112" t="s">
        <v>4032</v>
      </c>
      <c r="E112" t="s">
        <v>4041</v>
      </c>
      <c r="U112" t="s">
        <v>3300</v>
      </c>
      <c r="Y112" t="str">
        <f>mapPRC!A212</f>
        <v>COMTRI_1-E</v>
      </c>
      <c r="Z112" t="str">
        <f>IFERROR(INDEX($AX$7:$AX$89,MATCH(mapPRC!C212,$AW$7:$AW$89,0)),"")</f>
        <v/>
      </c>
      <c r="AC112" t="str">
        <f>mapCOM!A136</f>
        <v>flab-m</v>
      </c>
      <c r="AD112" t="str">
        <f t="shared" si="5"/>
        <v/>
      </c>
      <c r="AZ112" t="s">
        <v>1870</v>
      </c>
      <c r="BD112" t="s">
        <v>2237</v>
      </c>
      <c r="BE112" t="s">
        <v>2994</v>
      </c>
    </row>
    <row r="113" spans="3:57" x14ac:dyDescent="0.25">
      <c r="C113" t="s">
        <v>4033</v>
      </c>
      <c r="E113" t="s">
        <v>4042</v>
      </c>
      <c r="U113" t="s">
        <v>3301</v>
      </c>
      <c r="Y113" t="str">
        <f>mapPRC!A213</f>
        <v>COMTRI_1-N</v>
      </c>
      <c r="Z113" t="str">
        <f>IFERROR(INDEX($AX$7:$AX$89,MATCH(mapPRC!C213,$AW$7:$AW$89,0)),"")</f>
        <v/>
      </c>
      <c r="AC113" t="str">
        <f>mapCOM!A137</f>
        <v>flab-p</v>
      </c>
      <c r="AD113" t="str">
        <f t="shared" si="5"/>
        <v/>
      </c>
      <c r="AZ113" t="s">
        <v>2038</v>
      </c>
      <c r="BD113" t="s">
        <v>2074</v>
      </c>
      <c r="BE113" t="s">
        <v>2994</v>
      </c>
    </row>
    <row r="114" spans="3:57" x14ac:dyDescent="0.25">
      <c r="C114" t="s">
        <v>4034</v>
      </c>
      <c r="E114" t="s">
        <v>4043</v>
      </c>
      <c r="U114" t="s">
        <v>3302</v>
      </c>
      <c r="Y114" t="str">
        <f>mapPRC!A214</f>
        <v>EDILS</v>
      </c>
      <c r="Z114" t="str">
        <f>IFERROR(INDEX($AX$7:$AX$89,MATCH(mapPRC!C214,$AW$7:$AW$89,0)),"")</f>
        <v/>
      </c>
      <c r="AC114" t="str">
        <f>mapCOM!A138</f>
        <v>flab-s</v>
      </c>
      <c r="AD114" t="str">
        <f t="shared" si="5"/>
        <v/>
      </c>
      <c r="AZ114" t="s">
        <v>2037</v>
      </c>
      <c r="BD114" t="s">
        <v>2071</v>
      </c>
      <c r="BE114" t="s">
        <v>2994</v>
      </c>
    </row>
    <row r="115" spans="3:57" x14ac:dyDescent="0.25">
      <c r="C115" t="s">
        <v>4035</v>
      </c>
      <c r="E115" t="s">
        <v>4044</v>
      </c>
      <c r="U115" t="s">
        <v>3303</v>
      </c>
      <c r="Y115" t="str">
        <f>mapPRC!A215</f>
        <v>EDMLR</v>
      </c>
      <c r="Z115" t="str">
        <f>IFERROR(INDEX($AX$7:$AX$89,MATCH(mapPRC!C215,$AW$7:$AW$89,0)),"")</f>
        <v/>
      </c>
      <c r="AC115" t="str">
        <f>mapCOM!A139</f>
        <v>flab-t</v>
      </c>
      <c r="AD115" t="str">
        <f t="shared" si="5"/>
        <v/>
      </c>
      <c r="AZ115" t="s">
        <v>2036</v>
      </c>
      <c r="BD115" t="s">
        <v>2068</v>
      </c>
      <c r="BE115" t="s">
        <v>2994</v>
      </c>
    </row>
    <row r="116" spans="3:57" x14ac:dyDescent="0.25">
      <c r="C116" t="s">
        <v>4036</v>
      </c>
      <c r="E116" t="s">
        <v>4045</v>
      </c>
      <c r="U116" t="s">
        <v>1048</v>
      </c>
      <c r="Y116" t="str">
        <f>mapPRC!A216</f>
        <v>ELCDEM</v>
      </c>
      <c r="Z116" t="str">
        <f>IFERROR(INDEX($AX$7:$AX$89,MATCH(mapPRC!C216,$AW$7:$AW$89,0)),"")</f>
        <v/>
      </c>
      <c r="AC116" t="str">
        <f>mapCOM!A140</f>
        <v>GAS</v>
      </c>
      <c r="AD116" t="str">
        <f t="shared" si="5"/>
        <v>cngas</v>
      </c>
      <c r="AZ116" t="s">
        <v>2035</v>
      </c>
      <c r="BD116" t="s">
        <v>2232</v>
      </c>
      <c r="BE116" t="s">
        <v>2994</v>
      </c>
    </row>
    <row r="117" spans="3:57" x14ac:dyDescent="0.25">
      <c r="C117" t="s">
        <v>4037</v>
      </c>
      <c r="E117" t="s">
        <v>4046</v>
      </c>
      <c r="U117" t="s">
        <v>3588</v>
      </c>
      <c r="Y117" t="str">
        <f>mapPRC!A217</f>
        <v>EP_FLAB-M</v>
      </c>
      <c r="Z117" t="str">
        <f>IFERROR(INDEX($AX$7:$AX$89,MATCH(mapPRC!C217,$AW$7:$AW$89,0)),"")</f>
        <v>elec</v>
      </c>
      <c r="AC117" t="str">
        <f>mapCOM!A141</f>
        <v>GIB</v>
      </c>
      <c r="AD117" t="str">
        <f t="shared" si="5"/>
        <v>cngas</v>
      </c>
      <c r="AZ117" t="s">
        <v>2034</v>
      </c>
      <c r="BD117" t="s">
        <v>2230</v>
      </c>
      <c r="BE117" t="s">
        <v>3872</v>
      </c>
    </row>
    <row r="118" spans="3:57" x14ac:dyDescent="0.25">
      <c r="C118" t="s">
        <v>4038</v>
      </c>
      <c r="E118" t="s">
        <v>4047</v>
      </c>
      <c r="U118" t="s">
        <v>3591</v>
      </c>
      <c r="Y118" t="str">
        <f>mapPRC!A218</f>
        <v>EP_FLAB-P</v>
      </c>
      <c r="Z118" t="str">
        <f>IFERROR(INDEX($AX$7:$AX$89,MATCH(mapPRC!C218,$AW$7:$AW$89,0)),"")</f>
        <v>elec</v>
      </c>
      <c r="AC118" t="str">
        <f>mapCOM!A142</f>
        <v>GIC</v>
      </c>
      <c r="AD118" t="str">
        <f t="shared" si="5"/>
        <v>cngas</v>
      </c>
      <c r="AZ118" t="s">
        <v>2033</v>
      </c>
      <c r="BD118" t="s">
        <v>2228</v>
      </c>
      <c r="BE118" t="s">
        <v>3001</v>
      </c>
    </row>
    <row r="119" spans="3:57" x14ac:dyDescent="0.25">
      <c r="C119" t="s">
        <v>4039</v>
      </c>
      <c r="E119" t="s">
        <v>4048</v>
      </c>
      <c r="U119" t="s">
        <v>3587</v>
      </c>
      <c r="Y119" t="str">
        <f>mapPRC!A219</f>
        <v>EP_FLAB-S</v>
      </c>
      <c r="Z119" t="str">
        <f>IFERROR(INDEX($AX$7:$AX$89,MATCH(mapPRC!C219,$AW$7:$AW$89,0)),"")</f>
        <v>elec</v>
      </c>
      <c r="AC119" t="str">
        <f>mapCOM!A143</f>
        <v>GIH</v>
      </c>
      <c r="AD119" t="str">
        <f t="shared" si="5"/>
        <v>cngas</v>
      </c>
      <c r="AZ119" t="s">
        <v>2032</v>
      </c>
      <c r="BD119" t="s">
        <v>2226</v>
      </c>
      <c r="BE119" t="s">
        <v>3868</v>
      </c>
    </row>
    <row r="120" spans="3:57" x14ac:dyDescent="0.25">
      <c r="C120" t="s">
        <v>4040</v>
      </c>
      <c r="E120" t="s">
        <v>4049</v>
      </c>
      <c r="U120" t="s">
        <v>3600</v>
      </c>
      <c r="Y120" t="str">
        <f>mapPRC!A220</f>
        <v>EP_FLAB-T</v>
      </c>
      <c r="Z120" t="str">
        <f>IFERROR(INDEX($AX$7:$AX$89,MATCH(mapPRC!C220,$AW$7:$AW$89,0)),"")</f>
        <v>elec</v>
      </c>
      <c r="AC120" t="str">
        <f>mapCOM!A144</f>
        <v>GIM</v>
      </c>
      <c r="AD120" t="str">
        <f t="shared" si="5"/>
        <v>cngas</v>
      </c>
      <c r="AZ120" t="s">
        <v>2031</v>
      </c>
      <c r="BD120" t="s">
        <v>2224</v>
      </c>
      <c r="BE120" t="s">
        <v>3869</v>
      </c>
    </row>
    <row r="121" spans="3:57" x14ac:dyDescent="0.25">
      <c r="C121" t="s">
        <v>4041</v>
      </c>
      <c r="E121" t="s">
        <v>4050</v>
      </c>
      <c r="U121" t="s">
        <v>3448</v>
      </c>
      <c r="Y121" t="str">
        <f>mapPRC!A221</f>
        <v>EPTSTO-E</v>
      </c>
      <c r="Z121" t="str">
        <f>IFERROR(INDEX($AX$7:$AX$89,MATCH(mapPRC!C221,$AW$7:$AW$89,0)),"")</f>
        <v>elec</v>
      </c>
      <c r="AC121" t="str">
        <f>mapCOM!A146</f>
        <v>GRL</v>
      </c>
      <c r="AD121" t="str">
        <f t="shared" si="5"/>
        <v>cngas</v>
      </c>
      <c r="AZ121" t="s">
        <v>2030</v>
      </c>
      <c r="BD121" t="s">
        <v>2222</v>
      </c>
      <c r="BE121" t="s">
        <v>3870</v>
      </c>
    </row>
    <row r="122" spans="3:57" x14ac:dyDescent="0.25">
      <c r="C122" t="s">
        <v>4042</v>
      </c>
      <c r="E122" t="s">
        <v>4051</v>
      </c>
      <c r="U122" t="s">
        <v>3598</v>
      </c>
      <c r="Y122" t="str">
        <f>mapPRC!A222</f>
        <v>EPTSTO-N</v>
      </c>
      <c r="Z122" t="str">
        <f>IFERROR(INDEX($AX$7:$AX$89,MATCH(mapPRC!C222,$AW$7:$AW$89,0)),"")</f>
        <v>elec</v>
      </c>
      <c r="AC122" t="str">
        <f>mapCOM!A147</f>
        <v>GRM</v>
      </c>
      <c r="AD122" t="str">
        <f t="shared" si="5"/>
        <v>cngas</v>
      </c>
      <c r="AZ122" t="s">
        <v>2029</v>
      </c>
      <c r="BD122" t="s">
        <v>2220</v>
      </c>
      <c r="BE122" t="s">
        <v>3872</v>
      </c>
    </row>
    <row r="123" spans="3:57" x14ac:dyDescent="0.25">
      <c r="C123" t="s">
        <v>4043</v>
      </c>
      <c r="E123" t="s">
        <v>4052</v>
      </c>
      <c r="U123" t="s">
        <v>3599</v>
      </c>
      <c r="Y123" t="str">
        <f>mapPRC!A223</f>
        <v>ERBIG-N</v>
      </c>
      <c r="Z123" t="str">
        <f>IFERROR(INDEX($AX$7:$AX$89,MATCH(mapPRC!C223,$AW$7:$AW$89,0)),"")</f>
        <v>elec</v>
      </c>
      <c r="AC123" t="str">
        <f>mapCOM!A148</f>
        <v>GRN</v>
      </c>
      <c r="AD123" t="str">
        <f t="shared" si="5"/>
        <v>cngas</v>
      </c>
      <c r="AZ123" t="s">
        <v>2027</v>
      </c>
      <c r="BD123" t="s">
        <v>2218</v>
      </c>
      <c r="BE123" t="s">
        <v>3871</v>
      </c>
    </row>
    <row r="124" spans="3:57" x14ac:dyDescent="0.25">
      <c r="C124" t="s">
        <v>4044</v>
      </c>
      <c r="E124" t="s">
        <v>4053</v>
      </c>
      <c r="U124" t="s">
        <v>3450</v>
      </c>
      <c r="Y124" t="str">
        <f>mapPRC!A224</f>
        <v>ERBIO-N</v>
      </c>
      <c r="Z124" t="str">
        <f>IFERROR(INDEX($AX$7:$AX$89,MATCH(mapPRC!C224,$AW$7:$AW$89,0)),"")</f>
        <v>elec</v>
      </c>
      <c r="AC124" t="str">
        <f>mapCOM!A149</f>
        <v>GTB</v>
      </c>
      <c r="AD124" t="str">
        <f>AD123</f>
        <v>cngas</v>
      </c>
      <c r="AZ124" t="s">
        <v>2025</v>
      </c>
      <c r="BD124" t="s">
        <v>2216</v>
      </c>
      <c r="BE124" t="s">
        <v>2994</v>
      </c>
    </row>
    <row r="125" spans="3:57" x14ac:dyDescent="0.25">
      <c r="C125" t="s">
        <v>4045</v>
      </c>
      <c r="E125" t="s">
        <v>4054</v>
      </c>
      <c r="U125" t="s">
        <v>423</v>
      </c>
      <c r="Y125" t="str">
        <f>mapPRC!A225</f>
        <v>ERHYDB-I</v>
      </c>
      <c r="Z125" t="str">
        <f>IFERROR(INDEX($AX$7:$AX$89,MATCH(mapPRC!C225,$AW$7:$AW$89,0)),"")</f>
        <v>imp</v>
      </c>
      <c r="AC125" t="str">
        <f>mapCOM!A151</f>
        <v>GWL</v>
      </c>
      <c r="AD125" t="str">
        <f t="shared" si="5"/>
        <v>cngas</v>
      </c>
      <c r="AZ125" t="s">
        <v>2023</v>
      </c>
      <c r="BD125" t="s">
        <v>2215</v>
      </c>
      <c r="BE125" t="s">
        <v>2994</v>
      </c>
    </row>
    <row r="126" spans="3:57" x14ac:dyDescent="0.25">
      <c r="C126" t="s">
        <v>4046</v>
      </c>
      <c r="E126" t="s">
        <v>4055</v>
      </c>
      <c r="U126" t="s">
        <v>3447</v>
      </c>
      <c r="Y126" t="str">
        <f>mapPRC!A226</f>
        <v>ERHYD-E</v>
      </c>
      <c r="Z126" t="str">
        <f>IFERROR(INDEX($AX$7:$AX$89,MATCH(mapPRC!C226,$AW$7:$AW$89,0)),"")</f>
        <v>elec</v>
      </c>
      <c r="AC126" t="str">
        <f>mapCOM!A152</f>
        <v>HEE</v>
      </c>
      <c r="AD126" t="str">
        <f t="shared" si="5"/>
        <v/>
      </c>
      <c r="AZ126" t="s">
        <v>2021</v>
      </c>
      <c r="BD126" t="s">
        <v>2213</v>
      </c>
      <c r="BE126" t="s">
        <v>2994</v>
      </c>
    </row>
    <row r="127" spans="3:57" x14ac:dyDescent="0.25">
      <c r="C127" t="s">
        <v>4047</v>
      </c>
      <c r="E127" t="s">
        <v>4056</v>
      </c>
      <c r="U127" t="s">
        <v>3197</v>
      </c>
      <c r="Y127" t="str">
        <f>mapPRC!A227</f>
        <v>ERHYDF-I</v>
      </c>
      <c r="Z127" t="str">
        <f>IFERROR(INDEX($AX$7:$AX$89,MATCH(mapPRC!C227,$AW$7:$AW$89,0)),"")</f>
        <v>imp</v>
      </c>
      <c r="AC127" t="str">
        <f>mapCOM!A153</f>
        <v>HEN</v>
      </c>
      <c r="AD127" t="str">
        <f t="shared" si="5"/>
        <v/>
      </c>
      <c r="AZ127" t="s">
        <v>2019</v>
      </c>
      <c r="BD127" t="s">
        <v>2212</v>
      </c>
      <c r="BE127" t="s">
        <v>2994</v>
      </c>
    </row>
    <row r="128" spans="3:57" x14ac:dyDescent="0.25">
      <c r="C128" t="s">
        <v>4048</v>
      </c>
      <c r="E128" t="s">
        <v>4057</v>
      </c>
      <c r="U128" t="s">
        <v>615</v>
      </c>
      <c r="Y128" t="str">
        <f>mapPRC!A228</f>
        <v>ERHYDGIE-I</v>
      </c>
      <c r="Z128" t="str">
        <f>IFERROR(INDEX($AX$7:$AX$89,MATCH(mapPRC!C228,$AW$7:$AW$89,0)),"")</f>
        <v>imp</v>
      </c>
      <c r="AC128" t="str">
        <f>mapCOM!A154</f>
        <v>HET</v>
      </c>
      <c r="AD128" t="str">
        <f t="shared" si="5"/>
        <v/>
      </c>
      <c r="AZ128" t="s">
        <v>2017</v>
      </c>
      <c r="BD128" t="s">
        <v>2211</v>
      </c>
      <c r="BE128" t="s">
        <v>2994</v>
      </c>
    </row>
    <row r="129" spans="3:57" x14ac:dyDescent="0.25">
      <c r="C129" t="s">
        <v>4049</v>
      </c>
      <c r="E129" t="s">
        <v>4058</v>
      </c>
      <c r="U129" t="s">
        <v>612</v>
      </c>
      <c r="Y129" t="str">
        <f>mapPRC!A229</f>
        <v>ERHYDGIW-I</v>
      </c>
      <c r="Z129" t="str">
        <f>IFERROR(INDEX($AX$7:$AX$89,MATCH(mapPRC!C229,$AW$7:$AW$89,0)),"")</f>
        <v>imp</v>
      </c>
      <c r="AC129" t="str">
        <f>mapCOM!A155</f>
        <v>HFCP_CAP</v>
      </c>
      <c r="AD129" s="1"/>
      <c r="AZ129" t="s">
        <v>2015</v>
      </c>
      <c r="BD129" t="s">
        <v>2208</v>
      </c>
      <c r="BE129" t="s">
        <v>2994</v>
      </c>
    </row>
    <row r="130" spans="3:57" x14ac:dyDescent="0.25">
      <c r="C130" t="s">
        <v>4050</v>
      </c>
      <c r="E130" t="s">
        <v>4059</v>
      </c>
      <c r="U130" t="s">
        <v>36</v>
      </c>
      <c r="Y130" t="str">
        <f>mapPRC!A230</f>
        <v>ERHYDH-I</v>
      </c>
      <c r="Z130" t="str">
        <f>IFERROR(INDEX($AX$7:$AX$89,MATCH(mapPRC!C230,$AW$7:$AW$89,0)),"")</f>
        <v>imp</v>
      </c>
      <c r="AC130" t="str">
        <f>mapCOM!A156</f>
        <v>HFCP_EX</v>
      </c>
      <c r="AD130" s="1"/>
      <c r="AZ130" t="s">
        <v>2013</v>
      </c>
      <c r="BD130" t="s">
        <v>2206</v>
      </c>
      <c r="BE130" t="s">
        <v>2998</v>
      </c>
    </row>
    <row r="131" spans="3:57" x14ac:dyDescent="0.25">
      <c r="C131" t="s">
        <v>4051</v>
      </c>
      <c r="E131" t="s">
        <v>4060</v>
      </c>
      <c r="U131" t="s">
        <v>603</v>
      </c>
      <c r="Y131" t="str">
        <f>mapPRC!A231</f>
        <v>ERHYD-I</v>
      </c>
      <c r="Z131" t="str">
        <f>IFERROR(INDEX($AX$7:$AX$89,MATCH(mapPRC!C231,$AW$7:$AW$89,0)),"")</f>
        <v>imp</v>
      </c>
      <c r="AC131" t="str">
        <f>mapCOM!A157</f>
        <v>HFCP_TRA</v>
      </c>
      <c r="AD131" s="1"/>
      <c r="AZ131" t="s">
        <v>1866</v>
      </c>
      <c r="BD131" t="s">
        <v>2204</v>
      </c>
      <c r="BE131" t="s">
        <v>2999</v>
      </c>
    </row>
    <row r="132" spans="3:57" x14ac:dyDescent="0.25">
      <c r="C132" t="s">
        <v>4052</v>
      </c>
      <c r="E132" t="s">
        <v>4061</v>
      </c>
      <c r="U132" t="s">
        <v>729</v>
      </c>
      <c r="Y132" t="str">
        <f>mapPRC!A232</f>
        <v>ERHYDI-I</v>
      </c>
      <c r="Z132" t="str">
        <f>IFERROR(INDEX($AX$7:$AX$89,MATCH(mapPRC!C232,$AW$7:$AW$89,0)),"")</f>
        <v>imp</v>
      </c>
      <c r="AC132" t="str">
        <f>mapCOM!A158</f>
        <v>HGN</v>
      </c>
      <c r="AD132" t="str">
        <f t="shared" ref="AD132:AD166" si="6">INDEX($BE$6:$BE$811,MATCH(AC132,$BD$6:$BD$811,0))</f>
        <v>chydr</v>
      </c>
      <c r="AZ132" t="s">
        <v>1864</v>
      </c>
      <c r="BD132" t="s">
        <v>2203</v>
      </c>
      <c r="BE132" t="s">
        <v>2994</v>
      </c>
    </row>
    <row r="133" spans="3:57" x14ac:dyDescent="0.25">
      <c r="C133" t="s">
        <v>4053</v>
      </c>
      <c r="E133" t="s">
        <v>4062</v>
      </c>
      <c r="U133" t="s">
        <v>1063</v>
      </c>
      <c r="Y133" t="str">
        <f>mapPRC!A233</f>
        <v>ERHYDK-I</v>
      </c>
      <c r="Z133" t="str">
        <f>IFERROR(INDEX($AX$7:$AX$89,MATCH(mapPRC!C233,$AW$7:$AW$89,0)),"")</f>
        <v>imp</v>
      </c>
      <c r="AC133" t="str">
        <f>mapCOM!A159</f>
        <v>HYD</v>
      </c>
      <c r="AD133" t="str">
        <f t="shared" si="6"/>
        <v/>
      </c>
      <c r="AZ133" t="s">
        <v>1863</v>
      </c>
      <c r="BD133" t="s">
        <v>2200</v>
      </c>
      <c r="BE133" t="s">
        <v>2994</v>
      </c>
    </row>
    <row r="134" spans="3:57" x14ac:dyDescent="0.25">
      <c r="C134" t="s">
        <v>4054</v>
      </c>
      <c r="E134" t="s">
        <v>4063</v>
      </c>
      <c r="U134" t="s">
        <v>400</v>
      </c>
      <c r="Y134" t="str">
        <f>mapPRC!A234</f>
        <v>ERHYDM-I</v>
      </c>
      <c r="Z134" t="str">
        <f>IFERROR(INDEX($AX$7:$AX$89,MATCH(mapPRC!C234,$AW$7:$AW$89,0)),"")</f>
        <v>imp</v>
      </c>
      <c r="AC134" t="str">
        <f>mapCOM!A160</f>
        <v>IALM</v>
      </c>
      <c r="AD134" t="str">
        <f t="shared" si="6"/>
        <v/>
      </c>
      <c r="AZ134" t="s">
        <v>1861</v>
      </c>
      <c r="BD134" t="s">
        <v>2198</v>
      </c>
      <c r="BE134" t="s">
        <v>2994</v>
      </c>
    </row>
    <row r="135" spans="3:57" x14ac:dyDescent="0.25">
      <c r="C135" t="s">
        <v>4055</v>
      </c>
      <c r="E135" t="s">
        <v>4064</v>
      </c>
      <c r="U135" t="s">
        <v>3291</v>
      </c>
      <c r="Y135" t="str">
        <f>mapPRC!A235</f>
        <v>ERHYD-N</v>
      </c>
      <c r="Z135" t="str">
        <f>IFERROR(INDEX($AX$7:$AX$89,MATCH(mapPRC!C235,$AW$7:$AW$89,0)),"")</f>
        <v>elec</v>
      </c>
      <c r="AC135" t="str">
        <f>mapCOM!A161</f>
        <v>ICPA</v>
      </c>
      <c r="AD135" t="str">
        <f t="shared" si="6"/>
        <v/>
      </c>
      <c r="AZ135" t="s">
        <v>1859</v>
      </c>
      <c r="BD135" t="s">
        <v>2195</v>
      </c>
      <c r="BE135" t="s">
        <v>2994</v>
      </c>
    </row>
    <row r="136" spans="3:57" x14ac:dyDescent="0.25">
      <c r="C136" t="s">
        <v>4056</v>
      </c>
      <c r="E136" t="s">
        <v>4065</v>
      </c>
      <c r="U136" t="s">
        <v>991</v>
      </c>
      <c r="Y136" t="str">
        <f>mapPRC!A236</f>
        <v>ERSOLPCF-N</v>
      </c>
      <c r="Z136" t="str">
        <f>IFERROR(INDEX($AX$7:$AX$89,MATCH(mapPRC!C236,$AW$7:$AW$89,0)),"")</f>
        <v>elec</v>
      </c>
      <c r="AC136" t="str">
        <f>mapCOM!A162</f>
        <v>ICPC</v>
      </c>
      <c r="AD136" t="str">
        <f t="shared" si="6"/>
        <v/>
      </c>
      <c r="AZ136" t="s">
        <v>1848</v>
      </c>
      <c r="BD136" t="s">
        <v>2193</v>
      </c>
      <c r="BE136" t="s">
        <v>2994</v>
      </c>
    </row>
    <row r="137" spans="3:57" x14ac:dyDescent="0.25">
      <c r="C137" t="s">
        <v>4057</v>
      </c>
      <c r="E137" t="s">
        <v>4066</v>
      </c>
      <c r="U137" t="s">
        <v>3292</v>
      </c>
      <c r="Y137" t="str">
        <f>mapPRC!A237</f>
        <v>ERSOLPCT-N</v>
      </c>
      <c r="Z137" t="str">
        <f>IFERROR(INDEX($AX$7:$AX$89,MATCH(mapPRC!C237,$AW$7:$AW$89,0)),"")</f>
        <v>elec</v>
      </c>
      <c r="AC137" t="str">
        <f>mapCOM!A163</f>
        <v>ICPE</v>
      </c>
      <c r="AD137" t="str">
        <f t="shared" si="6"/>
        <v/>
      </c>
      <c r="AZ137" t="s">
        <v>1846</v>
      </c>
      <c r="BD137" t="s">
        <v>2192</v>
      </c>
      <c r="BE137" t="s">
        <v>2995</v>
      </c>
    </row>
    <row r="138" spans="3:57" x14ac:dyDescent="0.25">
      <c r="C138" t="s">
        <v>4058</v>
      </c>
      <c r="E138" t="s">
        <v>4067</v>
      </c>
      <c r="U138" t="s">
        <v>24</v>
      </c>
      <c r="Y138" t="str">
        <f>mapPRC!A238</f>
        <v>ERSOLPICP-N</v>
      </c>
      <c r="Z138" t="str">
        <f>IFERROR(INDEX($AX$7:$AX$89,MATCH(mapPRC!C238,$AW$7:$AW$89,0)),"")</f>
        <v>elec</v>
      </c>
      <c r="AC138" t="str">
        <f>mapCOM!A164</f>
        <v>ICPELC</v>
      </c>
      <c r="AD138" t="str">
        <f t="shared" si="6"/>
        <v>celec</v>
      </c>
      <c r="AZ138" t="s">
        <v>1844</v>
      </c>
      <c r="BD138" t="s">
        <v>2191</v>
      </c>
      <c r="BE138" t="s">
        <v>2995</v>
      </c>
    </row>
    <row r="139" spans="3:57" x14ac:dyDescent="0.25">
      <c r="C139" t="s">
        <v>4059</v>
      </c>
      <c r="E139" t="s">
        <v>4068</v>
      </c>
      <c r="U139" t="s">
        <v>485</v>
      </c>
      <c r="Y139" t="str">
        <f>mapPRC!A239</f>
        <v>ERSOLPIFA-N</v>
      </c>
      <c r="Z139" t="str">
        <f>IFERROR(INDEX($AX$7:$AX$89,MATCH(mapPRC!C239,$AW$7:$AW$89,0)),"")</f>
        <v>elec</v>
      </c>
      <c r="AC139" t="str">
        <f>mapCOM!A165</f>
        <v>ICPF</v>
      </c>
      <c r="AD139" t="str">
        <f t="shared" si="6"/>
        <v/>
      </c>
      <c r="AZ139" t="s">
        <v>3790</v>
      </c>
      <c r="BD139" t="s">
        <v>2190</v>
      </c>
      <c r="BE139" t="s">
        <v>2995</v>
      </c>
    </row>
    <row r="140" spans="3:57" x14ac:dyDescent="0.25">
      <c r="C140" t="s">
        <v>4060</v>
      </c>
      <c r="E140" t="s">
        <v>4069</v>
      </c>
      <c r="U140" t="s">
        <v>482</v>
      </c>
      <c r="Y140" t="str">
        <f>mapPRC!A240</f>
        <v>ERSOLPIFB-N</v>
      </c>
      <c r="Z140" t="str">
        <f>IFERROR(INDEX($AX$7:$AX$89,MATCH(mapPRC!C240,$AW$7:$AW$89,0)),"")</f>
        <v>elec</v>
      </c>
      <c r="AC140" t="str">
        <f>mapCOM!A166</f>
        <v>ICPGAS</v>
      </c>
      <c r="AD140" t="str">
        <f t="shared" si="6"/>
        <v>cngas</v>
      </c>
      <c r="BD140" t="s">
        <v>2189</v>
      </c>
      <c r="BE140" t="s">
        <v>2995</v>
      </c>
    </row>
    <row r="141" spans="3:57" x14ac:dyDescent="0.25">
      <c r="C141" t="s">
        <v>4061</v>
      </c>
      <c r="E141" t="s">
        <v>4070</v>
      </c>
      <c r="U141" t="s">
        <v>472</v>
      </c>
      <c r="Y141" t="str">
        <f>mapPRC!A241</f>
        <v>ERSOLPIIS-N</v>
      </c>
      <c r="Z141" t="str">
        <f>IFERROR(INDEX($AX$7:$AX$89,MATCH(mapPRC!C241,$AW$7:$AW$89,0)),"")</f>
        <v>elec</v>
      </c>
      <c r="AC141" t="str">
        <f>mapCOM!A167</f>
        <v>ICPGMU</v>
      </c>
      <c r="AD141" t="str">
        <f t="shared" si="6"/>
        <v>cngas</v>
      </c>
      <c r="BD141" t="s">
        <v>2188</v>
      </c>
      <c r="BE141" t="s">
        <v>2995</v>
      </c>
    </row>
    <row r="142" spans="3:57" x14ac:dyDescent="0.25">
      <c r="C142" t="s">
        <v>4062</v>
      </c>
      <c r="E142" t="s">
        <v>4071</v>
      </c>
      <c r="U142" t="s">
        <v>479</v>
      </c>
      <c r="Y142" t="str">
        <f>mapPRC!A242</f>
        <v>ERSOLPINF-N</v>
      </c>
      <c r="Z142" t="str">
        <f>IFERROR(INDEX($AX$7:$AX$89,MATCH(mapPRC!C242,$AW$7:$AW$89,0)),"")</f>
        <v>elec</v>
      </c>
      <c r="AC142" t="str">
        <f>mapCOM!A168</f>
        <v>ICPH</v>
      </c>
      <c r="AD142" t="str">
        <f t="shared" si="6"/>
        <v/>
      </c>
      <c r="BD142" t="s">
        <v>2187</v>
      </c>
      <c r="BE142" t="s">
        <v>2995</v>
      </c>
    </row>
    <row r="143" spans="3:57" x14ac:dyDescent="0.25">
      <c r="C143" t="s">
        <v>4063</v>
      </c>
      <c r="E143" t="s">
        <v>4072</v>
      </c>
      <c r="U143" t="s">
        <v>467</v>
      </c>
      <c r="Y143" t="str">
        <f>mapPRC!A243</f>
        <v>ERSOLPINM-N</v>
      </c>
      <c r="Z143" t="str">
        <f>IFERROR(INDEX($AX$7:$AX$89,MATCH(mapPRC!C243,$AW$7:$AW$89,0)),"")</f>
        <v>elec</v>
      </c>
      <c r="AC143" t="str">
        <f>mapCOM!A169</f>
        <v>ICPK</v>
      </c>
      <c r="AD143" t="str">
        <f t="shared" si="6"/>
        <v/>
      </c>
      <c r="BD143" t="s">
        <v>2186</v>
      </c>
      <c r="BE143" t="s">
        <v>2994</v>
      </c>
    </row>
    <row r="144" spans="3:57" x14ac:dyDescent="0.25">
      <c r="C144" t="s">
        <v>4064</v>
      </c>
      <c r="E144" t="s">
        <v>4073</v>
      </c>
      <c r="U144" t="s">
        <v>33</v>
      </c>
      <c r="Y144" t="str">
        <f>mapPRC!A244</f>
        <v>ERSOLPIOT-N</v>
      </c>
      <c r="Z144" t="str">
        <f>IFERROR(INDEX($AX$7:$AX$89,MATCH(mapPRC!C244,$AW$7:$AW$89,0)),"")</f>
        <v>elec</v>
      </c>
      <c r="AC144" t="str">
        <f>mapCOM!A170</f>
        <v>ICPL</v>
      </c>
      <c r="AD144" t="str">
        <f t="shared" si="6"/>
        <v/>
      </c>
      <c r="BD144" t="s">
        <v>2184</v>
      </c>
      <c r="BE144" t="s">
        <v>2994</v>
      </c>
    </row>
    <row r="145" spans="3:57" x14ac:dyDescent="0.25">
      <c r="C145" t="s">
        <v>4065</v>
      </c>
      <c r="E145" t="s">
        <v>4074</v>
      </c>
      <c r="U145" t="s">
        <v>545</v>
      </c>
      <c r="Y145" t="str">
        <f>mapPRC!A245</f>
        <v>ERSOLPIPP-N</v>
      </c>
      <c r="Z145" t="str">
        <f>IFERROR(INDEX($AX$7:$AX$89,MATCH(mapPRC!C245,$AW$7:$AW$89,0)),"")</f>
        <v>elec</v>
      </c>
      <c r="AC145" t="str">
        <f>mapCOM!A171</f>
        <v>ICPO</v>
      </c>
      <c r="AD145" t="str">
        <f t="shared" si="6"/>
        <v/>
      </c>
      <c r="BD145" t="s">
        <v>2181</v>
      </c>
      <c r="BE145" t="s">
        <v>2994</v>
      </c>
    </row>
    <row r="146" spans="3:57" x14ac:dyDescent="0.25">
      <c r="C146" t="s">
        <v>4066</v>
      </c>
      <c r="E146" t="s">
        <v>4075</v>
      </c>
      <c r="U146" t="s">
        <v>3446</v>
      </c>
      <c r="Y146" t="str">
        <f>mapPRC!A246</f>
        <v>ERSOLPRA-N</v>
      </c>
      <c r="Z146" t="str">
        <f>IFERROR(INDEX($AX$7:$AX$89,MATCH(mapPRC!C246,$AW$7:$AW$89,0)),"")</f>
        <v>elec</v>
      </c>
      <c r="AC146" t="str">
        <f>mapCOM!A172</f>
        <v>ICPNH3</v>
      </c>
      <c r="AD146" t="str">
        <f t="shared" si="6"/>
        <v/>
      </c>
      <c r="BD146" t="s">
        <v>2179</v>
      </c>
      <c r="BE146" t="s">
        <v>2994</v>
      </c>
    </row>
    <row r="147" spans="3:57" x14ac:dyDescent="0.25">
      <c r="C147" t="s">
        <v>4067</v>
      </c>
      <c r="E147" t="s">
        <v>4076</v>
      </c>
      <c r="U147" t="s">
        <v>726</v>
      </c>
      <c r="Y147" t="str">
        <f>mapPRC!A247</f>
        <v>ERSOLPRM-N</v>
      </c>
      <c r="Z147" t="str">
        <f>IFERROR(INDEX($AX$7:$AX$89,MATCH(mapPRC!C247,$AW$7:$AW$89,0)),"")</f>
        <v>elec</v>
      </c>
      <c r="AC147" t="str">
        <f>mapCOM!A173</f>
        <v>ICPP</v>
      </c>
      <c r="AD147" t="str">
        <f t="shared" si="6"/>
        <v/>
      </c>
      <c r="BD147" t="s">
        <v>2176</v>
      </c>
      <c r="BE147" t="s">
        <v>2994</v>
      </c>
    </row>
    <row r="148" spans="3:57" x14ac:dyDescent="0.25">
      <c r="C148" t="s">
        <v>4068</v>
      </c>
      <c r="E148" t="s">
        <v>4077</v>
      </c>
      <c r="U148" t="s">
        <v>3595</v>
      </c>
      <c r="Y148" t="str">
        <f>mapPRC!A248</f>
        <v>ERSOLPRC-N</v>
      </c>
      <c r="Z148" t="str">
        <f>IFERROR(INDEX($AX$7:$AX$89,MATCH(mapPRC!C248,$AW$7:$AW$89,0)),"")</f>
        <v>elec</v>
      </c>
      <c r="AC148" t="str">
        <f>mapCOM!A174</f>
        <v>ICPS</v>
      </c>
      <c r="AD148" t="str">
        <f t="shared" si="6"/>
        <v/>
      </c>
      <c r="BD148" t="s">
        <v>2174</v>
      </c>
      <c r="BE148" t="s">
        <v>2994</v>
      </c>
    </row>
    <row r="149" spans="3:57" x14ac:dyDescent="0.25">
      <c r="C149" t="s">
        <v>4069</v>
      </c>
      <c r="E149" t="s">
        <v>4078</v>
      </c>
      <c r="U149" t="s">
        <v>3594</v>
      </c>
      <c r="Y149" t="str">
        <f>mapPRC!A249</f>
        <v>ERSOLPRI-N</v>
      </c>
      <c r="Z149" t="str">
        <f>IFERROR(INDEX($AX$7:$AX$89,MATCH(mapPRC!C249,$AW$7:$AW$89,0)),"")</f>
        <v>elec</v>
      </c>
      <c r="AC149" t="str">
        <f>mapCOM!A175</f>
        <v>ICPT</v>
      </c>
      <c r="AD149" t="str">
        <f t="shared" si="6"/>
        <v/>
      </c>
      <c r="BD149" t="s">
        <v>2171</v>
      </c>
      <c r="BE149" t="s">
        <v>2994</v>
      </c>
    </row>
    <row r="150" spans="3:57" x14ac:dyDescent="0.25">
      <c r="C150" t="s">
        <v>4070</v>
      </c>
      <c r="E150" t="s">
        <v>4079</v>
      </c>
      <c r="U150" t="s">
        <v>3592</v>
      </c>
      <c r="Y150" t="str">
        <f>mapPRC!A250</f>
        <v>ERSOLPRR-N</v>
      </c>
      <c r="Z150" t="str">
        <f>IFERROR(INDEX($AX$7:$AX$89,MATCH(mapPRC!C250,$AW$7:$AW$89,0)),"")</f>
        <v>elec</v>
      </c>
      <c r="AC150" t="str">
        <f>mapCOM!A176</f>
        <v>IFACR</v>
      </c>
      <c r="AD150" t="str">
        <f t="shared" si="6"/>
        <v/>
      </c>
      <c r="BD150" t="s">
        <v>2169</v>
      </c>
      <c r="BE150" t="s">
        <v>2994</v>
      </c>
    </row>
    <row r="151" spans="3:57" x14ac:dyDescent="0.25">
      <c r="C151" t="s">
        <v>4071</v>
      </c>
      <c r="E151" t="s">
        <v>4080</v>
      </c>
      <c r="U151" t="s">
        <v>0</v>
      </c>
      <c r="Y151" t="str">
        <f>mapPRC!A251</f>
        <v>ERSOLTC03-N</v>
      </c>
      <c r="Z151" t="str">
        <f>IFERROR(INDEX($AX$7:$AX$89,MATCH(mapPRC!C251,$AW$7:$AW$89,0)),"")</f>
        <v>elec</v>
      </c>
      <c r="AC151" t="str">
        <f>mapCOM!A178</f>
        <v>IFAMN</v>
      </c>
      <c r="AD151" t="str">
        <f t="shared" si="6"/>
        <v/>
      </c>
      <c r="BD151" t="s">
        <v>2167</v>
      </c>
      <c r="BE151" t="s">
        <v>3868</v>
      </c>
    </row>
    <row r="152" spans="3:57" x14ac:dyDescent="0.25">
      <c r="C152" t="s">
        <v>4072</v>
      </c>
      <c r="E152" t="s">
        <v>4081</v>
      </c>
      <c r="U152" t="s">
        <v>1040</v>
      </c>
      <c r="Y152" t="str">
        <f>mapPRC!A252</f>
        <v>ERSOLTC06-N</v>
      </c>
      <c r="Z152" t="str">
        <f>IFERROR(INDEX($AX$7:$AX$89,MATCH(mapPRC!C252,$AW$7:$AW$89,0)),"")</f>
        <v>elec</v>
      </c>
      <c r="AC152" t="str">
        <f>mapCOM!A179</f>
        <v>IFAM</v>
      </c>
      <c r="AD152" t="str">
        <f t="shared" si="6"/>
        <v/>
      </c>
      <c r="BD152" t="s">
        <v>3434</v>
      </c>
      <c r="BE152" t="s">
        <v>3870</v>
      </c>
    </row>
    <row r="153" spans="3:57" x14ac:dyDescent="0.25">
      <c r="C153" t="s">
        <v>4073</v>
      </c>
      <c r="E153" t="s">
        <v>4082</v>
      </c>
      <c r="U153" t="s">
        <v>1200</v>
      </c>
      <c r="Y153" t="str">
        <f>mapPRC!A253</f>
        <v>ERSOLTC09C-N</v>
      </c>
      <c r="Z153" t="str">
        <f>IFERROR(INDEX($AX$7:$AX$89,MATCH(mapPRC!C253,$AW$7:$AW$89,0)),"")</f>
        <v>elec</v>
      </c>
      <c r="AC153" t="str">
        <f>mapCOM!A180</f>
        <v>IFAELC</v>
      </c>
      <c r="AD153" t="str">
        <f t="shared" si="6"/>
        <v>celec</v>
      </c>
      <c r="BD153" t="s">
        <v>3435</v>
      </c>
      <c r="BE153" t="s">
        <v>3872</v>
      </c>
    </row>
    <row r="154" spans="3:57" x14ac:dyDescent="0.25">
      <c r="C154" t="s">
        <v>4074</v>
      </c>
      <c r="E154" t="s">
        <v>4083</v>
      </c>
      <c r="U154" t="s">
        <v>3280</v>
      </c>
      <c r="Y154" t="str">
        <f>mapPRC!A254</f>
        <v>ERSOLTC09-N</v>
      </c>
      <c r="Z154" t="str">
        <f>IFERROR(INDEX($AX$7:$AX$89,MATCH(mapPRC!C254,$AW$7:$AW$89,0)),"")</f>
        <v>elec</v>
      </c>
      <c r="AC154" t="str">
        <f>mapCOM!A181</f>
        <v>IFAGAS</v>
      </c>
      <c r="AD154" t="str">
        <f t="shared" si="6"/>
        <v>cngas</v>
      </c>
      <c r="BD154" t="s">
        <v>2166</v>
      </c>
      <c r="BE154" t="s">
        <v>2994</v>
      </c>
    </row>
    <row r="155" spans="3:57" x14ac:dyDescent="0.25">
      <c r="C155" t="s">
        <v>4075</v>
      </c>
      <c r="E155" t="s">
        <v>4084</v>
      </c>
      <c r="U155" t="s">
        <v>983</v>
      </c>
      <c r="Y155" t="str">
        <f>mapPRC!A255</f>
        <v>ERSOLTC12-N</v>
      </c>
      <c r="Z155" t="str">
        <f>IFERROR(INDEX($AX$7:$AX$89,MATCH(mapPRC!C255,$AW$7:$AW$89,0)),"")</f>
        <v>elec</v>
      </c>
      <c r="AC155" t="str">
        <f>mapCOM!A182</f>
        <v>IFBA</v>
      </c>
      <c r="AD155" t="str">
        <f t="shared" si="6"/>
        <v/>
      </c>
      <c r="BD155" t="s">
        <v>2163</v>
      </c>
      <c r="BE155" t="s">
        <v>2994</v>
      </c>
    </row>
    <row r="156" spans="3:57" x14ac:dyDescent="0.25">
      <c r="C156" t="s">
        <v>4076</v>
      </c>
      <c r="E156" t="s">
        <v>4085</v>
      </c>
      <c r="U156" t="s">
        <v>462</v>
      </c>
      <c r="Y156" t="str">
        <f>mapPRC!A256</f>
        <v>ERSOLTC14-N</v>
      </c>
      <c r="Z156" t="str">
        <f>IFERROR(INDEX($AX$7:$AX$89,MATCH(mapPRC!C256,$AW$7:$AW$89,0)),"")</f>
        <v>elec</v>
      </c>
      <c r="AC156" t="str">
        <f>mapCOM!A183</f>
        <v>IFBC</v>
      </c>
      <c r="AD156" t="str">
        <f t="shared" si="6"/>
        <v/>
      </c>
      <c r="BD156" t="s">
        <v>2161</v>
      </c>
      <c r="BE156" t="s">
        <v>2994</v>
      </c>
    </row>
    <row r="157" spans="3:57" x14ac:dyDescent="0.25">
      <c r="C157" t="s">
        <v>4077</v>
      </c>
      <c r="E157" t="s">
        <v>4086</v>
      </c>
      <c r="U157" t="s">
        <v>3766</v>
      </c>
      <c r="Y157" t="str">
        <f>mapPRC!A257</f>
        <v>ERSOLTT00-N</v>
      </c>
      <c r="Z157" t="str">
        <f>IFERROR(INDEX($AX$7:$AX$89,MATCH(mapPRC!C257,$AW$7:$AW$89,0)),"")</f>
        <v>elec</v>
      </c>
      <c r="AC157" t="str">
        <f>mapCOM!A184</f>
        <v>IFBE</v>
      </c>
      <c r="AD157" t="str">
        <f t="shared" si="6"/>
        <v/>
      </c>
      <c r="BD157" t="s">
        <v>2160</v>
      </c>
      <c r="BE157" t="s">
        <v>2994</v>
      </c>
    </row>
    <row r="158" spans="3:57" x14ac:dyDescent="0.25">
      <c r="C158" t="s">
        <v>4078</v>
      </c>
      <c r="E158" t="s">
        <v>4087</v>
      </c>
      <c r="U158" t="s">
        <v>3443</v>
      </c>
      <c r="Y158" t="str">
        <f>mapPRC!A258</f>
        <v>ERSOLTT03-N</v>
      </c>
      <c r="Z158" t="str">
        <f>IFERROR(INDEX($AX$7:$AX$89,MATCH(mapPRC!C258,$AW$7:$AW$89,0)),"")</f>
        <v>elec</v>
      </c>
      <c r="AC158" t="str">
        <f>mapCOM!A185</f>
        <v>IFBELC</v>
      </c>
      <c r="AD158" t="str">
        <f t="shared" si="6"/>
        <v>celec</v>
      </c>
      <c r="BD158" t="s">
        <v>2157</v>
      </c>
      <c r="BE158" t="s">
        <v>2994</v>
      </c>
    </row>
    <row r="159" spans="3:57" x14ac:dyDescent="0.25">
      <c r="C159" t="s">
        <v>4079</v>
      </c>
      <c r="E159" t="s">
        <v>4088</v>
      </c>
      <c r="U159" t="s">
        <v>3165</v>
      </c>
      <c r="Y159" t="str">
        <f>mapPRC!A259</f>
        <v>ERSOLTT06-N</v>
      </c>
      <c r="Z159" t="str">
        <f>IFERROR(INDEX($AX$7:$AX$89,MATCH(mapPRC!C259,$AW$7:$AW$89,0)),"")</f>
        <v>elec</v>
      </c>
      <c r="AC159" t="str">
        <f>mapCOM!A186</f>
        <v>IFBF</v>
      </c>
      <c r="AD159" t="str">
        <f t="shared" si="6"/>
        <v/>
      </c>
      <c r="BD159" t="s">
        <v>2155</v>
      </c>
      <c r="BE159" t="s">
        <v>2994</v>
      </c>
    </row>
    <row r="160" spans="3:57" x14ac:dyDescent="0.25">
      <c r="C160" t="s">
        <v>4080</v>
      </c>
      <c r="E160" t="s">
        <v>4089</v>
      </c>
      <c r="U160" t="s">
        <v>1021</v>
      </c>
      <c r="Y160" t="str">
        <f>mapPRC!A260</f>
        <v>ERSOLTT09-N</v>
      </c>
      <c r="Z160" t="str">
        <f>IFERROR(INDEX($AX$7:$AX$89,MATCH(mapPRC!C260,$AW$7:$AW$89,0)),"")</f>
        <v>elec</v>
      </c>
      <c r="AC160" t="str">
        <f>mapCOM!A187</f>
        <v>IFBGAS</v>
      </c>
      <c r="AD160" t="str">
        <f t="shared" si="6"/>
        <v>cngas</v>
      </c>
      <c r="BD160" t="s">
        <v>2154</v>
      </c>
      <c r="BE160" t="s">
        <v>2994</v>
      </c>
    </row>
    <row r="161" spans="3:57" x14ac:dyDescent="0.25">
      <c r="C161" t="s">
        <v>4081</v>
      </c>
      <c r="E161" t="s">
        <v>4090</v>
      </c>
      <c r="U161" t="s">
        <v>1553</v>
      </c>
      <c r="Y161" t="str">
        <f>mapPRC!A261</f>
        <v>ERWNDH-N</v>
      </c>
      <c r="Z161" t="str">
        <f>IFERROR(INDEX($AX$7:$AX$89,MATCH(mapPRC!C261,$AW$7:$AW$89,0)),"")</f>
        <v>elec</v>
      </c>
      <c r="AC161" t="str">
        <f>mapCOM!A188</f>
        <v>IFBH</v>
      </c>
      <c r="AD161" t="str">
        <f t="shared" si="6"/>
        <v/>
      </c>
      <c r="BD161" t="s">
        <v>2150</v>
      </c>
      <c r="BE161" t="s">
        <v>2994</v>
      </c>
    </row>
    <row r="162" spans="3:57" x14ac:dyDescent="0.25">
      <c r="C162" t="s">
        <v>4082</v>
      </c>
      <c r="E162" t="s">
        <v>4091</v>
      </c>
      <c r="U162" t="s">
        <v>1504</v>
      </c>
      <c r="Y162" t="str">
        <f>mapPRC!A262</f>
        <v>ERWNDM-N</v>
      </c>
      <c r="Z162" t="str">
        <f>IFERROR(INDEX($AX$7:$AX$89,MATCH(mapPRC!C262,$AW$7:$AW$89,0)),"")</f>
        <v>elec</v>
      </c>
      <c r="AC162" t="str">
        <f>mapCOM!A189</f>
        <v>IFBK</v>
      </c>
      <c r="AD162" t="str">
        <f t="shared" si="6"/>
        <v/>
      </c>
      <c r="BD162" t="s">
        <v>2148</v>
      </c>
      <c r="BE162" t="s">
        <v>2994</v>
      </c>
    </row>
    <row r="163" spans="3:57" x14ac:dyDescent="0.25">
      <c r="C163" t="s">
        <v>4083</v>
      </c>
      <c r="E163" t="s">
        <v>4092</v>
      </c>
      <c r="U163" t="s">
        <v>1037</v>
      </c>
      <c r="Y163" t="str">
        <f>mapPRC!A263</f>
        <v>ESTSCOM</v>
      </c>
      <c r="Z163" t="str">
        <f>IFERROR(INDEX($AX$7:$AX$89,MATCH(mapPRC!C263,$AW$7:$AW$89,0)),"")</f>
        <v>elec</v>
      </c>
      <c r="AC163" t="str">
        <f>mapCOM!A190</f>
        <v>IFBL</v>
      </c>
      <c r="AD163" t="str">
        <f t="shared" si="6"/>
        <v/>
      </c>
      <c r="BD163" t="s">
        <v>2146</v>
      </c>
      <c r="BE163" t="s">
        <v>2994</v>
      </c>
    </row>
    <row r="164" spans="3:57" x14ac:dyDescent="0.25">
      <c r="C164" t="s">
        <v>4084</v>
      </c>
      <c r="E164" t="s">
        <v>4093</v>
      </c>
      <c r="U164" t="s">
        <v>756</v>
      </c>
      <c r="Y164" t="str">
        <f>mapPRC!A264</f>
        <v>ESTSICP</v>
      </c>
      <c r="Z164" t="str">
        <f>IFERROR(INDEX($AX$7:$AX$89,MATCH(mapPRC!C264,$AW$7:$AW$89,0)),"")</f>
        <v>elec</v>
      </c>
      <c r="AC164" t="str">
        <f>mapCOM!A191</f>
        <v>IFBO</v>
      </c>
      <c r="AD164" t="str">
        <f t="shared" si="6"/>
        <v/>
      </c>
      <c r="BD164" t="s">
        <v>2144</v>
      </c>
      <c r="BE164" t="s">
        <v>2997</v>
      </c>
    </row>
    <row r="165" spans="3:57" x14ac:dyDescent="0.25">
      <c r="C165" t="s">
        <v>4085</v>
      </c>
      <c r="E165" t="s">
        <v>4094</v>
      </c>
      <c r="U165" t="s">
        <v>1196</v>
      </c>
      <c r="Y165" t="str">
        <f>mapPRC!A265</f>
        <v>ESTSIFA</v>
      </c>
      <c r="Z165" t="str">
        <f>IFERROR(INDEX($AX$7:$AX$89,MATCH(mapPRC!C265,$AW$7:$AW$89,0)),"")</f>
        <v>elec</v>
      </c>
      <c r="AC165" t="str">
        <f>mapCOM!A192</f>
        <v>IFBP</v>
      </c>
      <c r="AD165" t="str">
        <f t="shared" si="6"/>
        <v/>
      </c>
      <c r="BD165" t="s">
        <v>2142</v>
      </c>
      <c r="BE165" t="s">
        <v>2996</v>
      </c>
    </row>
    <row r="166" spans="3:57" x14ac:dyDescent="0.25">
      <c r="C166" t="s">
        <v>4086</v>
      </c>
      <c r="E166" t="s">
        <v>4095</v>
      </c>
      <c r="U166" t="s">
        <v>1192</v>
      </c>
      <c r="Y166" t="str">
        <f>mapPRC!A266</f>
        <v>ESTSIFB</v>
      </c>
      <c r="Z166" t="str">
        <f>IFERROR(INDEX($AX$7:$AX$89,MATCH(mapPRC!C266,$AW$7:$AW$89,0)),"")</f>
        <v>elec</v>
      </c>
      <c r="AC166" t="str">
        <f>mapCOM!A193</f>
        <v>IFBS</v>
      </c>
      <c r="AD166" t="str">
        <f t="shared" si="6"/>
        <v/>
      </c>
      <c r="BD166" t="s">
        <v>2140</v>
      </c>
      <c r="BE166" t="s">
        <v>2995</v>
      </c>
    </row>
    <row r="167" spans="3:57" x14ac:dyDescent="0.25">
      <c r="C167" t="s">
        <v>4087</v>
      </c>
      <c r="E167" t="s">
        <v>4096</v>
      </c>
      <c r="U167" t="s">
        <v>3050</v>
      </c>
      <c r="Y167" t="str">
        <f>mapPRC!A267</f>
        <v>ESTSIIS</v>
      </c>
      <c r="Z167" t="str">
        <f>IFERROR(INDEX($AX$7:$AX$89,MATCH(mapPRC!C267,$AW$7:$AW$89,0)),"")</f>
        <v>elec</v>
      </c>
      <c r="AC167" t="str">
        <f>mapCOM!A194</f>
        <v>IISBFSLG</v>
      </c>
      <c r="BD167" t="s">
        <v>2138</v>
      </c>
      <c r="BE167" t="s">
        <v>2994</v>
      </c>
    </row>
    <row r="168" spans="3:57" x14ac:dyDescent="0.25">
      <c r="C168" t="s">
        <v>4088</v>
      </c>
      <c r="E168" t="s">
        <v>4097</v>
      </c>
      <c r="U168" t="s">
        <v>739</v>
      </c>
      <c r="Y168" t="str">
        <f>mapPRC!A268</f>
        <v>ESTSINF</v>
      </c>
      <c r="Z168" t="str">
        <f>IFERROR(INDEX($AX$7:$AX$89,MATCH(mapPRC!C268,$AW$7:$AW$89,0)),"")</f>
        <v>elec</v>
      </c>
      <c r="AC168" t="str">
        <f>mapCOM!A195</f>
        <v>IISBIO</v>
      </c>
      <c r="AD168" t="str">
        <f t="shared" ref="AD168:AD208" si="7">INDEX($BE$6:$BE$811,MATCH(AC168,$BD$6:$BD$811,0))</f>
        <v/>
      </c>
      <c r="BD168" t="s">
        <v>2136</v>
      </c>
      <c r="BE168" t="s">
        <v>2994</v>
      </c>
    </row>
    <row r="169" spans="3:57" x14ac:dyDescent="0.25">
      <c r="C169" t="s">
        <v>4089</v>
      </c>
      <c r="E169" t="s">
        <v>4098</v>
      </c>
      <c r="U169" t="s">
        <v>29</v>
      </c>
      <c r="Y169" t="str">
        <f>mapPRC!A269</f>
        <v>ESTSINM</v>
      </c>
      <c r="Z169" t="str">
        <f>IFERROR(INDEX($AX$7:$AX$89,MATCH(mapPRC!C269,$AW$7:$AW$89,0)),"")</f>
        <v>elec</v>
      </c>
      <c r="AC169" t="str">
        <f>mapCOM!A196</f>
        <v>IISCKC</v>
      </c>
      <c r="AD169" t="str">
        <f t="shared" si="7"/>
        <v/>
      </c>
      <c r="BD169" t="s">
        <v>2134</v>
      </c>
      <c r="BE169" t="s">
        <v>2994</v>
      </c>
    </row>
    <row r="170" spans="3:57" x14ac:dyDescent="0.25">
      <c r="C170" t="s">
        <v>4090</v>
      </c>
      <c r="E170" t="s">
        <v>4099</v>
      </c>
      <c r="U170" t="s">
        <v>542</v>
      </c>
      <c r="Y170" t="str">
        <f>mapPRC!A270</f>
        <v>ESTSIOT</v>
      </c>
      <c r="Z170" t="str">
        <f>IFERROR(INDEX($AX$7:$AX$89,MATCH(mapPRC!C270,$AW$7:$AW$89,0)),"")</f>
        <v>elec</v>
      </c>
      <c r="AC170" t="str">
        <f>mapCOM!A197</f>
        <v>IISCKE</v>
      </c>
      <c r="AD170" t="str">
        <f t="shared" si="7"/>
        <v>ccoal-hgh</v>
      </c>
      <c r="BD170" t="s">
        <v>2132</v>
      </c>
      <c r="BE170" t="s">
        <v>3872</v>
      </c>
    </row>
    <row r="171" spans="3:57" x14ac:dyDescent="0.25">
      <c r="C171" t="s">
        <v>4091</v>
      </c>
      <c r="E171" t="s">
        <v>4100</v>
      </c>
      <c r="U171" t="s">
        <v>539</v>
      </c>
      <c r="Y171" t="str">
        <f>mapPRC!A271</f>
        <v>ESTSIPP</v>
      </c>
      <c r="Z171" t="str">
        <f>IFERROR(INDEX($AX$7:$AX$89,MATCH(mapPRC!C271,$AW$7:$AW$89,0)),"")</f>
        <v>elec</v>
      </c>
      <c r="AC171" t="str">
        <f>mapCOM!A198</f>
        <v>IISCO2</v>
      </c>
      <c r="AD171" t="str">
        <f t="shared" si="7"/>
        <v/>
      </c>
      <c r="BD171" t="s">
        <v>2130</v>
      </c>
      <c r="BE171" t="s">
        <v>3871</v>
      </c>
    </row>
    <row r="172" spans="3:57" x14ac:dyDescent="0.25">
      <c r="C172" t="s">
        <v>4092</v>
      </c>
      <c r="E172" t="s">
        <v>4101</v>
      </c>
      <c r="U172" t="s">
        <v>522</v>
      </c>
      <c r="Y172" t="str">
        <f>mapPRC!A272</f>
        <v>ESTSRES</v>
      </c>
      <c r="Z172" t="str">
        <f>IFERROR(INDEX($AX$7:$AX$89,MATCH(mapPRC!C272,$AW$7:$AW$89,0)),"")</f>
        <v>elec</v>
      </c>
      <c r="AC172" t="str">
        <f>mapCOM!A199</f>
        <v>IISCOA</v>
      </c>
      <c r="AD172" t="str">
        <f t="shared" si="7"/>
        <v>ccoal-hgh</v>
      </c>
      <c r="BD172" t="s">
        <v>2128</v>
      </c>
      <c r="BE172" t="s">
        <v>2994</v>
      </c>
    </row>
    <row r="173" spans="3:57" x14ac:dyDescent="0.25">
      <c r="C173" t="s">
        <v>4093</v>
      </c>
      <c r="E173" t="s">
        <v>4102</v>
      </c>
      <c r="U173" t="s">
        <v>536</v>
      </c>
      <c r="Y173" t="str">
        <f>mapPRC!A273</f>
        <v>ESTSUTL</v>
      </c>
      <c r="Z173" t="str">
        <f>IFERROR(INDEX($AX$7:$AX$89,MATCH(mapPRC!C273,$AW$7:$AW$89,0)),"")</f>
        <v>elec</v>
      </c>
      <c r="AC173" t="str">
        <f>mapCOM!A200</f>
        <v>IISCOG</v>
      </c>
      <c r="AD173" t="str">
        <f t="shared" si="7"/>
        <v/>
      </c>
      <c r="BD173" t="s">
        <v>2126</v>
      </c>
      <c r="BE173" t="s">
        <v>2994</v>
      </c>
    </row>
    <row r="174" spans="3:57" x14ac:dyDescent="0.25">
      <c r="C174" t="s">
        <v>4094</v>
      </c>
      <c r="E174" t="s">
        <v>4103</v>
      </c>
      <c r="U174" t="s">
        <v>525</v>
      </c>
      <c r="Y174" t="str">
        <f>mapPRC!A274</f>
        <v>ETCLDFB-N</v>
      </c>
      <c r="Z174" t="str">
        <f>IFERROR(INDEX($AX$7:$AX$89,MATCH(mapPRC!C274,$AW$7:$AW$89,0)),"")</f>
        <v>elec</v>
      </c>
      <c r="AC174" t="str">
        <f>mapCOM!A201</f>
        <v>IISCRS</v>
      </c>
      <c r="AD174" t="str">
        <f t="shared" si="7"/>
        <v/>
      </c>
      <c r="BD174" t="s">
        <v>2124</v>
      </c>
      <c r="BE174" t="s">
        <v>2994</v>
      </c>
    </row>
    <row r="175" spans="3:57" x14ac:dyDescent="0.25">
      <c r="C175" t="s">
        <v>4095</v>
      </c>
      <c r="E175" t="s">
        <v>4104</v>
      </c>
      <c r="U175" t="s">
        <v>457</v>
      </c>
      <c r="Y175" t="str">
        <f>mapPRC!A275</f>
        <v>ETCLEARNO-E</v>
      </c>
      <c r="Z175" t="str">
        <f>IFERROR(INDEX($AX$7:$AX$89,MATCH(mapPRC!C275,$AW$7:$AW$89,0)),"")</f>
        <v>elec</v>
      </c>
      <c r="AC175" t="str">
        <f>mapCOM!A203</f>
        <v>IISELC</v>
      </c>
      <c r="AD175" t="str">
        <f t="shared" si="7"/>
        <v>celec</v>
      </c>
      <c r="BD175" t="s">
        <v>2059</v>
      </c>
      <c r="BE175" t="s">
        <v>2994</v>
      </c>
    </row>
    <row r="176" spans="3:57" x14ac:dyDescent="0.25">
      <c r="C176" t="s">
        <v>4096</v>
      </c>
      <c r="E176" t="s">
        <v>4105</v>
      </c>
      <c r="U176" t="s">
        <v>1772</v>
      </c>
      <c r="Y176" t="str">
        <f>mapPRC!A276</f>
        <v>ETCLECAMD-E</v>
      </c>
      <c r="Z176" t="str">
        <f>IFERROR(INDEX($AX$7:$AX$89,MATCH(mapPRC!C276,$AW$7:$AW$89,0)),"")</f>
        <v>elec</v>
      </c>
      <c r="AC176" t="str">
        <f>mapCOM!A204</f>
        <v>IISFEORE</v>
      </c>
      <c r="AD176" t="str">
        <f t="shared" si="7"/>
        <v/>
      </c>
      <c r="BD176" t="s">
        <v>2120</v>
      </c>
      <c r="BE176" t="s">
        <v>2994</v>
      </c>
    </row>
    <row r="177" spans="3:57" x14ac:dyDescent="0.25">
      <c r="C177" t="s">
        <v>4097</v>
      </c>
      <c r="E177" t="s">
        <v>4106</v>
      </c>
      <c r="U177" t="s">
        <v>717</v>
      </c>
      <c r="Y177" t="str">
        <f>mapPRC!A277</f>
        <v>ETCLEDUVH-E</v>
      </c>
      <c r="Z177" t="str">
        <f>IFERROR(INDEX($AX$7:$AX$89,MATCH(mapPRC!C277,$AW$7:$AW$89,0)),"")</f>
        <v>elec</v>
      </c>
      <c r="AC177" t="str">
        <f>mapCOM!A205</f>
        <v>IISGAS</v>
      </c>
      <c r="AD177" t="str">
        <f t="shared" si="7"/>
        <v>cngas</v>
      </c>
      <c r="BD177" t="s">
        <v>2118</v>
      </c>
      <c r="BE177" t="s">
        <v>2994</v>
      </c>
    </row>
    <row r="178" spans="3:57" x14ac:dyDescent="0.25">
      <c r="C178" t="s">
        <v>4098</v>
      </c>
      <c r="E178" t="s">
        <v>4107</v>
      </c>
      <c r="U178" t="s">
        <v>3850</v>
      </c>
      <c r="Y178" t="str">
        <f>mapPRC!A278</f>
        <v>ETCLEGROO-E</v>
      </c>
      <c r="Z178" t="str">
        <f>IFERROR(INDEX($AX$7:$AX$89,MATCH(mapPRC!C278,$AW$7:$AW$89,0)),"")</f>
        <v>elec</v>
      </c>
      <c r="AC178" t="str">
        <f>mapCOM!A206</f>
        <v>IISHBI</v>
      </c>
      <c r="AD178" t="s">
        <v>3315</v>
      </c>
      <c r="BD178" t="s">
        <v>2116</v>
      </c>
      <c r="BE178" t="s">
        <v>2994</v>
      </c>
    </row>
    <row r="179" spans="3:57" x14ac:dyDescent="0.25">
      <c r="C179" t="s">
        <v>4099</v>
      </c>
      <c r="E179" t="s">
        <v>4108</v>
      </c>
      <c r="U179" t="s">
        <v>3851</v>
      </c>
      <c r="Y179" t="str">
        <f>mapPRC!A279</f>
        <v>ETCLEHEND-E</v>
      </c>
      <c r="Z179" t="str">
        <f>IFERROR(INDEX($AX$7:$AX$89,MATCH(mapPRC!C279,$AW$7:$AW$89,0)),"")</f>
        <v>elec</v>
      </c>
      <c r="AC179" t="str">
        <f>mapCOM!A207</f>
        <v>IISHGCRS</v>
      </c>
      <c r="AD179" t="str">
        <f t="shared" si="7"/>
        <v/>
      </c>
      <c r="BD179" t="s">
        <v>2114</v>
      </c>
      <c r="BE179" t="s">
        <v>2996</v>
      </c>
    </row>
    <row r="180" spans="3:57" x14ac:dyDescent="0.25">
      <c r="C180" t="s">
        <v>4100</v>
      </c>
      <c r="E180" t="s">
        <v>4109</v>
      </c>
      <c r="U180" t="s">
        <v>5962</v>
      </c>
      <c r="Y180" t="str">
        <f>mapPRC!A280</f>
        <v>ETCLEIG-N</v>
      </c>
      <c r="Z180" t="str">
        <f>IFERROR(INDEX($AX$7:$AX$89,MATCH(mapPRC!C280,$AW$7:$AW$89,0)),"")</f>
        <v>elec</v>
      </c>
      <c r="AC180" t="str">
        <f>mapCOM!A208</f>
        <v>IISHHELC</v>
      </c>
      <c r="AD180" t="str">
        <f t="shared" si="7"/>
        <v>celec</v>
      </c>
      <c r="BD180" t="s">
        <v>2113</v>
      </c>
      <c r="BE180" t="s">
        <v>2995</v>
      </c>
    </row>
    <row r="181" spans="3:57" x14ac:dyDescent="0.25">
      <c r="C181" t="s">
        <v>4101</v>
      </c>
      <c r="E181" t="s">
        <v>4110</v>
      </c>
      <c r="U181" t="s">
        <v>5987</v>
      </c>
      <c r="Y181" t="str">
        <f>mapPRC!A281</f>
        <v>ETCLEKELB-E</v>
      </c>
      <c r="Z181" t="str">
        <f>IFERROR(INDEX($AX$7:$AX$89,MATCH(mapPRC!C281,$AW$7:$AW$89,0)),"")</f>
        <v>elec</v>
      </c>
      <c r="AC181" t="str">
        <f>mapCOM!A209</f>
        <v>IISHHGN</v>
      </c>
      <c r="AD181" t="str">
        <f t="shared" si="7"/>
        <v>chydr</v>
      </c>
      <c r="BD181" t="s">
        <v>2112</v>
      </c>
      <c r="BE181" t="s">
        <v>3000</v>
      </c>
    </row>
    <row r="182" spans="3:57" x14ac:dyDescent="0.25">
      <c r="C182" t="s">
        <v>4102</v>
      </c>
      <c r="E182" t="s">
        <v>4111</v>
      </c>
      <c r="Y182" t="str">
        <f>mapPRC!A282</f>
        <v>ETCLEKEND-E</v>
      </c>
      <c r="Z182" t="str">
        <f>IFERROR(INDEX($AX$7:$AX$89,MATCH(mapPRC!C282,$AW$7:$AW$89,0)),"")</f>
        <v>elec</v>
      </c>
      <c r="AC182" t="str">
        <f>mapCOM!A213</f>
        <v>IISHOXY</v>
      </c>
      <c r="AD182" t="str">
        <f t="shared" si="7"/>
        <v/>
      </c>
      <c r="BD182" t="s">
        <v>2111</v>
      </c>
      <c r="BE182" t="s">
        <v>2994</v>
      </c>
    </row>
    <row r="183" spans="3:57" x14ac:dyDescent="0.25">
      <c r="C183" t="s">
        <v>4103</v>
      </c>
      <c r="E183" t="s">
        <v>4112</v>
      </c>
      <c r="Y183" t="str">
        <f>mapPRC!A283</f>
        <v>ETCLEKOMA-E</v>
      </c>
      <c r="Z183" t="str">
        <f>IFERROR(INDEX($AX$7:$AX$89,MATCH(mapPRC!C283,$AW$7:$AW$89,0)),"")</f>
        <v>elec</v>
      </c>
      <c r="AC183" t="str">
        <f>mapCOM!A214</f>
        <v>IISOIL</v>
      </c>
      <c r="AD183" t="str">
        <f t="shared" si="7"/>
        <v>cpetr-h</v>
      </c>
      <c r="BD183" t="s">
        <v>2109</v>
      </c>
      <c r="BE183" t="s">
        <v>2994</v>
      </c>
    </row>
    <row r="184" spans="3:57" x14ac:dyDescent="0.25">
      <c r="C184" t="s">
        <v>4104</v>
      </c>
      <c r="E184" t="s">
        <v>4113</v>
      </c>
      <c r="Y184" t="str">
        <f>mapPRC!A284</f>
        <v>ETCLEKRIE-E</v>
      </c>
      <c r="Z184" t="str">
        <f>IFERROR(INDEX($AX$7:$AX$89,MATCH(mapPRC!C284,$AW$7:$AW$89,0)),"")</f>
        <v>elec</v>
      </c>
      <c r="AC184" t="str">
        <f>mapCOM!A215</f>
        <v>IISOLP</v>
      </c>
      <c r="AD184" t="str">
        <f t="shared" si="7"/>
        <v>cpetr-l</v>
      </c>
      <c r="BD184" t="s">
        <v>2107</v>
      </c>
      <c r="BE184" t="s">
        <v>2994</v>
      </c>
    </row>
    <row r="185" spans="3:57" x14ac:dyDescent="0.25">
      <c r="C185" t="s">
        <v>4105</v>
      </c>
      <c r="E185" t="s">
        <v>4114</v>
      </c>
      <c r="Y185" t="str">
        <f>mapPRC!A285</f>
        <v>ETCLEKUSI-N</v>
      </c>
      <c r="Z185" t="str">
        <f>IFERROR(INDEX($AX$7:$AX$89,MATCH(mapPRC!C285,$AW$7:$AW$89,0)),"")</f>
        <v>elec</v>
      </c>
      <c r="AC185" t="str">
        <f>mapCOM!A202</f>
        <v>IISSCRP</v>
      </c>
      <c r="AD185" t="e">
        <f t="shared" si="7"/>
        <v>#N/A</v>
      </c>
      <c r="BD185" t="s">
        <v>2105</v>
      </c>
      <c r="BE185" t="s">
        <v>3872</v>
      </c>
    </row>
    <row r="186" spans="3:57" x14ac:dyDescent="0.25">
      <c r="C186" t="s">
        <v>4106</v>
      </c>
      <c r="E186" t="s">
        <v>4115</v>
      </c>
      <c r="Y186" t="str">
        <f>mapPRC!A286</f>
        <v>ETCLELETH-E</v>
      </c>
      <c r="Z186" t="str">
        <f>IFERROR(INDEX($AX$7:$AX$89,MATCH(mapPRC!C286,$AW$7:$AW$89,0)),"")</f>
        <v>elec</v>
      </c>
      <c r="AC186" t="str">
        <f>mapCOM!A216</f>
        <v>IISWAS</v>
      </c>
      <c r="AD186" t="str">
        <f t="shared" si="7"/>
        <v/>
      </c>
      <c r="BD186" t="s">
        <v>2102</v>
      </c>
      <c r="BE186" t="s">
        <v>3868</v>
      </c>
    </row>
    <row r="187" spans="3:57" x14ac:dyDescent="0.25">
      <c r="C187" t="s">
        <v>4107</v>
      </c>
      <c r="E187" t="s">
        <v>4116</v>
      </c>
      <c r="Y187" t="str">
        <f>mapPRC!A287</f>
        <v>ETCLEMAJD-E</v>
      </c>
      <c r="Z187" t="str">
        <f>IFERROR(INDEX($AX$7:$AX$89,MATCH(mapPRC!C287,$AW$7:$AW$89,0)),"")</f>
        <v>elec</v>
      </c>
      <c r="AC187" t="str">
        <f>mapCOM!A217</f>
        <v>IMECOA</v>
      </c>
      <c r="AD187" t="str">
        <f t="shared" si="7"/>
        <v/>
      </c>
      <c r="BD187" t="s">
        <v>2101</v>
      </c>
      <c r="BE187" t="s">
        <v>3869</v>
      </c>
    </row>
    <row r="188" spans="3:57" x14ac:dyDescent="0.25">
      <c r="C188" t="s">
        <v>4108</v>
      </c>
      <c r="E188" t="s">
        <v>4117</v>
      </c>
      <c r="Y188" t="str">
        <f>mapPRC!A288</f>
        <v>ETCLEMAJW-E</v>
      </c>
      <c r="Z188" t="str">
        <f>IFERROR(INDEX($AX$7:$AX$89,MATCH(mapPRC!C288,$AW$7:$AW$89,0)),"")</f>
        <v>elec</v>
      </c>
      <c r="AC188" t="str">
        <f>mapCOM!A218</f>
        <v>IMIA</v>
      </c>
      <c r="AD188" t="str">
        <f t="shared" si="7"/>
        <v/>
      </c>
      <c r="BD188" t="s">
        <v>2100</v>
      </c>
      <c r="BE188" t="s">
        <v>3870</v>
      </c>
    </row>
    <row r="189" spans="3:57" x14ac:dyDescent="0.25">
      <c r="C189" t="s">
        <v>4109</v>
      </c>
      <c r="E189" t="s">
        <v>4118</v>
      </c>
      <c r="Y189" t="str">
        <f>mapPRC!A289</f>
        <v>ETCLEMATI-E</v>
      </c>
      <c r="Z189" t="str">
        <f>IFERROR(INDEX($AX$7:$AX$89,MATCH(mapPRC!C289,$AW$7:$AW$89,0)),"")</f>
        <v>elec</v>
      </c>
      <c r="AC189" t="str">
        <f>mapCOM!A219</f>
        <v>IMIC</v>
      </c>
      <c r="AD189" t="str">
        <f t="shared" si="7"/>
        <v/>
      </c>
      <c r="BD189" t="s">
        <v>2099</v>
      </c>
      <c r="BE189" t="s">
        <v>3871</v>
      </c>
    </row>
    <row r="190" spans="3:57" x14ac:dyDescent="0.25">
      <c r="C190" t="s">
        <v>4110</v>
      </c>
      <c r="E190" t="s">
        <v>4119</v>
      </c>
      <c r="Y190" t="str">
        <f>mapPRC!A290</f>
        <v>ETCLEMATL-E</v>
      </c>
      <c r="Z190" t="str">
        <f>IFERROR(INDEX($AX$7:$AX$89,MATCH(mapPRC!C290,$AW$7:$AW$89,0)),"")</f>
        <v>elec</v>
      </c>
      <c r="AC190" t="str">
        <f>mapCOM!A220</f>
        <v>IMIE</v>
      </c>
      <c r="AD190" t="str">
        <f t="shared" si="7"/>
        <v/>
      </c>
      <c r="BD190" t="s">
        <v>2097</v>
      </c>
      <c r="BE190" t="s">
        <v>2994</v>
      </c>
    </row>
    <row r="191" spans="3:57" x14ac:dyDescent="0.25">
      <c r="C191" t="s">
        <v>4111</v>
      </c>
      <c r="E191" t="s">
        <v>4120</v>
      </c>
      <c r="Y191" t="str">
        <f>mapPRC!A291</f>
        <v>ETCLEMEDU-N</v>
      </c>
      <c r="Z191" t="str">
        <f>IFERROR(INDEX($AX$7:$AX$89,MATCH(mapPRC!C291,$AW$7:$AW$89,0)),"")</f>
        <v>elec</v>
      </c>
      <c r="AC191" t="str">
        <f>mapCOM!A221</f>
        <v>IMIELC</v>
      </c>
      <c r="AD191" t="str">
        <f t="shared" si="7"/>
        <v>celec</v>
      </c>
      <c r="BD191" t="s">
        <v>2095</v>
      </c>
      <c r="BE191" t="s">
        <v>2994</v>
      </c>
    </row>
    <row r="192" spans="3:57" x14ac:dyDescent="0.25">
      <c r="C192" t="s">
        <v>4112</v>
      </c>
      <c r="E192" t="s">
        <v>4121</v>
      </c>
      <c r="Y192" t="str">
        <f>mapPRC!A292</f>
        <v>ETCLEPFSI-E</v>
      </c>
      <c r="Z192" t="str">
        <f>IFERROR(INDEX($AX$7:$AX$89,MATCH(mapPRC!C292,$AW$7:$AW$89,0)),"")</f>
        <v>cp</v>
      </c>
      <c r="AC192" t="str">
        <f>mapCOM!A222</f>
        <v>IMIF</v>
      </c>
      <c r="AD192" t="str">
        <f t="shared" si="7"/>
        <v/>
      </c>
      <c r="BD192" t="s">
        <v>2093</v>
      </c>
      <c r="BE192" t="s">
        <v>2994</v>
      </c>
    </row>
    <row r="193" spans="3:57" x14ac:dyDescent="0.25">
      <c r="C193" t="s">
        <v>4113</v>
      </c>
      <c r="E193" t="s">
        <v>4122</v>
      </c>
      <c r="Y193" t="str">
        <f>mapPRC!A293</f>
        <v>ETCLEPFSS-E</v>
      </c>
      <c r="Z193" t="str">
        <f>IFERROR(INDEX($AX$7:$AX$89,MATCH(mapPRC!C293,$AW$7:$AW$89,0)),"")</f>
        <v>petr</v>
      </c>
      <c r="AC193" t="str">
        <f>mapCOM!A223</f>
        <v>IMIGAS</v>
      </c>
      <c r="AD193" t="str">
        <f t="shared" si="7"/>
        <v>cngas</v>
      </c>
      <c r="BD193" t="s">
        <v>2092</v>
      </c>
      <c r="BE193" t="s">
        <v>2994</v>
      </c>
    </row>
    <row r="194" spans="3:57" x14ac:dyDescent="0.25">
      <c r="C194" t="s">
        <v>4114</v>
      </c>
      <c r="E194" t="s">
        <v>4123</v>
      </c>
      <c r="Y194" t="str">
        <f>mapPRC!A294</f>
        <v>ETCLETUTU-E</v>
      </c>
      <c r="Z194" t="str">
        <f>IFERROR(INDEX($AX$7:$AX$89,MATCH(mapPRC!C294,$AW$7:$AW$89,0)),"")</f>
        <v>elec</v>
      </c>
      <c r="AC194" t="str">
        <f>mapCOM!A224</f>
        <v>IMIH</v>
      </c>
      <c r="AD194" t="str">
        <f t="shared" si="7"/>
        <v/>
      </c>
      <c r="BD194" t="s">
        <v>2091</v>
      </c>
      <c r="BE194" t="s">
        <v>2994</v>
      </c>
    </row>
    <row r="195" spans="3:57" x14ac:dyDescent="0.25">
      <c r="C195" t="s">
        <v>4115</v>
      </c>
      <c r="E195" t="s">
        <v>4124</v>
      </c>
      <c r="Y195" t="str">
        <f>mapPRC!A295</f>
        <v>ETCLEWATE-N</v>
      </c>
      <c r="Z195" t="str">
        <f>IFERROR(INDEX($AX$7:$AX$89,MATCH(mapPRC!C295,$AW$7:$AW$89,0)),"")</f>
        <v>elec</v>
      </c>
      <c r="AC195" t="str">
        <f>mapCOM!A225</f>
        <v>IMIK</v>
      </c>
      <c r="AD195" t="str">
        <f t="shared" si="7"/>
        <v/>
      </c>
      <c r="BD195" t="s">
        <v>2088</v>
      </c>
      <c r="BE195" t="s">
        <v>2999</v>
      </c>
    </row>
    <row r="196" spans="3:57" x14ac:dyDescent="0.25">
      <c r="C196" t="s">
        <v>4116</v>
      </c>
      <c r="E196" t="s">
        <v>4125</v>
      </c>
      <c r="Y196" t="str">
        <f>mapPRC!A296</f>
        <v>ETCLECAMD-E-REAF</v>
      </c>
      <c r="Z196" t="str">
        <f>IFERROR(INDEX($AX$7:$AX$89,MATCH(mapPRC!C296,$AW$7:$AW$89,0)),"")</f>
        <v>elec</v>
      </c>
      <c r="AC196" t="str">
        <f>mapCOM!A226</f>
        <v>IMIL</v>
      </c>
      <c r="AD196" t="str">
        <f t="shared" si="7"/>
        <v/>
      </c>
      <c r="BD196" t="s">
        <v>2087</v>
      </c>
      <c r="BE196" t="s">
        <v>2994</v>
      </c>
    </row>
    <row r="197" spans="3:57" x14ac:dyDescent="0.25">
      <c r="C197" t="s">
        <v>4117</v>
      </c>
      <c r="E197" t="s">
        <v>4126</v>
      </c>
      <c r="Y197" t="str">
        <f>mapPRC!A297</f>
        <v>ETCLEGROO-E-REAF</v>
      </c>
      <c r="Z197" t="str">
        <f>IFERROR(INDEX($AX$7:$AX$89,MATCH(mapPRC!C297,$AW$7:$AW$89,0)),"")</f>
        <v>elec</v>
      </c>
      <c r="AC197" t="str">
        <f>mapCOM!A227</f>
        <v>IMIO</v>
      </c>
      <c r="AD197" t="str">
        <f t="shared" si="7"/>
        <v/>
      </c>
      <c r="BD197" t="s">
        <v>2084</v>
      </c>
      <c r="BE197" t="s">
        <v>2994</v>
      </c>
    </row>
    <row r="198" spans="3:57" x14ac:dyDescent="0.25">
      <c r="C198" t="s">
        <v>4118</v>
      </c>
      <c r="E198" t="s">
        <v>4127</v>
      </c>
      <c r="Y198" t="str">
        <f>mapPRC!A298</f>
        <v>ETCLEKOMA-E-REAF</v>
      </c>
      <c r="Z198" t="str">
        <f>IFERROR(INDEX($AX$7:$AX$89,MATCH(mapPRC!C298,$AW$7:$AW$89,0)),"")</f>
        <v>elec</v>
      </c>
      <c r="AC198" t="str">
        <f>mapCOM!A228</f>
        <v>IMIP</v>
      </c>
      <c r="AD198" t="str">
        <f t="shared" si="7"/>
        <v/>
      </c>
      <c r="BD198" t="s">
        <v>2081</v>
      </c>
      <c r="BE198" t="s">
        <v>2996</v>
      </c>
    </row>
    <row r="199" spans="3:57" x14ac:dyDescent="0.25">
      <c r="C199" t="s">
        <v>4119</v>
      </c>
      <c r="E199" t="s">
        <v>4128</v>
      </c>
      <c r="Y199" t="str">
        <f>mapPRC!A299</f>
        <v>ETCLEARNO-E-REAF</v>
      </c>
      <c r="Z199" t="str">
        <f>IFERROR(INDEX($AX$7:$AX$89,MATCH(mapPRC!C299,$AW$7:$AW$89,0)),"")</f>
        <v>elec</v>
      </c>
      <c r="AC199" t="str">
        <f>mapCOM!A229</f>
        <v>IMIR</v>
      </c>
      <c r="AD199" t="str">
        <f t="shared" si="7"/>
        <v/>
      </c>
      <c r="BD199" t="s">
        <v>2080</v>
      </c>
      <c r="BE199" t="s">
        <v>2995</v>
      </c>
    </row>
    <row r="200" spans="3:57" x14ac:dyDescent="0.25">
      <c r="C200" t="s">
        <v>4120</v>
      </c>
      <c r="E200" t="s">
        <v>4129</v>
      </c>
      <c r="Y200" t="str">
        <f>mapPRC!A300</f>
        <v>ETCLEDUVH-E-REAF</v>
      </c>
      <c r="Z200" t="str">
        <f>IFERROR(INDEX($AX$7:$AX$89,MATCH(mapPRC!C300,$AW$7:$AW$89,0)),"")</f>
        <v>elec</v>
      </c>
      <c r="AC200" t="str">
        <f>mapCOM!A230</f>
        <v>IMIS</v>
      </c>
      <c r="AD200" t="str">
        <f t="shared" si="7"/>
        <v/>
      </c>
      <c r="BD200" t="s">
        <v>2079</v>
      </c>
      <c r="BE200" t="s">
        <v>2995</v>
      </c>
    </row>
    <row r="201" spans="3:57" x14ac:dyDescent="0.25">
      <c r="C201" t="s">
        <v>4121</v>
      </c>
      <c r="E201" t="s">
        <v>4130</v>
      </c>
      <c r="Y201" t="str">
        <f>mapPRC!A301</f>
        <v>ETCLEHEND-E-REAF</v>
      </c>
      <c r="Z201" t="str">
        <f>IFERROR(INDEX($AX$7:$AX$89,MATCH(mapPRC!C301,$AW$7:$AW$89,0)),"")</f>
        <v>elec</v>
      </c>
      <c r="AC201" t="str">
        <f>mapCOM!A231</f>
        <v>INDBIB</v>
      </c>
      <c r="AD201" t="str">
        <f t="shared" si="7"/>
        <v/>
      </c>
      <c r="BD201" t="s">
        <v>2078</v>
      </c>
      <c r="BE201" t="s">
        <v>2994</v>
      </c>
    </row>
    <row r="202" spans="3:57" x14ac:dyDescent="0.25">
      <c r="C202" t="s">
        <v>4122</v>
      </c>
      <c r="E202" t="s">
        <v>4131</v>
      </c>
      <c r="Y202" t="str">
        <f>mapPRC!A302</f>
        <v>ETCLEKEND-E-REAF</v>
      </c>
      <c r="Z202" t="str">
        <f>IFERROR(INDEX($AX$7:$AX$89,MATCH(mapPRC!C302,$AW$7:$AW$89,0)),"")</f>
        <v>elec</v>
      </c>
      <c r="AC202" t="str">
        <f>mapCOM!A232</f>
        <v>INDBIO</v>
      </c>
      <c r="AD202" t="str">
        <f t="shared" si="7"/>
        <v/>
      </c>
      <c r="BD202" t="s">
        <v>2077</v>
      </c>
      <c r="BE202" t="s">
        <v>2994</v>
      </c>
    </row>
    <row r="203" spans="3:57" x14ac:dyDescent="0.25">
      <c r="C203" t="s">
        <v>4123</v>
      </c>
      <c r="E203" t="s">
        <v>4132</v>
      </c>
      <c r="Y203" t="str">
        <f>mapPRC!A303</f>
        <v>ETCLEKRIE-E-REAF</v>
      </c>
      <c r="Z203" t="str">
        <f>IFERROR(INDEX($AX$7:$AX$89,MATCH(mapPRC!C303,$AW$7:$AW$89,0)),"")</f>
        <v>elec</v>
      </c>
      <c r="AC203" t="str">
        <f>mapCOM!A233</f>
        <v>INDBIW</v>
      </c>
      <c r="AD203" t="str">
        <f t="shared" si="7"/>
        <v/>
      </c>
      <c r="BD203" t="s">
        <v>2076</v>
      </c>
      <c r="BE203" t="s">
        <v>2994</v>
      </c>
    </row>
    <row r="204" spans="3:57" x14ac:dyDescent="0.25">
      <c r="C204" t="s">
        <v>4124</v>
      </c>
      <c r="E204" t="s">
        <v>4133</v>
      </c>
      <c r="Y204" t="str">
        <f>mapPRC!A304</f>
        <v>ETCLELETH-E-REAF</v>
      </c>
      <c r="Z204" t="str">
        <f>IFERROR(INDEX($AX$7:$AX$89,MATCH(mapPRC!C304,$AW$7:$AW$89,0)),"")</f>
        <v>elec</v>
      </c>
      <c r="AC204" t="str">
        <f>mapCOM!A234</f>
        <v>INDCF46P</v>
      </c>
      <c r="AD204" t="str">
        <f t="shared" si="7"/>
        <v/>
      </c>
      <c r="BD204" t="s">
        <v>2073</v>
      </c>
      <c r="BE204" t="s">
        <v>2994</v>
      </c>
    </row>
    <row r="205" spans="3:57" x14ac:dyDescent="0.25">
      <c r="C205" t="s">
        <v>4125</v>
      </c>
      <c r="E205" t="s">
        <v>4134</v>
      </c>
      <c r="Y205" t="str">
        <f>mapPRC!A305</f>
        <v>ETCLEMAJD-E-REAF</v>
      </c>
      <c r="Z205" t="str">
        <f>IFERROR(INDEX($AX$7:$AX$89,MATCH(mapPRC!C305,$AW$7:$AW$89,0)),"")</f>
        <v>elec</v>
      </c>
      <c r="AC205" t="str">
        <f>mapCOM!A235</f>
        <v>INDCH4</v>
      </c>
      <c r="AD205" t="str">
        <f t="shared" si="7"/>
        <v/>
      </c>
      <c r="BD205" t="s">
        <v>2070</v>
      </c>
      <c r="BE205" t="s">
        <v>2994</v>
      </c>
    </row>
    <row r="206" spans="3:57" x14ac:dyDescent="0.25">
      <c r="C206" t="s">
        <v>4126</v>
      </c>
      <c r="E206" t="s">
        <v>4135</v>
      </c>
      <c r="Y206" t="str">
        <f>mapPRC!A306</f>
        <v>ETCLEMAJW-E-REAF</v>
      </c>
      <c r="Z206" t="str">
        <f>IFERROR(INDEX($AX$7:$AX$89,MATCH(mapPRC!C306,$AW$7:$AW$89,0)),"")</f>
        <v>elec</v>
      </c>
      <c r="AC206" t="str">
        <f>mapCOM!A236</f>
        <v>INDCH4S</v>
      </c>
      <c r="AD206" t="str">
        <f t="shared" si="7"/>
        <v/>
      </c>
      <c r="BD206" t="s">
        <v>2067</v>
      </c>
      <c r="BE206" t="s">
        <v>3001</v>
      </c>
    </row>
    <row r="207" spans="3:57" x14ac:dyDescent="0.25">
      <c r="C207" t="s">
        <v>4127</v>
      </c>
      <c r="E207" t="s">
        <v>4136</v>
      </c>
      <c r="Y207" t="str">
        <f>mapPRC!A307</f>
        <v>ETCLEMATI-E-REAF</v>
      </c>
      <c r="Z207" t="str">
        <f>IFERROR(INDEX($AX$7:$AX$89,MATCH(mapPRC!C307,$AW$7:$AW$89,0)),"")</f>
        <v>elec</v>
      </c>
      <c r="AC207" t="str">
        <f>mapCOM!A237</f>
        <v>INDCKC</v>
      </c>
      <c r="AD207" t="str">
        <f t="shared" si="7"/>
        <v/>
      </c>
      <c r="BD207" t="s">
        <v>2065</v>
      </c>
      <c r="BE207" t="s">
        <v>3870</v>
      </c>
    </row>
    <row r="208" spans="3:57" x14ac:dyDescent="0.25">
      <c r="C208" t="s">
        <v>4128</v>
      </c>
      <c r="E208" t="s">
        <v>4137</v>
      </c>
      <c r="Y208" t="str">
        <f>mapPRC!A308</f>
        <v>ETCLEMATL-E-REAF</v>
      </c>
      <c r="Z208" t="str">
        <f>IFERROR(INDEX($AX$7:$AX$89,MATCH(mapPRC!C308,$AW$7:$AW$89,0)),"")</f>
        <v>elec</v>
      </c>
      <c r="AC208" t="str">
        <f>mapCOM!A238</f>
        <v>INDCLE</v>
      </c>
      <c r="AD208" t="str">
        <f t="shared" si="7"/>
        <v>ccoal-low</v>
      </c>
      <c r="BD208" t="s">
        <v>2064</v>
      </c>
      <c r="BE208" t="s">
        <v>2994</v>
      </c>
    </row>
    <row r="209" spans="3:57" x14ac:dyDescent="0.25">
      <c r="C209" t="s">
        <v>4129</v>
      </c>
      <c r="E209" t="s">
        <v>4138</v>
      </c>
      <c r="Y209" t="str">
        <f>mapPRC!A309</f>
        <v>ETCLETUTU-E-REAF</v>
      </c>
      <c r="Z209" t="str">
        <f>IFERROR(INDEX($AX$7:$AX$89,MATCH(mapPRC!C309,$AW$7:$AW$89,0)),"")</f>
        <v>elec</v>
      </c>
      <c r="AC209" t="str">
        <f>mapCOM!A239</f>
        <v>INDCMU</v>
      </c>
      <c r="AD209" s="3" t="str">
        <f>AD214</f>
        <v>ccoal-hgh</v>
      </c>
      <c r="BD209" t="s">
        <v>2061</v>
      </c>
      <c r="BE209" t="s">
        <v>2994</v>
      </c>
    </row>
    <row r="210" spans="3:57" x14ac:dyDescent="0.25">
      <c r="C210" t="s">
        <v>4130</v>
      </c>
      <c r="E210" t="s">
        <v>4139</v>
      </c>
      <c r="Y210" t="str">
        <f>mapPRC!A310</f>
        <v>ETCLEMEDU-N-REAF</v>
      </c>
      <c r="Z210" t="str">
        <f>IFERROR(INDEX($AX$7:$AX$89,MATCH(mapPRC!C310,$AW$7:$AW$89,0)),"")</f>
        <v>elec</v>
      </c>
      <c r="AC210" t="str">
        <f>mapCOM!A240</f>
        <v>INDCMOX</v>
      </c>
      <c r="AD210" t="str">
        <f t="shared" ref="AD210:AD217" si="8">INDEX($BE$6:$BE$811,MATCH(AC210,$BD$6:$BD$811,0))</f>
        <v/>
      </c>
      <c r="BD210" t="s">
        <v>2058</v>
      </c>
      <c r="BE210" t="s">
        <v>2994</v>
      </c>
    </row>
    <row r="211" spans="3:57" x14ac:dyDescent="0.25">
      <c r="C211" t="s">
        <v>4131</v>
      </c>
      <c r="E211" t="s">
        <v>4140</v>
      </c>
      <c r="Y211" t="str">
        <f>mapPRC!A311</f>
        <v>ETCLEKUSI-N-REAF</v>
      </c>
      <c r="Z211" t="str">
        <f>IFERROR(INDEX($AX$7:$AX$89,MATCH(mapPRC!C311,$AW$7:$AW$89,0)),"")</f>
        <v>elec</v>
      </c>
      <c r="AC211" t="str">
        <f>mapCOM!A241</f>
        <v>INDCO2</v>
      </c>
      <c r="AD211" t="str">
        <f t="shared" si="8"/>
        <v/>
      </c>
      <c r="BD211" t="s">
        <v>2056</v>
      </c>
      <c r="BE211" t="s">
        <v>2994</v>
      </c>
    </row>
    <row r="212" spans="3:57" x14ac:dyDescent="0.25">
      <c r="C212" t="s">
        <v>4132</v>
      </c>
      <c r="E212" t="s">
        <v>4141</v>
      </c>
      <c r="Y212" t="str">
        <f>mapPRC!A312</f>
        <v>ETCLE-CCS-N</v>
      </c>
      <c r="Z212" t="str">
        <f>IFERROR(INDEX($AX$7:$AX$89,MATCH(mapPRC!C312,$AW$7:$AW$89,0)),"")</f>
        <v>elec</v>
      </c>
      <c r="AC212" t="str">
        <f>mapCOM!A242</f>
        <v>INDCO2S</v>
      </c>
      <c r="AD212" t="str">
        <f t="shared" si="8"/>
        <v/>
      </c>
      <c r="BD212" t="s">
        <v>2052</v>
      </c>
      <c r="BE212" t="s">
        <v>2994</v>
      </c>
    </row>
    <row r="213" spans="3:57" x14ac:dyDescent="0.25">
      <c r="C213" t="s">
        <v>4133</v>
      </c>
      <c r="E213" t="s">
        <v>4142</v>
      </c>
      <c r="Y213" t="str">
        <f>mapPRC!A313</f>
        <v>ETGASENSI-N</v>
      </c>
      <c r="Z213" t="str">
        <f>IFERROR(INDEX($AX$7:$AX$89,MATCH(mapPRC!C313,$AW$7:$AW$89,0)),"")</f>
        <v>cp</v>
      </c>
      <c r="AC213" t="str">
        <f>mapCOM!A243</f>
        <v>INDCO2SP</v>
      </c>
      <c r="AD213" t="str">
        <f t="shared" si="8"/>
        <v/>
      </c>
      <c r="BD213" t="s">
        <v>2051</v>
      </c>
      <c r="BE213" t="s">
        <v>2994</v>
      </c>
    </row>
    <row r="214" spans="3:57" x14ac:dyDescent="0.25">
      <c r="C214" t="s">
        <v>4134</v>
      </c>
      <c r="E214" t="s">
        <v>4143</v>
      </c>
      <c r="Y214" t="str">
        <f>mapPRC!A314</f>
        <v>ETGASENSS-N</v>
      </c>
      <c r="Z214" t="str">
        <f>IFERROR(INDEX($AX$7:$AX$89,MATCH(mapPRC!C314,$AW$7:$AW$89,0)),"")</f>
        <v>petr</v>
      </c>
      <c r="AC214" t="str">
        <f>mapCOM!A244</f>
        <v>INDCOA</v>
      </c>
      <c r="AD214" t="str">
        <f t="shared" si="8"/>
        <v>ccoal-hgh</v>
      </c>
      <c r="BD214" t="s">
        <v>2048</v>
      </c>
      <c r="BE214" t="s">
        <v>2994</v>
      </c>
    </row>
    <row r="215" spans="3:57" x14ac:dyDescent="0.25">
      <c r="C215" t="s">
        <v>4135</v>
      </c>
      <c r="E215" t="s">
        <v>4144</v>
      </c>
      <c r="Y215" t="str">
        <f>mapPRC!A315</f>
        <v>ETGICCC-N</v>
      </c>
      <c r="Z215" t="str">
        <f>IFERROR(INDEX($AX$7:$AX$89,MATCH(mapPRC!C315,$AW$7:$AW$89,0)),"")</f>
        <v>elec</v>
      </c>
      <c r="AC215" t="str">
        <f>mapCOM!A245</f>
        <v>INDCOK</v>
      </c>
      <c r="AD215" t="str">
        <f t="shared" si="8"/>
        <v/>
      </c>
      <c r="BD215" t="s">
        <v>2046</v>
      </c>
      <c r="BE215" t="s">
        <v>2994</v>
      </c>
    </row>
    <row r="216" spans="3:57" x14ac:dyDescent="0.25">
      <c r="C216" t="s">
        <v>4136</v>
      </c>
      <c r="E216" t="s">
        <v>4145</v>
      </c>
      <c r="Y216" t="str">
        <f>mapPRC!A316</f>
        <v>ETGICCC-CCS-N</v>
      </c>
      <c r="Z216" t="str">
        <f>IFERROR(INDEX($AX$7:$AX$89,MATCH(mapPRC!C316,$AW$7:$AW$89,0)),"")</f>
        <v>elec</v>
      </c>
      <c r="AC216" t="str">
        <f>mapCOM!A246</f>
        <v>INDELC</v>
      </c>
      <c r="AD216" t="str">
        <f t="shared" si="8"/>
        <v>celec</v>
      </c>
      <c r="BD216" t="s">
        <v>2044</v>
      </c>
      <c r="BE216" t="s">
        <v>2994</v>
      </c>
    </row>
    <row r="217" spans="3:57" x14ac:dyDescent="0.25">
      <c r="C217" t="s">
        <v>4137</v>
      </c>
      <c r="E217" t="s">
        <v>4146</v>
      </c>
      <c r="Y217" t="str">
        <f>mapPRC!A317</f>
        <v>ETGICEN-N</v>
      </c>
      <c r="Z217" t="str">
        <f>IFERROR(INDEX($AX$7:$AX$89,MATCH(mapPRC!C317,$AW$7:$AW$89,0)),"")</f>
        <v>elec</v>
      </c>
      <c r="AC217" t="str">
        <f>mapCOM!A247</f>
        <v>INDGAS</v>
      </c>
      <c r="AD217" t="str">
        <f t="shared" si="8"/>
        <v>cngas</v>
      </c>
      <c r="BD217" t="s">
        <v>2042</v>
      </c>
      <c r="BE217" t="s">
        <v>2994</v>
      </c>
    </row>
    <row r="218" spans="3:57" x14ac:dyDescent="0.25">
      <c r="C218" t="s">
        <v>4138</v>
      </c>
      <c r="E218" t="s">
        <v>4147</v>
      </c>
      <c r="Y218" t="str">
        <f>mapPRC!A318</f>
        <v>ETGICGT-N</v>
      </c>
      <c r="Z218" t="str">
        <f>IFERROR(INDEX($AX$7:$AX$89,MATCH(mapPRC!C318,$AW$7:$AW$89,0)),"")</f>
        <v>elec</v>
      </c>
      <c r="AC218" t="str">
        <f>mapCOM!A248</f>
        <v>INDGMU</v>
      </c>
      <c r="AD218" s="3" t="str">
        <f>AD217</f>
        <v>cngas</v>
      </c>
      <c r="BD218" t="s">
        <v>2040</v>
      </c>
      <c r="BE218" t="s">
        <v>2994</v>
      </c>
    </row>
    <row r="219" spans="3:57" x14ac:dyDescent="0.25">
      <c r="C219" t="s">
        <v>4139</v>
      </c>
      <c r="E219" t="s">
        <v>4148</v>
      </c>
      <c r="Y219" t="str">
        <f>mapPRC!A319</f>
        <v>ETGIHCC-N</v>
      </c>
      <c r="Z219" t="str">
        <f>IFERROR(INDEX($AX$7:$AX$89,MATCH(mapPRC!C319,$AW$7:$AW$89,0)),"")</f>
        <v>elec</v>
      </c>
      <c r="AC219" t="str">
        <f>mapCOM!A249</f>
        <v>INDHGN</v>
      </c>
      <c r="AD219" t="str">
        <f t="shared" ref="AD219:AD229" si="9">INDEX($BE$6:$BE$811,MATCH(AC219,$BD$6:$BD$811,0))</f>
        <v>chydr</v>
      </c>
      <c r="BD219" t="s">
        <v>1842</v>
      </c>
      <c r="BE219" t="s">
        <v>2994</v>
      </c>
    </row>
    <row r="220" spans="3:57" x14ac:dyDescent="0.25">
      <c r="C220" t="s">
        <v>4140</v>
      </c>
      <c r="E220" t="s">
        <v>4149</v>
      </c>
      <c r="Y220" t="str">
        <f>mapPRC!A320</f>
        <v>ETGIHGT-N</v>
      </c>
      <c r="Z220" t="str">
        <f>IFERROR(INDEX($AX$7:$AX$89,MATCH(mapPRC!C320,$AW$7:$AW$89,0)),"")</f>
        <v>elec</v>
      </c>
      <c r="AC220" t="str">
        <f>mapCOM!A250</f>
        <v>INDN2O</v>
      </c>
      <c r="AD220" t="str">
        <f t="shared" si="9"/>
        <v/>
      </c>
      <c r="BD220" t="s">
        <v>1840</v>
      </c>
      <c r="BE220" t="s">
        <v>2994</v>
      </c>
    </row>
    <row r="221" spans="3:57" x14ac:dyDescent="0.25">
      <c r="C221" t="s">
        <v>4141</v>
      </c>
      <c r="E221" t="s">
        <v>4150</v>
      </c>
      <c r="Y221" t="str">
        <f>mapPRC!A321</f>
        <v>ETGRMCC-N</v>
      </c>
      <c r="Z221" t="str">
        <f>IFERROR(INDEX($AX$7:$AX$89,MATCH(mapPRC!C321,$AW$7:$AW$89,0)),"")</f>
        <v>elec</v>
      </c>
      <c r="AC221" t="str">
        <f>mapCOM!A251</f>
        <v>INDN2OS</v>
      </c>
      <c r="AD221" t="str">
        <f t="shared" si="9"/>
        <v/>
      </c>
      <c r="BD221" t="s">
        <v>1838</v>
      </c>
      <c r="BE221" t="s">
        <v>2994</v>
      </c>
    </row>
    <row r="222" spans="3:57" x14ac:dyDescent="0.25">
      <c r="C222" t="s">
        <v>4142</v>
      </c>
      <c r="E222" t="s">
        <v>4151</v>
      </c>
      <c r="Y222" t="str">
        <f>mapPRC!A322</f>
        <v>ETGRNCC-I</v>
      </c>
      <c r="Z222" t="str">
        <f>IFERROR(INDEX($AX$7:$AX$89,MATCH(mapPRC!C322,$AW$7:$AW$89,0)),"")</f>
        <v>imp</v>
      </c>
      <c r="AC222" t="str">
        <f>mapCOM!A252</f>
        <v>INDNMV</v>
      </c>
      <c r="AD222" t="str">
        <f t="shared" si="9"/>
        <v/>
      </c>
      <c r="BD222" t="s">
        <v>1836</v>
      </c>
      <c r="BE222" t="s">
        <v>2994</v>
      </c>
    </row>
    <row r="223" spans="3:57" x14ac:dyDescent="0.25">
      <c r="C223" t="s">
        <v>4143</v>
      </c>
      <c r="E223" t="s">
        <v>4152</v>
      </c>
      <c r="Y223" t="str">
        <f>mapPRC!A323</f>
        <v>ETHGNGT-N</v>
      </c>
      <c r="Z223" t="str">
        <f>IFERROR(INDEX($AX$7:$AX$89,MATCH(mapPRC!C323,$AW$7:$AW$89,0)),"")</f>
        <v>elec</v>
      </c>
      <c r="AC223" t="str">
        <f>mapCOM!A253</f>
        <v>INDNMVS</v>
      </c>
      <c r="AD223" t="str">
        <f t="shared" si="9"/>
        <v/>
      </c>
      <c r="BD223" t="s">
        <v>1834</v>
      </c>
      <c r="BE223" t="s">
        <v>2994</v>
      </c>
    </row>
    <row r="224" spans="3:57" x14ac:dyDescent="0.25">
      <c r="C224" t="s">
        <v>4144</v>
      </c>
      <c r="E224" t="s">
        <v>4153</v>
      </c>
      <c r="Y224" t="str">
        <f>mapPRC!A324</f>
        <v>ETNUC-E</v>
      </c>
      <c r="Z224" t="str">
        <f>IFERROR(INDEX($AX$7:$AX$89,MATCH(mapPRC!C324,$AW$7:$AW$89,0)),"")</f>
        <v>elec</v>
      </c>
      <c r="AC224" t="str">
        <f>mapCOM!A254</f>
        <v>INDNOX</v>
      </c>
      <c r="AD224" t="str">
        <f t="shared" si="9"/>
        <v/>
      </c>
      <c r="BD224" t="s">
        <v>1969</v>
      </c>
      <c r="BE224" t="s">
        <v>2994</v>
      </c>
    </row>
    <row r="225" spans="3:57" x14ac:dyDescent="0.25">
      <c r="C225" t="s">
        <v>4145</v>
      </c>
      <c r="E225" t="s">
        <v>4154</v>
      </c>
      <c r="Y225" t="str">
        <f>mapPRC!A325</f>
        <v>ETNUC-N</v>
      </c>
      <c r="Z225" t="str">
        <f>IFERROR(INDEX($AX$7:$AX$89,MATCH(mapPRC!C325,$AW$7:$AW$89,0)),"")</f>
        <v>elec</v>
      </c>
      <c r="AC225" t="str">
        <f>mapCOM!A255</f>
        <v>INDNOXS</v>
      </c>
      <c r="AD225" t="str">
        <f t="shared" si="9"/>
        <v/>
      </c>
      <c r="BD225" t="s">
        <v>1968</v>
      </c>
      <c r="BE225" t="s">
        <v>2994</v>
      </c>
    </row>
    <row r="226" spans="3:57" x14ac:dyDescent="0.25">
      <c r="C226" t="s">
        <v>4146</v>
      </c>
      <c r="E226" t="s">
        <v>4155</v>
      </c>
      <c r="Y226" t="str">
        <f>mapPRC!A326</f>
        <v>ETODSGT-E</v>
      </c>
      <c r="Z226" t="str">
        <f>IFERROR(INDEX($AX$7:$AX$89,MATCH(mapPRC!C326,$AW$7:$AW$89,0)),"")</f>
        <v>elec</v>
      </c>
      <c r="AC226" t="str">
        <f>mapCOM!A256</f>
        <v>INDODS</v>
      </c>
      <c r="AD226" t="str">
        <f t="shared" si="9"/>
        <v>cpetr-d</v>
      </c>
      <c r="BD226" t="s">
        <v>1966</v>
      </c>
      <c r="BE226" t="s">
        <v>2994</v>
      </c>
    </row>
    <row r="227" spans="3:57" x14ac:dyDescent="0.25">
      <c r="C227" t="s">
        <v>4147</v>
      </c>
      <c r="E227" t="s">
        <v>4156</v>
      </c>
      <c r="Y227" t="str">
        <f>mapPRC!A327</f>
        <v>ETODSGT-N</v>
      </c>
      <c r="Z227" t="str">
        <f>IFERROR(INDEX($AX$7:$AX$89,MATCH(mapPRC!C327,$AW$7:$AW$89,0)),"")</f>
        <v>elec</v>
      </c>
      <c r="AC227" t="str">
        <f>mapCOM!A257</f>
        <v>INDOGS</v>
      </c>
      <c r="AD227" t="str">
        <f t="shared" si="9"/>
        <v/>
      </c>
      <c r="BD227" t="s">
        <v>1964</v>
      </c>
      <c r="BE227" t="s">
        <v>2994</v>
      </c>
    </row>
    <row r="228" spans="3:57" x14ac:dyDescent="0.25">
      <c r="C228" t="s">
        <v>4148</v>
      </c>
      <c r="E228" t="s">
        <v>4157</v>
      </c>
      <c r="Y228" t="str">
        <f>mapPRC!A328</f>
        <v>ETRANS</v>
      </c>
      <c r="Z228" t="str">
        <f>IFERROR(INDEX($AX$7:$AX$89,MATCH(mapPRC!C328,$AW$7:$AW$89,0)),"")</f>
        <v>elec</v>
      </c>
      <c r="AC228" t="str">
        <f>mapCOM!A258</f>
        <v>INDOHF</v>
      </c>
      <c r="AD228" t="str">
        <f t="shared" si="9"/>
        <v>cpetr-h</v>
      </c>
      <c r="BD228" t="s">
        <v>1962</v>
      </c>
      <c r="BE228" t="s">
        <v>2994</v>
      </c>
    </row>
    <row r="229" spans="3:57" x14ac:dyDescent="0.25">
      <c r="C229" t="s">
        <v>4149</v>
      </c>
      <c r="E229" t="s">
        <v>4158</v>
      </c>
      <c r="Y229" t="str">
        <f>mapPRC!A329</f>
        <v>ETRANSDUM</v>
      </c>
      <c r="Z229" t="str">
        <f>IFERROR(INDEX($AX$7:$AX$89,MATCH(mapPRC!C329,$AW$7:$AW$89,0)),"")</f>
        <v>elec</v>
      </c>
      <c r="AC229" t="str">
        <f>mapCOM!A259</f>
        <v>INDOLP</v>
      </c>
      <c r="AD229" t="str">
        <f t="shared" si="9"/>
        <v>cpetr-l</v>
      </c>
      <c r="BD229" t="s">
        <v>1960</v>
      </c>
      <c r="BE229" t="s">
        <v>2994</v>
      </c>
    </row>
    <row r="230" spans="3:57" x14ac:dyDescent="0.25">
      <c r="C230" t="s">
        <v>4150</v>
      </c>
      <c r="E230" t="s">
        <v>4159</v>
      </c>
      <c r="Y230" t="str">
        <f>mapPRC!A330</f>
        <v>FGDCAMD-E</v>
      </c>
      <c r="Z230" t="str">
        <f>IFERROR(INDEX($AX$7:$AX$89,MATCH(mapPRC!C330,$AW$7:$AW$89,0)),"")</f>
        <v>elec</v>
      </c>
      <c r="AC230" t="str">
        <f>mapCOM!A260</f>
        <v>INDOMU</v>
      </c>
      <c r="AD230" t="str">
        <f>AD228</f>
        <v>cpetr-h</v>
      </c>
      <c r="BD230" t="s">
        <v>1959</v>
      </c>
      <c r="BE230" t="s">
        <v>2994</v>
      </c>
    </row>
    <row r="231" spans="3:57" x14ac:dyDescent="0.25">
      <c r="C231" t="s">
        <v>4151</v>
      </c>
      <c r="E231" t="s">
        <v>4160</v>
      </c>
      <c r="Y231" t="str">
        <f>mapPRC!A331</f>
        <v>FGDGROO-E</v>
      </c>
      <c r="Z231" t="str">
        <f>IFERROR(INDEX($AX$7:$AX$89,MATCH(mapPRC!C331,$AW$7:$AW$89,0)),"")</f>
        <v>elec</v>
      </c>
      <c r="AC231" t="str">
        <f>mapCOM!A261</f>
        <v>INDP10S</v>
      </c>
      <c r="AD231" t="str">
        <f t="shared" ref="AD231:AD236" si="10">INDEX($BE$6:$BE$811,MATCH(AC231,$BD$6:$BD$811,0))</f>
        <v/>
      </c>
      <c r="BD231" t="s">
        <v>1957</v>
      </c>
      <c r="BE231" t="s">
        <v>2994</v>
      </c>
    </row>
    <row r="232" spans="3:57" x14ac:dyDescent="0.25">
      <c r="C232" t="s">
        <v>4152</v>
      </c>
      <c r="E232" t="s">
        <v>4161</v>
      </c>
      <c r="Y232" t="str">
        <f>mapPRC!A332</f>
        <v>FGDKOMA-E</v>
      </c>
      <c r="Z232" t="str">
        <f>IFERROR(INDEX($AX$7:$AX$89,MATCH(mapPRC!C332,$AW$7:$AW$89,0)),"")</f>
        <v>elec</v>
      </c>
      <c r="AC232" t="str">
        <f>mapCOM!A262</f>
        <v>INDPM10</v>
      </c>
      <c r="AD232" t="str">
        <f t="shared" si="10"/>
        <v/>
      </c>
      <c r="BD232" t="s">
        <v>1956</v>
      </c>
      <c r="BE232" t="s">
        <v>2994</v>
      </c>
    </row>
    <row r="233" spans="3:57" x14ac:dyDescent="0.25">
      <c r="C233" t="s">
        <v>4153</v>
      </c>
      <c r="E233" t="s">
        <v>4162</v>
      </c>
      <c r="Y233" t="str">
        <f>mapPRC!A333</f>
        <v>FGDARNO-E</v>
      </c>
      <c r="Z233" t="str">
        <f>IFERROR(INDEX($AX$7:$AX$89,MATCH(mapPRC!C333,$AW$7:$AW$89,0)),"")</f>
        <v>elec</v>
      </c>
      <c r="AC233" t="str">
        <f>mapCOM!A263</f>
        <v>INDSHT1</v>
      </c>
      <c r="AD233" t="str">
        <f t="shared" si="10"/>
        <v/>
      </c>
      <c r="BD233" t="s">
        <v>1954</v>
      </c>
      <c r="BE233" t="s">
        <v>2994</v>
      </c>
    </row>
    <row r="234" spans="3:57" x14ac:dyDescent="0.25">
      <c r="C234" t="s">
        <v>4154</v>
      </c>
      <c r="E234" t="s">
        <v>4163</v>
      </c>
      <c r="Y234" t="str">
        <f>mapPRC!A334</f>
        <v>FGDDUVH-E</v>
      </c>
      <c r="Z234" t="str">
        <f>IFERROR(INDEX($AX$7:$AX$89,MATCH(mapPRC!C334,$AW$7:$AW$89,0)),"")</f>
        <v>elec</v>
      </c>
      <c r="AC234" t="str">
        <f>mapCOM!A264</f>
        <v>INDSOX</v>
      </c>
      <c r="AD234" t="str">
        <f t="shared" si="10"/>
        <v/>
      </c>
      <c r="BD234" t="s">
        <v>1952</v>
      </c>
      <c r="BE234" t="s">
        <v>2994</v>
      </c>
    </row>
    <row r="235" spans="3:57" x14ac:dyDescent="0.25">
      <c r="Y235" t="str">
        <f>mapPRC!A335</f>
        <v>FGDHEND-E</v>
      </c>
      <c r="Z235" t="str">
        <f>IFERROR(INDEX($AX$7:$AX$89,MATCH(mapPRC!C335,$AW$7:$AW$89,0)),"")</f>
        <v>elec</v>
      </c>
      <c r="AC235" t="str">
        <f>mapCOM!A265</f>
        <v>INDSOXS</v>
      </c>
      <c r="AD235" t="str">
        <f t="shared" si="10"/>
        <v/>
      </c>
    </row>
    <row r="236" spans="3:57" x14ac:dyDescent="0.25">
      <c r="C236" t="s">
        <v>4155</v>
      </c>
      <c r="E236" t="s">
        <v>4164</v>
      </c>
      <c r="Y236" t="str">
        <f>mapPRC!A336</f>
        <v>FGDKEND-E</v>
      </c>
      <c r="Z236" t="str">
        <f>IFERROR(INDEX($AX$7:$AX$89,MATCH(mapPRC!C336,$AW$7:$AW$89,0)),"")</f>
        <v>elec</v>
      </c>
      <c r="AC236" t="str">
        <f>mapCOM!A266</f>
        <v>INDWAS</v>
      </c>
      <c r="AD236" t="str">
        <f t="shared" si="10"/>
        <v/>
      </c>
      <c r="BD236" t="s">
        <v>1950</v>
      </c>
      <c r="BE236" t="s">
        <v>2994</v>
      </c>
    </row>
    <row r="237" spans="3:57" x14ac:dyDescent="0.25">
      <c r="Y237" t="str">
        <f>mapPRC!A337</f>
        <v>FGDKRIE-E</v>
      </c>
      <c r="Z237" t="str">
        <f>IFERROR(INDEX($AX$7:$AX$89,MATCH(mapPRC!C337,$AW$7:$AW$89,0)),"")</f>
        <v>elec</v>
      </c>
      <c r="AC237" t="str">
        <f>mapCOM!A267</f>
        <v>INDWMU</v>
      </c>
    </row>
    <row r="238" spans="3:57" x14ac:dyDescent="0.25">
      <c r="C238" t="s">
        <v>4156</v>
      </c>
      <c r="E238" t="s">
        <v>4165</v>
      </c>
      <c r="Y238" t="str">
        <f>mapPRC!A338</f>
        <v>FGDLETH-E</v>
      </c>
      <c r="Z238" t="str">
        <f>IFERROR(INDEX($AX$7:$AX$89,MATCH(mapPRC!C338,$AW$7:$AW$89,0)),"")</f>
        <v>elec</v>
      </c>
      <c r="AC238" t="str">
        <f>mapCOM!A268</f>
        <v>INFA</v>
      </c>
      <c r="AD238" t="str">
        <f t="shared" ref="AD238:AD259" si="11">INDEX($BE$6:$BE$811,MATCH(AC238,$BD$6:$BD$811,0))</f>
        <v/>
      </c>
      <c r="BD238" t="s">
        <v>1948</v>
      </c>
      <c r="BE238" t="s">
        <v>2994</v>
      </c>
    </row>
    <row r="239" spans="3:57" x14ac:dyDescent="0.25">
      <c r="C239" t="s">
        <v>4157</v>
      </c>
      <c r="E239" t="s">
        <v>4166</v>
      </c>
      <c r="Y239" t="str">
        <f>mapPRC!A339</f>
        <v>FGDMAJD-E</v>
      </c>
      <c r="Z239" t="str">
        <f>IFERROR(INDEX($AX$7:$AX$89,MATCH(mapPRC!C339,$AW$7:$AW$89,0)),"")</f>
        <v>elec</v>
      </c>
      <c r="AC239" t="str">
        <f>mapCOM!A269</f>
        <v>INFC</v>
      </c>
      <c r="AD239" t="str">
        <f t="shared" si="11"/>
        <v/>
      </c>
      <c r="BD239" t="s">
        <v>1947</v>
      </c>
      <c r="BE239" t="s">
        <v>2994</v>
      </c>
    </row>
    <row r="240" spans="3:57" x14ac:dyDescent="0.25">
      <c r="C240" t="s">
        <v>4158</v>
      </c>
      <c r="E240" t="s">
        <v>4167</v>
      </c>
      <c r="Y240" t="str">
        <f>mapPRC!A340</f>
        <v>FGDMAJW-E</v>
      </c>
      <c r="Z240" t="str">
        <f>IFERROR(INDEX($AX$7:$AX$89,MATCH(mapPRC!C340,$AW$7:$AW$89,0)),"")</f>
        <v>elec</v>
      </c>
      <c r="AC240" t="str">
        <f>mapCOM!A270</f>
        <v>INFE</v>
      </c>
      <c r="AD240" t="str">
        <f t="shared" si="11"/>
        <v/>
      </c>
      <c r="BD240" t="s">
        <v>1946</v>
      </c>
      <c r="BE240" t="s">
        <v>2994</v>
      </c>
    </row>
    <row r="241" spans="3:57" x14ac:dyDescent="0.25">
      <c r="C241" t="s">
        <v>4159</v>
      </c>
      <c r="E241" t="s">
        <v>4168</v>
      </c>
      <c r="Y241" t="str">
        <f>mapPRC!A341</f>
        <v>FGDMATI-E</v>
      </c>
      <c r="Z241" t="str">
        <f>IFERROR(INDEX($AX$7:$AX$89,MATCH(mapPRC!C341,$AW$7:$AW$89,0)),"")</f>
        <v>elec</v>
      </c>
      <c r="AC241" t="str">
        <f>mapCOM!A271</f>
        <v>INFELC</v>
      </c>
      <c r="AD241" t="str">
        <f t="shared" si="11"/>
        <v>celec</v>
      </c>
      <c r="BD241" t="s">
        <v>1944</v>
      </c>
      <c r="BE241" t="s">
        <v>2994</v>
      </c>
    </row>
    <row r="242" spans="3:57" x14ac:dyDescent="0.25">
      <c r="C242" t="s">
        <v>4160</v>
      </c>
      <c r="E242" t="s">
        <v>4169</v>
      </c>
      <c r="Y242" t="str">
        <f>mapPRC!A342</f>
        <v>FGDMATL-E</v>
      </c>
      <c r="Z242" t="str">
        <f>IFERROR(INDEX($AX$7:$AX$89,MATCH(mapPRC!C342,$AW$7:$AW$89,0)),"")</f>
        <v>elec</v>
      </c>
      <c r="AC242" t="str">
        <f>mapCOM!A272</f>
        <v>INFF</v>
      </c>
      <c r="AD242" t="str">
        <f t="shared" si="11"/>
        <v/>
      </c>
      <c r="BD242" t="s">
        <v>1943</v>
      </c>
      <c r="BE242" t="s">
        <v>2994</v>
      </c>
    </row>
    <row r="243" spans="3:57" x14ac:dyDescent="0.25">
      <c r="C243" t="s">
        <v>4161</v>
      </c>
      <c r="E243" t="s">
        <v>4170</v>
      </c>
      <c r="Y243" t="str">
        <f>mapPRC!A343</f>
        <v>FGDTUTU-E</v>
      </c>
      <c r="Z243" t="str">
        <f>IFERROR(INDEX($AX$7:$AX$89,MATCH(mapPRC!C343,$AW$7:$AW$89,0)),"")</f>
        <v>elec</v>
      </c>
      <c r="AC243" t="str">
        <f>mapCOM!A273</f>
        <v>INFGAS</v>
      </c>
      <c r="AD243" t="str">
        <f t="shared" si="11"/>
        <v>cngas</v>
      </c>
      <c r="BD243" t="s">
        <v>1941</v>
      </c>
      <c r="BE243" t="s">
        <v>2994</v>
      </c>
    </row>
    <row r="244" spans="3:57" x14ac:dyDescent="0.25">
      <c r="C244" t="s">
        <v>4162</v>
      </c>
      <c r="E244" t="s">
        <v>4171</v>
      </c>
      <c r="Y244" t="str">
        <f>mapPRC!A344</f>
        <v>FGDMEDU-N</v>
      </c>
      <c r="Z244" t="str">
        <f>IFERROR(INDEX($AX$7:$AX$89,MATCH(mapPRC!C344,$AW$7:$AW$89,0)),"")</f>
        <v>elec</v>
      </c>
      <c r="AC244" t="str">
        <f>mapCOM!A274</f>
        <v>INFH</v>
      </c>
      <c r="AD244" t="str">
        <f t="shared" si="11"/>
        <v/>
      </c>
      <c r="BD244" t="s">
        <v>1940</v>
      </c>
      <c r="BE244" t="s">
        <v>2994</v>
      </c>
    </row>
    <row r="245" spans="3:57" x14ac:dyDescent="0.25">
      <c r="C245" t="s">
        <v>4163</v>
      </c>
      <c r="E245" t="s">
        <v>4172</v>
      </c>
      <c r="Y245" t="str">
        <f>mapPRC!A345</f>
        <v>HETP-N</v>
      </c>
      <c r="Z245" t="str">
        <f>IFERROR(INDEX($AX$7:$AX$89,MATCH(mapPRC!C345,$AW$7:$AW$89,0)),"")</f>
        <v>et</v>
      </c>
      <c r="AC245" t="str">
        <f>mapCOM!A275</f>
        <v>INFK</v>
      </c>
      <c r="AD245" t="str">
        <f t="shared" si="11"/>
        <v/>
      </c>
      <c r="BD245" t="s">
        <v>1938</v>
      </c>
      <c r="BE245" t="s">
        <v>2994</v>
      </c>
    </row>
    <row r="246" spans="3:57" x14ac:dyDescent="0.25">
      <c r="C246" t="s">
        <v>4164</v>
      </c>
      <c r="E246" t="s">
        <v>4173</v>
      </c>
      <c r="Y246" t="str">
        <f>mapPRC!A346</f>
        <v>HFCP-TRAHCV-N</v>
      </c>
      <c r="Z246" t="str">
        <f>IFERROR(INDEX($AX$7:$AX$89,MATCH(mapPRC!C346,$AW$7:$AW$89,0)),"")</f>
        <v>fc</v>
      </c>
      <c r="AC246" t="str">
        <f>mapCOM!A276</f>
        <v>INFL</v>
      </c>
      <c r="AD246" t="str">
        <f t="shared" si="11"/>
        <v/>
      </c>
      <c r="BD246" t="s">
        <v>1936</v>
      </c>
      <c r="BE246" t="s">
        <v>2994</v>
      </c>
    </row>
    <row r="247" spans="3:57" x14ac:dyDescent="0.25">
      <c r="C247" t="s">
        <v>4165</v>
      </c>
      <c r="E247" t="s">
        <v>4174</v>
      </c>
      <c r="Y247" t="str">
        <f>mapPRC!A347</f>
        <v>HFCP-N</v>
      </c>
      <c r="Z247" t="str">
        <f>IFERROR(INDEX($AX$7:$AX$89,MATCH(mapPRC!C347,$AW$7:$AW$89,0)),"")</f>
        <v>fc</v>
      </c>
      <c r="AC247" t="str">
        <f>mapCOM!A277</f>
        <v>INFO</v>
      </c>
      <c r="AD247" t="str">
        <f t="shared" si="11"/>
        <v/>
      </c>
      <c r="BD247" t="s">
        <v>1935</v>
      </c>
      <c r="BE247" t="s">
        <v>2994</v>
      </c>
    </row>
    <row r="248" spans="3:57" x14ac:dyDescent="0.25">
      <c r="C248" t="s">
        <v>4166</v>
      </c>
      <c r="E248" t="s">
        <v>4175</v>
      </c>
      <c r="Y248" t="str">
        <f>mapPRC!A348</f>
        <v>HGNSTSUTL</v>
      </c>
      <c r="Z248" t="str">
        <f>IFERROR(INDEX($AX$7:$AX$89,MATCH(mapPRC!C348,$AW$7:$AW$89,0)),"")</f>
        <v/>
      </c>
      <c r="AC248" t="str">
        <f>mapCOM!A278</f>
        <v>INFP</v>
      </c>
      <c r="AD248" t="str">
        <f t="shared" si="11"/>
        <v/>
      </c>
      <c r="BD248" t="s">
        <v>1934</v>
      </c>
      <c r="BE248" t="s">
        <v>2994</v>
      </c>
    </row>
    <row r="249" spans="3:57" x14ac:dyDescent="0.25">
      <c r="C249" t="s">
        <v>4167</v>
      </c>
      <c r="E249" t="s">
        <v>4176</v>
      </c>
      <c r="Y249" t="str">
        <f>mapPRC!A349</f>
        <v>HGNXUPS</v>
      </c>
      <c r="Z249" t="str">
        <f>IFERROR(INDEX($AX$7:$AX$89,MATCH(mapPRC!C349,$AW$7:$AW$89,0)),"")</f>
        <v/>
      </c>
      <c r="AC249" t="str">
        <f>mapCOM!A279</f>
        <v>INFS</v>
      </c>
      <c r="AD249" t="str">
        <f t="shared" si="11"/>
        <v/>
      </c>
      <c r="BD249" t="s">
        <v>1933</v>
      </c>
      <c r="BE249" t="s">
        <v>2994</v>
      </c>
    </row>
    <row r="250" spans="3:57" x14ac:dyDescent="0.25">
      <c r="C250" t="s">
        <v>4168</v>
      </c>
      <c r="E250" t="s">
        <v>4177</v>
      </c>
      <c r="Y250" t="str">
        <f>mapPRC!A350</f>
        <v>IALPOT</v>
      </c>
      <c r="Z250" t="str">
        <f>IFERROR(INDEX($AX$7:$AX$89,MATCH(mapPRC!C350,$AW$7:$AW$89,0)),"")</f>
        <v>nf</v>
      </c>
      <c r="AC250" t="str">
        <f>mapCOM!A280</f>
        <v>INMBIO</v>
      </c>
      <c r="AD250" t="str">
        <f t="shared" si="11"/>
        <v/>
      </c>
      <c r="BD250" t="s">
        <v>1931</v>
      </c>
      <c r="BE250" t="s">
        <v>2994</v>
      </c>
    </row>
    <row r="251" spans="3:57" x14ac:dyDescent="0.25">
      <c r="C251" t="s">
        <v>4169</v>
      </c>
      <c r="E251" t="s">
        <v>4178</v>
      </c>
      <c r="Y251" t="str">
        <f>mapPRC!A351</f>
        <v>IALPOTINERT</v>
      </c>
      <c r="Z251" t="str">
        <f>IFERROR(INDEX($AX$7:$AX$89,MATCH(mapPRC!C351,$AW$7:$AW$89,0)),"")</f>
        <v>nf</v>
      </c>
      <c r="AC251" t="str">
        <f>mapCOM!A281</f>
        <v>INMBRI</v>
      </c>
      <c r="AD251" t="str">
        <f t="shared" si="11"/>
        <v/>
      </c>
      <c r="BD251" t="s">
        <v>1929</v>
      </c>
      <c r="BE251" t="s">
        <v>2994</v>
      </c>
    </row>
    <row r="252" spans="3:57" x14ac:dyDescent="0.25">
      <c r="C252" t="s">
        <v>4170</v>
      </c>
      <c r="E252" t="s">
        <v>4179</v>
      </c>
      <c r="Y252" t="str">
        <f>mapPRC!A352</f>
        <v>ICPAELC-E</v>
      </c>
      <c r="Z252" t="str">
        <f>IFERROR(INDEX($AX$7:$AX$89,MATCH(mapPRC!C352,$AW$7:$AW$89,0)),"")</f>
        <v>cp</v>
      </c>
      <c r="AC252" t="str">
        <f>mapCOM!A282</f>
        <v>INMBRITHF</v>
      </c>
      <c r="AD252" t="str">
        <f t="shared" si="11"/>
        <v/>
      </c>
      <c r="BD252" t="s">
        <v>1928</v>
      </c>
      <c r="BE252" t="s">
        <v>2994</v>
      </c>
    </row>
    <row r="253" spans="3:57" x14ac:dyDescent="0.25">
      <c r="C253" t="s">
        <v>4171</v>
      </c>
      <c r="E253" t="s">
        <v>4180</v>
      </c>
      <c r="Y253" t="str">
        <f>mapPRC!A353</f>
        <v>ICPCELC-E</v>
      </c>
      <c r="Z253" t="str">
        <f>IFERROR(INDEX($AX$7:$AX$89,MATCH(mapPRC!C353,$AW$7:$AW$89,0)),"")</f>
        <v>cp</v>
      </c>
      <c r="AC253" t="str">
        <f>mapCOM!A283</f>
        <v>INMCEM</v>
      </c>
      <c r="AD253" t="str">
        <f t="shared" si="11"/>
        <v/>
      </c>
      <c r="BD253" t="s">
        <v>1927</v>
      </c>
      <c r="BE253" t="s">
        <v>2994</v>
      </c>
    </row>
    <row r="254" spans="3:57" x14ac:dyDescent="0.25">
      <c r="C254" t="s">
        <v>4172</v>
      </c>
      <c r="E254" t="s">
        <v>4181</v>
      </c>
      <c r="Y254" t="str">
        <f>mapPRC!A354</f>
        <v>ICPEELC-E</v>
      </c>
      <c r="Z254" t="str">
        <f>IFERROR(INDEX($AX$7:$AX$89,MATCH(mapPRC!C354,$AW$7:$AW$89,0)),"")</f>
        <v>cp</v>
      </c>
      <c r="AC254" t="str">
        <f>mapCOM!A284</f>
        <v>INMCEMTHF</v>
      </c>
      <c r="AD254" t="str">
        <f t="shared" si="11"/>
        <v/>
      </c>
      <c r="BD254" t="s">
        <v>1926</v>
      </c>
      <c r="BE254" t="s">
        <v>2994</v>
      </c>
    </row>
    <row r="255" spans="3:57" x14ac:dyDescent="0.25">
      <c r="C255" t="s">
        <v>4173</v>
      </c>
      <c r="E255" t="s">
        <v>4182</v>
      </c>
      <c r="Y255" t="str">
        <f>mapPRC!A355</f>
        <v>ICPFELC-E</v>
      </c>
      <c r="Z255" t="str">
        <f>IFERROR(INDEX($AX$7:$AX$89,MATCH(mapPRC!C355,$AW$7:$AW$89,0)),"")</f>
        <v>cp</v>
      </c>
      <c r="AC255" t="str">
        <f>mapCOM!A285</f>
        <v>INMCLI</v>
      </c>
      <c r="AD255" t="str">
        <f t="shared" si="11"/>
        <v/>
      </c>
      <c r="BD255" t="s">
        <v>1925</v>
      </c>
      <c r="BE255" t="s">
        <v>2994</v>
      </c>
    </row>
    <row r="256" spans="3:57" x14ac:dyDescent="0.25">
      <c r="C256" t="s">
        <v>4174</v>
      </c>
      <c r="E256" t="s">
        <v>4183</v>
      </c>
      <c r="Y256" t="str">
        <f>mapPRC!A356</f>
        <v>ICPHELC-E</v>
      </c>
      <c r="Z256" t="str">
        <f>IFERROR(INDEX($AX$7:$AX$89,MATCH(mapPRC!C356,$AW$7:$AW$89,0)),"")</f>
        <v>cp</v>
      </c>
      <c r="AC256" t="str">
        <f>mapCOM!A286</f>
        <v>INMCLISUB</v>
      </c>
      <c r="AD256" t="str">
        <f t="shared" si="11"/>
        <v/>
      </c>
      <c r="BD256" t="s">
        <v>1923</v>
      </c>
      <c r="BE256" t="s">
        <v>2994</v>
      </c>
    </row>
    <row r="257" spans="3:57" x14ac:dyDescent="0.25">
      <c r="C257" t="s">
        <v>4175</v>
      </c>
      <c r="E257" t="s">
        <v>4184</v>
      </c>
      <c r="Y257" t="str">
        <f>mapPRC!A357</f>
        <v>ICPKELC-E</v>
      </c>
      <c r="Z257" t="str">
        <f>IFERROR(INDEX($AX$7:$AX$89,MATCH(mapPRC!C357,$AW$7:$AW$89,0)),"")</f>
        <v>cp</v>
      </c>
      <c r="AC257" t="str">
        <f>mapCOM!A287</f>
        <v>INMCOA</v>
      </c>
      <c r="AD257" t="str">
        <f t="shared" si="11"/>
        <v>ccoal-hgh</v>
      </c>
      <c r="BD257" t="s">
        <v>1922</v>
      </c>
      <c r="BE257" t="s">
        <v>2994</v>
      </c>
    </row>
    <row r="258" spans="3:57" x14ac:dyDescent="0.25">
      <c r="C258" t="s">
        <v>4176</v>
      </c>
      <c r="E258" t="s">
        <v>4185</v>
      </c>
      <c r="Y258" t="str">
        <f>mapPRC!A358</f>
        <v>ICPLELC-E</v>
      </c>
      <c r="Z258" t="str">
        <f>IFERROR(INDEX($AX$7:$AX$89,MATCH(mapPRC!C358,$AW$7:$AW$89,0)),"")</f>
        <v>cp</v>
      </c>
      <c r="AC258" t="str">
        <f>mapCOM!A288</f>
        <v>INMELC</v>
      </c>
      <c r="AD258" t="str">
        <f t="shared" si="11"/>
        <v>celec</v>
      </c>
      <c r="BD258" t="s">
        <v>1920</v>
      </c>
      <c r="BE258" t="s">
        <v>2994</v>
      </c>
    </row>
    <row r="259" spans="3:57" x14ac:dyDescent="0.25">
      <c r="C259" t="s">
        <v>4177</v>
      </c>
      <c r="E259" t="s">
        <v>4186</v>
      </c>
      <c r="Y259" t="str">
        <f>mapPRC!A359</f>
        <v>ICPOELC-E</v>
      </c>
      <c r="Z259" t="str">
        <f>IFERROR(INDEX($AX$7:$AX$89,MATCH(mapPRC!C359,$AW$7:$AW$89,0)),"")</f>
        <v>cp</v>
      </c>
      <c r="AC259" t="str">
        <f>mapCOM!A289</f>
        <v>INMGAS</v>
      </c>
      <c r="AD259" t="str">
        <f t="shared" si="11"/>
        <v>cngas</v>
      </c>
      <c r="BD259" t="s">
        <v>2038</v>
      </c>
      <c r="BE259" t="s">
        <v>2994</v>
      </c>
    </row>
    <row r="260" spans="3:57" x14ac:dyDescent="0.25">
      <c r="C260" t="s">
        <v>4178</v>
      </c>
      <c r="E260" t="s">
        <v>4187</v>
      </c>
      <c r="Y260" t="str">
        <f>mapPRC!A360</f>
        <v>ICPPELC-E</v>
      </c>
      <c r="Z260" t="str">
        <f>IFERROR(INDEX($AX$7:$AX$89,MATCH(mapPRC!C360,$AW$7:$AW$89,0)),"")</f>
        <v>cp</v>
      </c>
      <c r="AC260" t="str">
        <f>mapCOM!A290</f>
        <v>INMCLCOA</v>
      </c>
      <c r="AD260" t="str">
        <f>AD257</f>
        <v>ccoal-hgh</v>
      </c>
      <c r="BD260" t="s">
        <v>2037</v>
      </c>
      <c r="BE260" t="s">
        <v>2994</v>
      </c>
    </row>
    <row r="261" spans="3:57" x14ac:dyDescent="0.25">
      <c r="C261" t="s">
        <v>4179</v>
      </c>
      <c r="E261" t="s">
        <v>4188</v>
      </c>
      <c r="Y261" t="str">
        <f>mapPRC!A361</f>
        <v>ICPSCLE-E</v>
      </c>
      <c r="Z261" t="str">
        <f>IFERROR(INDEX($AX$7:$AX$89,MATCH(mapPRC!C361,$AW$7:$AW$89,0)),"")</f>
        <v>cp</v>
      </c>
      <c r="AC261" t="str">
        <f>mapCOM!A291</f>
        <v>INMCLGAS</v>
      </c>
      <c r="AD261" t="str">
        <f>AD259</f>
        <v>cngas</v>
      </c>
      <c r="BD261" t="s">
        <v>2036</v>
      </c>
      <c r="BE261" t="s">
        <v>2994</v>
      </c>
    </row>
    <row r="262" spans="3:57" x14ac:dyDescent="0.25">
      <c r="C262" t="s">
        <v>4180</v>
      </c>
      <c r="E262" t="s">
        <v>4189</v>
      </c>
      <c r="Y262" t="str">
        <f>mapPRC!A362</f>
        <v>ICPSELC-E</v>
      </c>
      <c r="Z262" t="str">
        <f>IFERROR(INDEX($AX$7:$AX$89,MATCH(mapPRC!C362,$AW$7:$AW$89,0)),"")</f>
        <v>cp</v>
      </c>
      <c r="AC262" t="str">
        <f>mapCOM!A292</f>
        <v>INMCLOIL</v>
      </c>
      <c r="AD262" t="str">
        <f>AD267</f>
        <v>cpetr-h</v>
      </c>
      <c r="BD262" t="s">
        <v>2035</v>
      </c>
      <c r="BE262" t="s">
        <v>2994</v>
      </c>
    </row>
    <row r="263" spans="3:57" x14ac:dyDescent="0.25">
      <c r="C263" t="s">
        <v>4181</v>
      </c>
      <c r="E263" t="s">
        <v>4190</v>
      </c>
      <c r="Y263" t="str">
        <f>mapPRC!A363</f>
        <v>ICPSELC-N</v>
      </c>
      <c r="Z263" t="str">
        <f>IFERROR(INDEX($AX$7:$AX$89,MATCH(mapPRC!C363,$AW$7:$AW$89,0)),"")</f>
        <v>cp</v>
      </c>
      <c r="AC263" t="str">
        <f>mapCOM!A293</f>
        <v>INMGLA</v>
      </c>
      <c r="AD263" t="str">
        <f t="shared" ref="AD263:AD300" si="12">INDEX($BE$6:$BE$811,MATCH(AC263,$BD$6:$BD$811,0))</f>
        <v/>
      </c>
      <c r="BD263" t="s">
        <v>2034</v>
      </c>
      <c r="BE263" t="s">
        <v>2994</v>
      </c>
    </row>
    <row r="264" spans="3:57" x14ac:dyDescent="0.25">
      <c r="C264" t="s">
        <v>4182</v>
      </c>
      <c r="E264" t="s">
        <v>4191</v>
      </c>
      <c r="Y264" t="str">
        <f>mapPRC!A364</f>
        <v>ICPSHGN-N</v>
      </c>
      <c r="Z264" t="str">
        <f>IFERROR(INDEX($AX$7:$AX$89,MATCH(mapPRC!C364,$AW$7:$AW$89,0)),"")</f>
        <v>cp</v>
      </c>
      <c r="AC264" t="str">
        <f>mapCOM!A294</f>
        <v>INMGLATHF</v>
      </c>
      <c r="AD264" t="str">
        <f t="shared" si="12"/>
        <v/>
      </c>
      <c r="BD264" t="s">
        <v>2033</v>
      </c>
      <c r="BE264" t="s">
        <v>2994</v>
      </c>
    </row>
    <row r="265" spans="3:57" x14ac:dyDescent="0.25">
      <c r="C265" t="s">
        <v>4183</v>
      </c>
      <c r="E265" t="s">
        <v>4192</v>
      </c>
      <c r="Y265" t="str">
        <f>mapPRC!A365</f>
        <v>ICPSGAS-E</v>
      </c>
      <c r="Z265" t="str">
        <f>IFERROR(INDEX($AX$7:$AX$89,MATCH(mapPRC!C365,$AW$7:$AW$89,0)),"")</f>
        <v>cp</v>
      </c>
      <c r="AC265" t="str">
        <f>mapCOM!A295</f>
        <v>INMLIM</v>
      </c>
      <c r="AD265" t="str">
        <f t="shared" si="12"/>
        <v/>
      </c>
      <c r="BD265" t="s">
        <v>2032</v>
      </c>
      <c r="BE265" t="s">
        <v>2994</v>
      </c>
    </row>
    <row r="266" spans="3:57" x14ac:dyDescent="0.25">
      <c r="C266" t="s">
        <v>4184</v>
      </c>
      <c r="E266" t="s">
        <v>4193</v>
      </c>
      <c r="Y266" t="str">
        <f>mapPRC!A366</f>
        <v>ICPSOHF-E</v>
      </c>
      <c r="Z266" t="str">
        <f>IFERROR(INDEX($AX$7:$AX$89,MATCH(mapPRC!C366,$AW$7:$AW$89,0)),"")</f>
        <v>cp</v>
      </c>
      <c r="AC266" t="str">
        <f>mapCOM!A296</f>
        <v>INMLIMTHF</v>
      </c>
      <c r="AD266" t="str">
        <f t="shared" si="12"/>
        <v/>
      </c>
      <c r="BD266" t="s">
        <v>2031</v>
      </c>
      <c r="BE266" t="s">
        <v>2994</v>
      </c>
    </row>
    <row r="267" spans="3:57" x14ac:dyDescent="0.25">
      <c r="C267" t="s">
        <v>4185</v>
      </c>
      <c r="E267" t="s">
        <v>4194</v>
      </c>
      <c r="Y267" t="str">
        <f>mapPRC!A367</f>
        <v>ICPSOLP-E</v>
      </c>
      <c r="Z267" t="str">
        <f>IFERROR(INDEX($AX$7:$AX$89,MATCH(mapPRC!C367,$AW$7:$AW$89,0)),"")</f>
        <v>cp</v>
      </c>
      <c r="AC267" t="str">
        <f>mapCOM!A297</f>
        <v>INMOIL</v>
      </c>
      <c r="AD267" t="str">
        <f t="shared" si="12"/>
        <v>cpetr-h</v>
      </c>
      <c r="BD267" t="s">
        <v>2030</v>
      </c>
      <c r="BE267" t="s">
        <v>2994</v>
      </c>
    </row>
    <row r="268" spans="3:57" x14ac:dyDescent="0.25">
      <c r="C268" t="s">
        <v>4186</v>
      </c>
      <c r="E268" t="s">
        <v>4195</v>
      </c>
      <c r="Y268" t="str">
        <f>mapPRC!A368</f>
        <v>ICPSWAS-E</v>
      </c>
      <c r="Z268" t="str">
        <f>IFERROR(INDEX($AX$7:$AX$89,MATCH(mapPRC!C368,$AW$7:$AW$89,0)),"")</f>
        <v>cp</v>
      </c>
      <c r="AC268" t="str">
        <f>mapCOM!A298</f>
        <v>INMRWM</v>
      </c>
      <c r="AD268" t="str">
        <f t="shared" si="12"/>
        <v/>
      </c>
      <c r="BD268" t="s">
        <v>2029</v>
      </c>
      <c r="BE268" t="s">
        <v>2994</v>
      </c>
    </row>
    <row r="269" spans="3:57" x14ac:dyDescent="0.25">
      <c r="C269" t="s">
        <v>4187</v>
      </c>
      <c r="E269" t="s">
        <v>4196</v>
      </c>
      <c r="Y269" t="str">
        <f>mapPRC!A369</f>
        <v>ICPTGMU-E</v>
      </c>
      <c r="Z269" t="str">
        <f>IFERROR(INDEX($AX$7:$AX$89,MATCH(mapPRC!C369,$AW$7:$AW$89,0)),"")</f>
        <v>cp</v>
      </c>
      <c r="AC269" t="str">
        <f>mapCOM!A299</f>
        <v>IOTA</v>
      </c>
      <c r="AD269" t="str">
        <f t="shared" si="12"/>
        <v/>
      </c>
      <c r="BD269" t="s">
        <v>2027</v>
      </c>
      <c r="BE269" t="s">
        <v>2994</v>
      </c>
    </row>
    <row r="270" spans="3:57" x14ac:dyDescent="0.25">
      <c r="C270" t="s">
        <v>4188</v>
      </c>
      <c r="E270" t="s">
        <v>4197</v>
      </c>
      <c r="Y270" t="str">
        <f>mapPRC!A370</f>
        <v>ICPGASMTH</v>
      </c>
      <c r="Z270" t="str">
        <f>IFERROR(INDEX($AX$7:$AX$89,MATCH(mapPRC!C370,$AW$7:$AW$89,0)),"")</f>
        <v/>
      </c>
      <c r="AC270" t="str">
        <f>mapCOM!A300</f>
        <v>IOTC</v>
      </c>
      <c r="AD270" t="str">
        <f t="shared" si="12"/>
        <v/>
      </c>
      <c r="BD270" t="s">
        <v>2025</v>
      </c>
      <c r="BE270" t="s">
        <v>2994</v>
      </c>
    </row>
    <row r="271" spans="3:57" x14ac:dyDescent="0.25">
      <c r="C271" t="s">
        <v>4189</v>
      </c>
      <c r="E271" t="s">
        <v>4198</v>
      </c>
      <c r="Y271" t="str">
        <f>mapPRC!A371</f>
        <v>ICPGASNH3-E</v>
      </c>
      <c r="Z271" t="str">
        <f>IFERROR(INDEX($AX$7:$AX$89,MATCH(mapPRC!C371,$AW$7:$AW$89,0)),"")</f>
        <v>am</v>
      </c>
      <c r="AC271" t="str">
        <f>mapCOM!A301</f>
        <v>IOTE</v>
      </c>
      <c r="AD271" t="str">
        <f t="shared" si="12"/>
        <v/>
      </c>
      <c r="BD271" t="s">
        <v>2023</v>
      </c>
      <c r="BE271" t="s">
        <v>2994</v>
      </c>
    </row>
    <row r="272" spans="3:57" x14ac:dyDescent="0.25">
      <c r="C272" t="s">
        <v>4190</v>
      </c>
      <c r="E272" t="s">
        <v>4199</v>
      </c>
      <c r="Y272" t="str">
        <f>mapPRC!A372</f>
        <v>ICPHGNMTH</v>
      </c>
      <c r="Z272" t="str">
        <f>IFERROR(INDEX($AX$7:$AX$89,MATCH(mapPRC!C372,$AW$7:$AW$89,0)),"")</f>
        <v/>
      </c>
      <c r="AC272" t="str">
        <f>mapCOM!A302</f>
        <v>IOTELC</v>
      </c>
      <c r="AD272" t="str">
        <f t="shared" si="12"/>
        <v>celec</v>
      </c>
      <c r="BD272" t="s">
        <v>2021</v>
      </c>
      <c r="BE272" t="s">
        <v>2994</v>
      </c>
    </row>
    <row r="273" spans="3:57" x14ac:dyDescent="0.25">
      <c r="C273" t="s">
        <v>4191</v>
      </c>
      <c r="E273" t="s">
        <v>4200</v>
      </c>
      <c r="Y273" t="str">
        <f>mapPRC!A373</f>
        <v>ICPHGNNH3-N</v>
      </c>
      <c r="Z273" t="str">
        <f>IFERROR(INDEX($AX$7:$AX$89,MATCH(mapPRC!C373,$AW$7:$AW$89,0)),"")</f>
        <v>am</v>
      </c>
      <c r="AC273" t="str">
        <f>mapCOM!A303</f>
        <v>IOTF</v>
      </c>
      <c r="AD273" t="str">
        <f t="shared" si="12"/>
        <v/>
      </c>
      <c r="BD273" t="s">
        <v>2019</v>
      </c>
      <c r="BE273" t="s">
        <v>2994</v>
      </c>
    </row>
    <row r="274" spans="3:57" x14ac:dyDescent="0.25">
      <c r="C274" t="s">
        <v>4192</v>
      </c>
      <c r="E274" t="s">
        <v>4201</v>
      </c>
      <c r="Y274" t="str">
        <f>mapPRC!A374</f>
        <v>ICPNH3DEM</v>
      </c>
      <c r="Z274" t="str">
        <f>IFERROR(INDEX($AX$7:$AX$89,MATCH(mapPRC!C374,$AW$7:$AW$89,0)),"")</f>
        <v/>
      </c>
      <c r="AC274" t="str">
        <f>mapCOM!A304</f>
        <v>IOTGAS</v>
      </c>
      <c r="AD274" t="str">
        <f t="shared" si="12"/>
        <v>cngas</v>
      </c>
      <c r="BD274" t="s">
        <v>2017</v>
      </c>
      <c r="BE274" t="s">
        <v>2994</v>
      </c>
    </row>
    <row r="275" spans="3:57" x14ac:dyDescent="0.25">
      <c r="C275" t="s">
        <v>4193</v>
      </c>
      <c r="E275" t="s">
        <v>4202</v>
      </c>
      <c r="Y275" t="str">
        <f>mapPRC!A375</f>
        <v>IFCEAF-E</v>
      </c>
      <c r="Z275" t="str">
        <f>IFERROR(INDEX($AX$7:$AX$89,MATCH(mapPRC!C375,$AW$7:$AW$89,0)),"")</f>
        <v>is</v>
      </c>
      <c r="AC275" t="str">
        <f>mapCOM!A305</f>
        <v>IOTH</v>
      </c>
      <c r="AD275" t="str">
        <f t="shared" si="12"/>
        <v/>
      </c>
      <c r="BD275" t="s">
        <v>2015</v>
      </c>
      <c r="BE275" t="s">
        <v>2994</v>
      </c>
    </row>
    <row r="276" spans="3:57" x14ac:dyDescent="0.25">
      <c r="C276" t="s">
        <v>4194</v>
      </c>
      <c r="E276" t="s">
        <v>4203</v>
      </c>
      <c r="Y276" t="str">
        <f>mapPRC!A376</f>
        <v>IFCEAF-N</v>
      </c>
      <c r="Z276" t="str">
        <f>IFERROR(INDEX($AX$7:$AX$89,MATCH(mapPRC!C376,$AW$7:$AW$89,0)),"")</f>
        <v>is</v>
      </c>
      <c r="AC276" t="str">
        <f>mapCOM!A306</f>
        <v>IOTK</v>
      </c>
      <c r="AD276" t="str">
        <f t="shared" si="12"/>
        <v/>
      </c>
      <c r="BD276" t="s">
        <v>2013</v>
      </c>
      <c r="BE276" t="s">
        <v>2994</v>
      </c>
    </row>
    <row r="277" spans="3:57" x14ac:dyDescent="0.25">
      <c r="C277" t="s">
        <v>4195</v>
      </c>
      <c r="E277" t="s">
        <v>4204</v>
      </c>
      <c r="Y277" t="str">
        <f>mapPRC!A377</f>
        <v>IFCEAFP-N</v>
      </c>
      <c r="Z277" t="str">
        <f>IFERROR(INDEX($AX$7:$AX$89,MATCH(mapPRC!C377,$AW$7:$AW$89,0)),"")</f>
        <v>is</v>
      </c>
      <c r="AC277" t="str">
        <f>mapCOM!A307</f>
        <v>IOTL</v>
      </c>
      <c r="AD277" t="str">
        <f t="shared" si="12"/>
        <v/>
      </c>
      <c r="BD277" t="s">
        <v>1832</v>
      </c>
      <c r="BE277" t="s">
        <v>2994</v>
      </c>
    </row>
    <row r="278" spans="3:57" x14ac:dyDescent="0.25">
      <c r="C278" t="s">
        <v>4196</v>
      </c>
      <c r="E278" t="s">
        <v>4205</v>
      </c>
      <c r="Y278" t="str">
        <f>mapPRC!A378</f>
        <v>IFCEAFPB-N</v>
      </c>
      <c r="Z278" t="str">
        <f>IFERROR(INDEX($AX$7:$AX$89,MATCH(mapPRC!C378,$AW$7:$AW$89,0)),"")</f>
        <v>is</v>
      </c>
      <c r="AC278" t="str">
        <f>mapCOM!A308</f>
        <v>IOTO</v>
      </c>
      <c r="AD278" t="str">
        <f t="shared" si="12"/>
        <v/>
      </c>
      <c r="BD278" t="s">
        <v>1830</v>
      </c>
      <c r="BE278" t="s">
        <v>2994</v>
      </c>
    </row>
    <row r="279" spans="3:57" x14ac:dyDescent="0.25">
      <c r="C279" t="s">
        <v>4197</v>
      </c>
      <c r="E279" t="s">
        <v>4206</v>
      </c>
      <c r="Y279" t="str">
        <f>mapPRC!A379</f>
        <v>IFABIOCHAR</v>
      </c>
      <c r="Z279" t="str">
        <f>IFERROR(INDEX($AX$7:$AX$89,MATCH(mapPRC!C379,$AW$7:$AW$89,0)),"")</f>
        <v>is</v>
      </c>
      <c r="AC279" t="str">
        <f>mapCOM!A309</f>
        <v>IOTP</v>
      </c>
      <c r="AD279" t="str">
        <f t="shared" si="12"/>
        <v/>
      </c>
      <c r="BD279" t="s">
        <v>1828</v>
      </c>
      <c r="BE279" t="s">
        <v>2994</v>
      </c>
    </row>
    <row r="280" spans="3:57" x14ac:dyDescent="0.25">
      <c r="C280" t="s">
        <v>4198</v>
      </c>
      <c r="E280" t="s">
        <v>4207</v>
      </c>
      <c r="Y280" t="str">
        <f>mapPRC!A380</f>
        <v>IFBAELC-E</v>
      </c>
      <c r="Z280" t="str">
        <f>IFERROR(INDEX($AX$7:$AX$89,MATCH(mapPRC!C380,$AW$7:$AW$89,0)),"")</f>
        <v>fb</v>
      </c>
      <c r="AC280" t="str">
        <f>mapCOM!A310</f>
        <v>IOTR</v>
      </c>
      <c r="AD280" t="str">
        <f t="shared" si="12"/>
        <v/>
      </c>
      <c r="BD280" t="s">
        <v>1826</v>
      </c>
      <c r="BE280" t="s">
        <v>2994</v>
      </c>
    </row>
    <row r="281" spans="3:57" x14ac:dyDescent="0.25">
      <c r="C281" t="s">
        <v>4199</v>
      </c>
      <c r="E281" t="s">
        <v>4208</v>
      </c>
      <c r="Y281" t="str">
        <f>mapPRC!A381</f>
        <v>IFBCELC-E</v>
      </c>
      <c r="Z281" t="str">
        <f>IFERROR(INDEX($AX$7:$AX$89,MATCH(mapPRC!C381,$AW$7:$AW$89,0)),"")</f>
        <v>fb</v>
      </c>
      <c r="AC281" t="str">
        <f>mapCOM!A311</f>
        <v>IOTS</v>
      </c>
      <c r="AD281" t="str">
        <f t="shared" si="12"/>
        <v/>
      </c>
      <c r="BD281" t="s">
        <v>1824</v>
      </c>
      <c r="BE281" t="s">
        <v>2994</v>
      </c>
    </row>
    <row r="282" spans="3:57" x14ac:dyDescent="0.25">
      <c r="C282" t="s">
        <v>4200</v>
      </c>
      <c r="E282" t="s">
        <v>4209</v>
      </c>
      <c r="Y282" t="str">
        <f>mapPRC!A382</f>
        <v>IFBEELC-E</v>
      </c>
      <c r="Z282" t="str">
        <f>IFERROR(INDEX($AX$7:$AX$89,MATCH(mapPRC!C382,$AW$7:$AW$89,0)),"")</f>
        <v>fb</v>
      </c>
      <c r="AC282" t="str">
        <f>mapCOM!A315</f>
        <v>IPPBIO</v>
      </c>
      <c r="AD282" t="str">
        <f t="shared" si="12"/>
        <v/>
      </c>
      <c r="BD282" t="s">
        <v>1822</v>
      </c>
      <c r="BE282" t="s">
        <v>2994</v>
      </c>
    </row>
    <row r="283" spans="3:57" x14ac:dyDescent="0.25">
      <c r="C283" t="s">
        <v>4201</v>
      </c>
      <c r="E283" t="s">
        <v>4210</v>
      </c>
      <c r="Y283" t="str">
        <f>mapPRC!A383</f>
        <v>IFBFELC-E</v>
      </c>
      <c r="Z283" t="str">
        <f>IFERROR(INDEX($AX$7:$AX$89,MATCH(mapPRC!C383,$AW$7:$AW$89,0)),"")</f>
        <v>fb</v>
      </c>
      <c r="AC283" t="str">
        <f>mapCOM!A316</f>
        <v>IPPBIP</v>
      </c>
      <c r="BD283" t="s">
        <v>1820</v>
      </c>
      <c r="BE283" t="s">
        <v>2994</v>
      </c>
    </row>
    <row r="284" spans="3:57" x14ac:dyDescent="0.25">
      <c r="C284" t="s">
        <v>4202</v>
      </c>
      <c r="E284" t="s">
        <v>4211</v>
      </c>
      <c r="Y284" t="str">
        <f>mapPRC!A384</f>
        <v>IFBHELC-E</v>
      </c>
      <c r="Z284" t="str">
        <f>IFERROR(INDEX($AX$7:$AX$89,MATCH(mapPRC!C384,$AW$7:$AW$89,0)),"")</f>
        <v>fb</v>
      </c>
      <c r="AC284" t="str">
        <f>mapCOM!A317</f>
        <v>IPPBLQ</v>
      </c>
      <c r="AD284" t="str">
        <f t="shared" si="12"/>
        <v/>
      </c>
      <c r="BD284" t="s">
        <v>1818</v>
      </c>
      <c r="BE284" t="s">
        <v>2994</v>
      </c>
    </row>
    <row r="285" spans="3:57" x14ac:dyDescent="0.25">
      <c r="C285" t="s">
        <v>4203</v>
      </c>
      <c r="E285" t="s">
        <v>4212</v>
      </c>
      <c r="Y285" t="str">
        <f>mapPRC!A385</f>
        <v>IFBKELC-E</v>
      </c>
      <c r="Z285" t="str">
        <f>IFERROR(INDEX($AX$7:$AX$89,MATCH(mapPRC!C385,$AW$7:$AW$89,0)),"")</f>
        <v>fb</v>
      </c>
      <c r="AC285" t="str">
        <f>mapCOM!A318</f>
        <v>IPPCHP</v>
      </c>
      <c r="BD285" t="s">
        <v>1816</v>
      </c>
      <c r="BE285" t="s">
        <v>2994</v>
      </c>
    </row>
    <row r="286" spans="3:57" x14ac:dyDescent="0.25">
      <c r="C286" t="s">
        <v>4204</v>
      </c>
      <c r="E286" t="s">
        <v>4213</v>
      </c>
      <c r="Y286" t="str">
        <f>mapPRC!A386</f>
        <v>IFBLELC-E</v>
      </c>
      <c r="Z286" t="str">
        <f>IFERROR(INDEX($AX$7:$AX$89,MATCH(mapPRC!C386,$AW$7:$AW$89,0)),"")</f>
        <v>fb</v>
      </c>
      <c r="AC286" t="str">
        <f>mapCOM!A319</f>
        <v>IPPCOA</v>
      </c>
      <c r="AD286" t="str">
        <f t="shared" si="12"/>
        <v>ccoal-hgh</v>
      </c>
      <c r="BD286" t="s">
        <v>1814</v>
      </c>
      <c r="BE286" t="s">
        <v>2994</v>
      </c>
    </row>
    <row r="287" spans="3:57" x14ac:dyDescent="0.25">
      <c r="C287" t="s">
        <v>4205</v>
      </c>
      <c r="E287" t="s">
        <v>4214</v>
      </c>
      <c r="Y287" t="str">
        <f>mapPRC!A387</f>
        <v>IFBOELC-E</v>
      </c>
      <c r="Z287" t="str">
        <f>IFERROR(INDEX($AX$7:$AX$89,MATCH(mapPRC!C387,$AW$7:$AW$89,0)),"")</f>
        <v>fb</v>
      </c>
      <c r="AC287" t="str">
        <f>mapCOM!A320</f>
        <v>IPPELC</v>
      </c>
      <c r="AD287" t="str">
        <f t="shared" si="12"/>
        <v>celec</v>
      </c>
      <c r="BD287" t="s">
        <v>1812</v>
      </c>
      <c r="BE287" t="s">
        <v>2994</v>
      </c>
    </row>
    <row r="288" spans="3:57" x14ac:dyDescent="0.25">
      <c r="C288" t="s">
        <v>4206</v>
      </c>
      <c r="E288" t="s">
        <v>4215</v>
      </c>
      <c r="Y288" t="str">
        <f>mapPRC!A388</f>
        <v>IFBPELC-E</v>
      </c>
      <c r="Z288" t="str">
        <f>IFERROR(INDEX($AX$7:$AX$89,MATCH(mapPRC!C388,$AW$7:$AW$89,0)),"")</f>
        <v>fb</v>
      </c>
      <c r="AC288" t="str">
        <f>mapCOM!A321</f>
        <v>IPPGAS</v>
      </c>
      <c r="AD288" t="str">
        <f t="shared" si="12"/>
        <v>cngas</v>
      </c>
      <c r="BD288" t="s">
        <v>1918</v>
      </c>
      <c r="BE288" t="s">
        <v>2994</v>
      </c>
    </row>
    <row r="289" spans="3:57" x14ac:dyDescent="0.25">
      <c r="C289" t="s">
        <v>4207</v>
      </c>
      <c r="E289" t="s">
        <v>4216</v>
      </c>
      <c r="Y289" t="str">
        <f>mapPRC!A389</f>
        <v>IFBSBIB-E</v>
      </c>
      <c r="Z289" t="str">
        <f>IFERROR(INDEX($AX$7:$AX$89,MATCH(mapPRC!C389,$AW$7:$AW$89,0)),"")</f>
        <v>fb</v>
      </c>
      <c r="AC289" t="str">
        <f>mapCOM!A322</f>
        <v>IPPODS</v>
      </c>
      <c r="AD289" t="str">
        <f t="shared" si="12"/>
        <v>cpetr-d</v>
      </c>
      <c r="BD289" t="s">
        <v>1916</v>
      </c>
      <c r="BE289" t="s">
        <v>2994</v>
      </c>
    </row>
    <row r="290" spans="3:57" x14ac:dyDescent="0.25">
      <c r="C290" t="s">
        <v>4208</v>
      </c>
      <c r="E290" t="s">
        <v>4217</v>
      </c>
      <c r="Y290" t="str">
        <f>mapPRC!A390</f>
        <v>IFBSCOA-E</v>
      </c>
      <c r="Z290" t="str">
        <f>IFERROR(INDEX($AX$7:$AX$89,MATCH(mapPRC!C390,$AW$7:$AW$89,0)),"")</f>
        <v>fb</v>
      </c>
      <c r="AC290" t="str">
        <f>mapCOM!A323</f>
        <v>IPPOGS</v>
      </c>
      <c r="AD290" t="str">
        <f t="shared" si="12"/>
        <v/>
      </c>
      <c r="BD290" t="s">
        <v>1914</v>
      </c>
      <c r="BE290" t="s">
        <v>2994</v>
      </c>
    </row>
    <row r="291" spans="3:57" x14ac:dyDescent="0.25">
      <c r="C291" t="s">
        <v>4209</v>
      </c>
      <c r="E291" t="s">
        <v>4218</v>
      </c>
      <c r="Y291" t="str">
        <f>mapPRC!A391</f>
        <v>IFBSELC-E</v>
      </c>
      <c r="Z291" t="str">
        <f>IFERROR(INDEX($AX$7:$AX$89,MATCH(mapPRC!C391,$AW$7:$AW$89,0)),"")</f>
        <v>fb</v>
      </c>
      <c r="AC291" t="str">
        <f>mapCOM!A324</f>
        <v>IPPOHF</v>
      </c>
      <c r="AD291" t="str">
        <f t="shared" si="12"/>
        <v>cpetr-h</v>
      </c>
      <c r="BD291" t="s">
        <v>1912</v>
      </c>
      <c r="BE291" t="s">
        <v>2994</v>
      </c>
    </row>
    <row r="292" spans="3:57" x14ac:dyDescent="0.25">
      <c r="C292" t="s">
        <v>4210</v>
      </c>
      <c r="E292" t="s">
        <v>4219</v>
      </c>
      <c r="Y292" t="str">
        <f>mapPRC!A392</f>
        <v>IFBSELC-N</v>
      </c>
      <c r="Z292" t="str">
        <f>IFERROR(INDEX($AX$7:$AX$89,MATCH(mapPRC!C392,$AW$7:$AW$89,0)),"")</f>
        <v>fb</v>
      </c>
      <c r="AC292" t="str">
        <f>mapCOM!A325</f>
        <v>IPPOLP</v>
      </c>
      <c r="AD292" t="str">
        <f t="shared" si="12"/>
        <v>cpetr-l</v>
      </c>
      <c r="BD292" t="s">
        <v>1910</v>
      </c>
      <c r="BE292" t="s">
        <v>2994</v>
      </c>
    </row>
    <row r="293" spans="3:57" x14ac:dyDescent="0.25">
      <c r="C293" t="s">
        <v>4211</v>
      </c>
      <c r="E293" t="s">
        <v>4220</v>
      </c>
      <c r="Y293" t="str">
        <f>mapPRC!A393</f>
        <v>IFBSHGN-N</v>
      </c>
      <c r="Z293" t="str">
        <f>IFERROR(INDEX($AX$7:$AX$89,MATCH(mapPRC!C393,$AW$7:$AW$89,0)),"")</f>
        <v>fb</v>
      </c>
      <c r="AC293" t="str">
        <f>mapCOM!A326</f>
        <v>IPPPAP</v>
      </c>
      <c r="AD293" t="str">
        <f t="shared" si="12"/>
        <v/>
      </c>
      <c r="BD293" t="s">
        <v>1908</v>
      </c>
      <c r="BE293" t="s">
        <v>2994</v>
      </c>
    </row>
    <row r="294" spans="3:57" x14ac:dyDescent="0.25">
      <c r="C294" t="s">
        <v>4212</v>
      </c>
      <c r="E294" t="s">
        <v>4221</v>
      </c>
      <c r="Y294" t="str">
        <f>mapPRC!A394</f>
        <v>IFBSGAS-E</v>
      </c>
      <c r="Z294" t="str">
        <f>IFERROR(INDEX($AX$7:$AX$89,MATCH(mapPRC!C394,$AW$7:$AW$89,0)),"")</f>
        <v>fb</v>
      </c>
      <c r="AC294" t="str">
        <f>mapCOM!A327</f>
        <v>IPPPULP</v>
      </c>
      <c r="AD294" t="str">
        <f t="shared" si="12"/>
        <v/>
      </c>
      <c r="BD294" t="s">
        <v>1906</v>
      </c>
      <c r="BE294" t="s">
        <v>2994</v>
      </c>
    </row>
    <row r="295" spans="3:57" x14ac:dyDescent="0.25">
      <c r="C295" t="s">
        <v>4213</v>
      </c>
      <c r="E295" t="s">
        <v>4222</v>
      </c>
      <c r="Y295" t="str">
        <f>mapPRC!A395</f>
        <v>IFBSOHF-E</v>
      </c>
      <c r="Z295" t="str">
        <f>IFERROR(INDEX($AX$7:$AX$89,MATCH(mapPRC!C395,$AW$7:$AW$89,0)),"")</f>
        <v>fb</v>
      </c>
      <c r="AC295" t="str">
        <f>mapCOM!A328</f>
        <v>IPPPULPD</v>
      </c>
      <c r="AD295" t="str">
        <f t="shared" si="12"/>
        <v/>
      </c>
      <c r="BD295" t="s">
        <v>1904</v>
      </c>
      <c r="BE295" t="s">
        <v>2994</v>
      </c>
    </row>
    <row r="296" spans="3:57" x14ac:dyDescent="0.25">
      <c r="C296" t="s">
        <v>4214</v>
      </c>
      <c r="E296" t="s">
        <v>4223</v>
      </c>
      <c r="Y296" t="str">
        <f>mapPRC!A396</f>
        <v>IFBSOLP-E</v>
      </c>
      <c r="Z296" t="str">
        <f>IFERROR(INDEX($AX$7:$AX$89,MATCH(mapPRC!C396,$AW$7:$AW$89,0)),"")</f>
        <v>fb</v>
      </c>
      <c r="AC296" t="str">
        <f>mapCOM!A329</f>
        <v>IPPREC</v>
      </c>
      <c r="AD296" t="str">
        <f t="shared" si="12"/>
        <v/>
      </c>
      <c r="BD296" t="s">
        <v>1902</v>
      </c>
      <c r="BE296" t="s">
        <v>2994</v>
      </c>
    </row>
    <row r="297" spans="3:57" x14ac:dyDescent="0.25">
      <c r="C297" t="s">
        <v>4215</v>
      </c>
      <c r="E297" t="s">
        <v>4224</v>
      </c>
      <c r="Y297" t="str">
        <f>mapPRC!A397</f>
        <v>IFBSWAS-E</v>
      </c>
      <c r="Z297" t="str">
        <f>IFERROR(INDEX($AX$7:$AX$89,MATCH(mapPRC!C397,$AW$7:$AW$89,0)),"")</f>
        <v>fb</v>
      </c>
      <c r="AC297" t="str">
        <f>mapCOM!A330</f>
        <v>IPPSTM</v>
      </c>
      <c r="AD297" t="str">
        <f t="shared" si="12"/>
        <v/>
      </c>
      <c r="BD297" t="s">
        <v>1900</v>
      </c>
      <c r="BE297" t="s">
        <v>2994</v>
      </c>
    </row>
    <row r="298" spans="3:57" x14ac:dyDescent="0.25">
      <c r="C298" t="s">
        <v>4216</v>
      </c>
      <c r="E298" t="s">
        <v>4225</v>
      </c>
      <c r="Y298" t="str">
        <f>mapPRC!A398</f>
        <v>IFMEAFB-N</v>
      </c>
      <c r="Z298" t="str">
        <f>IFERROR(INDEX($AX$7:$AX$89,MATCH(mapPRC!C398,$AW$7:$AW$89,0)),"")</f>
        <v>is</v>
      </c>
      <c r="AC298" t="str">
        <f>mapCOM!A331</f>
        <v>IPPTHF</v>
      </c>
      <c r="AD298" t="str">
        <f t="shared" si="12"/>
        <v/>
      </c>
      <c r="BD298" t="s">
        <v>1898</v>
      </c>
      <c r="BE298" t="s">
        <v>2994</v>
      </c>
    </row>
    <row r="299" spans="3:57" x14ac:dyDescent="0.25">
      <c r="C299" t="s">
        <v>4217</v>
      </c>
      <c r="E299" t="s">
        <v>4226</v>
      </c>
      <c r="Y299" t="str">
        <f>mapPRC!A399</f>
        <v>IFMEAF-E</v>
      </c>
      <c r="Z299" t="str">
        <f>IFERROR(INDEX($AX$7:$AX$89,MATCH(mapPRC!C399,$AW$7:$AW$89,0)),"")</f>
        <v>is</v>
      </c>
      <c r="AC299" t="str">
        <f>mapCOM!A342</f>
        <v>MTH</v>
      </c>
      <c r="AD299" t="str">
        <f t="shared" si="12"/>
        <v/>
      </c>
      <c r="BD299" t="s">
        <v>1896</v>
      </c>
      <c r="BE299" t="s">
        <v>2994</v>
      </c>
    </row>
    <row r="300" spans="3:57" x14ac:dyDescent="0.25">
      <c r="C300" t="s">
        <v>4218</v>
      </c>
      <c r="E300" t="s">
        <v>4227</v>
      </c>
      <c r="Y300" t="str">
        <f>mapPRC!A400</f>
        <v>IFMEAF-N</v>
      </c>
      <c r="Z300" t="str">
        <f>IFERROR(INDEX($AX$7:$AX$89,MATCH(mapPRC!C400,$AW$7:$AW$89,0)),"")</f>
        <v>is</v>
      </c>
      <c r="AC300" t="str">
        <f>mapCOM!A343</f>
        <v>N2OS</v>
      </c>
      <c r="AD300" t="str">
        <f t="shared" si="12"/>
        <v/>
      </c>
      <c r="BD300" t="s">
        <v>1894</v>
      </c>
      <c r="BE300" t="s">
        <v>2994</v>
      </c>
    </row>
    <row r="301" spans="3:57" x14ac:dyDescent="0.25">
      <c r="C301" t="s">
        <v>4219</v>
      </c>
      <c r="E301" t="s">
        <v>4228</v>
      </c>
      <c r="Y301" t="str">
        <f>mapPRC!A401</f>
        <v>IISBFBOF-E</v>
      </c>
      <c r="Z301" t="str">
        <f>IFERROR(INDEX($AX$7:$AX$89,MATCH(mapPRC!C401,$AW$7:$AW$89,0)),"")</f>
        <v>is</v>
      </c>
      <c r="AC301" t="str">
        <f>mapCOM!A344</f>
        <v>NH3</v>
      </c>
      <c r="AD301" t="s">
        <v>3840</v>
      </c>
      <c r="BD301" t="s">
        <v>1892</v>
      </c>
      <c r="BE301" t="s">
        <v>2994</v>
      </c>
    </row>
    <row r="302" spans="3:57" x14ac:dyDescent="0.25">
      <c r="C302" t="s">
        <v>4220</v>
      </c>
      <c r="E302" t="s">
        <v>4229</v>
      </c>
      <c r="Y302" t="str">
        <f>mapPRC!A402</f>
        <v>IISBFBOF-N</v>
      </c>
      <c r="Z302" t="str">
        <f>IFERROR(INDEX($AX$7:$AX$89,MATCH(mapPRC!C402,$AW$7:$AW$89,0)),"")</f>
        <v>is</v>
      </c>
      <c r="AC302" t="str">
        <f>mapCOM!A345</f>
        <v>NH3G</v>
      </c>
      <c r="AD302" t="s">
        <v>3840</v>
      </c>
      <c r="BD302" t="s">
        <v>1890</v>
      </c>
      <c r="BE302" t="s">
        <v>2994</v>
      </c>
    </row>
    <row r="303" spans="3:57" x14ac:dyDescent="0.25">
      <c r="C303" t="s">
        <v>4221</v>
      </c>
      <c r="E303" t="s">
        <v>4230</v>
      </c>
      <c r="Y303" t="str">
        <f>mapPRC!A403</f>
        <v>IISCDRI-E</v>
      </c>
      <c r="Z303" t="str">
        <f>IFERROR(INDEX($AX$7:$AX$89,MATCH(mapPRC!C403,$AW$7:$AW$89,0)),"")</f>
        <v>is</v>
      </c>
      <c r="AC303" t="str">
        <f>mapCOM!A346</f>
        <v>NMVS</v>
      </c>
      <c r="AD303" t="str">
        <f t="shared" ref="AD303:AD311" si="13">INDEX($BE$6:$BE$811,MATCH(AC303,$BD$6:$BD$811,0))</f>
        <v/>
      </c>
      <c r="BD303" t="s">
        <v>1888</v>
      </c>
      <c r="BE303" t="s">
        <v>2994</v>
      </c>
    </row>
    <row r="304" spans="3:57" x14ac:dyDescent="0.25">
      <c r="C304" t="s">
        <v>4222</v>
      </c>
      <c r="E304" t="s">
        <v>4231</v>
      </c>
      <c r="Y304" t="str">
        <f>mapPRC!A404</f>
        <v>IISCDRI-N</v>
      </c>
      <c r="Z304" t="str">
        <f>IFERROR(INDEX($AX$7:$AX$89,MATCH(mapPRC!C404,$AW$7:$AW$89,0)),"")</f>
        <v>is</v>
      </c>
      <c r="AC304" t="str">
        <f>mapCOM!A347</f>
        <v>NOXS</v>
      </c>
      <c r="AD304" t="str">
        <f t="shared" si="13"/>
        <v/>
      </c>
      <c r="BD304" t="s">
        <v>1886</v>
      </c>
      <c r="BE304" t="s">
        <v>2994</v>
      </c>
    </row>
    <row r="305" spans="3:57" x14ac:dyDescent="0.25">
      <c r="C305" t="s">
        <v>4223</v>
      </c>
      <c r="E305" t="s">
        <v>4232</v>
      </c>
      <c r="Y305" t="str">
        <f>mapPRC!A405</f>
        <v>IISCOV-E</v>
      </c>
      <c r="Z305" t="str">
        <f>IFERROR(INDEX($AX$7:$AX$89,MATCH(mapPRC!C405,$AW$7:$AW$89,0)),"")</f>
        <v>is</v>
      </c>
      <c r="AC305" t="str">
        <f>mapCOM!A348</f>
        <v>NUC</v>
      </c>
      <c r="AD305" t="str">
        <f t="shared" si="13"/>
        <v/>
      </c>
      <c r="BD305" t="s">
        <v>1884</v>
      </c>
      <c r="BE305" t="s">
        <v>2994</v>
      </c>
    </row>
    <row r="306" spans="3:57" x14ac:dyDescent="0.25">
      <c r="C306" t="s">
        <v>4224</v>
      </c>
      <c r="E306" t="s">
        <v>4233</v>
      </c>
      <c r="Y306" t="str">
        <f>mapPRC!A406</f>
        <v>IISDRIEAF-E</v>
      </c>
      <c r="Z306" t="str">
        <f>IFERROR(INDEX($AX$7:$AX$89,MATCH(mapPRC!C406,$AW$7:$AW$89,0)),"")</f>
        <v>is</v>
      </c>
      <c r="AC306" t="str">
        <f>mapCOM!A349</f>
        <v>OAG</v>
      </c>
      <c r="AD306" t="str">
        <f t="shared" si="13"/>
        <v>cpetr-k</v>
      </c>
      <c r="BD306" t="s">
        <v>1882</v>
      </c>
      <c r="BE306" t="s">
        <v>2994</v>
      </c>
    </row>
    <row r="307" spans="3:57" x14ac:dyDescent="0.25">
      <c r="C307" t="s">
        <v>4225</v>
      </c>
      <c r="E307" t="s">
        <v>4234</v>
      </c>
      <c r="Y307" t="str">
        <f>mapPRC!A407</f>
        <v>IISEAF-N</v>
      </c>
      <c r="Z307" t="str">
        <f>IFERROR(INDEX($AX$7:$AX$89,MATCH(mapPRC!C407,$AW$7:$AW$89,0)),"")</f>
        <v>is</v>
      </c>
      <c r="AC307" t="str">
        <f>mapCOM!A350</f>
        <v>OCR</v>
      </c>
      <c r="AD307" t="str">
        <f t="shared" si="13"/>
        <v>ccoil</v>
      </c>
      <c r="BD307" t="s">
        <v>1880</v>
      </c>
      <c r="BE307" t="s">
        <v>2994</v>
      </c>
    </row>
    <row r="308" spans="3:57" x14ac:dyDescent="0.25">
      <c r="C308" t="s">
        <v>4226</v>
      </c>
      <c r="E308" t="s">
        <v>4235</v>
      </c>
      <c r="Y308" t="str">
        <f>mapPRC!A408</f>
        <v>IISGDRI-N</v>
      </c>
      <c r="Z308" t="str">
        <f>IFERROR(INDEX($AX$7:$AX$89,MATCH(mapPRC!C408,$AW$7:$AW$89,0)),"")</f>
        <v>is</v>
      </c>
      <c r="AC308" t="str">
        <f>mapCOM!A351</f>
        <v>ODS</v>
      </c>
      <c r="AD308" t="str">
        <f t="shared" si="13"/>
        <v>cpetr-d</v>
      </c>
      <c r="BD308" t="s">
        <v>1878</v>
      </c>
      <c r="BE308" t="s">
        <v>2994</v>
      </c>
    </row>
    <row r="309" spans="3:57" x14ac:dyDescent="0.25">
      <c r="C309" t="s">
        <v>4227</v>
      </c>
      <c r="E309" t="s">
        <v>4236</v>
      </c>
      <c r="Y309" t="str">
        <f>mapPRC!A409</f>
        <v>IISHALKHGN</v>
      </c>
      <c r="Z309" t="str">
        <f>IFERROR(INDEX($AX$7:$AX$89,MATCH(mapPRC!C409,$AW$7:$AW$89,0)),"")</f>
        <v/>
      </c>
      <c r="AC309" t="str">
        <f>mapCOM!A352</f>
        <v>OGS</v>
      </c>
      <c r="AD309" t="str">
        <f t="shared" si="13"/>
        <v>cpetr-p</v>
      </c>
      <c r="BD309" t="s">
        <v>1876</v>
      </c>
      <c r="BE309" t="s">
        <v>2994</v>
      </c>
    </row>
    <row r="310" spans="3:57" x14ac:dyDescent="0.25">
      <c r="C310" t="s">
        <v>4228</v>
      </c>
      <c r="E310" t="s">
        <v>4237</v>
      </c>
      <c r="Y310" t="str">
        <f>mapPRC!A410</f>
        <v>IISHDRI-N</v>
      </c>
      <c r="Z310" t="str">
        <f>IFERROR(INDEX($AX$7:$AX$89,MATCH(mapPRC!C410,$AW$7:$AW$89,0)),"")</f>
        <v>is</v>
      </c>
      <c r="AC310" t="str">
        <f>mapCOM!A353</f>
        <v>OHF</v>
      </c>
      <c r="AD310" t="str">
        <f t="shared" si="13"/>
        <v>cpetr-h</v>
      </c>
      <c r="BD310" t="s">
        <v>1874</v>
      </c>
      <c r="BE310" t="s">
        <v>2994</v>
      </c>
    </row>
    <row r="311" spans="3:57" x14ac:dyDescent="0.25">
      <c r="C311" t="s">
        <v>4229</v>
      </c>
      <c r="E311" t="s">
        <v>4238</v>
      </c>
      <c r="Y311" t="str">
        <f>mapPRC!A411</f>
        <v>IISHGNSTOR-N</v>
      </c>
      <c r="Z311" t="str">
        <f>IFERROR(INDEX($AX$7:$AX$89,MATCH(mapPRC!C411,$AW$7:$AW$89,0)),"")</f>
        <v/>
      </c>
      <c r="AC311" t="str">
        <f>mapCOM!A354</f>
        <v>OKE</v>
      </c>
      <c r="AD311" t="str">
        <f t="shared" si="13"/>
        <v>cpetr-k</v>
      </c>
      <c r="BD311" t="s">
        <v>1872</v>
      </c>
      <c r="BE311" t="s">
        <v>2994</v>
      </c>
    </row>
    <row r="312" spans="3:57" x14ac:dyDescent="0.25">
      <c r="C312" t="s">
        <v>4230</v>
      </c>
      <c r="E312" t="s">
        <v>4239</v>
      </c>
      <c r="Y312" t="str">
        <f>mapPRC!A412</f>
        <v>IISMOE-N</v>
      </c>
      <c r="Z312" t="str">
        <f>IFERROR(INDEX($AX$7:$AX$89,MATCH(mapPRC!C412,$AW$7:$AW$89,0)),"")</f>
        <v>is</v>
      </c>
      <c r="AC312" t="str">
        <f>mapCOM!A355</f>
        <v>OKG</v>
      </c>
      <c r="AD312" t="s">
        <v>3872</v>
      </c>
      <c r="BD312" t="s">
        <v>1870</v>
      </c>
      <c r="BE312" t="s">
        <v>2994</v>
      </c>
    </row>
    <row r="313" spans="3:57" x14ac:dyDescent="0.25">
      <c r="C313" t="s">
        <v>4231</v>
      </c>
      <c r="E313" t="s">
        <v>4240</v>
      </c>
      <c r="Y313" t="str">
        <f>mapPRC!A413</f>
        <v>IISPELTS-N</v>
      </c>
      <c r="Z313" t="str">
        <f>IFERROR(INDEX($AX$7:$AX$89,MATCH(mapPRC!C413,$AW$7:$AW$89,0)),"")</f>
        <v>is</v>
      </c>
      <c r="AC313" t="str">
        <f>mapCOM!A356</f>
        <v>OLP</v>
      </c>
      <c r="AD313" t="str">
        <f t="shared" ref="AD313:AD344" si="14">INDEX($BE$6:$BE$811,MATCH(AC313,$BD$6:$BD$811,0))</f>
        <v>cpetr-l</v>
      </c>
      <c r="BD313" t="s">
        <v>2011</v>
      </c>
      <c r="BE313" t="s">
        <v>2994</v>
      </c>
    </row>
    <row r="314" spans="3:57" x14ac:dyDescent="0.25">
      <c r="C314" t="s">
        <v>4232</v>
      </c>
      <c r="E314" t="s">
        <v>4241</v>
      </c>
      <c r="Y314" t="str">
        <f>mapPRC!A414</f>
        <v>IISSALD-E</v>
      </c>
      <c r="Z314" t="str">
        <f>IFERROR(INDEX($AX$7:$AX$89,MATCH(mapPRC!C414,$AW$7:$AW$89,0)),"")</f>
        <v>is</v>
      </c>
      <c r="AC314" t="str">
        <f>mapCOM!A357</f>
        <v>OTH</v>
      </c>
      <c r="AD314" t="str">
        <f t="shared" si="14"/>
        <v/>
      </c>
      <c r="BD314" t="s">
        <v>2010</v>
      </c>
      <c r="BE314" t="s">
        <v>2994</v>
      </c>
    </row>
    <row r="315" spans="3:57" x14ac:dyDescent="0.25">
      <c r="C315" t="s">
        <v>4233</v>
      </c>
      <c r="E315" t="s">
        <v>4242</v>
      </c>
      <c r="Y315" t="str">
        <f>mapPRC!A415</f>
        <v>IISSALDHGN</v>
      </c>
      <c r="Z315" t="str">
        <f>IFERROR(INDEX($AX$7:$AX$89,MATCH(mapPRC!C415,$AW$7:$AW$89,0)),"")</f>
        <v>is</v>
      </c>
      <c r="AC315" t="str">
        <f>mapCOM!A358</f>
        <v>OXYEXP</v>
      </c>
      <c r="AD315" t="str">
        <f t="shared" si="14"/>
        <v/>
      </c>
      <c r="BD315" t="s">
        <v>2009</v>
      </c>
      <c r="BE315" t="s">
        <v>2994</v>
      </c>
    </row>
    <row r="316" spans="3:57" x14ac:dyDescent="0.25">
      <c r="C316" t="s">
        <v>4234</v>
      </c>
      <c r="E316" t="s">
        <v>4243</v>
      </c>
      <c r="Y316" t="str">
        <f>mapPRC!A416</f>
        <v>IISSCREAF-E</v>
      </c>
      <c r="Z316" t="str">
        <f>IFERROR(INDEX($AX$7:$AX$89,MATCH(mapPRC!C416,$AW$7:$AW$89,0)),"")</f>
        <v>is</v>
      </c>
      <c r="AC316" t="str">
        <f>mapCOM!A360</f>
        <v>PWR_FLAB-M</v>
      </c>
      <c r="AD316" t="str">
        <f t="shared" si="14"/>
        <v/>
      </c>
      <c r="BD316" t="s">
        <v>1810</v>
      </c>
      <c r="BE316" t="s">
        <v>2996</v>
      </c>
    </row>
    <row r="317" spans="3:57" x14ac:dyDescent="0.25">
      <c r="C317" t="s">
        <v>4235</v>
      </c>
      <c r="E317" t="s">
        <v>4244</v>
      </c>
      <c r="Y317" t="str">
        <f>mapPRC!A417</f>
        <v>IISSCREAF-N</v>
      </c>
      <c r="Z317" t="str">
        <f>IFERROR(INDEX($AX$7:$AX$89,MATCH(mapPRC!C417,$AW$7:$AW$89,0)),"")</f>
        <v>is</v>
      </c>
      <c r="AC317" t="str">
        <f>mapCOM!A361</f>
        <v>PWR_FLAB-P</v>
      </c>
      <c r="AD317" t="str">
        <f t="shared" si="14"/>
        <v/>
      </c>
      <c r="BD317" t="s">
        <v>2008</v>
      </c>
      <c r="BE317" t="s">
        <v>2994</v>
      </c>
    </row>
    <row r="318" spans="3:57" x14ac:dyDescent="0.25">
      <c r="C318" t="s">
        <v>4236</v>
      </c>
      <c r="E318" t="s">
        <v>4245</v>
      </c>
      <c r="Y318" t="str">
        <f>mapPRC!A418</f>
        <v>IMIAELC-E</v>
      </c>
      <c r="Z318" t="str">
        <f>IFERROR(INDEX($AX$7:$AX$89,MATCH(mapPRC!C418,$AW$7:$AW$89,0)),"")</f>
        <v>mi</v>
      </c>
      <c r="AC318" t="str">
        <f>mapCOM!A362</f>
        <v>PWR_FLAB-S</v>
      </c>
      <c r="AD318" t="str">
        <f t="shared" si="14"/>
        <v/>
      </c>
      <c r="BD318" t="s">
        <v>3604</v>
      </c>
      <c r="BE318" t="s">
        <v>2995</v>
      </c>
    </row>
    <row r="319" spans="3:57" x14ac:dyDescent="0.25">
      <c r="C319" t="s">
        <v>4237</v>
      </c>
      <c r="E319" t="s">
        <v>4246</v>
      </c>
      <c r="Y319" t="str">
        <f>mapPRC!A419</f>
        <v>IMICELC-E</v>
      </c>
      <c r="Z319" t="str">
        <f>IFERROR(INDEX($AX$7:$AX$89,MATCH(mapPRC!C419,$AW$7:$AW$89,0)),"")</f>
        <v>mi</v>
      </c>
      <c r="AC319" t="str">
        <f>mapCOM!A363</f>
        <v>PWR_FLAB-T</v>
      </c>
      <c r="AD319" t="str">
        <f t="shared" si="14"/>
        <v/>
      </c>
      <c r="BD319" t="s">
        <v>1808</v>
      </c>
      <c r="BE319" t="s">
        <v>2995</v>
      </c>
    </row>
    <row r="320" spans="3:57" x14ac:dyDescent="0.25">
      <c r="C320" t="s">
        <v>4238</v>
      </c>
      <c r="E320" t="s">
        <v>4247</v>
      </c>
      <c r="Y320" t="str">
        <f>mapPRC!A420</f>
        <v>IMIEELC-E</v>
      </c>
      <c r="Z320" t="str">
        <f>IFERROR(INDEX($AX$7:$AX$89,MATCH(mapPRC!C420,$AW$7:$AW$89,0)),"")</f>
        <v>mi</v>
      </c>
      <c r="AC320" t="str">
        <f>mapCOM!A364</f>
        <v>PWRBIB</v>
      </c>
      <c r="AD320" t="str">
        <f t="shared" si="14"/>
        <v/>
      </c>
      <c r="BD320" t="s">
        <v>2007</v>
      </c>
      <c r="BE320" t="s">
        <v>2994</v>
      </c>
    </row>
    <row r="321" spans="3:57" x14ac:dyDescent="0.25">
      <c r="C321" t="s">
        <v>4239</v>
      </c>
      <c r="E321" t="s">
        <v>4248</v>
      </c>
      <c r="Y321" t="str">
        <f>mapPRC!A421</f>
        <v>IMIFELC-E</v>
      </c>
      <c r="Z321" t="str">
        <f>IFERROR(INDEX($AX$7:$AX$89,MATCH(mapPRC!C421,$AW$7:$AW$89,0)),"")</f>
        <v>mi</v>
      </c>
      <c r="AC321" t="str">
        <f>mapCOM!A365</f>
        <v>PWRBIG</v>
      </c>
      <c r="AD321" t="str">
        <f t="shared" si="14"/>
        <v/>
      </c>
      <c r="BD321" t="s">
        <v>2006</v>
      </c>
      <c r="BE321" t="s">
        <v>2994</v>
      </c>
    </row>
    <row r="322" spans="3:57" x14ac:dyDescent="0.25">
      <c r="C322" t="s">
        <v>4240</v>
      </c>
      <c r="E322" t="s">
        <v>4249</v>
      </c>
      <c r="Y322" t="str">
        <f>mapPRC!A422</f>
        <v>IMIHELC-E</v>
      </c>
      <c r="Z322" t="str">
        <f>IFERROR(INDEX($AX$7:$AX$89,MATCH(mapPRC!C422,$AW$7:$AW$89,0)),"")</f>
        <v>mi</v>
      </c>
      <c r="AC322" t="str">
        <f>mapCOM!A366</f>
        <v>PWRBIO</v>
      </c>
      <c r="AD322" t="str">
        <f t="shared" si="14"/>
        <v/>
      </c>
      <c r="BD322" t="s">
        <v>2005</v>
      </c>
      <c r="BE322" t="s">
        <v>2994</v>
      </c>
    </row>
    <row r="323" spans="3:57" x14ac:dyDescent="0.25">
      <c r="C323" t="s">
        <v>4241</v>
      </c>
      <c r="E323" t="s">
        <v>4250</v>
      </c>
      <c r="Y323" t="str">
        <f>mapPRC!A423</f>
        <v>IMIKELC-E</v>
      </c>
      <c r="Z323" t="str">
        <f>IFERROR(INDEX($AX$7:$AX$89,MATCH(mapPRC!C423,$AW$7:$AW$89,0)),"")</f>
        <v>mi</v>
      </c>
      <c r="AC323" t="str">
        <f>mapCOM!A367</f>
        <v>PWRBIW</v>
      </c>
      <c r="AD323" t="str">
        <f t="shared" si="14"/>
        <v/>
      </c>
      <c r="BD323" t="s">
        <v>2004</v>
      </c>
      <c r="BE323" t="s">
        <v>2994</v>
      </c>
    </row>
    <row r="324" spans="3:57" x14ac:dyDescent="0.25">
      <c r="C324" t="s">
        <v>4242</v>
      </c>
      <c r="E324" t="s">
        <v>4251</v>
      </c>
      <c r="Y324" t="str">
        <f>mapPRC!A424</f>
        <v>IMILELC-E</v>
      </c>
      <c r="Z324" t="str">
        <f>IFERROR(INDEX($AX$7:$AX$89,MATCH(mapPRC!C424,$AW$7:$AW$89,0)),"")</f>
        <v>mi</v>
      </c>
      <c r="AC324" t="str">
        <f>mapCOM!A368</f>
        <v>PWRCH4R</v>
      </c>
      <c r="AD324" t="str">
        <f t="shared" si="14"/>
        <v/>
      </c>
      <c r="BD324" t="s">
        <v>2003</v>
      </c>
      <c r="BE324" t="s">
        <v>2994</v>
      </c>
    </row>
    <row r="325" spans="3:57" x14ac:dyDescent="0.25">
      <c r="C325" t="s">
        <v>4243</v>
      </c>
      <c r="E325" t="s">
        <v>4252</v>
      </c>
      <c r="Y325" t="str">
        <f>mapPRC!A425</f>
        <v>IMIOELC-E</v>
      </c>
      <c r="Z325" t="str">
        <f>IFERROR(INDEX($AX$7:$AX$89,MATCH(mapPRC!C425,$AW$7:$AW$89,0)),"")</f>
        <v>mi</v>
      </c>
      <c r="AC325" t="str">
        <f>mapCOM!A369</f>
        <v>PWRCH4S</v>
      </c>
      <c r="AD325" t="str">
        <f t="shared" si="14"/>
        <v/>
      </c>
      <c r="BD325" t="s">
        <v>2002</v>
      </c>
      <c r="BE325" t="s">
        <v>2994</v>
      </c>
    </row>
    <row r="326" spans="3:57" x14ac:dyDescent="0.25">
      <c r="C326" t="s">
        <v>4244</v>
      </c>
      <c r="E326" t="s">
        <v>4253</v>
      </c>
      <c r="Y326" t="str">
        <f>mapPRC!A426</f>
        <v>IMIPELC-E</v>
      </c>
      <c r="Z326" t="str">
        <f>IFERROR(INDEX($AX$7:$AX$89,MATCH(mapPRC!C426,$AW$7:$AW$89,0)),"")</f>
        <v>mi</v>
      </c>
      <c r="AC326" t="str">
        <f>mapCOM!A370</f>
        <v>PWRCLD</v>
      </c>
      <c r="AD326" t="str">
        <f t="shared" si="14"/>
        <v>ccoal-dis</v>
      </c>
      <c r="BD326" t="s">
        <v>2001</v>
      </c>
      <c r="BE326" t="s">
        <v>2994</v>
      </c>
    </row>
    <row r="327" spans="3:57" x14ac:dyDescent="0.25">
      <c r="C327" t="s">
        <v>4245</v>
      </c>
      <c r="E327" t="s">
        <v>4254</v>
      </c>
      <c r="Y327" t="str">
        <f>mapPRC!A427</f>
        <v>IMIRODS-E</v>
      </c>
      <c r="Z327" t="str">
        <f>IFERROR(INDEX($AX$7:$AX$89,MATCH(mapPRC!C427,$AW$7:$AW$89,0)),"")</f>
        <v>mi</v>
      </c>
      <c r="AC327" t="str">
        <f>mapCOM!A371</f>
        <v>PWRCLE</v>
      </c>
      <c r="AD327" t="str">
        <f t="shared" si="14"/>
        <v>ccoal-low</v>
      </c>
      <c r="BD327" t="s">
        <v>1868</v>
      </c>
      <c r="BE327" t="s">
        <v>2994</v>
      </c>
    </row>
    <row r="328" spans="3:57" x14ac:dyDescent="0.25">
      <c r="C328" t="s">
        <v>4246</v>
      </c>
      <c r="E328" t="s">
        <v>4255</v>
      </c>
      <c r="Y328" t="str">
        <f>mapPRC!A428</f>
        <v>IMIRELC-E</v>
      </c>
      <c r="Z328" t="str">
        <f>IFERROR(INDEX($AX$7:$AX$89,MATCH(mapPRC!C428,$AW$7:$AW$89,0)),"")</f>
        <v>mi</v>
      </c>
      <c r="AC328" t="str">
        <f>mapCOM!A372</f>
        <v>PWRCLEARNO</v>
      </c>
      <c r="AD328" t="str">
        <f t="shared" si="14"/>
        <v>ccoal-low</v>
      </c>
      <c r="BD328" t="s">
        <v>3606</v>
      </c>
      <c r="BE328" t="s">
        <v>2994</v>
      </c>
    </row>
    <row r="329" spans="3:57" x14ac:dyDescent="0.25">
      <c r="C329" t="s">
        <v>4247</v>
      </c>
      <c r="E329" t="s">
        <v>4256</v>
      </c>
      <c r="Y329" t="str">
        <f>mapPRC!A429</f>
        <v>IMISCOA-E</v>
      </c>
      <c r="Z329" t="str">
        <f>IFERROR(INDEX($AX$7:$AX$89,MATCH(mapPRC!C429,$AW$7:$AW$89,0)),"")</f>
        <v>mi</v>
      </c>
      <c r="AC329" t="str">
        <f>mapCOM!A373</f>
        <v>PWRCLECAMD</v>
      </c>
      <c r="AD329" t="str">
        <f t="shared" si="14"/>
        <v>ccoal-low</v>
      </c>
      <c r="BD329" t="s">
        <v>3727</v>
      </c>
      <c r="BE329" t="s">
        <v>2994</v>
      </c>
    </row>
    <row r="330" spans="3:57" x14ac:dyDescent="0.25">
      <c r="C330" t="s">
        <v>4248</v>
      </c>
      <c r="E330" t="s">
        <v>4257</v>
      </c>
      <c r="Y330" t="str">
        <f>mapPRC!A430</f>
        <v>IMISELC-E</v>
      </c>
      <c r="Z330" t="str">
        <f>IFERROR(INDEX($AX$7:$AX$89,MATCH(mapPRC!C430,$AW$7:$AW$89,0)),"")</f>
        <v>mi</v>
      </c>
      <c r="AC330" t="str">
        <f>mapCOM!A374</f>
        <v>PWRCLEDUVH</v>
      </c>
      <c r="AD330" t="str">
        <f t="shared" si="14"/>
        <v>ccoal-low</v>
      </c>
      <c r="BD330" t="s">
        <v>1806</v>
      </c>
      <c r="BE330" t="s">
        <v>2996</v>
      </c>
    </row>
    <row r="331" spans="3:57" x14ac:dyDescent="0.25">
      <c r="C331" t="s">
        <v>4249</v>
      </c>
      <c r="E331" t="s">
        <v>4258</v>
      </c>
      <c r="Y331" t="str">
        <f>mapPRC!A431</f>
        <v>IMISELC-N</v>
      </c>
      <c r="Z331" t="str">
        <f>IFERROR(INDEX($AX$7:$AX$89,MATCH(mapPRC!C431,$AW$7:$AW$89,0)),"")</f>
        <v>mi</v>
      </c>
      <c r="AC331" t="str">
        <f>mapCOM!A375</f>
        <v>PWRCLEGROO</v>
      </c>
      <c r="AD331" t="str">
        <f t="shared" si="14"/>
        <v>ccoal-low</v>
      </c>
      <c r="BD331" t="s">
        <v>1804</v>
      </c>
      <c r="BE331" t="s">
        <v>2995</v>
      </c>
    </row>
    <row r="332" spans="3:57" x14ac:dyDescent="0.25">
      <c r="C332" t="s">
        <v>4250</v>
      </c>
      <c r="E332" t="s">
        <v>4259</v>
      </c>
      <c r="Y332" t="str">
        <f>mapPRC!A432</f>
        <v>IMISHGN-N</v>
      </c>
      <c r="Z332" t="str">
        <f>IFERROR(INDEX($AX$7:$AX$89,MATCH(mapPRC!C432,$AW$7:$AW$89,0)),"")</f>
        <v>mi</v>
      </c>
      <c r="AC332" t="str">
        <f>mapCOM!A376</f>
        <v>PWRCLEHEND</v>
      </c>
      <c r="AD332" t="str">
        <f t="shared" si="14"/>
        <v>ccoal-low</v>
      </c>
      <c r="BD332" t="s">
        <v>2000</v>
      </c>
      <c r="BE332" t="s">
        <v>2994</v>
      </c>
    </row>
    <row r="333" spans="3:57" x14ac:dyDescent="0.25">
      <c r="C333" t="s">
        <v>4251</v>
      </c>
      <c r="E333" t="s">
        <v>4260</v>
      </c>
      <c r="Y333" t="str">
        <f>mapPRC!A433</f>
        <v>IMISGAS-E</v>
      </c>
      <c r="Z333" t="str">
        <f>IFERROR(INDEX($AX$7:$AX$89,MATCH(mapPRC!C433,$AW$7:$AW$89,0)),"")</f>
        <v>mi</v>
      </c>
      <c r="AC333" t="str">
        <f>mapCOM!A377</f>
        <v>PWRCLEKEND</v>
      </c>
      <c r="AD333" t="str">
        <f t="shared" si="14"/>
        <v>ccoal-low</v>
      </c>
      <c r="BD333" t="s">
        <v>1999</v>
      </c>
      <c r="BE333" t="s">
        <v>2994</v>
      </c>
    </row>
    <row r="334" spans="3:57" x14ac:dyDescent="0.25">
      <c r="C334" t="s">
        <v>4252</v>
      </c>
      <c r="E334" t="s">
        <v>4261</v>
      </c>
      <c r="Y334" t="str">
        <f>mapPRC!A434</f>
        <v>IMISOHF-E</v>
      </c>
      <c r="Z334" t="str">
        <f>IFERROR(INDEX($AX$7:$AX$89,MATCH(mapPRC!C434,$AW$7:$AW$89,0)),"")</f>
        <v>mi</v>
      </c>
      <c r="AC334" t="str">
        <f>mapCOM!A378</f>
        <v>PWRCLEKOMA</v>
      </c>
      <c r="AD334" t="str">
        <f t="shared" si="14"/>
        <v>ccoal-low</v>
      </c>
      <c r="BD334" t="s">
        <v>1998</v>
      </c>
      <c r="BE334" t="s">
        <v>2994</v>
      </c>
    </row>
    <row r="335" spans="3:57" x14ac:dyDescent="0.25">
      <c r="C335" t="s">
        <v>4253</v>
      </c>
      <c r="E335" t="s">
        <v>4262</v>
      </c>
      <c r="Y335" t="str">
        <f>mapPRC!A435</f>
        <v>IMISOLP-E</v>
      </c>
      <c r="Z335" t="str">
        <f>IFERROR(INDEX($AX$7:$AX$89,MATCH(mapPRC!C435,$AW$7:$AW$89,0)),"")</f>
        <v>mi</v>
      </c>
      <c r="AC335" t="str">
        <f>mapCOM!A379</f>
        <v>PWRCLEKRIE</v>
      </c>
      <c r="AD335" t="str">
        <f t="shared" si="14"/>
        <v>ccoal-low</v>
      </c>
      <c r="BD335" t="s">
        <v>1802</v>
      </c>
      <c r="BE335" t="s">
        <v>2996</v>
      </c>
    </row>
    <row r="336" spans="3:57" x14ac:dyDescent="0.25">
      <c r="C336" t="s">
        <v>4254</v>
      </c>
      <c r="E336" t="s">
        <v>4263</v>
      </c>
      <c r="Y336" t="str">
        <f>mapPRC!A436</f>
        <v>IMISWAS-E</v>
      </c>
      <c r="Z336" t="str">
        <f>IFERROR(INDEX($AX$7:$AX$89,MATCH(mapPRC!C436,$AW$7:$AW$89,0)),"")</f>
        <v>mi</v>
      </c>
      <c r="AC336" t="str">
        <f>mapCOM!A380</f>
        <v>PWRCLEKUSI</v>
      </c>
      <c r="AD336" t="str">
        <f t="shared" si="14"/>
        <v>ccoal-low</v>
      </c>
      <c r="BD336" t="s">
        <v>1997</v>
      </c>
      <c r="BE336" t="s">
        <v>2994</v>
      </c>
    </row>
    <row r="337" spans="3:57" x14ac:dyDescent="0.25">
      <c r="C337" t="s">
        <v>4255</v>
      </c>
      <c r="E337" t="s">
        <v>4264</v>
      </c>
      <c r="Y337" t="str">
        <f>mapPRC!A437</f>
        <v>IMPBID</v>
      </c>
      <c r="Z337" t="str">
        <f>IFERROR(INDEX($AX$7:$AX$89,MATCH(mapPRC!C437,$AW$7:$AW$89,0)),"")</f>
        <v>imp</v>
      </c>
      <c r="AC337" t="str">
        <f>mapCOM!A381</f>
        <v>PWRCLELETH</v>
      </c>
      <c r="AD337" t="str">
        <f t="shared" si="14"/>
        <v>ccoal-low</v>
      </c>
      <c r="BD337" t="s">
        <v>1800</v>
      </c>
      <c r="BE337" t="s">
        <v>2995</v>
      </c>
    </row>
    <row r="338" spans="3:57" x14ac:dyDescent="0.25">
      <c r="C338" t="s">
        <v>4256</v>
      </c>
      <c r="E338" t="s">
        <v>4265</v>
      </c>
      <c r="Y338" t="str">
        <f>mapPRC!A438</f>
        <v>IMPBIE</v>
      </c>
      <c r="Z338" t="str">
        <f>IFERROR(INDEX($AX$7:$AX$89,MATCH(mapPRC!C438,$AW$7:$AW$89,0)),"")</f>
        <v>imp</v>
      </c>
      <c r="AC338" t="str">
        <f>mapCOM!A382</f>
        <v>PWRCLEMAJU</v>
      </c>
      <c r="AD338" t="str">
        <f t="shared" si="14"/>
        <v>ccoal-low</v>
      </c>
      <c r="BD338" t="s">
        <v>1996</v>
      </c>
      <c r="BE338" t="s">
        <v>2994</v>
      </c>
    </row>
    <row r="339" spans="3:57" x14ac:dyDescent="0.25">
      <c r="C339" t="s">
        <v>4257</v>
      </c>
      <c r="E339" t="s">
        <v>4266</v>
      </c>
      <c r="Y339" t="str">
        <f>mapPRC!A439</f>
        <v>IMPCOK</v>
      </c>
      <c r="Z339" t="str">
        <f>IFERROR(INDEX($AX$7:$AX$89,MATCH(mapPRC!C439,$AW$7:$AW$89,0)),"")</f>
        <v>imp</v>
      </c>
      <c r="AC339" t="str">
        <f>mapCOM!A383</f>
        <v>PWRCLEMATI</v>
      </c>
      <c r="AD339" t="str">
        <f t="shared" si="14"/>
        <v>ccoal-low</v>
      </c>
      <c r="BD339" t="s">
        <v>1995</v>
      </c>
      <c r="BE339" t="s">
        <v>2994</v>
      </c>
    </row>
    <row r="340" spans="3:57" x14ac:dyDescent="0.25">
      <c r="C340" t="s">
        <v>4258</v>
      </c>
      <c r="E340" t="s">
        <v>4267</v>
      </c>
      <c r="Y340" t="str">
        <f>mapPRC!A440</f>
        <v>IMPCRS</v>
      </c>
      <c r="Z340" t="str">
        <f>IFERROR(INDEX($AX$7:$AX$89,MATCH(mapPRC!C440,$AW$7:$AW$89,0)),"")</f>
        <v>imp</v>
      </c>
      <c r="AC340" t="str">
        <f>mapCOM!A384</f>
        <v>PWRCLEMATL</v>
      </c>
      <c r="AD340" t="str">
        <f t="shared" si="14"/>
        <v>ccoal-low</v>
      </c>
      <c r="BD340" t="s">
        <v>1994</v>
      </c>
      <c r="BE340" t="s">
        <v>2994</v>
      </c>
    </row>
    <row r="341" spans="3:57" x14ac:dyDescent="0.25">
      <c r="C341" t="s">
        <v>4259</v>
      </c>
      <c r="E341" t="s">
        <v>4268</v>
      </c>
      <c r="Y341" t="str">
        <f>mapPRC!A441</f>
        <v>IMPGRL</v>
      </c>
      <c r="Z341" t="str">
        <f>IFERROR(INDEX($AX$7:$AX$89,MATCH(mapPRC!C441,$AW$7:$AW$89,0)),"")</f>
        <v>imp</v>
      </c>
      <c r="AC341" t="str">
        <f>mapCOM!A385</f>
        <v>PWRCLEMEDU</v>
      </c>
      <c r="AD341" t="str">
        <f t="shared" si="14"/>
        <v>ccoal-low</v>
      </c>
      <c r="BD341" t="s">
        <v>1993</v>
      </c>
      <c r="BE341" t="s">
        <v>2994</v>
      </c>
    </row>
    <row r="342" spans="3:57" x14ac:dyDescent="0.25">
      <c r="C342" t="s">
        <v>4260</v>
      </c>
      <c r="E342" t="s">
        <v>4269</v>
      </c>
      <c r="Y342" t="str">
        <f>mapPRC!A442</f>
        <v>IMPGWL</v>
      </c>
      <c r="Z342" t="str">
        <f>IFERROR(INDEX($AX$7:$AX$89,MATCH(mapPRC!C442,$AW$7:$AW$89,0)),"")</f>
        <v>imp</v>
      </c>
      <c r="AC342" t="str">
        <f>mapCOM!A386</f>
        <v>PWRCLETUTU</v>
      </c>
      <c r="AD342" t="str">
        <f t="shared" si="14"/>
        <v>ccoal-low</v>
      </c>
      <c r="BD342" t="s">
        <v>1992</v>
      </c>
      <c r="BE342" t="s">
        <v>2994</v>
      </c>
    </row>
    <row r="343" spans="3:57" x14ac:dyDescent="0.25">
      <c r="C343" t="s">
        <v>4261</v>
      </c>
      <c r="E343" t="s">
        <v>4270</v>
      </c>
      <c r="Y343" t="str">
        <f>mapPRC!A443</f>
        <v>IMPNH3</v>
      </c>
      <c r="Z343" t="str">
        <f>IFERROR(INDEX($AX$7:$AX$89,MATCH(mapPRC!C443,$AW$7:$AW$89,0)),"")</f>
        <v>imp</v>
      </c>
      <c r="AC343" t="str">
        <f>mapCOM!A387</f>
        <v>PWRCLEWATE</v>
      </c>
      <c r="AD343" t="str">
        <f t="shared" si="14"/>
        <v>ccoal-low</v>
      </c>
      <c r="BD343" t="s">
        <v>1991</v>
      </c>
      <c r="BE343" t="s">
        <v>2994</v>
      </c>
    </row>
    <row r="344" spans="3:57" x14ac:dyDescent="0.25">
      <c r="C344" t="s">
        <v>4262</v>
      </c>
      <c r="E344" t="s">
        <v>4271</v>
      </c>
      <c r="Y344" t="str">
        <f>mapPRC!A444</f>
        <v>IMPNUC</v>
      </c>
      <c r="Z344" t="str">
        <f>IFERROR(INDEX($AX$7:$AX$89,MATCH(mapPRC!C444,$AW$7:$AW$89,0)),"")</f>
        <v>imp</v>
      </c>
      <c r="AC344" t="str">
        <f>mapCOM!A388</f>
        <v>PWRCMOR</v>
      </c>
      <c r="AD344" t="str">
        <f t="shared" si="14"/>
        <v/>
      </c>
      <c r="BD344" t="s">
        <v>1798</v>
      </c>
      <c r="BE344" t="s">
        <v>2994</v>
      </c>
    </row>
    <row r="345" spans="3:57" x14ac:dyDescent="0.25">
      <c r="C345" t="s">
        <v>4263</v>
      </c>
      <c r="E345" t="s">
        <v>4272</v>
      </c>
      <c r="Y345" t="str">
        <f>mapPRC!A445</f>
        <v>IMPOAG</v>
      </c>
      <c r="Z345" t="str">
        <f>IFERROR(INDEX($AX$7:$AX$89,MATCH(mapPRC!C445,$AW$7:$AW$89,0)),"")</f>
        <v>imp</v>
      </c>
      <c r="AC345" t="str">
        <f>mapCOM!A389</f>
        <v>PWRCMOX</v>
      </c>
      <c r="AD345" t="str">
        <f t="shared" ref="AD345:AD376" si="15">INDEX($BE$6:$BE$811,MATCH(AC345,$BD$6:$BD$811,0))</f>
        <v/>
      </c>
      <c r="BD345" t="s">
        <v>1796</v>
      </c>
      <c r="BE345" t="s">
        <v>2994</v>
      </c>
    </row>
    <row r="346" spans="3:57" x14ac:dyDescent="0.25">
      <c r="C346" t="s">
        <v>4264</v>
      </c>
      <c r="E346" t="s">
        <v>4273</v>
      </c>
      <c r="Y346" t="str">
        <f>mapPRC!A446</f>
        <v>IMPOCR</v>
      </c>
      <c r="Z346" t="str">
        <f>IFERROR(INDEX($AX$7:$AX$89,MATCH(mapPRC!C446,$AW$7:$AW$89,0)),"")</f>
        <v>imp</v>
      </c>
      <c r="AC346" t="str">
        <f>mapCOM!A390</f>
        <v>PWRCO2R</v>
      </c>
      <c r="AD346" t="str">
        <f t="shared" si="15"/>
        <v/>
      </c>
      <c r="BD346" t="s">
        <v>1794</v>
      </c>
      <c r="BE346" t="s">
        <v>2997</v>
      </c>
    </row>
    <row r="347" spans="3:57" x14ac:dyDescent="0.25">
      <c r="C347" t="s">
        <v>4265</v>
      </c>
      <c r="E347" t="s">
        <v>4274</v>
      </c>
      <c r="Y347" t="str">
        <f>mapPRC!A447</f>
        <v>IMPODS</v>
      </c>
      <c r="Z347" t="str">
        <f>IFERROR(INDEX($AX$7:$AX$89,MATCH(mapPRC!C447,$AW$7:$AW$89,0)),"")</f>
        <v>imp</v>
      </c>
      <c r="AC347" t="str">
        <f>mapCOM!A391</f>
        <v>PWRCO2S</v>
      </c>
      <c r="AD347" t="str">
        <f t="shared" si="15"/>
        <v/>
      </c>
      <c r="BD347" t="s">
        <v>1791</v>
      </c>
      <c r="BE347" t="s">
        <v>2994</v>
      </c>
    </row>
    <row r="348" spans="3:57" x14ac:dyDescent="0.25">
      <c r="C348" t="s">
        <v>4266</v>
      </c>
      <c r="E348" t="s">
        <v>4275</v>
      </c>
      <c r="Y348" t="str">
        <f>mapPRC!A448</f>
        <v>IMPOGS</v>
      </c>
      <c r="Z348" t="str">
        <f>IFERROR(INDEX($AX$7:$AX$89,MATCH(mapPRC!C448,$AW$7:$AW$89,0)),"")</f>
        <v>imp</v>
      </c>
      <c r="AC348" t="str">
        <f>mapCOM!A392</f>
        <v>PWRCRB</v>
      </c>
      <c r="AD348" t="str">
        <f t="shared" si="15"/>
        <v/>
      </c>
      <c r="BD348" t="s">
        <v>1789</v>
      </c>
      <c r="BE348" t="s">
        <v>2997</v>
      </c>
    </row>
    <row r="349" spans="3:57" x14ac:dyDescent="0.25">
      <c r="C349" t="s">
        <v>4267</v>
      </c>
      <c r="E349" t="s">
        <v>4276</v>
      </c>
      <c r="Y349" t="str">
        <f>mapPRC!A449</f>
        <v>IMPOHF</v>
      </c>
      <c r="Z349" t="str">
        <f>IFERROR(INDEX($AX$7:$AX$89,MATCH(mapPRC!C449,$AW$7:$AW$89,0)),"")</f>
        <v>imp</v>
      </c>
      <c r="AC349" t="str">
        <f>mapCOM!A393</f>
        <v>PWRENV</v>
      </c>
      <c r="AD349" t="str">
        <f t="shared" si="15"/>
        <v/>
      </c>
      <c r="BD349" t="s">
        <v>1787</v>
      </c>
      <c r="BE349" t="s">
        <v>2994</v>
      </c>
    </row>
    <row r="350" spans="3:57" x14ac:dyDescent="0.25">
      <c r="C350" t="s">
        <v>4268</v>
      </c>
      <c r="E350" t="s">
        <v>4277</v>
      </c>
      <c r="Y350" t="str">
        <f>mapPRC!A450</f>
        <v>IMPOKE</v>
      </c>
      <c r="Z350" t="str">
        <f>IFERROR(INDEX($AX$7:$AX$89,MATCH(mapPRC!C450,$AW$7:$AW$89,0)),"")</f>
        <v>imp</v>
      </c>
      <c r="AC350" t="str">
        <f>mapCOM!A394</f>
        <v>PWRGAS</v>
      </c>
      <c r="AD350" t="str">
        <f t="shared" si="15"/>
        <v>cngas</v>
      </c>
      <c r="BD350" t="s">
        <v>1866</v>
      </c>
      <c r="BE350" t="s">
        <v>2994</v>
      </c>
    </row>
    <row r="351" spans="3:57" x14ac:dyDescent="0.25">
      <c r="C351" t="s">
        <v>4269</v>
      </c>
      <c r="E351" t="s">
        <v>4278</v>
      </c>
      <c r="Y351" t="str">
        <f>mapPRC!A451</f>
        <v>IMPOLP</v>
      </c>
      <c r="Z351" t="str">
        <f>IFERROR(INDEX($AX$7:$AX$89,MATCH(mapPRC!C451,$AW$7:$AW$89,0)),"")</f>
        <v>imp</v>
      </c>
      <c r="AC351" t="str">
        <f>mapCOM!A395</f>
        <v>PWRGIC</v>
      </c>
      <c r="AD351" t="str">
        <f t="shared" si="15"/>
        <v>cngas</v>
      </c>
      <c r="BD351" t="s">
        <v>1783</v>
      </c>
      <c r="BE351" t="s">
        <v>2996</v>
      </c>
    </row>
    <row r="352" spans="3:57" x14ac:dyDescent="0.25">
      <c r="C352" t="s">
        <v>4270</v>
      </c>
      <c r="E352" t="s">
        <v>4279</v>
      </c>
      <c r="Y352" t="str">
        <f>mapPRC!A452</f>
        <v>IMPcmach_e</v>
      </c>
      <c r="Z352" t="str">
        <f>IFERROR(INDEX($AX$7:$AX$89,MATCH(mapPRC!C452,$AW$7:$AW$89,0)),"")</f>
        <v/>
      </c>
      <c r="AC352" t="str">
        <f>mapCOM!A396</f>
        <v>PWRGIH</v>
      </c>
      <c r="AD352" t="str">
        <f t="shared" si="15"/>
        <v>cngas</v>
      </c>
      <c r="BD352" t="s">
        <v>1781</v>
      </c>
      <c r="BE352" t="s">
        <v>2995</v>
      </c>
    </row>
    <row r="353" spans="3:57" x14ac:dyDescent="0.25">
      <c r="C353" t="s">
        <v>4271</v>
      </c>
      <c r="E353" t="s">
        <v>4280</v>
      </c>
      <c r="Y353" t="str">
        <f>mapPRC!A453</f>
        <v>IMPcemch_e</v>
      </c>
      <c r="Z353" t="str">
        <f>IFERROR(INDEX($AX$7:$AX$89,MATCH(mapPRC!C453,$AW$7:$AW$89,0)),"")</f>
        <v/>
      </c>
      <c r="AC353" t="str">
        <f>mapCOM!A397</f>
        <v>PWRGRM</v>
      </c>
      <c r="AD353" t="str">
        <f t="shared" si="15"/>
        <v>cngas</v>
      </c>
      <c r="BD353" t="s">
        <v>1779</v>
      </c>
      <c r="BE353" t="s">
        <v>3870</v>
      </c>
    </row>
    <row r="354" spans="3:57" x14ac:dyDescent="0.25">
      <c r="C354" t="s">
        <v>4272</v>
      </c>
      <c r="E354" t="s">
        <v>4281</v>
      </c>
      <c r="Y354" t="str">
        <f>mapPRC!A454</f>
        <v>IMPcmetp</v>
      </c>
      <c r="Z354" t="str">
        <f>IFERROR(INDEX($AX$7:$AX$89,MATCH(mapPRC!C454,$AW$7:$AW$89,0)),"")</f>
        <v/>
      </c>
      <c r="AC354" t="str">
        <f>mapCOM!A398</f>
        <v>PWRGRN</v>
      </c>
      <c r="AD354" t="str">
        <f t="shared" si="15"/>
        <v>cngas</v>
      </c>
      <c r="BD354" t="s">
        <v>1778</v>
      </c>
      <c r="BE354" t="s">
        <v>3871</v>
      </c>
    </row>
    <row r="355" spans="3:57" x14ac:dyDescent="0.25">
      <c r="C355" t="s">
        <v>4273</v>
      </c>
      <c r="E355" t="s">
        <v>4282</v>
      </c>
      <c r="Y355" t="str">
        <f>mapPRC!A455</f>
        <v>INFAELC-E</v>
      </c>
      <c r="Z355" t="str">
        <f>IFERROR(INDEX($AX$7:$AX$89,MATCH(mapPRC!C455,$AW$7:$AW$89,0)),"")</f>
        <v>nf</v>
      </c>
      <c r="AC355" t="str">
        <f>mapCOM!A399</f>
        <v>PWRGRS</v>
      </c>
      <c r="AD355" t="str">
        <f t="shared" si="15"/>
        <v>cngas</v>
      </c>
      <c r="BD355" t="s">
        <v>1777</v>
      </c>
      <c r="BE355" t="s">
        <v>2994</v>
      </c>
    </row>
    <row r="356" spans="3:57" x14ac:dyDescent="0.25">
      <c r="C356" t="s">
        <v>4274</v>
      </c>
      <c r="E356" t="s">
        <v>4283</v>
      </c>
      <c r="Y356" t="str">
        <f>mapPRC!A456</f>
        <v>INFCELC-E</v>
      </c>
      <c r="Z356" t="str">
        <f>IFERROR(INDEX($AX$7:$AX$89,MATCH(mapPRC!C456,$AW$7:$AW$89,0)),"")</f>
        <v>nf</v>
      </c>
      <c r="AC356" t="str">
        <f>mapCOM!A400</f>
        <v>PWRHGN</v>
      </c>
      <c r="AD356" t="str">
        <f t="shared" si="15"/>
        <v>chydr</v>
      </c>
      <c r="BD356" t="s">
        <v>1774</v>
      </c>
      <c r="BE356" t="s">
        <v>2994</v>
      </c>
    </row>
    <row r="357" spans="3:57" x14ac:dyDescent="0.25">
      <c r="C357" t="s">
        <v>4275</v>
      </c>
      <c r="E357" t="s">
        <v>4284</v>
      </c>
      <c r="Y357" t="str">
        <f>mapPRC!A457</f>
        <v>INFEELC-E</v>
      </c>
      <c r="Z357" t="str">
        <f>IFERROR(INDEX($AX$7:$AX$89,MATCH(mapPRC!C457,$AW$7:$AW$89,0)),"")</f>
        <v>nf</v>
      </c>
      <c r="AC357" t="str">
        <f>mapCOM!A401</f>
        <v>PWRHYD</v>
      </c>
      <c r="AD357" t="str">
        <f t="shared" si="15"/>
        <v/>
      </c>
      <c r="BD357" t="s">
        <v>1990</v>
      </c>
      <c r="BE357" t="s">
        <v>2994</v>
      </c>
    </row>
    <row r="358" spans="3:57" x14ac:dyDescent="0.25">
      <c r="C358" t="s">
        <v>4276</v>
      </c>
      <c r="E358" t="s">
        <v>4285</v>
      </c>
      <c r="Y358" t="str">
        <f>mapPRC!A458</f>
        <v>INFFELC-E</v>
      </c>
      <c r="Z358" t="str">
        <f>IFERROR(INDEX($AX$7:$AX$89,MATCH(mapPRC!C458,$AW$7:$AW$89,0)),"")</f>
        <v>nf</v>
      </c>
      <c r="AC358" t="str">
        <f>mapCOM!A402</f>
        <v>PWRN2OR</v>
      </c>
      <c r="AD358" t="str">
        <f t="shared" si="15"/>
        <v/>
      </c>
      <c r="BD358" t="s">
        <v>1989</v>
      </c>
      <c r="BE358" t="s">
        <v>2994</v>
      </c>
    </row>
    <row r="359" spans="3:57" x14ac:dyDescent="0.25">
      <c r="C359" t="s">
        <v>4277</v>
      </c>
      <c r="E359" t="s">
        <v>4286</v>
      </c>
      <c r="Y359" t="str">
        <f>mapPRC!A459</f>
        <v>INFHELC-E</v>
      </c>
      <c r="Z359" t="str">
        <f>IFERROR(INDEX($AX$7:$AX$89,MATCH(mapPRC!C459,$AW$7:$AW$89,0)),"")</f>
        <v>nf</v>
      </c>
      <c r="AC359" t="str">
        <f>mapCOM!A403</f>
        <v>PWRN2OS</v>
      </c>
      <c r="AD359" t="str">
        <f t="shared" si="15"/>
        <v/>
      </c>
      <c r="BD359" t="s">
        <v>1988</v>
      </c>
      <c r="BE359" t="s">
        <v>2994</v>
      </c>
    </row>
    <row r="360" spans="3:57" x14ac:dyDescent="0.25">
      <c r="C360" t="s">
        <v>4278</v>
      </c>
      <c r="E360" t="s">
        <v>4287</v>
      </c>
      <c r="Y360" t="str">
        <f>mapPRC!A460</f>
        <v>INFKELC-E</v>
      </c>
      <c r="Z360" t="str">
        <f>IFERROR(INDEX($AX$7:$AX$89,MATCH(mapPRC!C460,$AW$7:$AW$89,0)),"")</f>
        <v>nf</v>
      </c>
      <c r="AC360" t="str">
        <f>mapCOM!A404</f>
        <v>PWRNMVR</v>
      </c>
      <c r="AD360" t="str">
        <f t="shared" si="15"/>
        <v/>
      </c>
      <c r="BD360" t="s">
        <v>1771</v>
      </c>
      <c r="BE360" t="s">
        <v>2996</v>
      </c>
    </row>
    <row r="361" spans="3:57" x14ac:dyDescent="0.25">
      <c r="C361" t="s">
        <v>4279</v>
      </c>
      <c r="E361" t="s">
        <v>4288</v>
      </c>
      <c r="Y361" t="str">
        <f>mapPRC!A461</f>
        <v>INFLELC-E</v>
      </c>
      <c r="Z361" t="str">
        <f>IFERROR(INDEX($AX$7:$AX$89,MATCH(mapPRC!C461,$AW$7:$AW$89,0)),"")</f>
        <v>nf</v>
      </c>
      <c r="AC361" t="str">
        <f>mapCOM!A405</f>
        <v>PWRNMVS</v>
      </c>
      <c r="AD361" t="str">
        <f t="shared" si="15"/>
        <v/>
      </c>
      <c r="BD361" t="s">
        <v>1987</v>
      </c>
      <c r="BE361" t="s">
        <v>2994</v>
      </c>
    </row>
    <row r="362" spans="3:57" x14ac:dyDescent="0.25">
      <c r="C362" t="s">
        <v>4280</v>
      </c>
      <c r="E362" t="s">
        <v>4289</v>
      </c>
      <c r="Y362" t="str">
        <f>mapPRC!A462</f>
        <v>INFOELC-E</v>
      </c>
      <c r="Z362" t="str">
        <f>IFERROR(INDEX($AX$7:$AX$89,MATCH(mapPRC!C462,$AW$7:$AW$89,0)),"")</f>
        <v>nf</v>
      </c>
      <c r="AC362" t="str">
        <f>mapCOM!A407</f>
        <v>PWRNOXR</v>
      </c>
      <c r="AD362" t="str">
        <f t="shared" si="15"/>
        <v/>
      </c>
      <c r="BD362" t="s">
        <v>1769</v>
      </c>
      <c r="BE362" t="s">
        <v>2995</v>
      </c>
    </row>
    <row r="363" spans="3:57" x14ac:dyDescent="0.25">
      <c r="C363" t="s">
        <v>4281</v>
      </c>
      <c r="E363" t="s">
        <v>4290</v>
      </c>
      <c r="Y363" t="str">
        <f>mapPRC!A463</f>
        <v>INFPELC-E</v>
      </c>
      <c r="Z363" t="str">
        <f>IFERROR(INDEX($AX$7:$AX$89,MATCH(mapPRC!C463,$AW$7:$AW$89,0)),"")</f>
        <v>nf</v>
      </c>
      <c r="AC363" t="str">
        <f>mapCOM!A408</f>
        <v>PWRNOXS</v>
      </c>
      <c r="AD363" t="str">
        <f t="shared" si="15"/>
        <v/>
      </c>
      <c r="BD363" t="s">
        <v>1986</v>
      </c>
      <c r="BE363" t="s">
        <v>2994</v>
      </c>
    </row>
    <row r="364" spans="3:57" x14ac:dyDescent="0.25">
      <c r="C364" t="s">
        <v>4282</v>
      </c>
      <c r="E364" t="s">
        <v>4291</v>
      </c>
      <c r="Y364" t="str">
        <f>mapPRC!A464</f>
        <v>INFSCOA-E</v>
      </c>
      <c r="Z364" t="str">
        <f>IFERROR(INDEX($AX$7:$AX$89,MATCH(mapPRC!C464,$AW$7:$AW$89,0)),"")</f>
        <v>nf</v>
      </c>
      <c r="AC364" t="str">
        <f>mapCOM!A409</f>
        <v>PWRNUC</v>
      </c>
      <c r="AD364" t="str">
        <f t="shared" si="15"/>
        <v/>
      </c>
      <c r="BD364" t="s">
        <v>1985</v>
      </c>
      <c r="BE364" t="s">
        <v>2994</v>
      </c>
    </row>
    <row r="365" spans="3:57" x14ac:dyDescent="0.25">
      <c r="C365" t="s">
        <v>4283</v>
      </c>
      <c r="E365" t="s">
        <v>4292</v>
      </c>
      <c r="Y365" t="str">
        <f>mapPRC!A465</f>
        <v>INFSELC-E</v>
      </c>
      <c r="Z365" t="str">
        <f>IFERROR(INDEX($AX$7:$AX$89,MATCH(mapPRC!C465,$AW$7:$AW$89,0)),"")</f>
        <v>nf</v>
      </c>
      <c r="AC365" t="str">
        <f>mapCOM!A410</f>
        <v>PWRODS</v>
      </c>
      <c r="AD365" t="str">
        <f t="shared" si="15"/>
        <v>cpetr-d</v>
      </c>
      <c r="BD365" t="s">
        <v>1984</v>
      </c>
      <c r="BE365" t="s">
        <v>2994</v>
      </c>
    </row>
    <row r="366" spans="3:57" x14ac:dyDescent="0.25">
      <c r="C366" t="s">
        <v>4284</v>
      </c>
      <c r="E366" t="s">
        <v>4293</v>
      </c>
      <c r="Y366" t="str">
        <f>mapPRC!A466</f>
        <v>INFSGAS-E</v>
      </c>
      <c r="Z366" t="str">
        <f>IFERROR(INDEX($AX$7:$AX$89,MATCH(mapPRC!C466,$AW$7:$AW$89,0)),"")</f>
        <v>nf</v>
      </c>
      <c r="AC366" t="str">
        <f>mapCOM!A411</f>
        <v>PWROHF</v>
      </c>
      <c r="AD366" t="str">
        <f t="shared" si="15"/>
        <v>cpetr-h</v>
      </c>
      <c r="BD366" t="s">
        <v>1983</v>
      </c>
      <c r="BE366" t="s">
        <v>2994</v>
      </c>
    </row>
    <row r="367" spans="3:57" x14ac:dyDescent="0.25">
      <c r="C367" t="s">
        <v>4285</v>
      </c>
      <c r="E367" t="s">
        <v>4294</v>
      </c>
      <c r="Y367" t="str">
        <f>mapPRC!A467</f>
        <v>INFSOHF-E</v>
      </c>
      <c r="Z367" t="str">
        <f>IFERROR(INDEX($AX$7:$AX$89,MATCH(mapPRC!C467,$AW$7:$AW$89,0)),"")</f>
        <v>nf</v>
      </c>
      <c r="AC367" t="str">
        <f>mapCOM!A412</f>
        <v>PWROKE</v>
      </c>
      <c r="AD367" t="str">
        <f t="shared" si="15"/>
        <v>cpetr-k</v>
      </c>
      <c r="BD367" t="s">
        <v>1982</v>
      </c>
      <c r="BE367" t="s">
        <v>2994</v>
      </c>
    </row>
    <row r="368" spans="3:57" x14ac:dyDescent="0.25">
      <c r="C368" t="s">
        <v>4286</v>
      </c>
      <c r="E368" t="s">
        <v>4295</v>
      </c>
      <c r="Y368" t="str">
        <f>mapPRC!A468</f>
        <v>INFSOLP-E</v>
      </c>
      <c r="Z368" t="str">
        <f>IFERROR(INDEX($AX$7:$AX$89,MATCH(mapPRC!C468,$AW$7:$AW$89,0)),"")</f>
        <v>nf</v>
      </c>
      <c r="AC368" t="str">
        <f>mapCOM!A413</f>
        <v>PWRP10R</v>
      </c>
      <c r="AD368" t="str">
        <f t="shared" si="15"/>
        <v/>
      </c>
      <c r="BD368" t="s">
        <v>1981</v>
      </c>
      <c r="BE368" t="s">
        <v>2994</v>
      </c>
    </row>
    <row r="369" spans="3:57" x14ac:dyDescent="0.25">
      <c r="C369" t="s">
        <v>4287</v>
      </c>
      <c r="E369" t="s">
        <v>4296</v>
      </c>
      <c r="Y369" t="str">
        <f>mapPRC!A469</f>
        <v>INFSWAS-E</v>
      </c>
      <c r="Z369" t="str">
        <f>IFERROR(INDEX($AX$7:$AX$89,MATCH(mapPRC!C469,$AW$7:$AW$89,0)),"")</f>
        <v>nf</v>
      </c>
      <c r="AC369" t="str">
        <f>mapCOM!A414</f>
        <v>PWRP10S</v>
      </c>
      <c r="AD369" t="str">
        <f t="shared" si="15"/>
        <v/>
      </c>
      <c r="BD369" t="s">
        <v>1980</v>
      </c>
      <c r="BE369" t="s">
        <v>2994</v>
      </c>
    </row>
    <row r="370" spans="3:57" x14ac:dyDescent="0.25">
      <c r="C370" t="s">
        <v>4288</v>
      </c>
      <c r="E370" t="s">
        <v>4297</v>
      </c>
      <c r="Y370" t="str">
        <f>mapPRC!A470</f>
        <v>INMBRIADV</v>
      </c>
      <c r="Z370" t="str">
        <f>IFERROR(INDEX($AX$7:$AX$89,MATCH(mapPRC!C470,$AW$7:$AW$89,0)),"")</f>
        <v>nm</v>
      </c>
      <c r="AC370" t="str">
        <f>mapCOM!A415</f>
        <v>PWRSOL</v>
      </c>
      <c r="AD370" t="str">
        <f t="shared" si="15"/>
        <v/>
      </c>
      <c r="BD370" t="s">
        <v>1767</v>
      </c>
      <c r="BE370" t="s">
        <v>2994</v>
      </c>
    </row>
    <row r="371" spans="3:57" x14ac:dyDescent="0.25">
      <c r="C371" t="s">
        <v>4289</v>
      </c>
      <c r="E371" t="s">
        <v>4298</v>
      </c>
      <c r="Y371" t="str">
        <f>mapPRC!A471</f>
        <v>INMBRIF2TF</v>
      </c>
      <c r="Z371" t="str">
        <f>IFERROR(INDEX($AX$7:$AX$89,MATCH(mapPRC!C471,$AW$7:$AW$89,0)),"")</f>
        <v>nm</v>
      </c>
      <c r="AC371" t="str">
        <f>mapCOM!A416</f>
        <v>PWRSOXR</v>
      </c>
      <c r="AD371" t="str">
        <f t="shared" si="15"/>
        <v/>
      </c>
      <c r="BD371" t="s">
        <v>1764</v>
      </c>
      <c r="BE371" t="s">
        <v>2994</v>
      </c>
    </row>
    <row r="372" spans="3:57" x14ac:dyDescent="0.25">
      <c r="C372" t="s">
        <v>4290</v>
      </c>
      <c r="E372" t="s">
        <v>4299</v>
      </c>
      <c r="Y372" t="str">
        <f>mapPRC!A472</f>
        <v>INMBRISTD</v>
      </c>
      <c r="Z372" t="str">
        <f>IFERROR(INDEX($AX$7:$AX$89,MATCH(mapPRC!C472,$AW$7:$AW$89,0)),"")</f>
        <v>nm</v>
      </c>
      <c r="AC372" t="str">
        <f>mapCOM!A417</f>
        <v>PWRSOXS</v>
      </c>
      <c r="AD372" t="str">
        <f t="shared" si="15"/>
        <v/>
      </c>
      <c r="BD372" t="s">
        <v>1761</v>
      </c>
      <c r="BE372" t="s">
        <v>2994</v>
      </c>
    </row>
    <row r="373" spans="3:57" x14ac:dyDescent="0.25">
      <c r="C373" t="s">
        <v>4291</v>
      </c>
      <c r="E373" t="s">
        <v>4300</v>
      </c>
      <c r="Y373" t="str">
        <f>mapPRC!A473</f>
        <v>INMCEMF2TF</v>
      </c>
      <c r="Z373" t="str">
        <f>IFERROR(INDEX($AX$7:$AX$89,MATCH(mapPRC!C473,$AW$7:$AW$89,0)),"")</f>
        <v>nm</v>
      </c>
      <c r="AC373" t="str">
        <f>mapCOM!A418</f>
        <v>PWRWND</v>
      </c>
      <c r="AD373" t="str">
        <f t="shared" si="15"/>
        <v/>
      </c>
      <c r="BD373" t="s">
        <v>1758</v>
      </c>
      <c r="BE373" t="s">
        <v>2994</v>
      </c>
    </row>
    <row r="374" spans="3:57" x14ac:dyDescent="0.25">
      <c r="C374" t="s">
        <v>4292</v>
      </c>
      <c r="E374" t="s">
        <v>4301</v>
      </c>
      <c r="Y374" t="str">
        <f>mapPRC!A474</f>
        <v>INMCEMFGBM</v>
      </c>
      <c r="Z374" t="str">
        <f>IFERROR(INDEX($AX$7:$AX$89,MATCH(mapPRC!C474,$AW$7:$AW$89,0)),"")</f>
        <v>nm</v>
      </c>
      <c r="AC374" t="str">
        <f>mapCOM!A420</f>
        <v>RESBIW</v>
      </c>
      <c r="AD374" t="str">
        <f t="shared" si="15"/>
        <v/>
      </c>
      <c r="BD374" t="s">
        <v>1755</v>
      </c>
      <c r="BE374" t="s">
        <v>2994</v>
      </c>
    </row>
    <row r="375" spans="3:57" x14ac:dyDescent="0.25">
      <c r="C375" t="s">
        <v>4293</v>
      </c>
      <c r="E375" t="s">
        <v>4302</v>
      </c>
      <c r="Y375" t="str">
        <f>mapPRC!A475</f>
        <v>INMCEMFGRP</v>
      </c>
      <c r="Z375" t="str">
        <f>IFERROR(INDEX($AX$7:$AX$89,MATCH(mapPRC!C475,$AW$7:$AW$89,0)),"")</f>
        <v>nm</v>
      </c>
      <c r="AC375" t="str">
        <f>mapCOM!A421</f>
        <v>RESCH4</v>
      </c>
      <c r="AD375" t="str">
        <f t="shared" si="15"/>
        <v/>
      </c>
      <c r="BD375" t="s">
        <v>1752</v>
      </c>
      <c r="BE375" t="s">
        <v>2994</v>
      </c>
    </row>
    <row r="376" spans="3:57" x14ac:dyDescent="0.25">
      <c r="C376" t="s">
        <v>4294</v>
      </c>
      <c r="E376" t="s">
        <v>4303</v>
      </c>
      <c r="Y376" t="str">
        <f>mapPRC!A476</f>
        <v>INMCEMKLD-E</v>
      </c>
      <c r="Z376" t="str">
        <f>IFERROR(INDEX($AX$7:$AX$89,MATCH(mapPRC!C476,$AW$7:$AW$89,0)),"")</f>
        <v>nm</v>
      </c>
      <c r="AC376" t="str">
        <f>mapCOM!A422</f>
        <v>RESCH4S</v>
      </c>
      <c r="AD376" t="str">
        <f t="shared" si="15"/>
        <v/>
      </c>
      <c r="BD376" t="s">
        <v>1749</v>
      </c>
      <c r="BE376" t="s">
        <v>2994</v>
      </c>
    </row>
    <row r="377" spans="3:57" x14ac:dyDescent="0.25">
      <c r="C377" t="s">
        <v>4295</v>
      </c>
      <c r="E377" t="s">
        <v>4304</v>
      </c>
      <c r="Y377" t="str">
        <f>mapPRC!A477</f>
        <v>INMCEMKLD-E-T1</v>
      </c>
      <c r="Z377" t="str">
        <f>IFERROR(INDEX($AX$7:$AX$89,MATCH(mapPRC!C477,$AW$7:$AW$89,0)),"")</f>
        <v>nm</v>
      </c>
      <c r="AC377" t="str">
        <f>mapCOM!A423</f>
        <v>RESCMOX</v>
      </c>
      <c r="AD377" t="str">
        <f t="shared" ref="AD377:AD408" si="16">INDEX($BE$6:$BE$811,MATCH(AC377,$BD$6:$BD$811,0))</f>
        <v/>
      </c>
      <c r="BD377" t="s">
        <v>1746</v>
      </c>
      <c r="BE377" t="s">
        <v>2994</v>
      </c>
    </row>
    <row r="378" spans="3:57" x14ac:dyDescent="0.25">
      <c r="C378" t="s">
        <v>4296</v>
      </c>
      <c r="E378" t="s">
        <v>4305</v>
      </c>
      <c r="Y378" t="str">
        <f>mapPRC!A478</f>
        <v>INMCEMKLD-E-T2</v>
      </c>
      <c r="Z378" t="str">
        <f>IFERROR(INDEX($AX$7:$AX$89,MATCH(mapPRC!C478,$AW$7:$AW$89,0)),"")</f>
        <v>nm</v>
      </c>
      <c r="AC378" t="str">
        <f>mapCOM!A424</f>
        <v>RESCO2</v>
      </c>
      <c r="AD378" t="str">
        <f t="shared" si="16"/>
        <v/>
      </c>
      <c r="BD378" t="s">
        <v>1979</v>
      </c>
      <c r="BE378" t="s">
        <v>2994</v>
      </c>
    </row>
    <row r="379" spans="3:57" x14ac:dyDescent="0.25">
      <c r="C379" t="s">
        <v>4297</v>
      </c>
      <c r="E379" t="s">
        <v>4306</v>
      </c>
      <c r="Y379" t="str">
        <f>mapPRC!A479</f>
        <v>INMCEMKPP-E</v>
      </c>
      <c r="Z379" t="str">
        <f>IFERROR(INDEX($AX$7:$AX$89,MATCH(mapPRC!C479,$AW$7:$AW$89,0)),"")</f>
        <v>nm</v>
      </c>
      <c r="AC379" t="str">
        <f>mapCOM!A425</f>
        <v>RESCO2S</v>
      </c>
      <c r="AD379" t="str">
        <f t="shared" si="16"/>
        <v/>
      </c>
      <c r="BD379" t="s">
        <v>1978</v>
      </c>
      <c r="BE379" t="s">
        <v>2994</v>
      </c>
    </row>
    <row r="380" spans="3:57" x14ac:dyDescent="0.25">
      <c r="C380" t="s">
        <v>4298</v>
      </c>
      <c r="E380" t="s">
        <v>4307</v>
      </c>
      <c r="Y380" t="str">
        <f>mapPRC!A480</f>
        <v>INMCEMKPP-E-T1</v>
      </c>
      <c r="Z380" t="str">
        <f>IFERROR(INDEX($AX$7:$AX$89,MATCH(mapPRC!C480,$AW$7:$AW$89,0)),"")</f>
        <v>nm</v>
      </c>
      <c r="AC380" t="str">
        <f>mapCOM!A426</f>
        <v>RESCOA</v>
      </c>
      <c r="AD380" t="str">
        <f t="shared" si="16"/>
        <v>ccoal-hgh</v>
      </c>
      <c r="BD380" t="s">
        <v>1977</v>
      </c>
      <c r="BE380" t="s">
        <v>2994</v>
      </c>
    </row>
    <row r="381" spans="3:57" x14ac:dyDescent="0.25">
      <c r="C381" t="s">
        <v>4299</v>
      </c>
      <c r="E381" t="s">
        <v>4308</v>
      </c>
      <c r="Y381" t="str">
        <f>mapPRC!A481</f>
        <v>INMCEMKPP-E-T2</v>
      </c>
      <c r="Z381" t="str">
        <f>IFERROR(INDEX($AX$7:$AX$89,MATCH(mapPRC!C481,$AW$7:$AW$89,0)),"")</f>
        <v>nm</v>
      </c>
      <c r="AC381" t="str">
        <f>mapCOM!A427</f>
        <v>RESELC</v>
      </c>
      <c r="AD381" t="str">
        <f t="shared" si="16"/>
        <v>celec</v>
      </c>
      <c r="BD381" t="s">
        <v>1743</v>
      </c>
      <c r="BE381" t="s">
        <v>2996</v>
      </c>
    </row>
    <row r="382" spans="3:57" x14ac:dyDescent="0.25">
      <c r="C382" t="s">
        <v>4300</v>
      </c>
      <c r="E382" t="s">
        <v>4309</v>
      </c>
      <c r="Y382" t="str">
        <f>mapPRC!A482</f>
        <v>INMCEMKPP-N</v>
      </c>
      <c r="Z382" t="str">
        <f>IFERROR(INDEX($AX$7:$AX$89,MATCH(mapPRC!C482,$AW$7:$AW$89,0)),"")</f>
        <v>nm</v>
      </c>
      <c r="AC382" t="str">
        <f>mapCOM!A428</f>
        <v>RESGAS</v>
      </c>
      <c r="AD382" t="str">
        <f t="shared" si="16"/>
        <v>cngas</v>
      </c>
      <c r="BD382" t="s">
        <v>1976</v>
      </c>
      <c r="BE382" t="s">
        <v>2994</v>
      </c>
    </row>
    <row r="383" spans="3:57" x14ac:dyDescent="0.25">
      <c r="C383" t="s">
        <v>4301</v>
      </c>
      <c r="E383" t="s">
        <v>4310</v>
      </c>
      <c r="Y383" t="str">
        <f>mapPRC!A483</f>
        <v>INMCEMKSP-E</v>
      </c>
      <c r="Z383" t="str">
        <f>IFERROR(INDEX($AX$7:$AX$89,MATCH(mapPRC!C483,$AW$7:$AW$89,0)),"")</f>
        <v>nm</v>
      </c>
      <c r="AC383" t="str">
        <f>mapCOM!A429</f>
        <v>RESN2O</v>
      </c>
      <c r="AD383" t="str">
        <f t="shared" si="16"/>
        <v/>
      </c>
      <c r="BD383" t="s">
        <v>1741</v>
      </c>
      <c r="BE383" t="s">
        <v>2995</v>
      </c>
    </row>
    <row r="384" spans="3:57" x14ac:dyDescent="0.25">
      <c r="C384" t="s">
        <v>4302</v>
      </c>
      <c r="E384" t="s">
        <v>4311</v>
      </c>
      <c r="Y384" t="str">
        <f>mapPRC!A484</f>
        <v>INMCEMKSP-E-T1</v>
      </c>
      <c r="Z384" t="str">
        <f>IFERROR(INDEX($AX$7:$AX$89,MATCH(mapPRC!C484,$AW$7:$AW$89,0)),"")</f>
        <v>nm</v>
      </c>
      <c r="AC384" t="str">
        <f>mapCOM!A430</f>
        <v>RESN2OS</v>
      </c>
      <c r="AD384" t="str">
        <f t="shared" si="16"/>
        <v/>
      </c>
      <c r="BD384" t="s">
        <v>1975</v>
      </c>
      <c r="BE384" t="s">
        <v>2994</v>
      </c>
    </row>
    <row r="385" spans="3:57" x14ac:dyDescent="0.25">
      <c r="C385" t="s">
        <v>4303</v>
      </c>
      <c r="E385" t="s">
        <v>4312</v>
      </c>
      <c r="Y385" t="str">
        <f>mapPRC!A485</f>
        <v>INMCEMKSP-E-T2</v>
      </c>
      <c r="Z385" t="str">
        <f>IFERROR(INDEX($AX$7:$AX$89,MATCH(mapPRC!C485,$AW$7:$AW$89,0)),"")</f>
        <v>nm</v>
      </c>
      <c r="AC385" t="str">
        <f>mapCOM!A431</f>
        <v>RESNMVS</v>
      </c>
      <c r="AD385" t="str">
        <f t="shared" si="16"/>
        <v/>
      </c>
      <c r="BD385" t="s">
        <v>1974</v>
      </c>
      <c r="BE385" t="s">
        <v>2994</v>
      </c>
    </row>
    <row r="386" spans="3:57" x14ac:dyDescent="0.25">
      <c r="C386" t="s">
        <v>4304</v>
      </c>
      <c r="E386" t="s">
        <v>4313</v>
      </c>
      <c r="Y386" t="str">
        <f>mapPRC!A486</f>
        <v>INMCEMKSP-N</v>
      </c>
      <c r="Z386" t="str">
        <f>IFERROR(INDEX($AX$7:$AX$89,MATCH(mapPRC!C486,$AW$7:$AW$89,0)),"")</f>
        <v>nm</v>
      </c>
      <c r="AC386" t="str">
        <f>mapCOM!A432</f>
        <v>RESNOX</v>
      </c>
      <c r="AD386" t="str">
        <f t="shared" si="16"/>
        <v/>
      </c>
      <c r="BD386" t="s">
        <v>1973</v>
      </c>
      <c r="BE386" t="s">
        <v>2994</v>
      </c>
    </row>
    <row r="387" spans="3:57" x14ac:dyDescent="0.25">
      <c r="C387" t="s">
        <v>4305</v>
      </c>
      <c r="E387" t="s">
        <v>4314</v>
      </c>
      <c r="Y387" t="str">
        <f>mapPRC!A487</f>
        <v>INMCEMPGBM</v>
      </c>
      <c r="Z387" t="str">
        <f>IFERROR(INDEX($AX$7:$AX$89,MATCH(mapPRC!C487,$AW$7:$AW$89,0)),"")</f>
        <v>nm</v>
      </c>
      <c r="AC387" t="str">
        <f>mapCOM!A433</f>
        <v>RESNOXS</v>
      </c>
      <c r="AD387" t="str">
        <f t="shared" si="16"/>
        <v/>
      </c>
      <c r="BD387" t="s">
        <v>1972</v>
      </c>
      <c r="BE387" t="s">
        <v>2994</v>
      </c>
    </row>
    <row r="388" spans="3:57" x14ac:dyDescent="0.25">
      <c r="C388" t="s">
        <v>4306</v>
      </c>
      <c r="E388" t="s">
        <v>4315</v>
      </c>
      <c r="Y388" t="str">
        <f>mapPRC!A488</f>
        <v>INMCEMPGRP</v>
      </c>
      <c r="Z388" t="str">
        <f>IFERROR(INDEX($AX$7:$AX$89,MATCH(mapPRC!C488,$AW$7:$AW$89,0)),"")</f>
        <v>nm</v>
      </c>
      <c r="AC388" t="str">
        <f>mapCOM!A434</f>
        <v>RESOKE</v>
      </c>
      <c r="AD388" t="str">
        <f t="shared" si="16"/>
        <v>cpetr-k</v>
      </c>
      <c r="BD388" t="s">
        <v>1971</v>
      </c>
      <c r="BE388" t="s">
        <v>2994</v>
      </c>
    </row>
    <row r="389" spans="3:57" x14ac:dyDescent="0.25">
      <c r="C389" t="s">
        <v>4307</v>
      </c>
      <c r="E389" t="s">
        <v>4316</v>
      </c>
      <c r="Y389" t="str">
        <f>mapPRC!A489</f>
        <v>INMCLISUBASH</v>
      </c>
      <c r="Z389" t="str">
        <f>IFERROR(INDEX($AX$7:$AX$89,MATCH(mapPRC!C489,$AW$7:$AW$89,0)),"")</f>
        <v>nm</v>
      </c>
      <c r="AC389" t="str">
        <f>mapCOM!A435</f>
        <v>RESOLP</v>
      </c>
      <c r="AD389" t="str">
        <f t="shared" si="16"/>
        <v>cpetr-l</v>
      </c>
      <c r="BD389" t="s">
        <v>1970</v>
      </c>
      <c r="BE389" t="s">
        <v>2994</v>
      </c>
    </row>
    <row r="390" spans="3:57" x14ac:dyDescent="0.25">
      <c r="C390" t="s">
        <v>4308</v>
      </c>
      <c r="E390" t="s">
        <v>4317</v>
      </c>
      <c r="Y390" t="str">
        <f>mapPRC!A490</f>
        <v>INMCLISUBCLY</v>
      </c>
      <c r="Z390" t="str">
        <f>IFERROR(INDEX($AX$7:$AX$89,MATCH(mapPRC!C490,$AW$7:$AW$89,0)),"")</f>
        <v>nm</v>
      </c>
      <c r="AC390" t="str">
        <f>mapCOM!A436</f>
        <v>RESP10S</v>
      </c>
      <c r="AD390" t="str">
        <f t="shared" si="16"/>
        <v/>
      </c>
      <c r="BD390" t="s">
        <v>1739</v>
      </c>
      <c r="BE390" t="s">
        <v>2994</v>
      </c>
    </row>
    <row r="391" spans="3:57" x14ac:dyDescent="0.25">
      <c r="C391" t="s">
        <v>4309</v>
      </c>
      <c r="E391" t="s">
        <v>4318</v>
      </c>
      <c r="Y391" t="str">
        <f>mapPRC!A491</f>
        <v>INMCLISUBGYL</v>
      </c>
      <c r="Z391" t="str">
        <f>IFERROR(INDEX($AX$7:$AX$89,MATCH(mapPRC!C491,$AW$7:$AW$89,0)),"")</f>
        <v>nm</v>
      </c>
      <c r="AC391" t="str">
        <f>mapCOM!A437</f>
        <v>RESSOX</v>
      </c>
      <c r="AD391" t="str">
        <f t="shared" si="16"/>
        <v/>
      </c>
      <c r="BD391" t="s">
        <v>1864</v>
      </c>
      <c r="BE391" t="s">
        <v>2994</v>
      </c>
    </row>
    <row r="392" spans="3:57" x14ac:dyDescent="0.25">
      <c r="C392" t="s">
        <v>4310</v>
      </c>
      <c r="E392" t="s">
        <v>4319</v>
      </c>
      <c r="Y392" t="str">
        <f>mapPRC!A492</f>
        <v>INMCLISUBSLAG</v>
      </c>
      <c r="Z392" t="str">
        <f>IFERROR(INDEX($AX$7:$AX$89,MATCH(mapPRC!C492,$AW$7:$AW$89,0)),"")</f>
        <v>nm</v>
      </c>
      <c r="AC392" t="str">
        <f>mapCOM!A438</f>
        <v>RESSOXS</v>
      </c>
      <c r="AD392" t="str">
        <f t="shared" si="16"/>
        <v/>
      </c>
      <c r="BD392" t="s">
        <v>1737</v>
      </c>
      <c r="BE392" t="s">
        <v>2994</v>
      </c>
    </row>
    <row r="393" spans="3:57" x14ac:dyDescent="0.25">
      <c r="C393" t="s">
        <v>4311</v>
      </c>
      <c r="E393" t="s">
        <v>4320</v>
      </c>
      <c r="Y393" t="str">
        <f>mapPRC!A493</f>
        <v>INMCLISUBSPOZ</v>
      </c>
      <c r="Z393" t="str">
        <f>IFERROR(INDEX($AX$7:$AX$89,MATCH(mapPRC!C493,$AW$7:$AW$89,0)),"")</f>
        <v>nm</v>
      </c>
      <c r="AC393" t="str">
        <f>mapCOM!A439</f>
        <v>RHEH</v>
      </c>
      <c r="AD393" t="str">
        <f t="shared" si="16"/>
        <v/>
      </c>
      <c r="BD393" t="s">
        <v>1863</v>
      </c>
      <c r="BE393" t="s">
        <v>2994</v>
      </c>
    </row>
    <row r="394" spans="3:57" x14ac:dyDescent="0.25">
      <c r="C394" t="s">
        <v>4312</v>
      </c>
      <c r="E394" t="s">
        <v>4321</v>
      </c>
      <c r="Y394" t="str">
        <f>mapPRC!A494</f>
        <v>INMGLAADV</v>
      </c>
      <c r="Z394" t="str">
        <f>IFERROR(INDEX($AX$7:$AX$89,MATCH(mapPRC!C494,$AW$7:$AW$89,0)),"")</f>
        <v>nm</v>
      </c>
      <c r="AC394" t="str">
        <f>mapCOM!A440</f>
        <v>RHEK</v>
      </c>
      <c r="AD394" t="str">
        <f t="shared" si="16"/>
        <v/>
      </c>
      <c r="BD394" t="s">
        <v>1735</v>
      </c>
      <c r="BE394" t="s">
        <v>2994</v>
      </c>
    </row>
    <row r="395" spans="3:57" x14ac:dyDescent="0.25">
      <c r="C395" t="s">
        <v>4313</v>
      </c>
      <c r="E395" t="s">
        <v>4322</v>
      </c>
      <c r="Y395" t="str">
        <f>mapPRC!A495</f>
        <v>INMGLAF2TF</v>
      </c>
      <c r="Z395" t="str">
        <f>IFERROR(INDEX($AX$7:$AX$89,MATCH(mapPRC!C495,$AW$7:$AW$89,0)),"")</f>
        <v>nm</v>
      </c>
      <c r="AC395" t="str">
        <f>mapCOM!A441</f>
        <v>RHEL</v>
      </c>
      <c r="AD395" t="str">
        <f t="shared" si="16"/>
        <v/>
      </c>
      <c r="BD395" t="s">
        <v>3615</v>
      </c>
      <c r="BE395" t="s">
        <v>2994</v>
      </c>
    </row>
    <row r="396" spans="3:57" x14ac:dyDescent="0.25">
      <c r="C396" t="s">
        <v>4314</v>
      </c>
      <c r="E396" t="s">
        <v>4323</v>
      </c>
      <c r="Y396" t="str">
        <f>mapPRC!A496</f>
        <v>INMGLASTD</v>
      </c>
      <c r="Z396" t="str">
        <f>IFERROR(INDEX($AX$7:$AX$89,MATCH(mapPRC!C496,$AW$7:$AW$89,0)),"")</f>
        <v>nm</v>
      </c>
      <c r="AC396" t="str">
        <f>mapCOM!A442</f>
        <v>RHEN</v>
      </c>
      <c r="AD396" t="str">
        <f t="shared" si="16"/>
        <v/>
      </c>
      <c r="BD396" t="s">
        <v>1733</v>
      </c>
      <c r="BE396" t="s">
        <v>2994</v>
      </c>
    </row>
    <row r="397" spans="3:57" x14ac:dyDescent="0.25">
      <c r="C397" t="s">
        <v>4315</v>
      </c>
      <c r="E397" t="s">
        <v>4324</v>
      </c>
      <c r="Y397" t="str">
        <f>mapPRC!A497</f>
        <v>INMLIMADV</v>
      </c>
      <c r="Z397" t="str">
        <f>IFERROR(INDEX($AX$7:$AX$89,MATCH(mapPRC!C497,$AW$7:$AW$89,0)),"")</f>
        <v>nm</v>
      </c>
      <c r="AC397" t="str">
        <f>mapCOM!A443</f>
        <v>RHEO</v>
      </c>
      <c r="AD397" t="str">
        <f t="shared" si="16"/>
        <v/>
      </c>
      <c r="BD397" t="s">
        <v>1731</v>
      </c>
      <c r="BE397" t="s">
        <v>2997</v>
      </c>
    </row>
    <row r="398" spans="3:57" x14ac:dyDescent="0.25">
      <c r="C398" t="s">
        <v>4316</v>
      </c>
      <c r="E398" t="s">
        <v>4325</v>
      </c>
      <c r="Y398" t="str">
        <f>mapPRC!A498</f>
        <v>INMLIMF2TF</v>
      </c>
      <c r="Z398" t="str">
        <f>IFERROR(INDEX($AX$7:$AX$89,MATCH(mapPRC!C498,$AW$7:$AW$89,0)),"")</f>
        <v>nm</v>
      </c>
      <c r="AC398" t="str">
        <f>mapCOM!A444</f>
        <v>RHER</v>
      </c>
      <c r="AD398" t="str">
        <f t="shared" si="16"/>
        <v/>
      </c>
      <c r="BD398" t="s">
        <v>1729</v>
      </c>
      <c r="BE398" t="s">
        <v>2996</v>
      </c>
    </row>
    <row r="399" spans="3:57" x14ac:dyDescent="0.25">
      <c r="C399" t="s">
        <v>4317</v>
      </c>
      <c r="E399" t="s">
        <v>4326</v>
      </c>
      <c r="Y399" t="str">
        <f>mapPRC!A499</f>
        <v>INMLIMSTD</v>
      </c>
      <c r="Z399" t="str">
        <f>IFERROR(INDEX($AX$7:$AX$89,MATCH(mapPRC!C499,$AW$7:$AW$89,0)),"")</f>
        <v>nm</v>
      </c>
      <c r="AC399" t="str">
        <f>mapCOM!A445</f>
        <v>RHEW</v>
      </c>
      <c r="AD399" t="str">
        <f t="shared" si="16"/>
        <v/>
      </c>
      <c r="BD399" t="s">
        <v>1727</v>
      </c>
      <c r="BE399" t="s">
        <v>2995</v>
      </c>
    </row>
    <row r="400" spans="3:57" x14ac:dyDescent="0.25">
      <c r="C400" t="s">
        <v>4318</v>
      </c>
      <c r="E400" t="s">
        <v>4327</v>
      </c>
      <c r="Y400" t="str">
        <f>mapPRC!A500</f>
        <v>IOTAELC-E</v>
      </c>
      <c r="Z400" t="str">
        <f>IFERROR(INDEX($AX$7:$AX$89,MATCH(mapPRC!C500,$AW$7:$AW$89,0)),"")</f>
        <v>ot</v>
      </c>
      <c r="AC400" t="str">
        <f>mapCOM!A446</f>
        <v>RHEWG</v>
      </c>
      <c r="AD400" t="str">
        <f t="shared" si="16"/>
        <v/>
      </c>
      <c r="BD400" t="s">
        <v>1861</v>
      </c>
      <c r="BE400" t="s">
        <v>2994</v>
      </c>
    </row>
    <row r="401" spans="3:57" x14ac:dyDescent="0.25">
      <c r="C401" t="s">
        <v>4319</v>
      </c>
      <c r="E401" t="s">
        <v>4328</v>
      </c>
      <c r="Y401" t="str">
        <f>mapPRC!A501</f>
        <v>IOTCELC-E</v>
      </c>
      <c r="Z401" t="str">
        <f>IFERROR(INDEX($AX$7:$AX$89,MATCH(mapPRC!C501,$AW$7:$AW$89,0)),"")</f>
        <v>ot</v>
      </c>
      <c r="AC401" t="str">
        <f>mapCOM!A447</f>
        <v>RLEH</v>
      </c>
      <c r="AD401" t="str">
        <f t="shared" si="16"/>
        <v/>
      </c>
      <c r="BD401" t="s">
        <v>1725</v>
      </c>
      <c r="BE401" t="s">
        <v>2994</v>
      </c>
    </row>
    <row r="402" spans="3:57" x14ac:dyDescent="0.25">
      <c r="C402" t="s">
        <v>4320</v>
      </c>
      <c r="E402" t="s">
        <v>4329</v>
      </c>
      <c r="Y402" t="str">
        <f>mapPRC!A502</f>
        <v>IOTEELC-E</v>
      </c>
      <c r="Z402" t="str">
        <f>IFERROR(INDEX($AX$7:$AX$89,MATCH(mapPRC!C502,$AW$7:$AW$89,0)),"")</f>
        <v>ot</v>
      </c>
      <c r="AC402" t="str">
        <f>mapCOM!A448</f>
        <v>RLEK</v>
      </c>
      <c r="AD402" t="str">
        <f t="shared" si="16"/>
        <v/>
      </c>
      <c r="BD402" t="s">
        <v>1859</v>
      </c>
      <c r="BE402" t="s">
        <v>2994</v>
      </c>
    </row>
    <row r="403" spans="3:57" x14ac:dyDescent="0.25">
      <c r="C403" t="s">
        <v>4321</v>
      </c>
      <c r="E403" t="s">
        <v>4330</v>
      </c>
      <c r="Y403" t="str">
        <f>mapPRC!A503</f>
        <v>IOTFELC-E</v>
      </c>
      <c r="Z403" t="str">
        <f>IFERROR(INDEX($AX$7:$AX$89,MATCH(mapPRC!C503,$AW$7:$AW$89,0)),"")</f>
        <v>ot</v>
      </c>
      <c r="AC403" t="str">
        <f>mapCOM!A449</f>
        <v>RLEL</v>
      </c>
      <c r="AD403" t="str">
        <f t="shared" si="16"/>
        <v/>
      </c>
      <c r="BD403" t="s">
        <v>1723</v>
      </c>
      <c r="BE403" t="s">
        <v>2994</v>
      </c>
    </row>
    <row r="404" spans="3:57" x14ac:dyDescent="0.25">
      <c r="C404" t="s">
        <v>4322</v>
      </c>
      <c r="E404" t="s">
        <v>4331</v>
      </c>
      <c r="Y404" t="str">
        <f>mapPRC!A504</f>
        <v>IOTHELC-E</v>
      </c>
      <c r="Z404" t="str">
        <f>IFERROR(INDEX($AX$7:$AX$89,MATCH(mapPRC!C504,$AW$7:$AW$89,0)),"")</f>
        <v>ot</v>
      </c>
      <c r="AC404" t="str">
        <f>mapCOM!A450</f>
        <v>RLEN</v>
      </c>
      <c r="AD404" t="str">
        <f t="shared" si="16"/>
        <v/>
      </c>
      <c r="BD404" t="s">
        <v>1721</v>
      </c>
      <c r="BE404" t="s">
        <v>3870</v>
      </c>
    </row>
    <row r="405" spans="3:57" x14ac:dyDescent="0.25">
      <c r="C405" t="s">
        <v>4323</v>
      </c>
      <c r="E405" t="s">
        <v>4332</v>
      </c>
      <c r="Y405" t="str">
        <f>mapPRC!A505</f>
        <v>IOTKELC-E</v>
      </c>
      <c r="Z405" t="str">
        <f>IFERROR(INDEX($AX$7:$AX$89,MATCH(mapPRC!C505,$AW$7:$AW$89,0)),"")</f>
        <v>ot</v>
      </c>
      <c r="AC405" t="str">
        <f>mapCOM!A451</f>
        <v>RLEO</v>
      </c>
      <c r="AD405" t="str">
        <f t="shared" si="16"/>
        <v/>
      </c>
      <c r="BD405" t="s">
        <v>1719</v>
      </c>
      <c r="BE405" t="s">
        <v>2994</v>
      </c>
    </row>
    <row r="406" spans="3:57" x14ac:dyDescent="0.25">
      <c r="C406" t="s">
        <v>4324</v>
      </c>
      <c r="E406" t="s">
        <v>4333</v>
      </c>
      <c r="Y406" t="str">
        <f>mapPRC!A506</f>
        <v>IOTLELC-E</v>
      </c>
      <c r="Z406" t="str">
        <f>IFERROR(INDEX($AX$7:$AX$89,MATCH(mapPRC!C506,$AW$7:$AW$89,0)),"")</f>
        <v>ot</v>
      </c>
      <c r="AC406" t="str">
        <f>mapCOM!A452</f>
        <v>RLER</v>
      </c>
      <c r="AD406" t="str">
        <f t="shared" si="16"/>
        <v/>
      </c>
      <c r="BD406" t="s">
        <v>1857</v>
      </c>
      <c r="BE406" t="s">
        <v>2994</v>
      </c>
    </row>
    <row r="407" spans="3:57" x14ac:dyDescent="0.25">
      <c r="C407" t="s">
        <v>4325</v>
      </c>
      <c r="E407" t="s">
        <v>4334</v>
      </c>
      <c r="Y407" t="str">
        <f>mapPRC!A507</f>
        <v>IOTOELC-E</v>
      </c>
      <c r="Z407" t="str">
        <f>IFERROR(INDEX($AX$7:$AX$89,MATCH(mapPRC!C507,$AW$7:$AW$89,0)),"")</f>
        <v>ot</v>
      </c>
      <c r="AC407" t="str">
        <f>mapCOM!A453</f>
        <v>RLEW</v>
      </c>
      <c r="AD407" t="str">
        <f t="shared" si="16"/>
        <v/>
      </c>
      <c r="BD407" t="s">
        <v>1856</v>
      </c>
      <c r="BE407" t="s">
        <v>2994</v>
      </c>
    </row>
    <row r="408" spans="3:57" x14ac:dyDescent="0.25">
      <c r="C408" t="s">
        <v>4326</v>
      </c>
      <c r="E408" t="s">
        <v>4335</v>
      </c>
      <c r="Y408" t="str">
        <f>mapPRC!A508</f>
        <v>IOTPELC-E</v>
      </c>
      <c r="Z408" t="str">
        <f>IFERROR(INDEX($AX$7:$AX$89,MATCH(mapPRC!C508,$AW$7:$AW$89,0)),"")</f>
        <v>ot</v>
      </c>
      <c r="AC408" t="str">
        <f>mapCOM!A454</f>
        <v>RLEWG</v>
      </c>
      <c r="AD408" t="str">
        <f t="shared" si="16"/>
        <v/>
      </c>
      <c r="BD408" t="s">
        <v>1855</v>
      </c>
      <c r="BE408" t="s">
        <v>2994</v>
      </c>
    </row>
    <row r="409" spans="3:57" x14ac:dyDescent="0.25">
      <c r="C409" t="s">
        <v>4327</v>
      </c>
      <c r="E409" t="s">
        <v>4336</v>
      </c>
      <c r="Y409" t="str">
        <f>mapPRC!A509</f>
        <v>IOTRODS-E</v>
      </c>
      <c r="Z409" t="str">
        <f>IFERROR(INDEX($AX$7:$AX$89,MATCH(mapPRC!C509,$AW$7:$AW$89,0)),"")</f>
        <v>ot</v>
      </c>
      <c r="AC409" t="str">
        <f>mapCOM!A455</f>
        <v>RLNH</v>
      </c>
      <c r="AD409" t="str">
        <f t="shared" ref="AD409:AD440" si="17">INDEX($BE$6:$BE$811,MATCH(AC409,$BD$6:$BD$811,0))</f>
        <v/>
      </c>
      <c r="BD409" t="s">
        <v>1717</v>
      </c>
      <c r="BE409" t="s">
        <v>2996</v>
      </c>
    </row>
    <row r="410" spans="3:57" x14ac:dyDescent="0.25">
      <c r="C410" t="s">
        <v>4328</v>
      </c>
      <c r="E410" t="s">
        <v>4337</v>
      </c>
      <c r="Y410" t="str">
        <f>mapPRC!A510</f>
        <v>IOTRELC-E</v>
      </c>
      <c r="Z410" t="str">
        <f>IFERROR(INDEX($AX$7:$AX$89,MATCH(mapPRC!C510,$AW$7:$AW$89,0)),"")</f>
        <v>ot</v>
      </c>
      <c r="AC410" t="str">
        <f>mapCOM!A456</f>
        <v>RLNK</v>
      </c>
      <c r="AD410" t="str">
        <f t="shared" si="17"/>
        <v/>
      </c>
      <c r="BD410" t="s">
        <v>1854</v>
      </c>
      <c r="BE410" t="s">
        <v>2994</v>
      </c>
    </row>
    <row r="411" spans="3:57" x14ac:dyDescent="0.25">
      <c r="C411" t="s">
        <v>4329</v>
      </c>
      <c r="E411" t="s">
        <v>4338</v>
      </c>
      <c r="Y411" t="str">
        <f>mapPRC!A511</f>
        <v>IOTSCOA-E</v>
      </c>
      <c r="Z411" t="str">
        <f>IFERROR(INDEX($AX$7:$AX$89,MATCH(mapPRC!C511,$AW$7:$AW$89,0)),"")</f>
        <v>ot</v>
      </c>
      <c r="AC411" t="str">
        <f>mapCOM!A457</f>
        <v>RLNL</v>
      </c>
      <c r="AD411" t="str">
        <f t="shared" si="17"/>
        <v/>
      </c>
      <c r="BD411" t="s">
        <v>1715</v>
      </c>
      <c r="BE411" t="s">
        <v>2995</v>
      </c>
    </row>
    <row r="412" spans="3:57" x14ac:dyDescent="0.25">
      <c r="C412" t="s">
        <v>4330</v>
      </c>
      <c r="E412" t="s">
        <v>4339</v>
      </c>
      <c r="Y412" t="str">
        <f>mapPRC!A512</f>
        <v>IOTSELC-E</v>
      </c>
      <c r="Z412" t="str">
        <f>IFERROR(INDEX($AX$7:$AX$89,MATCH(mapPRC!C512,$AW$7:$AW$89,0)),"")</f>
        <v>ot</v>
      </c>
      <c r="AC412" t="str">
        <f>mapCOM!A458</f>
        <v>RLNN</v>
      </c>
      <c r="AD412" t="str">
        <f t="shared" si="17"/>
        <v/>
      </c>
      <c r="BD412" t="s">
        <v>1853</v>
      </c>
      <c r="BE412" t="s">
        <v>2994</v>
      </c>
    </row>
    <row r="413" spans="3:57" x14ac:dyDescent="0.25">
      <c r="C413" t="s">
        <v>4331</v>
      </c>
      <c r="E413" t="s">
        <v>4340</v>
      </c>
      <c r="Y413" t="str">
        <f>mapPRC!A513</f>
        <v>IOTSELC-N</v>
      </c>
      <c r="Z413" t="str">
        <f>IFERROR(INDEX($AX$7:$AX$89,MATCH(mapPRC!C513,$AW$7:$AW$89,0)),"")</f>
        <v>ot</v>
      </c>
      <c r="AC413" t="str">
        <f>mapCOM!A459</f>
        <v>RLNW</v>
      </c>
      <c r="AD413" t="str">
        <f t="shared" si="17"/>
        <v/>
      </c>
      <c r="BD413" t="s">
        <v>1852</v>
      </c>
      <c r="BE413" t="s">
        <v>2994</v>
      </c>
    </row>
    <row r="414" spans="3:57" x14ac:dyDescent="0.25">
      <c r="C414" t="s">
        <v>4332</v>
      </c>
      <c r="E414" t="s">
        <v>4341</v>
      </c>
      <c r="Y414" t="str">
        <f>mapPRC!A514</f>
        <v>IOTSHGN-E</v>
      </c>
      <c r="Z414" t="str">
        <f>IFERROR(INDEX($AX$7:$AX$89,MATCH(mapPRC!C514,$AW$7:$AW$89,0)),"")</f>
        <v>ot</v>
      </c>
      <c r="AC414" t="str">
        <f>mapCOM!A460</f>
        <v>RMEH</v>
      </c>
      <c r="AD414" t="str">
        <f t="shared" si="17"/>
        <v/>
      </c>
      <c r="BD414" t="s">
        <v>1851</v>
      </c>
      <c r="BE414" t="s">
        <v>2994</v>
      </c>
    </row>
    <row r="415" spans="3:57" x14ac:dyDescent="0.25">
      <c r="C415" t="s">
        <v>4333</v>
      </c>
      <c r="E415" t="s">
        <v>4342</v>
      </c>
      <c r="Y415" t="str">
        <f>mapPRC!A515</f>
        <v>IOTSGAS-E</v>
      </c>
      <c r="Z415" t="str">
        <f>IFERROR(INDEX($AX$7:$AX$89,MATCH(mapPRC!C515,$AW$7:$AW$89,0)),"")</f>
        <v>ot</v>
      </c>
      <c r="AC415" t="str">
        <f>mapCOM!A461</f>
        <v>RMEK</v>
      </c>
      <c r="AD415" t="str">
        <f t="shared" si="17"/>
        <v/>
      </c>
      <c r="BD415" t="s">
        <v>1850</v>
      </c>
      <c r="BE415" t="s">
        <v>2994</v>
      </c>
    </row>
    <row r="416" spans="3:57" x14ac:dyDescent="0.25">
      <c r="C416" t="s">
        <v>4334</v>
      </c>
      <c r="E416" t="s">
        <v>4343</v>
      </c>
      <c r="Y416" t="str">
        <f>mapPRC!A516</f>
        <v>IOTSOHF-E</v>
      </c>
      <c r="Z416" t="str">
        <f>IFERROR(INDEX($AX$7:$AX$89,MATCH(mapPRC!C516,$AW$7:$AW$89,0)),"")</f>
        <v>ot</v>
      </c>
      <c r="AC416" t="str">
        <f>mapCOM!A462</f>
        <v>RMEL</v>
      </c>
      <c r="AD416" t="str">
        <f t="shared" si="17"/>
        <v/>
      </c>
      <c r="BD416" t="s">
        <v>1849</v>
      </c>
      <c r="BE416" t="s">
        <v>2994</v>
      </c>
    </row>
    <row r="417" spans="3:57" x14ac:dyDescent="0.25">
      <c r="C417" t="s">
        <v>4335</v>
      </c>
      <c r="E417" t="s">
        <v>4344</v>
      </c>
      <c r="Y417" t="str">
        <f>mapPRC!A517</f>
        <v>IOTSOLP-E</v>
      </c>
      <c r="Z417" t="str">
        <f>IFERROR(INDEX($AX$7:$AX$89,MATCH(mapPRC!C517,$AW$7:$AW$89,0)),"")</f>
        <v>ot</v>
      </c>
      <c r="AC417" t="str">
        <f>mapCOM!A463</f>
        <v>RMEN</v>
      </c>
      <c r="AD417" t="str">
        <f t="shared" si="17"/>
        <v/>
      </c>
      <c r="BD417" t="s">
        <v>1848</v>
      </c>
      <c r="BE417" t="s">
        <v>2994</v>
      </c>
    </row>
    <row r="418" spans="3:57" x14ac:dyDescent="0.25">
      <c r="C418" t="s">
        <v>4336</v>
      </c>
      <c r="E418" t="s">
        <v>4345</v>
      </c>
      <c r="Y418" t="str">
        <f>mapPRC!A518</f>
        <v>IOTSWAS-E</v>
      </c>
      <c r="Z418" t="str">
        <f>IFERROR(INDEX($AX$7:$AX$89,MATCH(mapPRC!C518,$AW$7:$AW$89,0)),"")</f>
        <v>ot</v>
      </c>
      <c r="AC418" t="str">
        <f>mapCOM!A464</f>
        <v>RMEO</v>
      </c>
      <c r="AD418" t="str">
        <f t="shared" si="17"/>
        <v/>
      </c>
      <c r="BD418" t="s">
        <v>1847</v>
      </c>
      <c r="BE418" t="s">
        <v>2994</v>
      </c>
    </row>
    <row r="419" spans="3:57" x14ac:dyDescent="0.25">
      <c r="C419" t="s">
        <v>4337</v>
      </c>
      <c r="E419" t="s">
        <v>4346</v>
      </c>
      <c r="Y419" t="str">
        <f>mapPRC!A519</f>
        <v>IPGMME-E</v>
      </c>
      <c r="Z419" t="str">
        <f>IFERROR(INDEX($AX$7:$AX$89,MATCH(mapPRC!C519,$AW$7:$AW$89,0)),"")</f>
        <v>pgm</v>
      </c>
      <c r="AC419" t="str">
        <f>mapCOM!A465</f>
        <v>RMER</v>
      </c>
      <c r="AD419" t="str">
        <f t="shared" si="17"/>
        <v/>
      </c>
      <c r="BD419" t="s">
        <v>1713</v>
      </c>
      <c r="BE419" t="s">
        <v>2994</v>
      </c>
    </row>
    <row r="420" spans="3:57" x14ac:dyDescent="0.25">
      <c r="C420" t="s">
        <v>4338</v>
      </c>
      <c r="E420" t="s">
        <v>4347</v>
      </c>
      <c r="Y420" t="str">
        <f>mapPRC!A520</f>
        <v>IPGMME-N</v>
      </c>
      <c r="Z420" t="str">
        <f>IFERROR(INDEX($AX$7:$AX$89,MATCH(mapPRC!C520,$AW$7:$AW$89,0)),"")</f>
        <v>pgm</v>
      </c>
      <c r="AC420" t="str">
        <f>mapCOM!A466</f>
        <v>RMEW</v>
      </c>
      <c r="AD420" t="str">
        <f t="shared" si="17"/>
        <v/>
      </c>
      <c r="BD420" t="s">
        <v>1709</v>
      </c>
      <c r="BE420" t="s">
        <v>2994</v>
      </c>
    </row>
    <row r="421" spans="3:57" x14ac:dyDescent="0.25">
      <c r="C421" t="s">
        <v>4339</v>
      </c>
      <c r="E421" t="s">
        <v>4348</v>
      </c>
      <c r="Y421" t="str">
        <f>mapPRC!A521</f>
        <v>IPPCHE-E</v>
      </c>
      <c r="Z421" t="str">
        <f>IFERROR(INDEX($AX$7:$AX$89,MATCH(mapPRC!C521,$AW$7:$AW$89,0)),"")</f>
        <v>pp</v>
      </c>
      <c r="AC421" t="str">
        <f>mapCOM!A467</f>
        <v>RMEWG</v>
      </c>
      <c r="AD421" t="str">
        <f t="shared" si="17"/>
        <v/>
      </c>
      <c r="BD421" t="s">
        <v>1707</v>
      </c>
      <c r="BE421" t="s">
        <v>2997</v>
      </c>
    </row>
    <row r="422" spans="3:57" x14ac:dyDescent="0.25">
      <c r="C422" t="s">
        <v>4340</v>
      </c>
      <c r="E422" t="s">
        <v>4349</v>
      </c>
      <c r="Y422" t="str">
        <f>mapPRC!A522</f>
        <v>IPPCHE-E-T1</v>
      </c>
      <c r="Z422" t="str">
        <f>IFERROR(INDEX($AX$7:$AX$89,MATCH(mapPRC!C522,$AW$7:$AW$89,0)),"")</f>
        <v>pp</v>
      </c>
      <c r="AC422" t="str">
        <f>mapCOM!A468</f>
        <v>RMNH</v>
      </c>
      <c r="AD422" t="str">
        <f t="shared" si="17"/>
        <v/>
      </c>
      <c r="BD422" t="s">
        <v>1705</v>
      </c>
      <c r="BE422" t="s">
        <v>2996</v>
      </c>
    </row>
    <row r="423" spans="3:57" x14ac:dyDescent="0.25">
      <c r="C423" t="s">
        <v>4341</v>
      </c>
      <c r="E423" t="s">
        <v>4350</v>
      </c>
      <c r="Y423" t="str">
        <f>mapPRC!A523</f>
        <v>IPPCHE-E-T2</v>
      </c>
      <c r="Z423" t="str">
        <f>IFERROR(INDEX($AX$7:$AX$89,MATCH(mapPRC!C523,$AW$7:$AW$89,0)),"")</f>
        <v>pp</v>
      </c>
      <c r="AC423" t="str">
        <f>mapCOM!A469</f>
        <v>RMNK</v>
      </c>
      <c r="AD423" t="str">
        <f t="shared" si="17"/>
        <v/>
      </c>
      <c r="BD423" t="s">
        <v>1702</v>
      </c>
      <c r="BE423" t="s">
        <v>2995</v>
      </c>
    </row>
    <row r="424" spans="3:57" x14ac:dyDescent="0.25">
      <c r="C424" t="s">
        <v>4342</v>
      </c>
      <c r="E424" t="s">
        <v>4351</v>
      </c>
      <c r="Y424" t="str">
        <f>mapPRC!A524</f>
        <v>IPPCHE-N</v>
      </c>
      <c r="Z424" t="str">
        <f>IFERROR(INDEX($AX$7:$AX$89,MATCH(mapPRC!C524,$AW$7:$AW$89,0)),"")</f>
        <v>pp</v>
      </c>
      <c r="AC424" t="str">
        <f>mapCOM!A470</f>
        <v>RMNL</v>
      </c>
      <c r="AD424" t="str">
        <f t="shared" si="17"/>
        <v/>
      </c>
      <c r="BD424" t="s">
        <v>1700</v>
      </c>
      <c r="BE424" t="s">
        <v>3868</v>
      </c>
    </row>
    <row r="425" spans="3:57" x14ac:dyDescent="0.25">
      <c r="C425" t="s">
        <v>4343</v>
      </c>
      <c r="E425" t="s">
        <v>4352</v>
      </c>
      <c r="Y425" t="str">
        <f>mapPRC!A525</f>
        <v>IPPCHPGAS-N</v>
      </c>
      <c r="Z425" t="str">
        <f>IFERROR(INDEX($AX$7:$AX$89,MATCH(mapPRC!C525,$AW$7:$AW$89,0)),"")</f>
        <v>pp</v>
      </c>
      <c r="AC425" t="str">
        <f>mapCOM!A471</f>
        <v>RMNN</v>
      </c>
      <c r="AD425" t="str">
        <f t="shared" si="17"/>
        <v/>
      </c>
      <c r="BD425" t="s">
        <v>1697</v>
      </c>
      <c r="BE425" t="s">
        <v>2994</v>
      </c>
    </row>
    <row r="426" spans="3:57" x14ac:dyDescent="0.25">
      <c r="C426" t="s">
        <v>4344</v>
      </c>
      <c r="E426" t="s">
        <v>4353</v>
      </c>
      <c r="Y426" t="str">
        <f>mapPRC!A526</f>
        <v>IPPCHPGAS02-N</v>
      </c>
      <c r="Z426" t="str">
        <f>IFERROR(INDEX($AX$7:$AX$89,MATCH(mapPRC!C526,$AW$7:$AW$89,0)),"")</f>
        <v>pp</v>
      </c>
      <c r="AC426" t="str">
        <f>mapCOM!A472</f>
        <v>RMNW</v>
      </c>
      <c r="AD426" t="str">
        <f t="shared" si="17"/>
        <v/>
      </c>
      <c r="BD426" t="s">
        <v>1694</v>
      </c>
      <c r="BE426" t="s">
        <v>3870</v>
      </c>
    </row>
    <row r="427" spans="3:57" x14ac:dyDescent="0.25">
      <c r="C427" t="s">
        <v>4345</v>
      </c>
      <c r="E427" t="s">
        <v>4354</v>
      </c>
      <c r="Y427" t="str">
        <f>mapPRC!A527</f>
        <v>IPPCHPSTM-N</v>
      </c>
      <c r="Z427" t="str">
        <f>IFERROR(INDEX($AX$7:$AX$89,MATCH(mapPRC!C527,$AW$7:$AW$89,0)),"")</f>
        <v>pp</v>
      </c>
      <c r="AC427" t="str">
        <f>mapCOM!A473</f>
        <v>SOL</v>
      </c>
      <c r="AD427" t="str">
        <f t="shared" si="17"/>
        <v/>
      </c>
      <c r="BD427" t="s">
        <v>1691</v>
      </c>
      <c r="BE427" t="s">
        <v>3871</v>
      </c>
    </row>
    <row r="428" spans="3:57" x14ac:dyDescent="0.25">
      <c r="C428" t="s">
        <v>4346</v>
      </c>
      <c r="E428" t="s">
        <v>4355</v>
      </c>
      <c r="Y428" t="str">
        <f>mapPRC!A528</f>
        <v>IPPDIS-E</v>
      </c>
      <c r="Z428" t="str">
        <f>IFERROR(INDEX($AX$7:$AX$89,MATCH(mapPRC!C528,$AW$7:$AW$89,0)),"")</f>
        <v>pp</v>
      </c>
      <c r="AC428" t="str">
        <f>mapCOM!A474</f>
        <v>SOXS</v>
      </c>
      <c r="AD428" t="str">
        <f t="shared" si="17"/>
        <v/>
      </c>
      <c r="BD428" t="s">
        <v>1846</v>
      </c>
      <c r="BE428" t="s">
        <v>2994</v>
      </c>
    </row>
    <row r="429" spans="3:57" x14ac:dyDescent="0.25">
      <c r="C429" t="s">
        <v>4347</v>
      </c>
      <c r="E429" t="s">
        <v>4356</v>
      </c>
      <c r="Y429" t="str">
        <f>mapPRC!A529</f>
        <v>IPPDIS-E-T1</v>
      </c>
      <c r="Z429" t="str">
        <f>IFERROR(INDEX($AX$7:$AX$89,MATCH(mapPRC!C529,$AW$7:$AW$89,0)),"")</f>
        <v>pp</v>
      </c>
      <c r="AC429" t="str">
        <f>mapCOM!A475</f>
        <v>TADJET</v>
      </c>
      <c r="AD429" t="str">
        <f t="shared" si="17"/>
        <v>cpetr-k</v>
      </c>
      <c r="BD429" t="s">
        <v>1688</v>
      </c>
      <c r="BE429" t="s">
        <v>2994</v>
      </c>
    </row>
    <row r="430" spans="3:57" x14ac:dyDescent="0.25">
      <c r="C430" t="s">
        <v>4348</v>
      </c>
      <c r="E430" t="s">
        <v>4357</v>
      </c>
      <c r="Y430" t="str">
        <f>mapPRC!A530</f>
        <v>IPPDIS-E-T2</v>
      </c>
      <c r="Z430" t="str">
        <f>IFERROR(INDEX($AX$7:$AX$89,MATCH(mapPRC!C530,$AW$7:$AW$89,0)),"")</f>
        <v>pp</v>
      </c>
      <c r="AC430" t="str">
        <f>mapCOM!A476</f>
        <v>TAIJET</v>
      </c>
      <c r="AD430" t="str">
        <f t="shared" si="17"/>
        <v>cpetr-k</v>
      </c>
      <c r="BD430" t="s">
        <v>1844</v>
      </c>
      <c r="BE430" t="s">
        <v>2994</v>
      </c>
    </row>
    <row r="431" spans="3:57" x14ac:dyDescent="0.25">
      <c r="C431" t="s">
        <v>4349</v>
      </c>
      <c r="E431" t="s">
        <v>4358</v>
      </c>
      <c r="Y431" t="str">
        <f>mapPRC!A531</f>
        <v>IPPDIS-N</v>
      </c>
      <c r="Z431" t="str">
        <f>IFERROR(INDEX($AX$7:$AX$89,MATCH(mapPRC!C531,$AW$7:$AW$89,0)),"")</f>
        <v>pp</v>
      </c>
      <c r="AC431" t="str">
        <f>mapCOM!A477</f>
        <v>TAJET</v>
      </c>
      <c r="AD431" t="str">
        <f t="shared" si="17"/>
        <v/>
      </c>
      <c r="BD431" t="s">
        <v>1686</v>
      </c>
      <c r="BE431" t="s">
        <v>2994</v>
      </c>
    </row>
    <row r="432" spans="3:57" x14ac:dyDescent="0.25">
      <c r="C432" t="s">
        <v>4350</v>
      </c>
      <c r="E432" t="s">
        <v>4359</v>
      </c>
      <c r="Y432" t="str">
        <f>mapPRC!A532</f>
        <v>IPPELCSTM-E</v>
      </c>
      <c r="Z432" t="str">
        <f>IFERROR(INDEX($AX$7:$AX$89,MATCH(mapPRC!C532,$AW$7:$AW$89,0)),"")</f>
        <v>pp</v>
      </c>
      <c r="AC432" t="str">
        <f>mapCOM!A478</f>
        <v>TAOAG</v>
      </c>
      <c r="AD432" t="str">
        <f t="shared" si="17"/>
        <v/>
      </c>
      <c r="BD432" t="s">
        <v>1684</v>
      </c>
      <c r="BE432" t="s">
        <v>2994</v>
      </c>
    </row>
    <row r="433" spans="3:57" x14ac:dyDescent="0.25">
      <c r="C433" t="s">
        <v>4351</v>
      </c>
      <c r="E433" t="s">
        <v>4360</v>
      </c>
      <c r="Y433" t="str">
        <f>mapPRC!A533</f>
        <v>IPPELCSTM-N</v>
      </c>
      <c r="Z433" t="str">
        <f>IFERROR(INDEX($AX$7:$AX$89,MATCH(mapPRC!C533,$AW$7:$AW$89,0)),"")</f>
        <v>pp</v>
      </c>
      <c r="AC433" t="str">
        <f>mapCOM!A479</f>
        <v>TFHCV1</v>
      </c>
      <c r="AD433" t="str">
        <f t="shared" si="17"/>
        <v/>
      </c>
      <c r="BD433" t="s">
        <v>1681</v>
      </c>
      <c r="BE433" t="s">
        <v>2994</v>
      </c>
    </row>
    <row r="434" spans="3:57" x14ac:dyDescent="0.25">
      <c r="C434" t="s">
        <v>4352</v>
      </c>
      <c r="E434" t="s">
        <v>4361</v>
      </c>
      <c r="Y434" t="str">
        <f>mapPRC!A534</f>
        <v>IPPMCH-E</v>
      </c>
      <c r="Z434" t="str">
        <f>IFERROR(INDEX($AX$7:$AX$89,MATCH(mapPRC!C534,$AW$7:$AW$89,0)),"")</f>
        <v>pp</v>
      </c>
      <c r="AC434" t="str">
        <f>mapCOM!A480</f>
        <v>TFHCV2</v>
      </c>
      <c r="AD434" t="str">
        <f t="shared" si="17"/>
        <v/>
      </c>
      <c r="BD434" t="s">
        <v>1679</v>
      </c>
      <c r="BE434" t="s">
        <v>2999</v>
      </c>
    </row>
    <row r="435" spans="3:57" x14ac:dyDescent="0.25">
      <c r="C435" t="s">
        <v>4353</v>
      </c>
      <c r="E435" t="s">
        <v>4362</v>
      </c>
      <c r="Y435" t="str">
        <f>mapPRC!A535</f>
        <v>IPPMCH-E-T1</v>
      </c>
      <c r="Z435" t="str">
        <f>IFERROR(INDEX($AX$7:$AX$89,MATCH(mapPRC!C535,$AW$7:$AW$89,0)),"")</f>
        <v>pp</v>
      </c>
      <c r="AC435" t="str">
        <f>mapCOM!A481</f>
        <v>TFHCV3</v>
      </c>
      <c r="AD435" t="str">
        <f t="shared" si="17"/>
        <v/>
      </c>
      <c r="BD435" t="s">
        <v>1677</v>
      </c>
      <c r="BE435" t="s">
        <v>2994</v>
      </c>
    </row>
    <row r="436" spans="3:57" x14ac:dyDescent="0.25">
      <c r="C436" t="s">
        <v>4354</v>
      </c>
      <c r="E436" t="s">
        <v>4363</v>
      </c>
      <c r="Y436" t="str">
        <f>mapPRC!A536</f>
        <v>IPPMCH-E-T2</v>
      </c>
      <c r="Z436" t="str">
        <f>IFERROR(INDEX($AX$7:$AX$89,MATCH(mapPRC!C536,$AW$7:$AW$89,0)),"")</f>
        <v>pp</v>
      </c>
      <c r="AC436" t="str">
        <f>mapCOM!A482</f>
        <v>TFHCV4</v>
      </c>
      <c r="AD436" t="str">
        <f t="shared" si="17"/>
        <v/>
      </c>
      <c r="BD436" t="s">
        <v>1675</v>
      </c>
      <c r="BE436" t="s">
        <v>2996</v>
      </c>
    </row>
    <row r="437" spans="3:57" x14ac:dyDescent="0.25">
      <c r="C437" t="s">
        <v>4355</v>
      </c>
      <c r="E437" t="s">
        <v>4364</v>
      </c>
      <c r="Y437" t="str">
        <f>mapPRC!A537</f>
        <v>IPPMCH-N</v>
      </c>
      <c r="Z437" t="str">
        <f>IFERROR(INDEX($AX$7:$AX$89,MATCH(mapPRC!C537,$AW$7:$AW$89,0)),"")</f>
        <v>pp</v>
      </c>
      <c r="AC437" t="str">
        <f>mapCOM!A483</f>
        <v>TFHCV5</v>
      </c>
      <c r="AD437" t="str">
        <f t="shared" si="17"/>
        <v/>
      </c>
      <c r="BD437" t="s">
        <v>1674</v>
      </c>
      <c r="BE437" t="s">
        <v>2996</v>
      </c>
    </row>
    <row r="438" spans="3:57" x14ac:dyDescent="0.25">
      <c r="C438" t="s">
        <v>4356</v>
      </c>
      <c r="E438" t="s">
        <v>4365</v>
      </c>
      <c r="Y438" t="str">
        <f>mapPRC!A538</f>
        <v>IPPPAP-E</v>
      </c>
      <c r="Z438" t="str">
        <f>IFERROR(INDEX($AX$7:$AX$89,MATCH(mapPRC!C538,$AW$7:$AW$89,0)),"")</f>
        <v>pp</v>
      </c>
      <c r="AC438" t="str">
        <f>mapCOM!A484</f>
        <v>TFHCV6</v>
      </c>
      <c r="AD438" t="str">
        <f t="shared" si="17"/>
        <v/>
      </c>
      <c r="BD438" t="s">
        <v>1673</v>
      </c>
      <c r="BE438" t="s">
        <v>2999</v>
      </c>
    </row>
    <row r="439" spans="3:57" x14ac:dyDescent="0.25">
      <c r="C439" t="s">
        <v>4357</v>
      </c>
      <c r="E439" t="s">
        <v>4366</v>
      </c>
      <c r="Y439" t="str">
        <f>mapPRC!A539</f>
        <v>IPPPAP-E-T1</v>
      </c>
      <c r="Z439" t="str">
        <f>IFERROR(INDEX($AX$7:$AX$89,MATCH(mapPRC!C539,$AW$7:$AW$89,0)),"")</f>
        <v>pp</v>
      </c>
      <c r="AC439" t="str">
        <f>mapCOM!A485</f>
        <v>TFHCV7</v>
      </c>
      <c r="AD439" t="str">
        <f t="shared" si="17"/>
        <v/>
      </c>
      <c r="BD439" t="s">
        <v>1672</v>
      </c>
      <c r="BE439" t="s">
        <v>2999</v>
      </c>
    </row>
    <row r="440" spans="3:57" x14ac:dyDescent="0.25">
      <c r="C440" t="s">
        <v>4358</v>
      </c>
      <c r="E440" t="s">
        <v>4367</v>
      </c>
      <c r="Y440" t="str">
        <f>mapPRC!A540</f>
        <v>IPPPAP-E-T2</v>
      </c>
      <c r="Z440" t="str">
        <f>IFERROR(INDEX($AX$7:$AX$89,MATCH(mapPRC!C540,$AW$7:$AW$89,0)),"")</f>
        <v>pp</v>
      </c>
      <c r="AC440" t="str">
        <f>mapCOM!A486</f>
        <v>TFHCV8</v>
      </c>
      <c r="AD440" t="str">
        <f t="shared" si="17"/>
        <v/>
      </c>
      <c r="BD440" t="s">
        <v>1671</v>
      </c>
      <c r="BE440" t="s">
        <v>2999</v>
      </c>
    </row>
    <row r="441" spans="3:57" x14ac:dyDescent="0.25">
      <c r="C441" t="s">
        <v>4359</v>
      </c>
      <c r="E441" t="s">
        <v>4368</v>
      </c>
      <c r="Y441" t="str">
        <f>mapPRC!A541</f>
        <v>IPPPAP-N</v>
      </c>
      <c r="Z441" t="str">
        <f>IFERROR(INDEX($AX$7:$AX$89,MATCH(mapPRC!C541,$AW$7:$AW$89,0)),"")</f>
        <v>pp</v>
      </c>
      <c r="AC441" t="str">
        <f>mapCOM!A487</f>
        <v>TFHCV9</v>
      </c>
      <c r="AD441" t="str">
        <f t="shared" ref="AD441:AD472" si="18">INDEX($BE$6:$BE$811,MATCH(AC441,$BD$6:$BD$811,0))</f>
        <v/>
      </c>
      <c r="BD441" t="s">
        <v>1670</v>
      </c>
      <c r="BE441" t="s">
        <v>2999</v>
      </c>
    </row>
    <row r="442" spans="3:57" x14ac:dyDescent="0.25">
      <c r="C442" t="s">
        <v>4360</v>
      </c>
      <c r="E442" t="s">
        <v>4369</v>
      </c>
      <c r="Y442" t="str">
        <f>mapPRC!A542</f>
        <v>IPPREC-E</v>
      </c>
      <c r="Z442" t="str">
        <f>IFERROR(INDEX($AX$7:$AX$89,MATCH(mapPRC!C542,$AW$7:$AW$89,0)),"")</f>
        <v>pp</v>
      </c>
      <c r="AC442" t="str">
        <f>mapCOM!A488</f>
        <v>TFLCV</v>
      </c>
      <c r="AD442" t="str">
        <f t="shared" si="18"/>
        <v/>
      </c>
      <c r="BD442" t="s">
        <v>1669</v>
      </c>
      <c r="BE442" t="s">
        <v>2999</v>
      </c>
    </row>
    <row r="443" spans="3:57" x14ac:dyDescent="0.25">
      <c r="C443" t="s">
        <v>4361</v>
      </c>
      <c r="E443" t="s">
        <v>4370</v>
      </c>
      <c r="Y443" t="str">
        <f>mapPRC!A543</f>
        <v>IPPREC-E-T1</v>
      </c>
      <c r="Z443" t="str">
        <f>IFERROR(INDEX($AX$7:$AX$89,MATCH(mapPRC!C543,$AW$7:$AW$89,0)),"")</f>
        <v>pp</v>
      </c>
      <c r="AC443" t="str">
        <f>mapCOM!A489</f>
        <v>TFPIP</v>
      </c>
      <c r="AD443" t="str">
        <f t="shared" si="18"/>
        <v/>
      </c>
      <c r="BD443" t="s">
        <v>1668</v>
      </c>
      <c r="BE443" t="s">
        <v>2999</v>
      </c>
    </row>
    <row r="444" spans="3:57" x14ac:dyDescent="0.25">
      <c r="C444" t="s">
        <v>4362</v>
      </c>
      <c r="E444" t="s">
        <v>4371</v>
      </c>
      <c r="Y444" t="str">
        <f>mapPRC!A544</f>
        <v>IPPREC-E-T2</v>
      </c>
      <c r="Z444" t="str">
        <f>IFERROR(INDEX($AX$7:$AX$89,MATCH(mapPRC!C544,$AW$7:$AW$89,0)),"")</f>
        <v>pp</v>
      </c>
      <c r="AC444" t="str">
        <f>mapCOM!A490</f>
        <v>TFRCO</v>
      </c>
      <c r="AD444" t="str">
        <f t="shared" si="18"/>
        <v/>
      </c>
      <c r="BD444" t="s">
        <v>1667</v>
      </c>
      <c r="BE444" t="s">
        <v>2997</v>
      </c>
    </row>
    <row r="445" spans="3:57" x14ac:dyDescent="0.25">
      <c r="C445" t="s">
        <v>4363</v>
      </c>
      <c r="E445" t="s">
        <v>4372</v>
      </c>
      <c r="Y445" t="str">
        <f>mapPRC!A545</f>
        <v>IPPREC-N</v>
      </c>
      <c r="Z445" t="str">
        <f>IFERROR(INDEX($AX$7:$AX$89,MATCH(mapPRC!C545,$AW$7:$AW$89,0)),"")</f>
        <v>pp</v>
      </c>
      <c r="AC445" t="str">
        <f>mapCOM!A491</f>
        <v>TFREX</v>
      </c>
      <c r="AD445" t="str">
        <f t="shared" si="18"/>
        <v/>
      </c>
      <c r="BD445" t="s">
        <v>1666</v>
      </c>
      <c r="BE445" t="s">
        <v>2997</v>
      </c>
    </row>
    <row r="446" spans="3:57" x14ac:dyDescent="0.25">
      <c r="C446" t="s">
        <v>4364</v>
      </c>
      <c r="E446" t="s">
        <v>4373</v>
      </c>
      <c r="Y446" t="str">
        <f>mapPRC!A546</f>
        <v>IPPSTMBIO-E</v>
      </c>
      <c r="Z446" t="str">
        <f>IFERROR(INDEX($AX$7:$AX$89,MATCH(mapPRC!C546,$AW$7:$AW$89,0)),"")</f>
        <v>pp</v>
      </c>
      <c r="AC446" t="str">
        <f>mapCOM!A492</f>
        <v>TFROT</v>
      </c>
      <c r="AD446" t="str">
        <f t="shared" si="18"/>
        <v/>
      </c>
      <c r="BD446" t="s">
        <v>3003</v>
      </c>
      <c r="BE446" t="s">
        <v>2999</v>
      </c>
    </row>
    <row r="447" spans="3:57" x14ac:dyDescent="0.25">
      <c r="C447" t="s">
        <v>4365</v>
      </c>
      <c r="E447" t="s">
        <v>4374</v>
      </c>
      <c r="Y447" t="str">
        <f>mapPRC!A547</f>
        <v>IPPSTMBIO-N</v>
      </c>
      <c r="Z447" t="str">
        <f>IFERROR(INDEX($AX$7:$AX$89,MATCH(mapPRC!C547,$AW$7:$AW$89,0)),"")</f>
        <v>pp</v>
      </c>
      <c r="AC447" t="str">
        <f>mapCOM!A493</f>
        <v>TPPRCAR</v>
      </c>
      <c r="AD447" t="str">
        <f t="shared" si="18"/>
        <v/>
      </c>
      <c r="BD447" t="s">
        <v>3005</v>
      </c>
      <c r="BE447" t="s">
        <v>2999</v>
      </c>
    </row>
    <row r="448" spans="3:57" x14ac:dyDescent="0.25">
      <c r="C448" t="s">
        <v>4366</v>
      </c>
      <c r="E448" t="s">
        <v>4375</v>
      </c>
      <c r="Y448" t="str">
        <f>mapPRC!A548</f>
        <v>IPPSTMBLQ-E</v>
      </c>
      <c r="Z448" t="str">
        <f>IFERROR(INDEX($AX$7:$AX$89,MATCH(mapPRC!C548,$AW$7:$AW$89,0)),"")</f>
        <v>pp</v>
      </c>
      <c r="AC448" t="str">
        <f>mapCOM!A494</f>
        <v>TPPRMOT</v>
      </c>
      <c r="AD448" t="str">
        <f t="shared" si="18"/>
        <v/>
      </c>
      <c r="BD448" t="s">
        <v>3007</v>
      </c>
      <c r="BE448" t="s">
        <v>2999</v>
      </c>
    </row>
    <row r="449" spans="3:57" x14ac:dyDescent="0.25">
      <c r="C449" t="s">
        <v>4367</v>
      </c>
      <c r="E449" t="s">
        <v>4376</v>
      </c>
      <c r="Y449" t="str">
        <f>mapPRC!A549</f>
        <v>IPPSTMBLQ-N</v>
      </c>
      <c r="Z449" t="str">
        <f>IFERROR(INDEX($AX$7:$AX$89,MATCH(mapPRC!C549,$AW$7:$AW$89,0)),"")</f>
        <v>pp</v>
      </c>
      <c r="AC449" t="str">
        <f>mapCOM!A495</f>
        <v>TPPRSUV</v>
      </c>
      <c r="AD449" t="str">
        <f t="shared" si="18"/>
        <v/>
      </c>
      <c r="BD449" t="s">
        <v>3009</v>
      </c>
      <c r="BE449" t="s">
        <v>2999</v>
      </c>
    </row>
    <row r="450" spans="3:57" x14ac:dyDescent="0.25">
      <c r="C450" t="s">
        <v>4368</v>
      </c>
      <c r="E450" t="s">
        <v>4377</v>
      </c>
      <c r="Y450" t="str">
        <f>mapPRC!A550</f>
        <v>IPPSTMCOA-E</v>
      </c>
      <c r="Z450" t="str">
        <f>IFERROR(INDEX($AX$7:$AX$89,MATCH(mapPRC!C550,$AW$7:$AW$89,0)),"")</f>
        <v>pp</v>
      </c>
      <c r="AC450" t="str">
        <f>mapCOM!A496</f>
        <v>TPPUBRT</v>
      </c>
      <c r="AD450" t="str">
        <f t="shared" si="18"/>
        <v/>
      </c>
      <c r="BD450" t="s">
        <v>3011</v>
      </c>
      <c r="BE450" t="s">
        <v>2999</v>
      </c>
    </row>
    <row r="451" spans="3:57" x14ac:dyDescent="0.25">
      <c r="C451" t="s">
        <v>4369</v>
      </c>
      <c r="E451" t="s">
        <v>4378</v>
      </c>
      <c r="Y451" t="str">
        <f>mapPRC!A551</f>
        <v>IPPSTMCOA-N</v>
      </c>
      <c r="Z451" t="str">
        <f>IFERROR(INDEX($AX$7:$AX$89,MATCH(mapPRC!C551,$AW$7:$AW$89,0)),"")</f>
        <v>pp</v>
      </c>
      <c r="AC451" t="str">
        <f>mapCOM!A497</f>
        <v>TPPUBUS</v>
      </c>
      <c r="AD451" t="str">
        <f t="shared" si="18"/>
        <v/>
      </c>
      <c r="BD451" t="s">
        <v>3013</v>
      </c>
      <c r="BE451" t="s">
        <v>2999</v>
      </c>
    </row>
    <row r="452" spans="3:57" x14ac:dyDescent="0.25">
      <c r="C452" t="s">
        <v>4370</v>
      </c>
      <c r="E452" t="s">
        <v>4379</v>
      </c>
      <c r="Y452" t="str">
        <f>mapPRC!A552</f>
        <v>IPPSTMCOAOIL</v>
      </c>
      <c r="Z452" t="str">
        <f>IFERROR(INDEX($AX$7:$AX$89,MATCH(mapPRC!C552,$AW$7:$AW$89,0)),"")</f>
        <v>pp</v>
      </c>
      <c r="AC452" t="str">
        <f>mapCOM!A498</f>
        <v>TPPUGAT</v>
      </c>
      <c r="AD452" t="str">
        <f t="shared" si="18"/>
        <v/>
      </c>
      <c r="BD452" t="s">
        <v>3015</v>
      </c>
      <c r="BE452" t="s">
        <v>2999</v>
      </c>
    </row>
    <row r="453" spans="3:57" x14ac:dyDescent="0.25">
      <c r="C453" t="s">
        <v>4371</v>
      </c>
      <c r="E453" t="s">
        <v>4380</v>
      </c>
      <c r="Y453" t="str">
        <f>mapPRC!A553</f>
        <v>IPPSTMGAS-E</v>
      </c>
      <c r="Z453" t="str">
        <f>IFERROR(INDEX($AX$7:$AX$89,MATCH(mapPRC!C553,$AW$7:$AW$89,0)),"")</f>
        <v>pp</v>
      </c>
      <c r="AC453" t="str">
        <f>mapCOM!A499</f>
        <v>TPPUMBT</v>
      </c>
      <c r="AD453" t="str">
        <f t="shared" si="18"/>
        <v/>
      </c>
      <c r="BD453" t="s">
        <v>3017</v>
      </c>
      <c r="BE453" t="s">
        <v>2999</v>
      </c>
    </row>
    <row r="454" spans="3:57" x14ac:dyDescent="0.25">
      <c r="C454" t="s">
        <v>4372</v>
      </c>
      <c r="E454" t="s">
        <v>4381</v>
      </c>
      <c r="Y454" t="str">
        <f>mapPRC!A554</f>
        <v>IPPSTMGAS-N</v>
      </c>
      <c r="Z454" t="str">
        <f>IFERROR(INDEX($AX$7:$AX$89,MATCH(mapPRC!C554,$AW$7:$AW$89,0)),"")</f>
        <v>pp</v>
      </c>
      <c r="AC454" t="str">
        <f>mapCOM!A500</f>
        <v>TPPUMER</v>
      </c>
      <c r="AD454" t="str">
        <f t="shared" si="18"/>
        <v/>
      </c>
      <c r="BD454" t="s">
        <v>3019</v>
      </c>
      <c r="BE454" t="s">
        <v>2999</v>
      </c>
    </row>
    <row r="455" spans="3:57" x14ac:dyDescent="0.25">
      <c r="C455" t="s">
        <v>4373</v>
      </c>
      <c r="E455" t="s">
        <v>4382</v>
      </c>
      <c r="Y455" t="str">
        <f>mapPRC!A555</f>
        <v>IPPSTMOIL-N</v>
      </c>
      <c r="Z455" t="str">
        <f>IFERROR(INDEX($AX$7:$AX$89,MATCH(mapPRC!C555,$AW$7:$AW$89,0)),"")</f>
        <v>pp</v>
      </c>
      <c r="AC455" t="str">
        <f>mapCOM!A501</f>
        <v>TRABGS</v>
      </c>
      <c r="AD455" t="str">
        <f t="shared" si="18"/>
        <v/>
      </c>
      <c r="BD455" t="s">
        <v>3021</v>
      </c>
      <c r="BE455" t="s">
        <v>2999</v>
      </c>
    </row>
    <row r="456" spans="3:57" x14ac:dyDescent="0.25">
      <c r="C456" t="s">
        <v>4374</v>
      </c>
      <c r="E456" t="s">
        <v>4383</v>
      </c>
      <c r="Y456" t="str">
        <f>mapPRC!A556</f>
        <v>IPPSTMELC-N</v>
      </c>
      <c r="Z456" t="str">
        <f>IFERROR(INDEX($AX$7:$AX$89,MATCH(mapPRC!C556,$AW$7:$AW$89,0)),"")</f>
        <v>pp</v>
      </c>
      <c r="AC456" t="str">
        <f>mapCOM!A502</f>
        <v>TRACH4S</v>
      </c>
      <c r="AD456" t="str">
        <f t="shared" si="18"/>
        <v/>
      </c>
      <c r="BD456" t="s">
        <v>3023</v>
      </c>
      <c r="BE456" t="s">
        <v>2999</v>
      </c>
    </row>
    <row r="457" spans="3:57" x14ac:dyDescent="0.25">
      <c r="C457" t="s">
        <v>4375</v>
      </c>
      <c r="E457" t="s">
        <v>4384</v>
      </c>
      <c r="Y457" t="str">
        <f>mapPRC!A557</f>
        <v>MIN_FLAB-M</v>
      </c>
      <c r="Z457" t="str">
        <f>IFERROR(INDEX($AX$7:$AX$89,MATCH(mapPRC!C557,$AW$7:$AW$89,0)),"")</f>
        <v/>
      </c>
      <c r="AC457" t="str">
        <f>mapCOM!A503</f>
        <v>TRACMOX</v>
      </c>
      <c r="AD457" t="str">
        <f t="shared" si="18"/>
        <v/>
      </c>
      <c r="BD457" t="s">
        <v>3025</v>
      </c>
      <c r="BE457" t="s">
        <v>2999</v>
      </c>
    </row>
    <row r="458" spans="3:57" x14ac:dyDescent="0.25">
      <c r="C458" t="s">
        <v>4376</v>
      </c>
      <c r="E458" t="s">
        <v>4385</v>
      </c>
      <c r="Y458" t="str">
        <f>mapPRC!A558</f>
        <v>MIN_FLAB-P</v>
      </c>
      <c r="Z458" t="str">
        <f>IFERROR(INDEX($AX$7:$AX$89,MATCH(mapPRC!C558,$AW$7:$AW$89,0)),"")</f>
        <v/>
      </c>
      <c r="AC458" t="str">
        <f>mapCOM!A504</f>
        <v>TRACO2S</v>
      </c>
      <c r="AD458" t="str">
        <f t="shared" si="18"/>
        <v/>
      </c>
      <c r="BD458" t="s">
        <v>3027</v>
      </c>
      <c r="BE458" t="s">
        <v>2999</v>
      </c>
    </row>
    <row r="459" spans="3:57" x14ac:dyDescent="0.25">
      <c r="C459" t="s">
        <v>4377</v>
      </c>
      <c r="E459" t="s">
        <v>4386</v>
      </c>
      <c r="Y459" t="str">
        <f>mapPRC!A559</f>
        <v>MIN_FLAB-S</v>
      </c>
      <c r="Z459" t="str">
        <f>IFERROR(INDEX($AX$7:$AX$89,MATCH(mapPRC!C559,$AW$7:$AW$89,0)),"")</f>
        <v/>
      </c>
      <c r="AC459" t="str">
        <f>mapCOM!A505</f>
        <v>TRAELC</v>
      </c>
      <c r="AD459" t="str">
        <f t="shared" si="18"/>
        <v>celec</v>
      </c>
      <c r="BD459" t="s">
        <v>3029</v>
      </c>
      <c r="BE459" t="s">
        <v>2999</v>
      </c>
    </row>
    <row r="460" spans="3:57" x14ac:dyDescent="0.25">
      <c r="C460" t="s">
        <v>4378</v>
      </c>
      <c r="E460" t="s">
        <v>4387</v>
      </c>
      <c r="Y460" t="str">
        <f>mapPRC!A560</f>
        <v>MIN_FLAB-T</v>
      </c>
      <c r="Z460" t="str">
        <f>IFERROR(INDEX($AX$7:$AX$89,MATCH(mapPRC!C560,$AW$7:$AW$89,0)),"")</f>
        <v/>
      </c>
      <c r="AC460" t="str">
        <f>mapCOM!A506</f>
        <v>TRAGAS</v>
      </c>
      <c r="AD460" t="str">
        <f t="shared" si="18"/>
        <v>cngas</v>
      </c>
      <c r="BD460" t="s">
        <v>3031</v>
      </c>
      <c r="BE460" t="s">
        <v>2999</v>
      </c>
    </row>
    <row r="461" spans="3:57" x14ac:dyDescent="0.25">
      <c r="C461" t="s">
        <v>4379</v>
      </c>
      <c r="E461" t="s">
        <v>4388</v>
      </c>
      <c r="Y461" t="str">
        <f>mapPRC!A561</f>
        <v>MINAGR-N</v>
      </c>
      <c r="Z461" t="str">
        <f>IFERROR(INDEX($AX$7:$AX$89,MATCH(mapPRC!C561,$AW$7:$AW$89,0)),"")</f>
        <v/>
      </c>
      <c r="AC461" t="str">
        <f>mapCOM!A507</f>
        <v>TRAHGN</v>
      </c>
      <c r="AD461" t="str">
        <f t="shared" si="18"/>
        <v>chydr</v>
      </c>
      <c r="BD461" t="s">
        <v>3033</v>
      </c>
      <c r="BE461" t="s">
        <v>2999</v>
      </c>
    </row>
    <row r="462" spans="3:57" x14ac:dyDescent="0.25">
      <c r="C462" t="s">
        <v>4380</v>
      </c>
      <c r="E462" t="s">
        <v>4389</v>
      </c>
      <c r="Y462" t="str">
        <f>mapPRC!A562</f>
        <v>MINBBE</v>
      </c>
      <c r="Z462" t="str">
        <f>IFERROR(INDEX($AX$7:$AX$89,MATCH(mapPRC!C562,$AW$7:$AW$89,0)),"")</f>
        <v/>
      </c>
      <c r="AC462" t="str">
        <f>mapCOM!A508</f>
        <v>TRAN2OS</v>
      </c>
      <c r="AD462" t="str">
        <f t="shared" si="18"/>
        <v/>
      </c>
      <c r="BD462" t="s">
        <v>1663</v>
      </c>
      <c r="BE462" t="str">
        <f>""</f>
        <v/>
      </c>
    </row>
    <row r="463" spans="3:57" x14ac:dyDescent="0.25">
      <c r="C463" t="s">
        <v>4381</v>
      </c>
      <c r="E463" t="s">
        <v>4390</v>
      </c>
      <c r="Y463" t="str">
        <f>mapPRC!A563</f>
        <v>MINBCA</v>
      </c>
      <c r="Z463" t="str">
        <f>IFERROR(INDEX($AX$7:$AX$89,MATCH(mapPRC!C563,$AW$7:$AW$89,0)),"")</f>
        <v/>
      </c>
      <c r="AC463" t="str">
        <f>mapCOM!A509</f>
        <v>TRANH3</v>
      </c>
      <c r="AD463" t="str">
        <f t="shared" si="18"/>
        <v/>
      </c>
      <c r="BD463" t="s">
        <v>1661</v>
      </c>
      <c r="BE463" t="str">
        <f>""</f>
        <v/>
      </c>
    </row>
    <row r="464" spans="3:57" x14ac:dyDescent="0.25">
      <c r="C464" t="s">
        <v>4382</v>
      </c>
      <c r="E464" t="s">
        <v>4391</v>
      </c>
      <c r="Y464" t="str">
        <f>mapPRC!A564</f>
        <v>MINBIB</v>
      </c>
      <c r="Z464" t="str">
        <f>IFERROR(INDEX($AX$7:$AX$89,MATCH(mapPRC!C564,$AW$7:$AW$89,0)),"")</f>
        <v/>
      </c>
      <c r="AC464" t="str">
        <f>mapCOM!A510</f>
        <v>TRANMVS</v>
      </c>
      <c r="AD464" t="str">
        <f t="shared" si="18"/>
        <v/>
      </c>
      <c r="BD464" t="s">
        <v>1659</v>
      </c>
      <c r="BE464" t="str">
        <f>""</f>
        <v/>
      </c>
    </row>
    <row r="465" spans="3:57" x14ac:dyDescent="0.25">
      <c r="C465" t="s">
        <v>4383</v>
      </c>
      <c r="E465" t="s">
        <v>4392</v>
      </c>
      <c r="Y465" t="str">
        <f>mapPRC!A565</f>
        <v>MINBIG</v>
      </c>
      <c r="Z465" t="str">
        <f>IFERROR(INDEX($AX$7:$AX$89,MATCH(mapPRC!C565,$AW$7:$AW$89,0)),"")</f>
        <v/>
      </c>
      <c r="AC465" t="str">
        <f>mapCOM!A511</f>
        <v>TRANOXS</v>
      </c>
      <c r="AD465" t="str">
        <f t="shared" si="18"/>
        <v/>
      </c>
      <c r="BD465" t="s">
        <v>1657</v>
      </c>
      <c r="BE465" t="str">
        <f>""</f>
        <v/>
      </c>
    </row>
    <row r="466" spans="3:57" x14ac:dyDescent="0.25">
      <c r="C466" t="s">
        <v>4384</v>
      </c>
      <c r="E466" t="s">
        <v>4393</v>
      </c>
      <c r="Y466" t="str">
        <f>mapPRC!A566</f>
        <v>MINBIO</v>
      </c>
      <c r="Z466" t="str">
        <f>IFERROR(INDEX($AX$7:$AX$89,MATCH(mapPRC!C566,$AW$7:$AW$89,0)),"")</f>
        <v/>
      </c>
      <c r="AC466" t="str">
        <f>mapCOM!A512</f>
        <v>TRAOAG</v>
      </c>
      <c r="AD466" t="str">
        <f t="shared" si="18"/>
        <v>cpetr-k</v>
      </c>
      <c r="BD466" t="s">
        <v>1655</v>
      </c>
      <c r="BE466" t="str">
        <f>""</f>
        <v/>
      </c>
    </row>
    <row r="467" spans="3:57" x14ac:dyDescent="0.25">
      <c r="C467" t="s">
        <v>4385</v>
      </c>
      <c r="E467" t="s">
        <v>4394</v>
      </c>
      <c r="Y467" t="str">
        <f>mapPRC!A567</f>
        <v>MINBIP</v>
      </c>
      <c r="Z467" t="str">
        <f>IFERROR(INDEX($AX$7:$AX$89,MATCH(mapPRC!C567,$AW$7:$AW$89,0)),"")</f>
        <v/>
      </c>
      <c r="AC467" t="str">
        <f>mapCOM!A513</f>
        <v>TRAODS</v>
      </c>
      <c r="AD467" t="str">
        <f t="shared" si="18"/>
        <v>cpetr-d</v>
      </c>
      <c r="BD467" t="s">
        <v>3092</v>
      </c>
      <c r="BE467" t="str">
        <f>""</f>
        <v/>
      </c>
    </row>
    <row r="468" spans="3:57" x14ac:dyDescent="0.25">
      <c r="C468" t="s">
        <v>4386</v>
      </c>
      <c r="E468" t="s">
        <v>4395</v>
      </c>
      <c r="Y468" t="str">
        <f>mapPRC!A568</f>
        <v>MINBIW</v>
      </c>
      <c r="Z468" t="str">
        <f>IFERROR(INDEX($AX$7:$AX$89,MATCH(mapPRC!C568,$AW$7:$AW$89,0)),"")</f>
        <v/>
      </c>
      <c r="AC468" t="str">
        <f>mapCOM!A514</f>
        <v>TRAOGS</v>
      </c>
      <c r="AD468" t="str">
        <f t="shared" si="18"/>
        <v>cpetr-p</v>
      </c>
      <c r="BD468" t="s">
        <v>3095</v>
      </c>
      <c r="BE468" t="str">
        <f>""</f>
        <v/>
      </c>
    </row>
    <row r="469" spans="3:57" x14ac:dyDescent="0.25">
      <c r="C469" t="s">
        <v>4387</v>
      </c>
      <c r="E469" t="s">
        <v>4396</v>
      </c>
      <c r="Y469" t="str">
        <f>mapPRC!A569</f>
        <v>MINBSC</v>
      </c>
      <c r="Z469" t="str">
        <f>IFERROR(INDEX($AX$7:$AX$89,MATCH(mapPRC!C569,$AW$7:$AW$89,0)),"")</f>
        <v/>
      </c>
      <c r="AC469" t="str">
        <f>mapCOM!A515</f>
        <v>TRAOHF</v>
      </c>
      <c r="AD469" t="str">
        <f t="shared" si="18"/>
        <v>cpetr-h</v>
      </c>
      <c r="BD469" t="s">
        <v>3098</v>
      </c>
      <c r="BE469" t="str">
        <f>""</f>
        <v/>
      </c>
    </row>
    <row r="470" spans="3:57" x14ac:dyDescent="0.25">
      <c r="C470" t="s">
        <v>4388</v>
      </c>
      <c r="E470" t="s">
        <v>4397</v>
      </c>
      <c r="Y470" t="str">
        <f>mapPRC!A570</f>
        <v>MINBSR</v>
      </c>
      <c r="Z470" t="str">
        <f>IFERROR(INDEX($AX$7:$AX$89,MATCH(mapPRC!C570,$AW$7:$AW$89,0)),"")</f>
        <v/>
      </c>
      <c r="AC470" t="str">
        <f>mapCOM!A516</f>
        <v>TRAOKE</v>
      </c>
      <c r="AD470" s="3" t="s">
        <v>3872</v>
      </c>
      <c r="BD470" t="s">
        <v>3099</v>
      </c>
      <c r="BE470" t="str">
        <f>""</f>
        <v/>
      </c>
    </row>
    <row r="471" spans="3:57" x14ac:dyDescent="0.25">
      <c r="C471" t="s">
        <v>4389</v>
      </c>
      <c r="E471" t="s">
        <v>4398</v>
      </c>
      <c r="Y471" t="str">
        <f>mapPRC!A571</f>
        <v>MINBSY</v>
      </c>
      <c r="Z471" t="str">
        <f>IFERROR(INDEX($AX$7:$AX$89,MATCH(mapPRC!C571,$AW$7:$AW$89,0)),"")</f>
        <v/>
      </c>
      <c r="AC471" t="str">
        <f>mapCOM!A517</f>
        <v>TRAP10S</v>
      </c>
      <c r="AD471" t="str">
        <f t="shared" si="18"/>
        <v/>
      </c>
      <c r="BD471" t="s">
        <v>3101</v>
      </c>
      <c r="BE471" t="str">
        <f>""</f>
        <v/>
      </c>
    </row>
    <row r="472" spans="3:57" x14ac:dyDescent="0.25">
      <c r="C472" t="s">
        <v>4390</v>
      </c>
      <c r="E472" t="s">
        <v>4399</v>
      </c>
      <c r="Y472" t="str">
        <f>mapPRC!A572</f>
        <v>MINCLD</v>
      </c>
      <c r="Z472" t="str">
        <f>IFERROR(INDEX($AX$7:$AX$89,MATCH(mapPRC!C572,$AW$7:$AW$89,0)),"")</f>
        <v/>
      </c>
      <c r="AC472" t="str">
        <f>mapCOM!A518</f>
        <v>TRASOXS</v>
      </c>
      <c r="AD472" t="str">
        <f t="shared" si="18"/>
        <v/>
      </c>
      <c r="BD472" t="s">
        <v>3103</v>
      </c>
      <c r="BE472" t="s">
        <v>2996</v>
      </c>
    </row>
    <row r="473" spans="3:57" x14ac:dyDescent="0.25">
      <c r="C473" t="s">
        <v>4391</v>
      </c>
      <c r="E473" t="s">
        <v>4400</v>
      </c>
      <c r="Y473" t="str">
        <f>mapPRC!A573</f>
        <v>MINCLE</v>
      </c>
      <c r="Z473" t="str">
        <f>IFERROR(INDEX($AX$7:$AX$89,MATCH(mapPRC!C573,$AW$7:$AW$89,0)),"")</f>
        <v>coal</v>
      </c>
      <c r="AC473" t="str">
        <f>mapCOM!A519</f>
        <v>TSHFO</v>
      </c>
      <c r="AD473" t="str">
        <f t="shared" ref="AD473:AD477" si="19">INDEX($BE$6:$BE$811,MATCH(AC473,$BD$6:$BD$811,0))</f>
        <v/>
      </c>
      <c r="BD473" t="s">
        <v>3105</v>
      </c>
      <c r="BE473" t="s">
        <v>3000</v>
      </c>
    </row>
    <row r="474" spans="3:57" x14ac:dyDescent="0.25">
      <c r="C474" t="s">
        <v>4392</v>
      </c>
      <c r="E474" t="s">
        <v>4401</v>
      </c>
      <c r="Y474" t="str">
        <f>mapPRC!A574</f>
        <v>MINCLE1</v>
      </c>
      <c r="Z474" t="str">
        <f>IFERROR(INDEX($AX$7:$AX$89,MATCH(mapPRC!C574,$AW$7:$AW$89,0)),"")</f>
        <v>coal</v>
      </c>
      <c r="AC474" t="str">
        <f>mapCOM!A520</f>
        <v>UPSBID</v>
      </c>
      <c r="AD474" t="str">
        <f t="shared" si="19"/>
        <v/>
      </c>
      <c r="BD474" t="s">
        <v>3107</v>
      </c>
      <c r="BE474" t="str">
        <f>""</f>
        <v/>
      </c>
    </row>
    <row r="475" spans="3:57" x14ac:dyDescent="0.25">
      <c r="C475" t="s">
        <v>4393</v>
      </c>
      <c r="E475" t="s">
        <v>4402</v>
      </c>
      <c r="Y475" t="str">
        <f>mapPRC!A575</f>
        <v>MINCLE2</v>
      </c>
      <c r="Z475" t="str">
        <f>IFERROR(INDEX($AX$7:$AX$89,MATCH(mapPRC!C575,$AW$7:$AW$89,0)),"")</f>
        <v>coal</v>
      </c>
      <c r="AC475" t="str">
        <f>mapCOM!A521</f>
        <v>UPSBIE</v>
      </c>
      <c r="AD475" t="str">
        <f t="shared" si="19"/>
        <v/>
      </c>
      <c r="BD475" t="s">
        <v>3111</v>
      </c>
      <c r="BE475" t="str">
        <f>""</f>
        <v/>
      </c>
    </row>
    <row r="476" spans="3:57" x14ac:dyDescent="0.25">
      <c r="C476" t="s">
        <v>4394</v>
      </c>
      <c r="E476" t="s">
        <v>4403</v>
      </c>
      <c r="Y476" t="str">
        <f>mapPRC!A576</f>
        <v>MINCLE3</v>
      </c>
      <c r="Z476" t="str">
        <f>IFERROR(INDEX($AX$7:$AX$89,MATCH(mapPRC!C576,$AW$7:$AW$89,0)),"")</f>
        <v>coal</v>
      </c>
      <c r="AC476" t="str">
        <f>mapCOM!A522</f>
        <v>UPSCH4S</v>
      </c>
      <c r="AD476" t="str">
        <f t="shared" si="19"/>
        <v/>
      </c>
      <c r="BD476" t="s">
        <v>3113</v>
      </c>
      <c r="BE476" t="str">
        <f>""</f>
        <v/>
      </c>
    </row>
    <row r="477" spans="3:57" x14ac:dyDescent="0.25">
      <c r="C477" t="s">
        <v>4395</v>
      </c>
      <c r="E477" t="s">
        <v>4404</v>
      </c>
      <c r="Y477" t="str">
        <f>mapPRC!A577</f>
        <v>MINCLE-A</v>
      </c>
      <c r="Z477" t="str">
        <f>IFERROR(INDEX($AX$7:$AX$89,MATCH(mapPRC!C577,$AW$7:$AW$89,0)),"")</f>
        <v>coal</v>
      </c>
      <c r="AC477" t="str">
        <f>mapCOM!A523</f>
        <v>UPSCLE</v>
      </c>
      <c r="AD477" t="str">
        <f t="shared" si="19"/>
        <v>ccoal-low</v>
      </c>
      <c r="BD477" t="s">
        <v>3116</v>
      </c>
      <c r="BE477" t="str">
        <f>""</f>
        <v/>
      </c>
    </row>
    <row r="478" spans="3:57" x14ac:dyDescent="0.25">
      <c r="C478" t="s">
        <v>4396</v>
      </c>
      <c r="E478" t="s">
        <v>4405</v>
      </c>
      <c r="Y478" t="str">
        <f>mapPRC!A578</f>
        <v>MINCLN</v>
      </c>
      <c r="Z478" t="str">
        <f>IFERROR(INDEX($AX$7:$AX$89,MATCH(mapPRC!C578,$AW$7:$AW$89,0)),"")</f>
        <v>coal</v>
      </c>
      <c r="AC478" t="str">
        <f>mapCOM!A524</f>
        <v>UPSCMU</v>
      </c>
      <c r="AD478" s="3" t="str">
        <f>AD477</f>
        <v>ccoal-low</v>
      </c>
      <c r="BD478" t="s">
        <v>3118</v>
      </c>
      <c r="BE478" t="str">
        <f>""</f>
        <v/>
      </c>
    </row>
    <row r="479" spans="3:57" x14ac:dyDescent="0.25">
      <c r="C479" t="s">
        <v>4397</v>
      </c>
      <c r="E479" t="s">
        <v>4406</v>
      </c>
      <c r="Y479" t="str">
        <f>mapPRC!A579</f>
        <v>MINCLN-A</v>
      </c>
      <c r="Z479" t="str">
        <f>IFERROR(INDEX($AX$7:$AX$89,MATCH(mapPRC!C579,$AW$7:$AW$89,0)),"")</f>
        <v>coal</v>
      </c>
      <c r="AC479" t="str">
        <f>mapCOM!A525</f>
        <v>UPSCMOX</v>
      </c>
      <c r="AD479" t="str">
        <f>INDEX($BE$6:$BE$811,MATCH(AC479,$BD$6:$BD$811,0))</f>
        <v/>
      </c>
      <c r="BD479" t="s">
        <v>3086</v>
      </c>
      <c r="BE479" t="str">
        <f>""</f>
        <v/>
      </c>
    </row>
    <row r="480" spans="3:57" x14ac:dyDescent="0.25">
      <c r="C480" t="s">
        <v>4398</v>
      </c>
      <c r="E480" t="s">
        <v>4407</v>
      </c>
      <c r="Y480" t="str">
        <f>mapPRC!A580</f>
        <v>MINCLNU-A</v>
      </c>
      <c r="Z480" t="str">
        <f>IFERROR(INDEX($AX$7:$AX$89,MATCH(mapPRC!C580,$AW$7:$AW$89,0)),"")</f>
        <v>coal</v>
      </c>
      <c r="AC480" t="str">
        <f>mapCOM!A526</f>
        <v>UPSCO2S</v>
      </c>
      <c r="AD480" t="str">
        <f>INDEX($BE$6:$BE$811,MATCH(AC480,$BD$6:$BD$811,0))</f>
        <v/>
      </c>
      <c r="BD480" t="s">
        <v>3088</v>
      </c>
      <c r="BE480" t="s">
        <v>3872</v>
      </c>
    </row>
    <row r="481" spans="3:57" x14ac:dyDescent="0.25">
      <c r="C481" t="s">
        <v>4399</v>
      </c>
      <c r="E481" t="s">
        <v>4408</v>
      </c>
      <c r="Y481" t="str">
        <f>mapPRC!A581</f>
        <v>MINCLS</v>
      </c>
      <c r="Z481" t="str">
        <f>IFERROR(INDEX($AX$7:$AX$89,MATCH(mapPRC!C581,$AW$7:$AW$89,0)),"")</f>
        <v>coal</v>
      </c>
      <c r="AC481" t="str">
        <f>mapCOM!A527</f>
        <v>UPSELC</v>
      </c>
      <c r="AD481" t="str">
        <f>INDEX($BE$6:$BE$811,MATCH(AC481,$BD$6:$BD$811,0))</f>
        <v>celec</v>
      </c>
      <c r="BD481" t="s">
        <v>3090</v>
      </c>
      <c r="BE481" t="s">
        <v>3872</v>
      </c>
    </row>
    <row r="482" spans="3:57" x14ac:dyDescent="0.25">
      <c r="C482" t="s">
        <v>4400</v>
      </c>
      <c r="E482" t="s">
        <v>4409</v>
      </c>
      <c r="Y482" t="str">
        <f>mapPRC!A582</f>
        <v>MINCLS-A</v>
      </c>
      <c r="Z482" t="str">
        <f>IFERROR(INDEX($AX$7:$AX$89,MATCH(mapPRC!C582,$AW$7:$AW$89,0)),"")</f>
        <v>coal</v>
      </c>
      <c r="AC482" t="str">
        <f>mapCOM!A528</f>
        <v>UPSGAS</v>
      </c>
      <c r="AD482" t="str">
        <f>INDEX($BE$6:$BE$811,MATCH(AC482,$BD$6:$BD$811,0))</f>
        <v>cngas</v>
      </c>
      <c r="BD482" t="s">
        <v>3646</v>
      </c>
      <c r="BE482" t="str">
        <f>""</f>
        <v/>
      </c>
    </row>
    <row r="483" spans="3:57" x14ac:dyDescent="0.25">
      <c r="C483" t="s">
        <v>4401</v>
      </c>
      <c r="E483" t="s">
        <v>4410</v>
      </c>
      <c r="Y483" t="str">
        <f>mapPRC!A583</f>
        <v>MINCOA</v>
      </c>
      <c r="Z483" t="str">
        <f>IFERROR(INDEX($AX$7:$AX$89,MATCH(mapPRC!C583,$AW$7:$AW$89,0)),"")</f>
        <v>coal</v>
      </c>
      <c r="AC483" t="str">
        <f>mapCOM!A529</f>
        <v>UPSGIC</v>
      </c>
      <c r="AD483" t="str">
        <f>INDEX($BE$6:$BE$811,MATCH(AC483,$BD$6:$BD$811,0))</f>
        <v>cngas</v>
      </c>
      <c r="BD483" t="s">
        <v>3607</v>
      </c>
      <c r="BE483" t="str">
        <f>""</f>
        <v/>
      </c>
    </row>
    <row r="484" spans="3:57" x14ac:dyDescent="0.25">
      <c r="C484" t="s">
        <v>4402</v>
      </c>
      <c r="E484" t="s">
        <v>4411</v>
      </c>
      <c r="Y484" t="str">
        <f>mapPRC!A584</f>
        <v>MINCSARNOVRS</v>
      </c>
      <c r="Z484" t="str">
        <f>IFERROR(INDEX($AX$7:$AX$89,MATCH(mapPRC!C584,$AW$7:$AW$89,0)),"")</f>
        <v>coal</v>
      </c>
      <c r="AC484" t="str">
        <f>mapCOM!A530</f>
        <v>UPSGMU</v>
      </c>
      <c r="AD484" s="3" t="str">
        <f>AD483</f>
        <v>cngas</v>
      </c>
      <c r="BD484" t="s">
        <v>3648</v>
      </c>
      <c r="BE484" t="s">
        <v>3000</v>
      </c>
    </row>
    <row r="485" spans="3:57" x14ac:dyDescent="0.25">
      <c r="C485" t="s">
        <v>4403</v>
      </c>
      <c r="E485" t="s">
        <v>4412</v>
      </c>
      <c r="Y485" t="str">
        <f>mapPRC!A585</f>
        <v>MINCSCAMDVRS</v>
      </c>
      <c r="Z485" t="str">
        <f>IFERROR(INDEX($AX$7:$AX$89,MATCH(mapPRC!C585,$AW$7:$AW$89,0)),"")</f>
        <v>coal</v>
      </c>
      <c r="AC485" t="str">
        <f>mapCOM!A531</f>
        <v>UPSHEE</v>
      </c>
      <c r="AD485" t="str">
        <f t="shared" ref="AD485:AD499" si="20">INDEX($BE$6:$BE$811,MATCH(AC485,$BD$6:$BD$811,0))</f>
        <v/>
      </c>
      <c r="BD485" t="s">
        <v>3667</v>
      </c>
      <c r="BE485" t="str">
        <f>""</f>
        <v/>
      </c>
    </row>
    <row r="486" spans="3:57" x14ac:dyDescent="0.25">
      <c r="C486" t="s">
        <v>4404</v>
      </c>
      <c r="E486" t="s">
        <v>4413</v>
      </c>
      <c r="Y486" t="str">
        <f>mapPRC!A586</f>
        <v>MINCSDUVHSER</v>
      </c>
      <c r="Z486" t="str">
        <f>IFERROR(INDEX($AX$7:$AX$89,MATCH(mapPRC!C586,$AW$7:$AW$89,0)),"")</f>
        <v>coal</v>
      </c>
      <c r="AC486" t="str">
        <f>mapCOM!A532</f>
        <v>UPSHEN</v>
      </c>
      <c r="AD486" t="str">
        <f t="shared" si="20"/>
        <v/>
      </c>
      <c r="BD486" t="s">
        <v>3650</v>
      </c>
      <c r="BE486" t="str">
        <f>""</f>
        <v/>
      </c>
    </row>
    <row r="487" spans="3:57" x14ac:dyDescent="0.25">
      <c r="C487" t="s">
        <v>4405</v>
      </c>
      <c r="E487" t="s">
        <v>4414</v>
      </c>
      <c r="Y487" t="str">
        <f>mapPRC!A587</f>
        <v>MINCSDUVHS32</v>
      </c>
      <c r="Z487" t="str">
        <f>IFERROR(INDEX($AX$7:$AX$89,MATCH(mapPRC!C587,$AW$7:$AW$89,0)),"")</f>
        <v>coal</v>
      </c>
      <c r="AC487" t="str">
        <f>mapCOM!A533</f>
        <v>UPSHGN</v>
      </c>
      <c r="AD487" t="str">
        <f t="shared" si="20"/>
        <v>chydr</v>
      </c>
      <c r="BD487" t="s">
        <v>3652</v>
      </c>
      <c r="BE487" t="str">
        <f>""</f>
        <v/>
      </c>
    </row>
    <row r="488" spans="3:57" x14ac:dyDescent="0.25">
      <c r="C488" t="s">
        <v>4406</v>
      </c>
      <c r="E488" t="s">
        <v>4415</v>
      </c>
      <c r="Y488" t="str">
        <f>mapPRC!A588</f>
        <v>MINCSDUVHVRS</v>
      </c>
      <c r="Z488" t="str">
        <f>IFERROR(INDEX($AX$7:$AX$89,MATCH(mapPRC!C588,$AW$7:$AW$89,0)),"")</f>
        <v>coal</v>
      </c>
      <c r="AC488" t="str">
        <f>mapCOM!A534</f>
        <v>UPSN2OS</v>
      </c>
      <c r="AD488" t="str">
        <f t="shared" si="20"/>
        <v/>
      </c>
      <c r="BD488" t="s">
        <v>3602</v>
      </c>
      <c r="BE488" t="s">
        <v>3000</v>
      </c>
    </row>
    <row r="489" spans="3:57" x14ac:dyDescent="0.25">
      <c r="C489" t="s">
        <v>4407</v>
      </c>
      <c r="E489" t="s">
        <v>4416</v>
      </c>
      <c r="Y489" t="str">
        <f>mapPRC!A589</f>
        <v>MINCSGROOVRS</v>
      </c>
      <c r="Z489" t="str">
        <f>IFERROR(INDEX($AX$7:$AX$89,MATCH(mapPRC!C589,$AW$7:$AW$89,0)),"")</f>
        <v>coal</v>
      </c>
      <c r="AC489" t="str">
        <f>mapCOM!A535</f>
        <v>UPSNMVS</v>
      </c>
      <c r="AD489" t="str">
        <f t="shared" si="20"/>
        <v/>
      </c>
      <c r="BD489" t="s">
        <v>3683</v>
      </c>
      <c r="BE489" t="str">
        <f>""</f>
        <v/>
      </c>
    </row>
    <row r="490" spans="3:57" x14ac:dyDescent="0.25">
      <c r="C490" t="s">
        <v>4408</v>
      </c>
      <c r="E490" t="s">
        <v>4417</v>
      </c>
      <c r="Y490" t="str">
        <f>mapPRC!A590</f>
        <v>MINCSHENDVRS</v>
      </c>
      <c r="Z490" t="str">
        <f>IFERROR(INDEX($AX$7:$AX$89,MATCH(mapPRC!C590,$AW$7:$AW$89,0)),"")</f>
        <v>coal</v>
      </c>
      <c r="AC490" t="str">
        <f>mapCOM!A536</f>
        <v>UPSNOXS</v>
      </c>
      <c r="AD490" t="str">
        <f t="shared" si="20"/>
        <v/>
      </c>
      <c r="BD490" t="s">
        <v>3654</v>
      </c>
      <c r="BE490" t="str">
        <f>""</f>
        <v/>
      </c>
    </row>
    <row r="491" spans="3:57" x14ac:dyDescent="0.25">
      <c r="C491" t="s">
        <v>4409</v>
      </c>
      <c r="E491" t="s">
        <v>4418</v>
      </c>
      <c r="Y491" t="str">
        <f>mapPRC!A591</f>
        <v>MINCSKENDS32</v>
      </c>
      <c r="Z491" t="str">
        <f>IFERROR(INDEX($AX$7:$AX$89,MATCH(mapPRC!C591,$AW$7:$AW$89,0)),"")</f>
        <v>coal</v>
      </c>
      <c r="AC491" t="str">
        <f>mapCOM!A537</f>
        <v>UPSOCR</v>
      </c>
      <c r="AD491" t="str">
        <f t="shared" si="20"/>
        <v>ccoil</v>
      </c>
      <c r="BD491" t="s">
        <v>3603</v>
      </c>
      <c r="BE491" t="s">
        <v>3000</v>
      </c>
    </row>
    <row r="492" spans="3:57" x14ac:dyDescent="0.25">
      <c r="C492" t="s">
        <v>4410</v>
      </c>
      <c r="E492" t="s">
        <v>4419</v>
      </c>
      <c r="Y492" t="str">
        <f>mapPRC!A592</f>
        <v>MINCSKENDVRS</v>
      </c>
      <c r="Z492" t="str">
        <f>IFERROR(INDEX($AX$7:$AX$89,MATCH(mapPRC!C592,$AW$7:$AW$89,0)),"")</f>
        <v>coal</v>
      </c>
      <c r="AC492" t="str">
        <f>mapCOM!A538</f>
        <v>UPSOHF</v>
      </c>
      <c r="AD492" t="str">
        <f t="shared" si="20"/>
        <v>cpetr-h</v>
      </c>
    </row>
    <row r="493" spans="3:57" x14ac:dyDescent="0.25">
      <c r="C493" t="s">
        <v>4411</v>
      </c>
      <c r="E493" t="s">
        <v>4420</v>
      </c>
      <c r="Y493" t="str">
        <f>mapPRC!A593</f>
        <v>MINCSKOMAVRS</v>
      </c>
      <c r="Z493" t="str">
        <f>IFERROR(INDEX($AX$7:$AX$89,MATCH(mapPRC!C593,$AW$7:$AW$89,0)),"")</f>
        <v>coal</v>
      </c>
      <c r="AC493" t="str">
        <f>mapCOM!A539</f>
        <v>UPSP10S</v>
      </c>
      <c r="AD493" t="str">
        <f t="shared" si="20"/>
        <v/>
      </c>
    </row>
    <row r="494" spans="3:57" x14ac:dyDescent="0.25">
      <c r="C494" t="s">
        <v>4412</v>
      </c>
      <c r="E494" t="s">
        <v>4421</v>
      </c>
      <c r="Y494" t="str">
        <f>mapPRC!A594</f>
        <v>MINCSKRIESER</v>
      </c>
      <c r="Z494" t="str">
        <f>IFERROR(INDEX($AX$7:$AX$89,MATCH(mapPRC!C594,$AW$7:$AW$89,0)),"")</f>
        <v>coal</v>
      </c>
      <c r="AC494" t="str">
        <f>mapCOM!A540</f>
        <v>UPSSOXS</v>
      </c>
      <c r="AD494" t="str">
        <f t="shared" si="20"/>
        <v/>
      </c>
    </row>
    <row r="495" spans="3:57" x14ac:dyDescent="0.25">
      <c r="C495" t="s">
        <v>4413</v>
      </c>
      <c r="E495" t="s">
        <v>4422</v>
      </c>
      <c r="Y495" t="str">
        <f>mapPRC!A595</f>
        <v>MINCSKRIEVRS</v>
      </c>
      <c r="Z495" t="str">
        <f>IFERROR(INDEX($AX$7:$AX$89,MATCH(mapPRC!C595,$AW$7:$AW$89,0)),"")</f>
        <v>coal</v>
      </c>
      <c r="AC495" t="str">
        <f>mapCOM!A541</f>
        <v>WAS</v>
      </c>
      <c r="AD495" t="str">
        <f t="shared" si="20"/>
        <v/>
      </c>
    </row>
    <row r="496" spans="3:57" x14ac:dyDescent="0.25">
      <c r="C496" t="s">
        <v>4414</v>
      </c>
      <c r="E496" t="s">
        <v>4423</v>
      </c>
      <c r="Y496" t="str">
        <f>mapPRC!A596</f>
        <v>MINCSKUSINLG</v>
      </c>
      <c r="Z496" t="str">
        <f>IFERROR(INDEX($AX$7:$AX$89,MATCH(mapPRC!C596,$AW$7:$AW$89,0)),"")</f>
        <v>coal</v>
      </c>
      <c r="AC496" t="str">
        <f>mapCOM!A542</f>
        <v>WAT</v>
      </c>
      <c r="AD496" t="str">
        <f t="shared" si="20"/>
        <v/>
      </c>
    </row>
    <row r="497" spans="3:30" x14ac:dyDescent="0.25">
      <c r="C497" t="s">
        <v>4415</v>
      </c>
      <c r="E497" t="s">
        <v>4424</v>
      </c>
      <c r="Y497" t="str">
        <f>mapPRC!A597</f>
        <v>MINCSKUSIVRS</v>
      </c>
      <c r="Z497" t="str">
        <f>IFERROR(INDEX($AX$7:$AX$89,MATCH(mapPRC!C597,$AW$7:$AW$89,0)),"")</f>
        <v>coal</v>
      </c>
      <c r="AC497" t="str">
        <f>mapCOM!A543</f>
        <v>WND</v>
      </c>
      <c r="AD497" t="str">
        <f t="shared" si="20"/>
        <v/>
      </c>
    </row>
    <row r="498" spans="3:30" x14ac:dyDescent="0.25">
      <c r="C498" t="s">
        <v>4416</v>
      </c>
      <c r="E498" t="s">
        <v>4425</v>
      </c>
      <c r="Y498" t="str">
        <f>mapPRC!A598</f>
        <v>MINCSLETHSER</v>
      </c>
      <c r="Z498" t="str">
        <f>IFERROR(INDEX($AX$7:$AX$89,MATCH(mapPRC!C598,$AW$7:$AW$89,0)),"")</f>
        <v>coal</v>
      </c>
      <c r="AC498" t="str">
        <f>mapCOM!A544</f>
        <v>ZDUMETRANS</v>
      </c>
      <c r="AD498" t="str">
        <f t="shared" si="20"/>
        <v/>
      </c>
    </row>
    <row r="499" spans="3:30" x14ac:dyDescent="0.25">
      <c r="C499" t="s">
        <v>4417</v>
      </c>
      <c r="E499" t="s">
        <v>4426</v>
      </c>
      <c r="Y499" t="str">
        <f>mapPRC!A599</f>
        <v>MINCSMAJUVRS</v>
      </c>
      <c r="Z499" t="str">
        <f>IFERROR(INDEX($AX$7:$AX$89,MATCH(mapPRC!C599,$AW$7:$AW$89,0)),"")</f>
        <v>coal</v>
      </c>
      <c r="AC499" t="str">
        <f>mapCOM!A545</f>
        <v>ZZZ</v>
      </c>
      <c r="AD499" t="str">
        <f t="shared" si="20"/>
        <v/>
      </c>
    </row>
    <row r="500" spans="3:30" x14ac:dyDescent="0.25">
      <c r="C500" t="s">
        <v>4418</v>
      </c>
      <c r="E500" t="s">
        <v>4427</v>
      </c>
      <c r="Y500" t="str">
        <f>mapPRC!A600</f>
        <v>MINCSMATIEXX</v>
      </c>
      <c r="Z500" t="str">
        <f>IFERROR(INDEX($AX$7:$AX$89,MATCH(mapPRC!C600,$AW$7:$AW$89,0)),"")</f>
        <v>coal</v>
      </c>
    </row>
    <row r="501" spans="3:30" x14ac:dyDescent="0.25">
      <c r="C501" t="s">
        <v>4419</v>
      </c>
      <c r="E501" t="s">
        <v>4428</v>
      </c>
      <c r="Y501" t="str">
        <f>mapPRC!A601</f>
        <v>MINCSMATLEXX</v>
      </c>
      <c r="Z501" t="str">
        <f>IFERROR(INDEX($AX$7:$AX$89,MATCH(mapPRC!C601,$AW$7:$AW$89,0)),"")</f>
        <v>coal</v>
      </c>
    </row>
    <row r="502" spans="3:30" x14ac:dyDescent="0.25">
      <c r="C502" t="s">
        <v>4420</v>
      </c>
      <c r="E502" t="s">
        <v>4429</v>
      </c>
      <c r="Y502" t="str">
        <f>mapPRC!A602</f>
        <v>MINCSMATLVRS</v>
      </c>
      <c r="Z502" t="str">
        <f>IFERROR(INDEX($AX$7:$AX$89,MATCH(mapPRC!C602,$AW$7:$AW$89,0)),"")</f>
        <v>coal</v>
      </c>
    </row>
    <row r="503" spans="3:30" x14ac:dyDescent="0.25">
      <c r="C503" t="s">
        <v>4421</v>
      </c>
      <c r="E503" t="s">
        <v>4430</v>
      </c>
      <c r="Y503" t="str">
        <f>mapPRC!A603</f>
        <v>MINCSMEDUEXX</v>
      </c>
      <c r="Z503" t="str">
        <f>IFERROR(INDEX($AX$7:$AX$89,MATCH(mapPRC!C603,$AW$7:$AW$89,0)),"")</f>
        <v>coal</v>
      </c>
    </row>
    <row r="504" spans="3:30" x14ac:dyDescent="0.25">
      <c r="C504" t="s">
        <v>4422</v>
      </c>
      <c r="E504" t="s">
        <v>4431</v>
      </c>
      <c r="Y504" t="str">
        <f>mapPRC!A604</f>
        <v>MINCSTUTUSER</v>
      </c>
      <c r="Z504" t="str">
        <f>IFERROR(INDEX($AX$7:$AX$89,MATCH(mapPRC!C604,$AW$7:$AW$89,0)),"")</f>
        <v>coal</v>
      </c>
    </row>
    <row r="505" spans="3:30" x14ac:dyDescent="0.25">
      <c r="C505" t="s">
        <v>4423</v>
      </c>
      <c r="E505" t="s">
        <v>4432</v>
      </c>
      <c r="Y505" t="str">
        <f>mapPRC!A605</f>
        <v>MINCSTUTUVRS</v>
      </c>
      <c r="Z505" t="str">
        <f>IFERROR(INDEX($AX$7:$AX$89,MATCH(mapPRC!C605,$AW$7:$AW$89,0)),"")</f>
        <v>coal</v>
      </c>
    </row>
    <row r="506" spans="3:30" x14ac:dyDescent="0.25">
      <c r="C506" t="s">
        <v>4424</v>
      </c>
      <c r="E506" t="s">
        <v>4433</v>
      </c>
      <c r="Y506" t="str">
        <f>mapPRC!A606</f>
        <v>MINCSWATEVRS</v>
      </c>
      <c r="Z506" t="str">
        <f>IFERROR(INDEX($AX$7:$AX$89,MATCH(mapPRC!C606,$AW$7:$AW$89,0)),"")</f>
        <v>coal</v>
      </c>
    </row>
    <row r="507" spans="3:30" x14ac:dyDescent="0.25">
      <c r="C507" t="s">
        <v>4425</v>
      </c>
      <c r="E507" t="s">
        <v>4434</v>
      </c>
      <c r="Y507" t="str">
        <f>mapPRC!A607</f>
        <v>MINFEORE</v>
      </c>
      <c r="Z507" t="str">
        <f>IFERROR(INDEX($AX$7:$AX$89,MATCH(mapPRC!C607,$AW$7:$AW$89,0)),"")</f>
        <v/>
      </c>
    </row>
    <row r="508" spans="3:30" x14ac:dyDescent="0.25">
      <c r="C508" t="s">
        <v>4426</v>
      </c>
      <c r="E508" t="s">
        <v>4435</v>
      </c>
      <c r="Y508" t="str">
        <f>mapPRC!A608</f>
        <v>MINGAS</v>
      </c>
      <c r="Z508" t="str">
        <f>IFERROR(INDEX($AX$7:$AX$89,MATCH(mapPRC!C608,$AW$7:$AW$89,0)),"")</f>
        <v/>
      </c>
    </row>
    <row r="509" spans="3:30" x14ac:dyDescent="0.25">
      <c r="C509" t="s">
        <v>4427</v>
      </c>
      <c r="E509" t="s">
        <v>4436</v>
      </c>
      <c r="Y509" t="str">
        <f>mapPRC!A609</f>
        <v>MINGIB</v>
      </c>
      <c r="Z509" t="str">
        <f>IFERROR(INDEX($AX$7:$AX$89,MATCH(mapPRC!C609,$AW$7:$AW$89,0)),"")</f>
        <v/>
      </c>
    </row>
    <row r="510" spans="3:30" x14ac:dyDescent="0.25">
      <c r="C510" t="s">
        <v>4428</v>
      </c>
      <c r="E510" t="s">
        <v>4437</v>
      </c>
      <c r="Y510" t="str">
        <f>mapPRC!A610</f>
        <v>MINGIC</v>
      </c>
      <c r="Z510" t="str">
        <f>IFERROR(INDEX($AX$7:$AX$89,MATCH(mapPRC!C610,$AW$7:$AW$89,0)),"")</f>
        <v/>
      </c>
    </row>
    <row r="511" spans="3:30" x14ac:dyDescent="0.25">
      <c r="C511" t="s">
        <v>4429</v>
      </c>
      <c r="E511" t="s">
        <v>4438</v>
      </c>
      <c r="Y511" t="str">
        <f>mapPRC!A611</f>
        <v>MINGIH</v>
      </c>
      <c r="Z511" t="str">
        <f>IFERROR(INDEX($AX$7:$AX$89,MATCH(mapPRC!C611,$AW$7:$AW$89,0)),"")</f>
        <v/>
      </c>
    </row>
    <row r="512" spans="3:30" x14ac:dyDescent="0.25">
      <c r="C512" t="s">
        <v>4430</v>
      </c>
      <c r="E512" t="s">
        <v>4439</v>
      </c>
      <c r="Y512" t="str">
        <f>mapPRC!A612</f>
        <v>MINHYD</v>
      </c>
      <c r="Z512" t="str">
        <f>IFERROR(INDEX($AX$7:$AX$89,MATCH(mapPRC!C612,$AW$7:$AW$89,0)),"")</f>
        <v/>
      </c>
    </row>
    <row r="513" spans="3:26" x14ac:dyDescent="0.25">
      <c r="C513" t="s">
        <v>4431</v>
      </c>
      <c r="E513" t="s">
        <v>4440</v>
      </c>
      <c r="Y513" t="str">
        <f>mapPRC!A613</f>
        <v>MINMTH</v>
      </c>
      <c r="Z513" t="str">
        <f>IFERROR(INDEX($AX$7:$AX$89,MATCH(mapPRC!C613,$AW$7:$AW$89,0)),"")</f>
        <v/>
      </c>
    </row>
    <row r="514" spans="3:26" x14ac:dyDescent="0.25">
      <c r="C514" t="s">
        <v>4432</v>
      </c>
      <c r="E514" t="s">
        <v>4441</v>
      </c>
      <c r="Y514" t="str">
        <f>mapPRC!A614</f>
        <v>MINOCR</v>
      </c>
      <c r="Z514" t="str">
        <f>IFERROR(INDEX($AX$7:$AX$89,MATCH(mapPRC!C614,$AW$7:$AW$89,0)),"")</f>
        <v/>
      </c>
    </row>
    <row r="515" spans="3:26" x14ac:dyDescent="0.25">
      <c r="C515" t="s">
        <v>4433</v>
      </c>
      <c r="E515" t="s">
        <v>4442</v>
      </c>
      <c r="Y515" t="str">
        <f>mapPRC!A615</f>
        <v>MINSOL</v>
      </c>
      <c r="Z515" t="str">
        <f>IFERROR(INDEX($AX$7:$AX$89,MATCH(mapPRC!C615,$AW$7:$AW$89,0)),"")</f>
        <v/>
      </c>
    </row>
    <row r="516" spans="3:26" x14ac:dyDescent="0.25">
      <c r="C516" t="s">
        <v>4434</v>
      </c>
      <c r="E516" t="s">
        <v>4443</v>
      </c>
      <c r="Y516" t="str">
        <f>mapPRC!A616</f>
        <v>MINWAS</v>
      </c>
      <c r="Z516" t="str">
        <f>IFERROR(INDEX($AX$7:$AX$89,MATCH(mapPRC!C616,$AW$7:$AW$89,0)),"")</f>
        <v/>
      </c>
    </row>
    <row r="517" spans="3:26" x14ac:dyDescent="0.25">
      <c r="C517" t="s">
        <v>4435</v>
      </c>
      <c r="E517" t="s">
        <v>4444</v>
      </c>
      <c r="Y517" t="str">
        <f>mapPRC!A617</f>
        <v>MINWAT</v>
      </c>
      <c r="Z517" t="str">
        <f>IFERROR(INDEX($AX$7:$AX$89,MATCH(mapPRC!C617,$AW$7:$AW$89,0)),"")</f>
        <v/>
      </c>
    </row>
    <row r="518" spans="3:26" x14ac:dyDescent="0.25">
      <c r="C518" t="s">
        <v>4436</v>
      </c>
      <c r="E518" t="s">
        <v>4445</v>
      </c>
      <c r="Y518" t="str">
        <f>mapPRC!A618</f>
        <v>MINWND</v>
      </c>
      <c r="Z518" t="str">
        <f>IFERROR(INDEX($AX$7:$AX$89,MATCH(mapPRC!C618,$AW$7:$AW$89,0)),"")</f>
        <v/>
      </c>
    </row>
    <row r="519" spans="3:26" x14ac:dyDescent="0.25">
      <c r="C519" t="s">
        <v>4437</v>
      </c>
      <c r="E519" t="s">
        <v>4446</v>
      </c>
      <c r="Y519" t="str">
        <f>mapPRC!A619</f>
        <v>MINZZ</v>
      </c>
      <c r="Z519" t="str">
        <f>IFERROR(INDEX($AX$7:$AX$89,MATCH(mapPRC!C619,$AW$7:$AW$89,0)),"")</f>
        <v/>
      </c>
    </row>
    <row r="520" spans="3:26" x14ac:dyDescent="0.25">
      <c r="C520" t="s">
        <v>4438</v>
      </c>
      <c r="E520" t="s">
        <v>4447</v>
      </c>
      <c r="Y520" t="str">
        <f>mapPRC!A620</f>
        <v>MIRCRB</v>
      </c>
      <c r="Z520" t="str">
        <f>IFERROR(INDEX($AX$7:$AX$89,MATCH(mapPRC!C620,$AW$7:$AW$89,0)),"")</f>
        <v/>
      </c>
    </row>
    <row r="521" spans="3:26" x14ac:dyDescent="0.25">
      <c r="C521" t="s">
        <v>4439</v>
      </c>
      <c r="E521" t="s">
        <v>4448</v>
      </c>
      <c r="Y521" t="str">
        <f>mapPRC!A621</f>
        <v>MIRGRM</v>
      </c>
      <c r="Z521" t="str">
        <f>IFERROR(INDEX($AX$7:$AX$89,MATCH(mapPRC!C621,$AW$7:$AW$89,0)),"")</f>
        <v/>
      </c>
    </row>
    <row r="522" spans="3:26" x14ac:dyDescent="0.25">
      <c r="C522" t="s">
        <v>4440</v>
      </c>
      <c r="E522" t="s">
        <v>4449</v>
      </c>
      <c r="Y522" t="str">
        <f>mapPRC!A622</f>
        <v>MIRGRN</v>
      </c>
      <c r="Z522" t="str">
        <f>IFERROR(INDEX($AX$7:$AX$89,MATCH(mapPRC!C622,$AW$7:$AW$89,0)),"")</f>
        <v/>
      </c>
    </row>
    <row r="523" spans="3:26" x14ac:dyDescent="0.25">
      <c r="C523" t="s">
        <v>4441</v>
      </c>
      <c r="E523" t="s">
        <v>4450</v>
      </c>
      <c r="Y523" t="str">
        <f>mapPRC!A623</f>
        <v>MIRGRS</v>
      </c>
      <c r="Z523" t="str">
        <f>IFERROR(INDEX($AX$7:$AX$89,MATCH(mapPRC!C623,$AW$7:$AW$89,0)),"")</f>
        <v/>
      </c>
    </row>
    <row r="524" spans="3:26" x14ac:dyDescent="0.25">
      <c r="C524" t="s">
        <v>4442</v>
      </c>
      <c r="E524" t="s">
        <v>4451</v>
      </c>
      <c r="Y524" t="str">
        <f>mapPRC!A624</f>
        <v>MNWAT</v>
      </c>
      <c r="Z524" t="str">
        <f>IFERROR(INDEX($AX$7:$AX$89,MATCH(mapPRC!C624,$AW$7:$AW$89,0)),"")</f>
        <v/>
      </c>
    </row>
    <row r="525" spans="3:26" x14ac:dyDescent="0.25">
      <c r="C525" t="s">
        <v>4443</v>
      </c>
      <c r="E525" t="s">
        <v>4452</v>
      </c>
      <c r="Y525" t="str">
        <f>mapPRC!A625</f>
        <v>MNZZZ</v>
      </c>
      <c r="Z525" t="str">
        <f>IFERROR(INDEX($AX$7:$AX$89,MATCH(mapPRC!C625,$AW$7:$AW$89,0)),"")</f>
        <v/>
      </c>
    </row>
    <row r="526" spans="3:26" x14ac:dyDescent="0.25">
      <c r="C526" t="s">
        <v>4444</v>
      </c>
      <c r="E526" t="s">
        <v>4453</v>
      </c>
      <c r="Y526" t="str">
        <f>mapPRC!A626</f>
        <v>MINcmach_e</v>
      </c>
      <c r="Z526" t="str">
        <f>IFERROR(INDEX($AX$7:$AX$89,MATCH(mapPRC!C626,$AW$7:$AW$89,0)),"")</f>
        <v/>
      </c>
    </row>
    <row r="527" spans="3:26" x14ac:dyDescent="0.25">
      <c r="C527" t="s">
        <v>4445</v>
      </c>
      <c r="E527" t="s">
        <v>4454</v>
      </c>
      <c r="Y527" t="str">
        <f>mapPRC!A627</f>
        <v>MINcemch_e</v>
      </c>
      <c r="Z527" t="str">
        <f>IFERROR(INDEX($AX$7:$AX$89,MATCH(mapPRC!C627,$AW$7:$AW$89,0)),"")</f>
        <v/>
      </c>
    </row>
    <row r="528" spans="3:26" x14ac:dyDescent="0.25">
      <c r="C528" t="s">
        <v>4446</v>
      </c>
      <c r="E528" t="s">
        <v>4455</v>
      </c>
      <c r="Y528" t="str">
        <f>mapPRC!A628</f>
        <v>MINcmetp</v>
      </c>
      <c r="Z528" t="str">
        <f>IFERROR(INDEX($AX$7:$AX$89,MATCH(mapPRC!C628,$AW$7:$AW$89,0)),"")</f>
        <v/>
      </c>
    </row>
    <row r="529" spans="3:26" x14ac:dyDescent="0.25">
      <c r="C529" t="s">
        <v>4447</v>
      </c>
      <c r="E529" t="s">
        <v>4456</v>
      </c>
      <c r="Y529" t="str">
        <f>mapPRC!A629</f>
        <v>PEXPIP</v>
      </c>
      <c r="Z529" t="str">
        <f>IFERROR(INDEX($AX$7:$AX$89,MATCH(mapPRC!C629,$AW$7:$AW$89,0)),"")</f>
        <v>exp</v>
      </c>
    </row>
    <row r="530" spans="3:26" x14ac:dyDescent="0.25">
      <c r="C530" t="s">
        <v>4448</v>
      </c>
      <c r="E530" t="s">
        <v>4457</v>
      </c>
      <c r="Y530" t="str">
        <f>mapPRC!A630</f>
        <v>PEXCME</v>
      </c>
      <c r="Z530" t="str">
        <f>IFERROR(INDEX($AX$7:$AX$89,MATCH(mapPRC!C630,$AW$7:$AW$89,0)),"")</f>
        <v>exp</v>
      </c>
    </row>
    <row r="531" spans="3:26" x14ac:dyDescent="0.25">
      <c r="C531" t="s">
        <v>4449</v>
      </c>
      <c r="E531" t="s">
        <v>4458</v>
      </c>
      <c r="Y531" t="str">
        <f>mapPRC!A631</f>
        <v>PEXCOA</v>
      </c>
      <c r="Z531" t="str">
        <f>IFERROR(INDEX($AX$7:$AX$89,MATCH(mapPRC!C631,$AW$7:$AW$89,0)),"")</f>
        <v>exp</v>
      </c>
    </row>
    <row r="532" spans="3:26" x14ac:dyDescent="0.25">
      <c r="C532" t="s">
        <v>4450</v>
      </c>
      <c r="E532" t="s">
        <v>4459</v>
      </c>
      <c r="Y532" t="str">
        <f>mapPRC!A632</f>
        <v>PEXCOK</v>
      </c>
      <c r="Z532" t="str">
        <f>IFERROR(INDEX($AX$7:$AX$89,MATCH(mapPRC!C632,$AW$7:$AW$89,0)),"")</f>
        <v>exp</v>
      </c>
    </row>
    <row r="533" spans="3:26" x14ac:dyDescent="0.25">
      <c r="C533" t="s">
        <v>4451</v>
      </c>
      <c r="E533" t="s">
        <v>4460</v>
      </c>
      <c r="Y533" t="str">
        <f>mapPRC!A633</f>
        <v>PEXELC</v>
      </c>
      <c r="Z533" t="str">
        <f>IFERROR(INDEX($AX$7:$AX$89,MATCH(mapPRC!C633,$AW$7:$AW$89,0)),"")</f>
        <v>exp</v>
      </c>
    </row>
    <row r="534" spans="3:26" x14ac:dyDescent="0.25">
      <c r="C534" t="s">
        <v>4452</v>
      </c>
      <c r="E534" t="s">
        <v>4461</v>
      </c>
      <c r="Y534" t="str">
        <f>mapPRC!A634</f>
        <v>PEXGAS</v>
      </c>
      <c r="Z534" t="str">
        <f>IFERROR(INDEX($AX$7:$AX$89,MATCH(mapPRC!C634,$AW$7:$AW$89,0)),"")</f>
        <v>exp</v>
      </c>
    </row>
    <row r="535" spans="3:26" x14ac:dyDescent="0.25">
      <c r="C535" t="s">
        <v>4453</v>
      </c>
      <c r="E535" t="s">
        <v>4462</v>
      </c>
      <c r="Y535" t="str">
        <f>mapPRC!A635</f>
        <v>PEXGDRI</v>
      </c>
      <c r="Z535" t="str">
        <f>IFERROR(INDEX($AX$7:$AX$89,MATCH(mapPRC!C635,$AW$7:$AW$89,0)),"")</f>
        <v>exp</v>
      </c>
    </row>
    <row r="536" spans="3:26" x14ac:dyDescent="0.25">
      <c r="C536" t="s">
        <v>4454</v>
      </c>
      <c r="E536" t="s">
        <v>4463</v>
      </c>
      <c r="Y536" t="str">
        <f>mapPRC!A636</f>
        <v>PEXHETP</v>
      </c>
      <c r="Z536" t="str">
        <f>IFERROR(INDEX($AX$7:$AX$89,MATCH(mapPRC!C636,$AW$7:$AW$89,0)),"")</f>
        <v>exp</v>
      </c>
    </row>
    <row r="537" spans="3:26" x14ac:dyDescent="0.25">
      <c r="C537" t="s">
        <v>4455</v>
      </c>
      <c r="E537" t="s">
        <v>4464</v>
      </c>
      <c r="Y537" t="str">
        <f>mapPRC!A637</f>
        <v>PEXHFCP</v>
      </c>
      <c r="Z537" t="str">
        <f>IFERROR(INDEX($AX$7:$AX$89,MATCH(mapPRC!C637,$AW$7:$AW$89,0)),"")</f>
        <v>exp</v>
      </c>
    </row>
    <row r="538" spans="3:26" x14ac:dyDescent="0.25">
      <c r="C538" t="s">
        <v>4456</v>
      </c>
      <c r="E538" t="s">
        <v>4465</v>
      </c>
      <c r="Y538" t="str">
        <f>mapPRC!A638</f>
        <v>PEXHGN</v>
      </c>
      <c r="Z538" t="str">
        <f>IFERROR(INDEX($AX$7:$AX$89,MATCH(mapPRC!C638,$AW$7:$AW$89,0)),"")</f>
        <v>exp</v>
      </c>
    </row>
    <row r="539" spans="3:26" x14ac:dyDescent="0.25">
      <c r="C539" t="s">
        <v>4457</v>
      </c>
      <c r="E539" t="s">
        <v>4466</v>
      </c>
      <c r="Y539" t="str">
        <f>mapPRC!A639</f>
        <v>PEXNH3</v>
      </c>
      <c r="Z539" t="str">
        <f>IFERROR(INDEX($AX$7:$AX$89,MATCH(mapPRC!C639,$AW$7:$AW$89,0)),"")</f>
        <v>exp</v>
      </c>
    </row>
    <row r="540" spans="3:26" x14ac:dyDescent="0.25">
      <c r="C540" t="s">
        <v>4458</v>
      </c>
      <c r="E540" t="s">
        <v>4467</v>
      </c>
      <c r="Y540" t="str">
        <f>mapPRC!A640</f>
        <v>PEXNH3G</v>
      </c>
      <c r="Z540" t="str">
        <f>IFERROR(INDEX($AX$7:$AX$89,MATCH(mapPRC!C640,$AW$7:$AW$89,0)),"")</f>
        <v>exp</v>
      </c>
    </row>
    <row r="541" spans="3:26" x14ac:dyDescent="0.25">
      <c r="C541" t="s">
        <v>4459</v>
      </c>
      <c r="E541" t="s">
        <v>4468</v>
      </c>
      <c r="Y541" t="str">
        <f>mapPRC!A641</f>
        <v>PEXOAG</v>
      </c>
      <c r="Z541" t="str">
        <f>IFERROR(INDEX($AX$7:$AX$89,MATCH(mapPRC!C641,$AW$7:$AW$89,0)),"")</f>
        <v>exp</v>
      </c>
    </row>
    <row r="542" spans="3:26" x14ac:dyDescent="0.25">
      <c r="C542" t="s">
        <v>4460</v>
      </c>
      <c r="E542" t="s">
        <v>4469</v>
      </c>
      <c r="Y542" t="str">
        <f>mapPRC!A642</f>
        <v>PEXOCR</v>
      </c>
      <c r="Z542" t="str">
        <f>IFERROR(INDEX($AX$7:$AX$89,MATCH(mapPRC!C642,$AW$7:$AW$89,0)),"")</f>
        <v>exp</v>
      </c>
    </row>
    <row r="543" spans="3:26" x14ac:dyDescent="0.25">
      <c r="C543" t="s">
        <v>4461</v>
      </c>
      <c r="E543" t="s">
        <v>4470</v>
      </c>
      <c r="Y543" t="str">
        <f>mapPRC!A643</f>
        <v>PEXODS</v>
      </c>
      <c r="Z543" t="str">
        <f>IFERROR(INDEX($AX$7:$AX$89,MATCH(mapPRC!C643,$AW$7:$AW$89,0)),"")</f>
        <v>exp</v>
      </c>
    </row>
    <row r="544" spans="3:26" x14ac:dyDescent="0.25">
      <c r="C544" t="s">
        <v>4462</v>
      </c>
      <c r="E544" t="s">
        <v>4471</v>
      </c>
      <c r="Y544" t="str">
        <f>mapPRC!A644</f>
        <v>PEXOGS</v>
      </c>
      <c r="Z544" t="str">
        <f>IFERROR(INDEX($AX$7:$AX$89,MATCH(mapPRC!C644,$AW$7:$AW$89,0)),"")</f>
        <v>exp</v>
      </c>
    </row>
    <row r="545" spans="3:26" x14ac:dyDescent="0.25">
      <c r="C545" t="s">
        <v>4463</v>
      </c>
      <c r="E545" t="s">
        <v>4472</v>
      </c>
      <c r="Y545" t="str">
        <f>mapPRC!A645</f>
        <v>PEXOHF</v>
      </c>
      <c r="Z545" t="str">
        <f>IFERROR(INDEX($AX$7:$AX$89,MATCH(mapPRC!C645,$AW$7:$AW$89,0)),"")</f>
        <v>exp</v>
      </c>
    </row>
    <row r="546" spans="3:26" x14ac:dyDescent="0.25">
      <c r="C546" t="s">
        <v>4464</v>
      </c>
      <c r="E546" t="s">
        <v>4473</v>
      </c>
      <c r="Y546" t="str">
        <f>mapPRC!A646</f>
        <v>PEXOKE</v>
      </c>
      <c r="Z546" t="str">
        <f>IFERROR(INDEX($AX$7:$AX$89,MATCH(mapPRC!C646,$AW$7:$AW$89,0)),"")</f>
        <v>exp</v>
      </c>
    </row>
    <row r="547" spans="3:26" x14ac:dyDescent="0.25">
      <c r="C547" t="s">
        <v>4465</v>
      </c>
      <c r="E547" t="s">
        <v>4474</v>
      </c>
      <c r="Y547" t="str">
        <f>mapPRC!A647</f>
        <v>PEXOKG</v>
      </c>
      <c r="Z547" t="str">
        <f>IFERROR(INDEX($AX$7:$AX$89,MATCH(mapPRC!C647,$AW$7:$AW$89,0)),"")</f>
        <v>exp</v>
      </c>
    </row>
    <row r="548" spans="3:26" x14ac:dyDescent="0.25">
      <c r="C548" t="s">
        <v>4466</v>
      </c>
      <c r="E548" t="s">
        <v>4475</v>
      </c>
      <c r="Y548" t="str">
        <f>mapPRC!A648</f>
        <v>PEXOXY</v>
      </c>
      <c r="Z548" t="str">
        <f>IFERROR(INDEX($AX$7:$AX$89,MATCH(mapPRC!C648,$AW$7:$AW$89,0)),"")</f>
        <v>exp</v>
      </c>
    </row>
    <row r="549" spans="3:26" x14ac:dyDescent="0.25">
      <c r="C549" t="s">
        <v>4467</v>
      </c>
      <c r="E549" t="s">
        <v>4476</v>
      </c>
      <c r="Y549" t="str">
        <f>mapPRC!A649</f>
        <v>PEXPGM</v>
      </c>
      <c r="Z549" t="str">
        <f>IFERROR(INDEX($AX$7:$AX$89,MATCH(mapPRC!C649,$AW$7:$AW$89,0)),"")</f>
        <v>exp</v>
      </c>
    </row>
    <row r="550" spans="3:26" x14ac:dyDescent="0.25">
      <c r="C550" t="s">
        <v>4468</v>
      </c>
      <c r="E550" t="s">
        <v>4477</v>
      </c>
      <c r="Y550" t="str">
        <f>mapPRC!A650</f>
        <v>PEXPGMO</v>
      </c>
      <c r="Z550" t="str">
        <f>IFERROR(INDEX($AX$7:$AX$89,MATCH(mapPRC!C650,$AW$7:$AW$89,0)),"")</f>
        <v/>
      </c>
    </row>
    <row r="551" spans="3:26" x14ac:dyDescent="0.25">
      <c r="C551" t="s">
        <v>4469</v>
      </c>
      <c r="E551" t="s">
        <v>4478</v>
      </c>
      <c r="Y551" t="str">
        <f>mapPRC!A651</f>
        <v>RHEHBIWSTOV-E</v>
      </c>
      <c r="Z551" t="str">
        <f>IFERROR(INDEX($AX$7:$AX$89,MATCH(mapPRC!C651,$AW$7:$AW$89,0)),"")</f>
        <v>hhd-he</v>
      </c>
    </row>
    <row r="552" spans="3:26" x14ac:dyDescent="0.25">
      <c r="C552" t="s">
        <v>4470</v>
      </c>
      <c r="E552" t="s">
        <v>4479</v>
      </c>
      <c r="Y552" t="str">
        <f>mapPRC!A652</f>
        <v>RHEHCOASTOV-E</v>
      </c>
      <c r="Z552" t="str">
        <f>IFERROR(INDEX($AX$7:$AX$89,MATCH(mapPRC!C652,$AW$7:$AW$89,0)),"")</f>
        <v>hhd-he</v>
      </c>
    </row>
    <row r="553" spans="3:26" x14ac:dyDescent="0.25">
      <c r="C553" t="s">
        <v>4471</v>
      </c>
      <c r="E553" t="s">
        <v>4480</v>
      </c>
      <c r="Y553" t="str">
        <f>mapPRC!A653</f>
        <v>RHEHELCHEATFIN-E</v>
      </c>
      <c r="Z553" t="str">
        <f>IFERROR(INDEX($AX$7:$AX$89,MATCH(mapPRC!C653,$AW$7:$AW$89,0)),"")</f>
        <v>hhd-he</v>
      </c>
    </row>
    <row r="554" spans="3:26" x14ac:dyDescent="0.25">
      <c r="C554" t="s">
        <v>4472</v>
      </c>
      <c r="E554" t="s">
        <v>4481</v>
      </c>
      <c r="Y554" t="str">
        <f>mapPRC!A654</f>
        <v>RHEHGASHEAT-N</v>
      </c>
      <c r="Z554" t="str">
        <f>IFERROR(INDEX($AX$7:$AX$89,MATCH(mapPRC!C654,$AW$7:$AW$89,0)),"")</f>
        <v>hhd-he</v>
      </c>
    </row>
    <row r="555" spans="3:26" x14ac:dyDescent="0.25">
      <c r="C555" t="s">
        <v>4473</v>
      </c>
      <c r="E555" t="s">
        <v>4482</v>
      </c>
      <c r="Y555" t="str">
        <f>mapPRC!A655</f>
        <v>RHEHOKEHEAT-E</v>
      </c>
      <c r="Z555" t="str">
        <f>IFERROR(INDEX($AX$7:$AX$89,MATCH(mapPRC!C655,$AW$7:$AW$89,0)),"")</f>
        <v>hhd-he</v>
      </c>
    </row>
    <row r="556" spans="3:26" x14ac:dyDescent="0.25">
      <c r="C556" t="s">
        <v>4474</v>
      </c>
      <c r="E556" t="s">
        <v>4483</v>
      </c>
      <c r="Y556" t="str">
        <f>mapPRC!A656</f>
        <v>RHEHOLPHEAT-E</v>
      </c>
      <c r="Z556" t="str">
        <f>IFERROR(INDEX($AX$7:$AX$89,MATCH(mapPRC!C656,$AW$7:$AW$89,0)),"")</f>
        <v>hhd-he</v>
      </c>
    </row>
    <row r="557" spans="3:26" x14ac:dyDescent="0.25">
      <c r="C557" t="s">
        <v>4475</v>
      </c>
      <c r="E557" t="s">
        <v>4484</v>
      </c>
      <c r="Y557" t="str">
        <f>mapPRC!A657</f>
        <v>RHEKBIWSTOV-E</v>
      </c>
      <c r="Z557" t="str">
        <f>IFERROR(INDEX($AX$7:$AX$89,MATCH(mapPRC!C657,$AW$7:$AW$89,0)),"")</f>
        <v>hhd-he</v>
      </c>
    </row>
    <row r="558" spans="3:26" x14ac:dyDescent="0.25">
      <c r="C558" t="s">
        <v>4476</v>
      </c>
      <c r="E558" t="s">
        <v>4485</v>
      </c>
      <c r="Y558" t="str">
        <f>mapPRC!A658</f>
        <v>RHEKELCSTOV-E</v>
      </c>
      <c r="Z558" t="str">
        <f>IFERROR(INDEX($AX$7:$AX$89,MATCH(mapPRC!C658,$AW$7:$AW$89,0)),"")</f>
        <v>hhd-he</v>
      </c>
    </row>
    <row r="559" spans="3:26" x14ac:dyDescent="0.25">
      <c r="C559" t="s">
        <v>4477</v>
      </c>
      <c r="E559" t="s">
        <v>4486</v>
      </c>
      <c r="Y559" t="str">
        <f>mapPRC!A659</f>
        <v>RHEKGASSTOV-E</v>
      </c>
      <c r="Z559" t="str">
        <f>IFERROR(INDEX($AX$7:$AX$89,MATCH(mapPRC!C659,$AW$7:$AW$89,0)),"")</f>
        <v>hhd-he</v>
      </c>
    </row>
    <row r="560" spans="3:26" x14ac:dyDescent="0.25">
      <c r="C560" t="s">
        <v>4478</v>
      </c>
      <c r="E560" t="s">
        <v>4487</v>
      </c>
      <c r="Y560" t="str">
        <f>mapPRC!A660</f>
        <v>RHEKOKEPRIMUS-E</v>
      </c>
      <c r="Z560" t="str">
        <f>IFERROR(INDEX($AX$7:$AX$89,MATCH(mapPRC!C660,$AW$7:$AW$89,0)),"")</f>
        <v>hhd-he</v>
      </c>
    </row>
    <row r="561" spans="3:26" x14ac:dyDescent="0.25">
      <c r="C561" t="s">
        <v>4479</v>
      </c>
      <c r="E561" t="s">
        <v>4488</v>
      </c>
      <c r="Y561" t="str">
        <f>mapPRC!A661</f>
        <v>RHEKOLPSTOV-E</v>
      </c>
      <c r="Z561" t="str">
        <f>IFERROR(INDEX($AX$7:$AX$89,MATCH(mapPRC!C661,$AW$7:$AW$89,0)),"")</f>
        <v>hhd-he</v>
      </c>
    </row>
    <row r="562" spans="3:26" x14ac:dyDescent="0.25">
      <c r="C562" t="s">
        <v>4480</v>
      </c>
      <c r="E562" t="s">
        <v>4489</v>
      </c>
      <c r="Y562" t="str">
        <f>mapPRC!A662</f>
        <v>RHELELCINC-E</v>
      </c>
      <c r="Z562" t="str">
        <f>IFERROR(INDEX($AX$7:$AX$89,MATCH(mapPRC!C662,$AW$7:$AW$89,0)),"")</f>
        <v>hhd-he</v>
      </c>
    </row>
    <row r="563" spans="3:26" x14ac:dyDescent="0.25">
      <c r="C563" t="s">
        <v>4481</v>
      </c>
      <c r="E563" t="s">
        <v>4490</v>
      </c>
      <c r="Y563" t="str">
        <f>mapPRC!A663</f>
        <v>RHENOKEOTH-E</v>
      </c>
      <c r="Z563" t="str">
        <f>IFERROR(INDEX($AX$7:$AX$89,MATCH(mapPRC!C663,$AW$7:$AW$89,0)),"")</f>
        <v>hhd-he</v>
      </c>
    </row>
    <row r="564" spans="3:26" x14ac:dyDescent="0.25">
      <c r="C564" t="s">
        <v>4482</v>
      </c>
      <c r="E564" t="s">
        <v>4491</v>
      </c>
      <c r="Y564" t="str">
        <f>mapPRC!A664</f>
        <v>RHEOELCOTH-E</v>
      </c>
      <c r="Z564" t="str">
        <f>IFERROR(INDEX($AX$7:$AX$89,MATCH(mapPRC!C664,$AW$7:$AW$89,0)),"")</f>
        <v>hhd-he</v>
      </c>
    </row>
    <row r="565" spans="3:26" x14ac:dyDescent="0.25">
      <c r="C565" t="s">
        <v>4483</v>
      </c>
      <c r="E565" t="s">
        <v>4492</v>
      </c>
      <c r="Y565" t="str">
        <f>mapPRC!A665</f>
        <v>RHERELCREF-E</v>
      </c>
      <c r="Z565" t="str">
        <f>IFERROR(INDEX($AX$7:$AX$89,MATCH(mapPRC!C665,$AW$7:$AW$89,0)),"")</f>
        <v>hhd-he</v>
      </c>
    </row>
    <row r="566" spans="3:26" x14ac:dyDescent="0.25">
      <c r="C566" t="s">
        <v>4484</v>
      </c>
      <c r="E566" t="s">
        <v>4493</v>
      </c>
      <c r="Y566" t="str">
        <f>mapPRC!A666</f>
        <v>RHEWELCCHP-N</v>
      </c>
      <c r="Z566" t="str">
        <f>IFERROR(INDEX($AX$7:$AX$89,MATCH(mapPRC!C666,$AW$7:$AW$89,0)),"")</f>
        <v>hhd-he</v>
      </c>
    </row>
    <row r="567" spans="3:26" x14ac:dyDescent="0.25">
      <c r="C567" t="s">
        <v>4485</v>
      </c>
      <c r="E567" t="s">
        <v>4494</v>
      </c>
      <c r="Y567" t="str">
        <f>mapPRC!A667</f>
        <v>RHEWELCGEY-E</v>
      </c>
      <c r="Z567" t="str">
        <f>IFERROR(INDEX($AX$7:$AX$89,MATCH(mapPRC!C667,$AW$7:$AW$89,0)),"")</f>
        <v>hhd-he</v>
      </c>
    </row>
    <row r="568" spans="3:26" x14ac:dyDescent="0.25">
      <c r="C568" t="s">
        <v>4486</v>
      </c>
      <c r="E568" t="s">
        <v>4495</v>
      </c>
      <c r="Y568" t="str">
        <f>mapPRC!A668</f>
        <v>RHEWELCSWH-E</v>
      </c>
      <c r="Z568" t="str">
        <f>IFERROR(INDEX($AX$7:$AX$89,MATCH(mapPRC!C668,$AW$7:$AW$89,0)),"")</f>
        <v>hhd-he</v>
      </c>
    </row>
    <row r="569" spans="3:26" x14ac:dyDescent="0.25">
      <c r="C569" t="s">
        <v>4487</v>
      </c>
      <c r="E569" t="s">
        <v>4496</v>
      </c>
      <c r="Y569" t="str">
        <f>mapPRC!A669</f>
        <v>RHEWGASHEAT-N</v>
      </c>
      <c r="Z569" t="str">
        <f>IFERROR(INDEX($AX$7:$AX$89,MATCH(mapPRC!C669,$AW$7:$AW$89,0)),"")</f>
        <v>hhd-he</v>
      </c>
    </row>
    <row r="570" spans="3:26" x14ac:dyDescent="0.25">
      <c r="C570" t="s">
        <v>4488</v>
      </c>
      <c r="E570" t="s">
        <v>4497</v>
      </c>
      <c r="Y570" t="str">
        <f>mapPRC!A670</f>
        <v>RHEWOKESTOV-E</v>
      </c>
      <c r="Z570" t="str">
        <f>IFERROR(INDEX($AX$7:$AX$89,MATCH(mapPRC!C670,$AW$7:$AW$89,0)),"")</f>
        <v>hhd-he</v>
      </c>
    </row>
    <row r="571" spans="3:26" x14ac:dyDescent="0.25">
      <c r="C571" t="s">
        <v>4489</v>
      </c>
      <c r="E571" t="s">
        <v>4498</v>
      </c>
      <c r="Y571" t="str">
        <f>mapPRC!A671</f>
        <v>RHEWOLPSTOV-E</v>
      </c>
      <c r="Z571" t="str">
        <f>IFERROR(INDEX($AX$7:$AX$89,MATCH(mapPRC!C671,$AW$7:$AW$89,0)),"")</f>
        <v>hhd-he</v>
      </c>
    </row>
    <row r="572" spans="3:26" x14ac:dyDescent="0.25">
      <c r="C572" t="s">
        <v>4490</v>
      </c>
      <c r="E572" t="s">
        <v>4499</v>
      </c>
      <c r="Y572" t="str">
        <f>mapPRC!A672</f>
        <v>RLEHBIWOPEN-E</v>
      </c>
      <c r="Z572" t="str">
        <f>IFERROR(INDEX($AX$7:$AX$89,MATCH(mapPRC!C672,$AW$7:$AW$89,0)),"")</f>
        <v>hhd-le</v>
      </c>
    </row>
    <row r="573" spans="3:26" x14ac:dyDescent="0.25">
      <c r="C573" t="s">
        <v>4491</v>
      </c>
      <c r="E573" t="s">
        <v>4500</v>
      </c>
      <c r="Y573" t="str">
        <f>mapPRC!A673</f>
        <v>RLEHCOABNM-E</v>
      </c>
      <c r="Z573" t="str">
        <f>IFERROR(INDEX($AX$7:$AX$89,MATCH(mapPRC!C673,$AW$7:$AW$89,0)),"")</f>
        <v>hhd-le</v>
      </c>
    </row>
    <row r="574" spans="3:26" x14ac:dyDescent="0.25">
      <c r="C574" t="s">
        <v>4492</v>
      </c>
      <c r="E574" t="s">
        <v>4501</v>
      </c>
      <c r="Y574" t="str">
        <f>mapPRC!A674</f>
        <v>RLEHELCHEATBAR-E</v>
      </c>
      <c r="Z574" t="str">
        <f>IFERROR(INDEX($AX$7:$AX$89,MATCH(mapPRC!C674,$AW$7:$AW$89,0)),"")</f>
        <v>hhd-le</v>
      </c>
    </row>
    <row r="575" spans="3:26" x14ac:dyDescent="0.25">
      <c r="C575" t="s">
        <v>4493</v>
      </c>
      <c r="E575" t="s">
        <v>4502</v>
      </c>
      <c r="Y575" t="str">
        <f>mapPRC!A675</f>
        <v>RLEHOKEHEAT-E</v>
      </c>
      <c r="Z575" t="str">
        <f>IFERROR(INDEX($AX$7:$AX$89,MATCH(mapPRC!C675,$AW$7:$AW$89,0)),"")</f>
        <v>hhd-le</v>
      </c>
    </row>
    <row r="576" spans="3:26" x14ac:dyDescent="0.25">
      <c r="C576" t="s">
        <v>4494</v>
      </c>
      <c r="E576" t="s">
        <v>4503</v>
      </c>
      <c r="Y576" t="str">
        <f>mapPRC!A676</f>
        <v>RLEHOLPHET-E</v>
      </c>
      <c r="Z576" t="str">
        <f>IFERROR(INDEX($AX$7:$AX$89,MATCH(mapPRC!C676,$AW$7:$AW$89,0)),"")</f>
        <v>hhd-le</v>
      </c>
    </row>
    <row r="577" spans="3:26" x14ac:dyDescent="0.25">
      <c r="C577" t="s">
        <v>4495</v>
      </c>
      <c r="E577" t="s">
        <v>4504</v>
      </c>
      <c r="Y577" t="str">
        <f>mapPRC!A677</f>
        <v>RLEKBIWBNM-E</v>
      </c>
      <c r="Z577" t="str">
        <f>IFERROR(INDEX($AX$7:$AX$89,MATCH(mapPRC!C677,$AW$7:$AW$89,0)),"")</f>
        <v>hhd-le</v>
      </c>
    </row>
    <row r="578" spans="3:26" x14ac:dyDescent="0.25">
      <c r="C578" t="s">
        <v>4496</v>
      </c>
      <c r="E578" t="s">
        <v>4505</v>
      </c>
      <c r="Y578" t="str">
        <f>mapPRC!A678</f>
        <v>RLEKCOABNM-E</v>
      </c>
      <c r="Z578" t="str">
        <f>IFERROR(INDEX($AX$7:$AX$89,MATCH(mapPRC!C678,$AW$7:$AW$89,0)),"")</f>
        <v>hhd-le</v>
      </c>
    </row>
    <row r="579" spans="3:26" x14ac:dyDescent="0.25">
      <c r="C579" t="s">
        <v>4497</v>
      </c>
      <c r="E579" t="s">
        <v>4506</v>
      </c>
      <c r="Y579" t="str">
        <f>mapPRC!A679</f>
        <v>RLEKELCHOT-E</v>
      </c>
      <c r="Z579" t="str">
        <f>IFERROR(INDEX($AX$7:$AX$89,MATCH(mapPRC!C679,$AW$7:$AW$89,0)),"")</f>
        <v>hhd-le</v>
      </c>
    </row>
    <row r="580" spans="3:26" x14ac:dyDescent="0.25">
      <c r="C580" t="s">
        <v>4498</v>
      </c>
      <c r="E580" t="s">
        <v>4507</v>
      </c>
      <c r="Y580" t="str">
        <f>mapPRC!A680</f>
        <v>RLEKELCSTOV-E</v>
      </c>
      <c r="Z580" t="str">
        <f>IFERROR(INDEX($AX$7:$AX$89,MATCH(mapPRC!C680,$AW$7:$AW$89,0)),"")</f>
        <v>hhd-le</v>
      </c>
    </row>
    <row r="581" spans="3:26" x14ac:dyDescent="0.25">
      <c r="C581" t="s">
        <v>4499</v>
      </c>
      <c r="E581" t="s">
        <v>4508</v>
      </c>
      <c r="Y581" t="str">
        <f>mapPRC!A681</f>
        <v>RLEKOKEWICK-E</v>
      </c>
      <c r="Z581" t="str">
        <f>IFERROR(INDEX($AX$7:$AX$89,MATCH(mapPRC!C681,$AW$7:$AW$89,0)),"")</f>
        <v>hhd-le</v>
      </c>
    </row>
    <row r="582" spans="3:26" x14ac:dyDescent="0.25">
      <c r="C582" t="s">
        <v>4500</v>
      </c>
      <c r="E582" t="s">
        <v>4509</v>
      </c>
      <c r="Y582" t="str">
        <f>mapPRC!A682</f>
        <v>RLEKOLPRING-E</v>
      </c>
      <c r="Z582" t="str">
        <f>IFERROR(INDEX($AX$7:$AX$89,MATCH(mapPRC!C682,$AW$7:$AW$89,0)),"")</f>
        <v>hhd-le</v>
      </c>
    </row>
    <row r="583" spans="3:26" x14ac:dyDescent="0.25">
      <c r="C583" t="s">
        <v>4501</v>
      </c>
      <c r="E583" t="s">
        <v>4510</v>
      </c>
      <c r="Y583" t="str">
        <f>mapPRC!A683</f>
        <v>RLELELCINC-E</v>
      </c>
      <c r="Z583" t="str">
        <f>IFERROR(INDEX($AX$7:$AX$89,MATCH(mapPRC!C683,$AW$7:$AW$89,0)),"")</f>
        <v>hhd-le</v>
      </c>
    </row>
    <row r="584" spans="3:26" x14ac:dyDescent="0.25">
      <c r="C584" t="s">
        <v>4502</v>
      </c>
      <c r="E584" t="s">
        <v>4511</v>
      </c>
      <c r="Y584" t="str">
        <f>mapPRC!A684</f>
        <v>RLELOKEOKE</v>
      </c>
      <c r="Z584" t="str">
        <f>IFERROR(INDEX($AX$7:$AX$89,MATCH(mapPRC!C684,$AW$7:$AW$89,0)),"")</f>
        <v>hhd-le</v>
      </c>
    </row>
    <row r="585" spans="3:26" x14ac:dyDescent="0.25">
      <c r="C585" t="s">
        <v>4503</v>
      </c>
      <c r="E585" t="s">
        <v>4512</v>
      </c>
      <c r="Y585" t="str">
        <f>mapPRC!A685</f>
        <v>RLENOKEOTH-E</v>
      </c>
      <c r="Z585" t="str">
        <f>IFERROR(INDEX($AX$7:$AX$89,MATCH(mapPRC!C685,$AW$7:$AW$89,0)),"")</f>
        <v>hhd-le</v>
      </c>
    </row>
    <row r="586" spans="3:26" x14ac:dyDescent="0.25">
      <c r="C586" t="s">
        <v>4504</v>
      </c>
      <c r="E586" t="s">
        <v>4513</v>
      </c>
      <c r="Y586" t="str">
        <f>mapPRC!A686</f>
        <v>RLEOELCOTH-E</v>
      </c>
      <c r="Z586" t="str">
        <f>IFERROR(INDEX($AX$7:$AX$89,MATCH(mapPRC!C686,$AW$7:$AW$89,0)),"")</f>
        <v>hhd-le</v>
      </c>
    </row>
    <row r="587" spans="3:26" x14ac:dyDescent="0.25">
      <c r="C587" t="s">
        <v>4505</v>
      </c>
      <c r="E587" t="s">
        <v>4514</v>
      </c>
      <c r="Y587" t="str">
        <f>mapPRC!A687</f>
        <v>RLERELCREF-E</v>
      </c>
      <c r="Z587" t="str">
        <f>IFERROR(INDEX($AX$7:$AX$89,MATCH(mapPRC!C687,$AW$7:$AW$89,0)),"")</f>
        <v>hhd-le</v>
      </c>
    </row>
    <row r="588" spans="3:26" x14ac:dyDescent="0.25">
      <c r="C588" t="s">
        <v>4506</v>
      </c>
      <c r="E588" t="s">
        <v>4515</v>
      </c>
      <c r="Y588" t="str">
        <f>mapPRC!A688</f>
        <v>RLEWBIWKETBI-E</v>
      </c>
      <c r="Z588" t="str">
        <f>IFERROR(INDEX($AX$7:$AX$89,MATCH(mapPRC!C688,$AW$7:$AW$89,0)),"")</f>
        <v>hhd-le</v>
      </c>
    </row>
    <row r="589" spans="3:26" x14ac:dyDescent="0.25">
      <c r="C589" t="s">
        <v>4507</v>
      </c>
      <c r="E589" t="s">
        <v>4516</v>
      </c>
      <c r="Y589" t="str">
        <f>mapPRC!A689</f>
        <v>RLEWCOAKETCOA-E</v>
      </c>
      <c r="Z589" t="str">
        <f>IFERROR(INDEX($AX$7:$AX$89,MATCH(mapPRC!C689,$AW$7:$AW$89,0)),"")</f>
        <v>hhd-le</v>
      </c>
    </row>
    <row r="590" spans="3:26" x14ac:dyDescent="0.25">
      <c r="C590" t="s">
        <v>4508</v>
      </c>
      <c r="E590" t="s">
        <v>4517</v>
      </c>
      <c r="Y590" t="str">
        <f>mapPRC!A690</f>
        <v>RLEWELCGEY-E</v>
      </c>
      <c r="Z590" t="str">
        <f>IFERROR(INDEX($AX$7:$AX$89,MATCH(mapPRC!C690,$AW$7:$AW$89,0)),"")</f>
        <v>hhd-le</v>
      </c>
    </row>
    <row r="591" spans="3:26" x14ac:dyDescent="0.25">
      <c r="C591" t="s">
        <v>4509</v>
      </c>
      <c r="E591" t="s">
        <v>4518</v>
      </c>
      <c r="Y591" t="str">
        <f>mapPRC!A691</f>
        <v>RLEWELCKET-E</v>
      </c>
      <c r="Z591" t="str">
        <f>IFERROR(INDEX($AX$7:$AX$89,MATCH(mapPRC!C691,$AW$7:$AW$89,0)),"")</f>
        <v>hhd-le</v>
      </c>
    </row>
    <row r="592" spans="3:26" x14ac:dyDescent="0.25">
      <c r="C592" t="s">
        <v>4510</v>
      </c>
      <c r="E592" t="s">
        <v>4519</v>
      </c>
      <c r="Y592" t="str">
        <f>mapPRC!A692</f>
        <v>RLEWELCSWH-E</v>
      </c>
      <c r="Z592" t="str">
        <f>IFERROR(INDEX($AX$7:$AX$89,MATCH(mapPRC!C692,$AW$7:$AW$89,0)),"")</f>
        <v>hhd-le</v>
      </c>
    </row>
    <row r="593" spans="3:26" x14ac:dyDescent="0.25">
      <c r="C593" t="s">
        <v>4511</v>
      </c>
      <c r="E593" t="s">
        <v>4520</v>
      </c>
      <c r="Y593" t="str">
        <f>mapPRC!A693</f>
        <v>RLEWOKEKETWI-E</v>
      </c>
      <c r="Z593" t="str">
        <f>IFERROR(INDEX($AX$7:$AX$89,MATCH(mapPRC!C693,$AW$7:$AW$89,0)),"")</f>
        <v>hhd-le</v>
      </c>
    </row>
    <row r="594" spans="3:26" x14ac:dyDescent="0.25">
      <c r="C594" t="s">
        <v>4512</v>
      </c>
      <c r="E594" t="s">
        <v>4521</v>
      </c>
      <c r="Y594" t="str">
        <f>mapPRC!A694</f>
        <v>RLEWOLPKETLPG-E</v>
      </c>
      <c r="Z594" t="str">
        <f>IFERROR(INDEX($AX$7:$AX$89,MATCH(mapPRC!C694,$AW$7:$AW$89,0)),"")</f>
        <v>hhd-le</v>
      </c>
    </row>
    <row r="595" spans="3:26" x14ac:dyDescent="0.25">
      <c r="C595" t="s">
        <v>4513</v>
      </c>
      <c r="E595" t="s">
        <v>4522</v>
      </c>
      <c r="Y595" t="str">
        <f>mapPRC!A695</f>
        <v>RLNHBIWOPEN-E</v>
      </c>
      <c r="Z595" t="str">
        <f>IFERROR(INDEX($AX$7:$AX$89,MATCH(mapPRC!C695,$AW$7:$AW$89,0)),"")</f>
        <v>hhd-le</v>
      </c>
    </row>
    <row r="596" spans="3:26" x14ac:dyDescent="0.25">
      <c r="C596" t="s">
        <v>4514</v>
      </c>
      <c r="E596" t="s">
        <v>4523</v>
      </c>
      <c r="Y596" t="str">
        <f>mapPRC!A696</f>
        <v>RLNHCOABNM-E</v>
      </c>
      <c r="Z596" t="str">
        <f>IFERROR(INDEX($AX$7:$AX$89,MATCH(mapPRC!C696,$AW$7:$AW$89,0)),"")</f>
        <v>hhd-le</v>
      </c>
    </row>
    <row r="597" spans="3:26" x14ac:dyDescent="0.25">
      <c r="C597" t="s">
        <v>4515</v>
      </c>
      <c r="E597" t="s">
        <v>4524</v>
      </c>
      <c r="Y597" t="str">
        <f>mapPRC!A697</f>
        <v>RLNHOKEHEAT-E</v>
      </c>
      <c r="Z597" t="str">
        <f>IFERROR(INDEX($AX$7:$AX$89,MATCH(mapPRC!C697,$AW$7:$AW$89,0)),"")</f>
        <v>hhd-le</v>
      </c>
    </row>
    <row r="598" spans="3:26" x14ac:dyDescent="0.25">
      <c r="C598" t="s">
        <v>4516</v>
      </c>
      <c r="E598" t="s">
        <v>4525</v>
      </c>
      <c r="Y598" t="str">
        <f>mapPRC!A698</f>
        <v>RLNHOLPHET-E</v>
      </c>
      <c r="Z598" t="str">
        <f>IFERROR(INDEX($AX$7:$AX$89,MATCH(mapPRC!C698,$AW$7:$AW$89,0)),"")</f>
        <v>hhd-le</v>
      </c>
    </row>
    <row r="599" spans="3:26" x14ac:dyDescent="0.25">
      <c r="C599" t="s">
        <v>4517</v>
      </c>
      <c r="E599" t="s">
        <v>4526</v>
      </c>
      <c r="Y599" t="str">
        <f>mapPRC!A699</f>
        <v>RLNKBIWBNM-E</v>
      </c>
      <c r="Z599" t="str">
        <f>IFERROR(INDEX($AX$7:$AX$89,MATCH(mapPRC!C699,$AW$7:$AW$89,0)),"")</f>
        <v>hhd-le</v>
      </c>
    </row>
    <row r="600" spans="3:26" x14ac:dyDescent="0.25">
      <c r="C600" t="s">
        <v>4518</v>
      </c>
      <c r="E600" t="s">
        <v>4527</v>
      </c>
      <c r="Y600" t="str">
        <f>mapPRC!A700</f>
        <v>RLNKCOABNM-E</v>
      </c>
      <c r="Z600" t="str">
        <f>IFERROR(INDEX($AX$7:$AX$89,MATCH(mapPRC!C700,$AW$7:$AW$89,0)),"")</f>
        <v>hhd-le</v>
      </c>
    </row>
    <row r="601" spans="3:26" x14ac:dyDescent="0.25">
      <c r="C601" t="s">
        <v>4519</v>
      </c>
      <c r="E601" t="s">
        <v>4528</v>
      </c>
      <c r="Y601" t="str">
        <f>mapPRC!A701</f>
        <v>RLNKOKEWICK-E</v>
      </c>
      <c r="Z601" t="str">
        <f>IFERROR(INDEX($AX$7:$AX$89,MATCH(mapPRC!C701,$AW$7:$AW$89,0)),"")</f>
        <v>hhd-le</v>
      </c>
    </row>
    <row r="602" spans="3:26" x14ac:dyDescent="0.25">
      <c r="C602" t="s">
        <v>4520</v>
      </c>
      <c r="E602" t="s">
        <v>4529</v>
      </c>
      <c r="Y602" t="str">
        <f>mapPRC!A702</f>
        <v>RLNKOLPRING-E</v>
      </c>
      <c r="Z602" t="str">
        <f>IFERROR(INDEX($AX$7:$AX$89,MATCH(mapPRC!C702,$AW$7:$AW$89,0)),"")</f>
        <v>hhd-le</v>
      </c>
    </row>
    <row r="603" spans="3:26" x14ac:dyDescent="0.25">
      <c r="C603" t="s">
        <v>4521</v>
      </c>
      <c r="E603" t="s">
        <v>4530</v>
      </c>
      <c r="Y603" t="str">
        <f>mapPRC!A703</f>
        <v>RLNLOKEWICK-E</v>
      </c>
      <c r="Z603" t="str">
        <f>IFERROR(INDEX($AX$7:$AX$89,MATCH(mapPRC!C703,$AW$7:$AW$89,0)),"")</f>
        <v>hhd-le</v>
      </c>
    </row>
    <row r="604" spans="3:26" x14ac:dyDescent="0.25">
      <c r="C604" t="s">
        <v>4522</v>
      </c>
      <c r="E604" t="s">
        <v>4531</v>
      </c>
      <c r="Y604" t="str">
        <f>mapPRC!A704</f>
        <v>RLNNOKEOTH-E</v>
      </c>
      <c r="Z604" t="str">
        <f>IFERROR(INDEX($AX$7:$AX$89,MATCH(mapPRC!C704,$AW$7:$AW$89,0)),"")</f>
        <v>hhd-le</v>
      </c>
    </row>
    <row r="605" spans="3:26" x14ac:dyDescent="0.25">
      <c r="C605" t="s">
        <v>4523</v>
      </c>
      <c r="E605" t="s">
        <v>4532</v>
      </c>
      <c r="Y605" t="str">
        <f>mapPRC!A705</f>
        <v>RLNWBIWKETBI-E</v>
      </c>
      <c r="Z605" t="str">
        <f>IFERROR(INDEX($AX$7:$AX$89,MATCH(mapPRC!C705,$AW$7:$AW$89,0)),"")</f>
        <v>hhd-le</v>
      </c>
    </row>
    <row r="606" spans="3:26" x14ac:dyDescent="0.25">
      <c r="C606" t="s">
        <v>4524</v>
      </c>
      <c r="E606" t="s">
        <v>4533</v>
      </c>
      <c r="Y606" t="str">
        <f>mapPRC!A706</f>
        <v>RLNWCOABNM-E</v>
      </c>
      <c r="Z606" t="str">
        <f>IFERROR(INDEX($AX$7:$AX$89,MATCH(mapPRC!C706,$AW$7:$AW$89,0)),"")</f>
        <v>hhd-le</v>
      </c>
    </row>
    <row r="607" spans="3:26" x14ac:dyDescent="0.25">
      <c r="C607" t="s">
        <v>4525</v>
      </c>
      <c r="E607" t="s">
        <v>4534</v>
      </c>
      <c r="Y607" t="str">
        <f>mapPRC!A707</f>
        <v>RLNWOKEKETWI-E</v>
      </c>
      <c r="Z607" t="str">
        <f>IFERROR(INDEX($AX$7:$AX$89,MATCH(mapPRC!C707,$AW$7:$AW$89,0)),"")</f>
        <v>hhd-le</v>
      </c>
    </row>
    <row r="608" spans="3:26" x14ac:dyDescent="0.25">
      <c r="C608" t="s">
        <v>4526</v>
      </c>
      <c r="E608" t="s">
        <v>4535</v>
      </c>
      <c r="Y608" t="str">
        <f>mapPRC!A708</f>
        <v>RLNWOLPKETLPG-E</v>
      </c>
      <c r="Z608" t="str">
        <f>IFERROR(INDEX($AX$7:$AX$89,MATCH(mapPRC!C708,$AW$7:$AW$89,0)),"")</f>
        <v>hhd-le</v>
      </c>
    </row>
    <row r="609" spans="3:26" x14ac:dyDescent="0.25">
      <c r="C609" t="s">
        <v>4527</v>
      </c>
      <c r="E609" t="s">
        <v>4536</v>
      </c>
      <c r="Y609" t="str">
        <f>mapPRC!A709</f>
        <v>RMEHBIWSTOV-E</v>
      </c>
      <c r="Z609" t="str">
        <f>IFERROR(INDEX($AX$7:$AX$89,MATCH(mapPRC!C709,$AW$7:$AW$89,0)),"")</f>
        <v>hhd-me</v>
      </c>
    </row>
    <row r="610" spans="3:26" x14ac:dyDescent="0.25">
      <c r="C610" t="s">
        <v>4528</v>
      </c>
      <c r="E610" t="s">
        <v>4537</v>
      </c>
      <c r="Y610" t="str">
        <f>mapPRC!A710</f>
        <v>RMEHCOASTOV-E</v>
      </c>
      <c r="Z610" t="str">
        <f>IFERROR(INDEX($AX$7:$AX$89,MATCH(mapPRC!C710,$AW$7:$AW$89,0)),"")</f>
        <v>hhd-me</v>
      </c>
    </row>
    <row r="611" spans="3:26" x14ac:dyDescent="0.25">
      <c r="C611" t="s">
        <v>4529</v>
      </c>
      <c r="E611" t="s">
        <v>4538</v>
      </c>
      <c r="Y611" t="str">
        <f>mapPRC!A711</f>
        <v>RMEHELCHEATFIN-E</v>
      </c>
      <c r="Z611" t="str">
        <f>IFERROR(INDEX($AX$7:$AX$89,MATCH(mapPRC!C711,$AW$7:$AW$89,0)),"")</f>
        <v>hhd-me</v>
      </c>
    </row>
    <row r="612" spans="3:26" x14ac:dyDescent="0.25">
      <c r="C612" t="s">
        <v>4530</v>
      </c>
      <c r="E612" t="s">
        <v>4539</v>
      </c>
      <c r="Y612" t="str">
        <f>mapPRC!A712</f>
        <v>RMEHGASHEAT-N</v>
      </c>
      <c r="Z612" t="str">
        <f>IFERROR(INDEX($AX$7:$AX$89,MATCH(mapPRC!C712,$AW$7:$AW$89,0)),"")</f>
        <v>hhd-me</v>
      </c>
    </row>
    <row r="613" spans="3:26" x14ac:dyDescent="0.25">
      <c r="C613" t="s">
        <v>4531</v>
      </c>
      <c r="E613" t="s">
        <v>4540</v>
      </c>
      <c r="Y613" t="str">
        <f>mapPRC!A713</f>
        <v>RMEHOKEHEAT-E</v>
      </c>
      <c r="Z613" t="str">
        <f>IFERROR(INDEX($AX$7:$AX$89,MATCH(mapPRC!C713,$AW$7:$AW$89,0)),"")</f>
        <v>hhd-me</v>
      </c>
    </row>
    <row r="614" spans="3:26" x14ac:dyDescent="0.25">
      <c r="C614" t="s">
        <v>4532</v>
      </c>
      <c r="E614" t="s">
        <v>4541</v>
      </c>
      <c r="Y614" t="str">
        <f>mapPRC!A714</f>
        <v>RMEHOLPHEAT-E</v>
      </c>
      <c r="Z614" t="str">
        <f>IFERROR(INDEX($AX$7:$AX$89,MATCH(mapPRC!C714,$AW$7:$AW$89,0)),"")</f>
        <v>hhd-me</v>
      </c>
    </row>
    <row r="615" spans="3:26" x14ac:dyDescent="0.25">
      <c r="C615" t="s">
        <v>4533</v>
      </c>
      <c r="E615" t="s">
        <v>4542</v>
      </c>
      <c r="Y615" t="str">
        <f>mapPRC!A715</f>
        <v>RMEKBIWSTOV-E</v>
      </c>
      <c r="Z615" t="str">
        <f>IFERROR(INDEX($AX$7:$AX$89,MATCH(mapPRC!C715,$AW$7:$AW$89,0)),"")</f>
        <v>hhd-me</v>
      </c>
    </row>
    <row r="616" spans="3:26" x14ac:dyDescent="0.25">
      <c r="C616" t="s">
        <v>4534</v>
      </c>
      <c r="E616" t="s">
        <v>4543</v>
      </c>
      <c r="Y616" t="str">
        <f>mapPRC!A716</f>
        <v>RMEKCOABNM-E</v>
      </c>
      <c r="Z616" t="str">
        <f>IFERROR(INDEX($AX$7:$AX$89,MATCH(mapPRC!C716,$AW$7:$AW$89,0)),"")</f>
        <v>hhd-me</v>
      </c>
    </row>
    <row r="617" spans="3:26" x14ac:dyDescent="0.25">
      <c r="C617" t="s">
        <v>4535</v>
      </c>
      <c r="E617" t="s">
        <v>4544</v>
      </c>
      <c r="Y617" t="str">
        <f>mapPRC!A717</f>
        <v>RMEKELCSTOV-E</v>
      </c>
      <c r="Z617" t="str">
        <f>IFERROR(INDEX($AX$7:$AX$89,MATCH(mapPRC!C717,$AW$7:$AW$89,0)),"")</f>
        <v>hhd-me</v>
      </c>
    </row>
    <row r="618" spans="3:26" x14ac:dyDescent="0.25">
      <c r="C618" t="s">
        <v>4536</v>
      </c>
      <c r="E618" t="s">
        <v>4545</v>
      </c>
      <c r="Y618" t="str">
        <f>mapPRC!A718</f>
        <v>RMEKGASSTOV-E</v>
      </c>
      <c r="Z618" t="str">
        <f>IFERROR(INDEX($AX$7:$AX$89,MATCH(mapPRC!C718,$AW$7:$AW$89,0)),"")</f>
        <v>hhd-me</v>
      </c>
    </row>
    <row r="619" spans="3:26" x14ac:dyDescent="0.25">
      <c r="C619" t="s">
        <v>4537</v>
      </c>
      <c r="E619" t="s">
        <v>4546</v>
      </c>
      <c r="Y619" t="str">
        <f>mapPRC!A719</f>
        <v>RMEKOKEWICK-E</v>
      </c>
      <c r="Z619" t="str">
        <f>IFERROR(INDEX($AX$7:$AX$89,MATCH(mapPRC!C719,$AW$7:$AW$89,0)),"")</f>
        <v>hhd-me</v>
      </c>
    </row>
    <row r="620" spans="3:26" x14ac:dyDescent="0.25">
      <c r="C620" t="s">
        <v>4538</v>
      </c>
      <c r="E620" t="s">
        <v>4547</v>
      </c>
      <c r="Y620" t="str">
        <f>mapPRC!A720</f>
        <v>RMEKOLPSTOV-E</v>
      </c>
      <c r="Z620" t="str">
        <f>IFERROR(INDEX($AX$7:$AX$89,MATCH(mapPRC!C720,$AW$7:$AW$89,0)),"")</f>
        <v>hhd-me</v>
      </c>
    </row>
    <row r="621" spans="3:26" x14ac:dyDescent="0.25">
      <c r="C621" t="s">
        <v>4539</v>
      </c>
      <c r="E621" t="s">
        <v>4548</v>
      </c>
      <c r="Y621" t="str">
        <f>mapPRC!A721</f>
        <v>RMELELCINC-E</v>
      </c>
      <c r="Z621" t="str">
        <f>IFERROR(INDEX($AX$7:$AX$89,MATCH(mapPRC!C721,$AW$7:$AW$89,0)),"")</f>
        <v>hhd-me</v>
      </c>
    </row>
    <row r="622" spans="3:26" x14ac:dyDescent="0.25">
      <c r="C622" t="s">
        <v>4540</v>
      </c>
      <c r="E622" t="s">
        <v>4549</v>
      </c>
      <c r="Y622" t="str">
        <f>mapPRC!A722</f>
        <v>RMELOKEOKE</v>
      </c>
      <c r="Z622" t="str">
        <f>IFERROR(INDEX($AX$7:$AX$89,MATCH(mapPRC!C722,$AW$7:$AW$89,0)),"")</f>
        <v>hhd-me</v>
      </c>
    </row>
    <row r="623" spans="3:26" x14ac:dyDescent="0.25">
      <c r="C623" t="s">
        <v>4541</v>
      </c>
      <c r="E623" t="s">
        <v>4550</v>
      </c>
      <c r="Y623" t="str">
        <f>mapPRC!A723</f>
        <v>RMENOKEOTH-E</v>
      </c>
      <c r="Z623" t="str">
        <f>IFERROR(INDEX($AX$7:$AX$89,MATCH(mapPRC!C723,$AW$7:$AW$89,0)),"")</f>
        <v>hhd-me</v>
      </c>
    </row>
    <row r="624" spans="3:26" x14ac:dyDescent="0.25">
      <c r="C624" t="s">
        <v>4542</v>
      </c>
      <c r="E624" t="s">
        <v>4551</v>
      </c>
      <c r="Y624" t="str">
        <f>mapPRC!A724</f>
        <v>RMEOELCOTH-E</v>
      </c>
      <c r="Z624" t="str">
        <f>IFERROR(INDEX($AX$7:$AX$89,MATCH(mapPRC!C724,$AW$7:$AW$89,0)),"")</f>
        <v>hhd-me</v>
      </c>
    </row>
    <row r="625" spans="3:26" x14ac:dyDescent="0.25">
      <c r="C625" t="s">
        <v>4543</v>
      </c>
      <c r="E625" t="s">
        <v>4552</v>
      </c>
      <c r="Y625" t="str">
        <f>mapPRC!A725</f>
        <v>RMERELCREF-E</v>
      </c>
      <c r="Z625" t="str">
        <f>IFERROR(INDEX($AX$7:$AX$89,MATCH(mapPRC!C725,$AW$7:$AW$89,0)),"")</f>
        <v>hhd-me</v>
      </c>
    </row>
    <row r="626" spans="3:26" x14ac:dyDescent="0.25">
      <c r="C626" t="s">
        <v>4544</v>
      </c>
      <c r="E626" t="s">
        <v>4553</v>
      </c>
      <c r="Y626" t="str">
        <f>mapPRC!A726</f>
        <v>RMEWBIWKETBI-E</v>
      </c>
      <c r="Z626" t="str">
        <f>IFERROR(INDEX($AX$7:$AX$89,MATCH(mapPRC!C726,$AW$7:$AW$89,0)),"")</f>
        <v>hhd-me</v>
      </c>
    </row>
    <row r="627" spans="3:26" x14ac:dyDescent="0.25">
      <c r="C627" t="s">
        <v>4545</v>
      </c>
      <c r="E627" t="s">
        <v>4554</v>
      </c>
      <c r="Y627" t="str">
        <f>mapPRC!A727</f>
        <v>RMEWCOASTOV-E</v>
      </c>
      <c r="Z627" t="str">
        <f>IFERROR(INDEX($AX$7:$AX$89,MATCH(mapPRC!C727,$AW$7:$AW$89,0)),"")</f>
        <v>hhd-me</v>
      </c>
    </row>
    <row r="628" spans="3:26" x14ac:dyDescent="0.25">
      <c r="C628" t="s">
        <v>4546</v>
      </c>
      <c r="E628" t="s">
        <v>4555</v>
      </c>
      <c r="Y628" t="str">
        <f>mapPRC!A728</f>
        <v>RMEWELCCHP-N</v>
      </c>
      <c r="Z628" t="str">
        <f>IFERROR(INDEX($AX$7:$AX$89,MATCH(mapPRC!C728,$AW$7:$AW$89,0)),"")</f>
        <v>hhd-me</v>
      </c>
    </row>
    <row r="629" spans="3:26" x14ac:dyDescent="0.25">
      <c r="C629" t="s">
        <v>4547</v>
      </c>
      <c r="E629" t="s">
        <v>4556</v>
      </c>
      <c r="Y629" t="str">
        <f>mapPRC!A729</f>
        <v>RMEWELCGEY-E</v>
      </c>
      <c r="Z629" t="str">
        <f>IFERROR(INDEX($AX$7:$AX$89,MATCH(mapPRC!C729,$AW$7:$AW$89,0)),"")</f>
        <v>hhd-me</v>
      </c>
    </row>
    <row r="630" spans="3:26" x14ac:dyDescent="0.25">
      <c r="C630" t="s">
        <v>4548</v>
      </c>
      <c r="E630" t="s">
        <v>4557</v>
      </c>
      <c r="Y630" t="str">
        <f>mapPRC!A730</f>
        <v>RMEWELCKET-E</v>
      </c>
      <c r="Z630" t="str">
        <f>IFERROR(INDEX($AX$7:$AX$89,MATCH(mapPRC!C730,$AW$7:$AW$89,0)),"")</f>
        <v>hhd-me</v>
      </c>
    </row>
    <row r="631" spans="3:26" x14ac:dyDescent="0.25">
      <c r="C631" t="s">
        <v>4549</v>
      </c>
      <c r="E631" t="s">
        <v>4558</v>
      </c>
      <c r="Y631" t="str">
        <f>mapPRC!A731</f>
        <v>RMEWELCSWH-E</v>
      </c>
      <c r="Z631" t="str">
        <f>IFERROR(INDEX($AX$7:$AX$89,MATCH(mapPRC!C731,$AW$7:$AW$89,0)),"")</f>
        <v>hhd-me</v>
      </c>
    </row>
    <row r="632" spans="3:26" x14ac:dyDescent="0.25">
      <c r="C632" t="s">
        <v>4550</v>
      </c>
      <c r="E632" t="s">
        <v>4559</v>
      </c>
      <c r="Y632" t="str">
        <f>mapPRC!A732</f>
        <v>RMEWGASGEY-N</v>
      </c>
      <c r="Z632" t="str">
        <f>IFERROR(INDEX($AX$7:$AX$89,MATCH(mapPRC!C732,$AW$7:$AW$89,0)),"")</f>
        <v>hhd-me</v>
      </c>
    </row>
    <row r="633" spans="3:26" x14ac:dyDescent="0.25">
      <c r="C633" t="s">
        <v>4551</v>
      </c>
      <c r="E633" t="s">
        <v>4560</v>
      </c>
      <c r="Y633" t="str">
        <f>mapPRC!A733</f>
        <v>RMEWOKEKETPR-E</v>
      </c>
      <c r="Z633" t="str">
        <f>IFERROR(INDEX($AX$7:$AX$89,MATCH(mapPRC!C733,$AW$7:$AW$89,0)),"")</f>
        <v>hhd-me</v>
      </c>
    </row>
    <row r="634" spans="3:26" x14ac:dyDescent="0.25">
      <c r="C634" t="s">
        <v>4552</v>
      </c>
      <c r="E634" t="s">
        <v>4561</v>
      </c>
      <c r="Y634" t="str">
        <f>mapPRC!A734</f>
        <v>RMEWOLPKETLPG-E</v>
      </c>
      <c r="Z634" t="str">
        <f>IFERROR(INDEX($AX$7:$AX$89,MATCH(mapPRC!C734,$AW$7:$AW$89,0)),"")</f>
        <v>hhd-me</v>
      </c>
    </row>
    <row r="635" spans="3:26" x14ac:dyDescent="0.25">
      <c r="C635" t="s">
        <v>4553</v>
      </c>
      <c r="E635" t="s">
        <v>4562</v>
      </c>
      <c r="Y635" t="str">
        <f>mapPRC!A735</f>
        <v>RMNHBIWOPEN-E</v>
      </c>
      <c r="Z635" t="str">
        <f>IFERROR(INDEX($AX$7:$AX$89,MATCH(mapPRC!C735,$AW$7:$AW$89,0)),"")</f>
        <v>hhd-me</v>
      </c>
    </row>
    <row r="636" spans="3:26" x14ac:dyDescent="0.25">
      <c r="C636" t="s">
        <v>4554</v>
      </c>
      <c r="E636" t="s">
        <v>4563</v>
      </c>
      <c r="Y636" t="str">
        <f>mapPRC!A736</f>
        <v>RMNHCOABNM-E</v>
      </c>
      <c r="Z636" t="str">
        <f>IFERROR(INDEX($AX$7:$AX$89,MATCH(mapPRC!C736,$AW$7:$AW$89,0)),"")</f>
        <v>hhd-me</v>
      </c>
    </row>
    <row r="637" spans="3:26" x14ac:dyDescent="0.25">
      <c r="C637" t="s">
        <v>4555</v>
      </c>
      <c r="E637" t="s">
        <v>4564</v>
      </c>
      <c r="Y637" t="str">
        <f>mapPRC!A737</f>
        <v>RMNHGASHET-N</v>
      </c>
      <c r="Z637" t="str">
        <f>IFERROR(INDEX($AX$7:$AX$89,MATCH(mapPRC!C737,$AW$7:$AW$89,0)),"")</f>
        <v>hhd-me</v>
      </c>
    </row>
    <row r="638" spans="3:26" x14ac:dyDescent="0.25">
      <c r="C638" t="s">
        <v>4556</v>
      </c>
      <c r="E638" t="s">
        <v>4565</v>
      </c>
      <c r="Y638" t="str">
        <f>mapPRC!A738</f>
        <v>RMNHOKEHEAT-E</v>
      </c>
      <c r="Z638" t="str">
        <f>IFERROR(INDEX($AX$7:$AX$89,MATCH(mapPRC!C738,$AW$7:$AW$89,0)),"")</f>
        <v>hhd-me</v>
      </c>
    </row>
    <row r="639" spans="3:26" x14ac:dyDescent="0.25">
      <c r="C639" t="s">
        <v>4557</v>
      </c>
      <c r="E639" t="s">
        <v>4566</v>
      </c>
      <c r="Y639" t="str">
        <f>mapPRC!A739</f>
        <v>RMNHOLPHET-E</v>
      </c>
      <c r="Z639" t="str">
        <f>IFERROR(INDEX($AX$7:$AX$89,MATCH(mapPRC!C739,$AW$7:$AW$89,0)),"")</f>
        <v>hhd-me</v>
      </c>
    </row>
    <row r="640" spans="3:26" x14ac:dyDescent="0.25">
      <c r="C640" t="s">
        <v>4558</v>
      </c>
      <c r="E640" t="s">
        <v>4567</v>
      </c>
      <c r="Y640" t="str">
        <f>mapPRC!A740</f>
        <v>RMNKBIWBNM-E</v>
      </c>
      <c r="Z640" t="str">
        <f>IFERROR(INDEX($AX$7:$AX$89,MATCH(mapPRC!C740,$AW$7:$AW$89,0)),"")</f>
        <v>hhd-me</v>
      </c>
    </row>
    <row r="641" spans="3:26" x14ac:dyDescent="0.25">
      <c r="C641" t="s">
        <v>4559</v>
      </c>
      <c r="E641" t="s">
        <v>4568</v>
      </c>
      <c r="Y641" t="str">
        <f>mapPRC!A741</f>
        <v>RMNKCOABNM-E</v>
      </c>
      <c r="Z641" t="str">
        <f>IFERROR(INDEX($AX$7:$AX$89,MATCH(mapPRC!C741,$AW$7:$AW$89,0)),"")</f>
        <v>hhd-me</v>
      </c>
    </row>
    <row r="642" spans="3:26" x14ac:dyDescent="0.25">
      <c r="C642" t="s">
        <v>4560</v>
      </c>
      <c r="E642" t="s">
        <v>4569</v>
      </c>
      <c r="Y642" t="str">
        <f>mapPRC!A742</f>
        <v>RMNKGASSTOV-N</v>
      </c>
      <c r="Z642" t="str">
        <f>IFERROR(INDEX($AX$7:$AX$89,MATCH(mapPRC!C742,$AW$7:$AW$89,0)),"")</f>
        <v>hhd-me</v>
      </c>
    </row>
    <row r="643" spans="3:26" x14ac:dyDescent="0.25">
      <c r="C643" t="s">
        <v>4561</v>
      </c>
      <c r="E643" t="s">
        <v>4570</v>
      </c>
      <c r="Y643" t="str">
        <f>mapPRC!A743</f>
        <v>RMNKOKEWICK-E</v>
      </c>
      <c r="Z643" t="str">
        <f>IFERROR(INDEX($AX$7:$AX$89,MATCH(mapPRC!C743,$AW$7:$AW$89,0)),"")</f>
        <v>hhd-me</v>
      </c>
    </row>
    <row r="644" spans="3:26" x14ac:dyDescent="0.25">
      <c r="C644" t="s">
        <v>4562</v>
      </c>
      <c r="E644" t="s">
        <v>4571</v>
      </c>
      <c r="Y644" t="str">
        <f>mapPRC!A744</f>
        <v>RMNKOLPRING-E</v>
      </c>
      <c r="Z644" t="str">
        <f>IFERROR(INDEX($AX$7:$AX$89,MATCH(mapPRC!C744,$AW$7:$AW$89,0)),"")</f>
        <v>hhd-me</v>
      </c>
    </row>
    <row r="645" spans="3:26" x14ac:dyDescent="0.25">
      <c r="C645" t="s">
        <v>4563</v>
      </c>
      <c r="E645" t="s">
        <v>4572</v>
      </c>
      <c r="Y645" t="str">
        <f>mapPRC!A745</f>
        <v>RMNLOKEWICK-E</v>
      </c>
      <c r="Z645" t="str">
        <f>IFERROR(INDEX($AX$7:$AX$89,MATCH(mapPRC!C745,$AW$7:$AW$89,0)),"")</f>
        <v>hhd-me</v>
      </c>
    </row>
    <row r="646" spans="3:26" x14ac:dyDescent="0.25">
      <c r="C646" t="s">
        <v>4564</v>
      </c>
      <c r="E646" t="s">
        <v>4573</v>
      </c>
      <c r="Y646" t="str">
        <f>mapPRC!A746</f>
        <v>RMNNOKEOTH-E</v>
      </c>
      <c r="Z646" t="str">
        <f>IFERROR(INDEX($AX$7:$AX$89,MATCH(mapPRC!C746,$AW$7:$AW$89,0)),"")</f>
        <v>hhd-me</v>
      </c>
    </row>
    <row r="647" spans="3:26" x14ac:dyDescent="0.25">
      <c r="C647" t="s">
        <v>4565</v>
      </c>
      <c r="E647" t="s">
        <v>4574</v>
      </c>
      <c r="Y647" t="str">
        <f>mapPRC!A747</f>
        <v>RMNWBIWKETBI-E</v>
      </c>
      <c r="Z647" t="str">
        <f>IFERROR(INDEX($AX$7:$AX$89,MATCH(mapPRC!C747,$AW$7:$AW$89,0)),"")</f>
        <v>hhd-me</v>
      </c>
    </row>
    <row r="648" spans="3:26" x14ac:dyDescent="0.25">
      <c r="C648" t="s">
        <v>4567</v>
      </c>
      <c r="E648" t="s">
        <v>4576</v>
      </c>
      <c r="Y648" t="str">
        <f>mapPRC!A748</f>
        <v>RMNWCOAKETCOA-E</v>
      </c>
      <c r="Z648" t="str">
        <f>IFERROR(INDEX($AX$7:$AX$89,MATCH(mapPRC!C748,$AW$7:$AW$89,0)),"")</f>
        <v>hhd-me</v>
      </c>
    </row>
    <row r="649" spans="3:26" x14ac:dyDescent="0.25">
      <c r="C649" t="s">
        <v>4568</v>
      </c>
      <c r="E649" t="s">
        <v>4577</v>
      </c>
      <c r="Y649" t="str">
        <f>mapPRC!A749</f>
        <v>RMNWGASGEY-N</v>
      </c>
      <c r="Z649" t="str">
        <f>IFERROR(INDEX($AX$7:$AX$89,MATCH(mapPRC!C749,$AW$7:$AW$89,0)),"")</f>
        <v>hhd-me</v>
      </c>
    </row>
    <row r="650" spans="3:26" x14ac:dyDescent="0.25">
      <c r="C650" t="s">
        <v>4569</v>
      </c>
      <c r="E650" t="s">
        <v>4578</v>
      </c>
      <c r="Y650" t="str">
        <f>mapPRC!A750</f>
        <v>RMNWOKEKETWI-E</v>
      </c>
      <c r="Z650" t="str">
        <f>IFERROR(INDEX($AX$7:$AX$89,MATCH(mapPRC!C750,$AW$7:$AW$89,0)),"")</f>
        <v>hhd-me</v>
      </c>
    </row>
    <row r="651" spans="3:26" x14ac:dyDescent="0.25">
      <c r="C651" t="s">
        <v>4570</v>
      </c>
      <c r="E651" t="s">
        <v>4579</v>
      </c>
      <c r="Y651" t="str">
        <f>mapPRC!A751</f>
        <v>RMNWOLPKETLPG-E</v>
      </c>
      <c r="Z651" t="str">
        <f>IFERROR(INDEX($AX$7:$AX$89,MATCH(mapPRC!C751,$AW$7:$AW$89,0)),"")</f>
        <v>hhd-me</v>
      </c>
    </row>
    <row r="652" spans="3:26" x14ac:dyDescent="0.25">
      <c r="C652" t="s">
        <v>4571</v>
      </c>
      <c r="E652" t="s">
        <v>4580</v>
      </c>
      <c r="Y652" t="str">
        <f>mapPRC!A752</f>
        <v>TADJETOKE-E</v>
      </c>
      <c r="Z652" t="str">
        <f>IFERROR(INDEX($AX$7:$AX$89,MATCH(mapPRC!C752,$AW$7:$AW$89,0)),"")</f>
        <v/>
      </c>
    </row>
    <row r="653" spans="3:26" x14ac:dyDescent="0.25">
      <c r="C653" t="s">
        <v>4572</v>
      </c>
      <c r="E653" t="s">
        <v>4581</v>
      </c>
      <c r="Y653" t="str">
        <f>mapPRC!A753</f>
        <v>TADJETOKE-N</v>
      </c>
      <c r="Z653" t="str">
        <f>IFERROR(INDEX($AX$7:$AX$89,MATCH(mapPRC!C753,$AW$7:$AW$89,0)),"")</f>
        <v/>
      </c>
    </row>
    <row r="654" spans="3:26" x14ac:dyDescent="0.25">
      <c r="C654" t="s">
        <v>4573</v>
      </c>
      <c r="E654" t="s">
        <v>4582</v>
      </c>
      <c r="Y654" t="str">
        <f>mapPRC!A754</f>
        <v>TAIJETOKE-E</v>
      </c>
      <c r="Z654" t="str">
        <f>IFERROR(INDEX($AX$7:$AX$89,MATCH(mapPRC!C754,$AW$7:$AW$89,0)),"")</f>
        <v/>
      </c>
    </row>
    <row r="655" spans="3:26" x14ac:dyDescent="0.25">
      <c r="C655" t="s">
        <v>4574</v>
      </c>
      <c r="E655" t="s">
        <v>4583</v>
      </c>
      <c r="Y655" t="str">
        <f>mapPRC!A755</f>
        <v>TAIJETOKE-N</v>
      </c>
      <c r="Z655" t="str">
        <f>IFERROR(INDEX($AX$7:$AX$89,MATCH(mapPRC!C755,$AW$7:$AW$89,0)),"")</f>
        <v/>
      </c>
    </row>
    <row r="656" spans="3:26" x14ac:dyDescent="0.25">
      <c r="C656" t="s">
        <v>4575</v>
      </c>
      <c r="E656" t="s">
        <v>4584</v>
      </c>
      <c r="Y656" t="str">
        <f>mapPRC!A756</f>
        <v>TAJETOKE-E</v>
      </c>
      <c r="Z656" t="str">
        <f>IFERROR(INDEX($AX$7:$AX$89,MATCH(mapPRC!C756,$AW$7:$AW$89,0)),"")</f>
        <v/>
      </c>
    </row>
    <row r="657" spans="3:26" x14ac:dyDescent="0.25">
      <c r="C657" t="s">
        <v>4576</v>
      </c>
      <c r="E657" t="s">
        <v>4585</v>
      </c>
      <c r="Y657" t="str">
        <f>mapPRC!A757</f>
        <v>TAJETOKE-N</v>
      </c>
      <c r="Z657" t="str">
        <f>IFERROR(INDEX($AX$7:$AX$89,MATCH(mapPRC!C757,$AW$7:$AW$89,0)),"")</f>
        <v/>
      </c>
    </row>
    <row r="658" spans="3:26" x14ac:dyDescent="0.25">
      <c r="C658" t="s">
        <v>4577</v>
      </c>
      <c r="E658" t="s">
        <v>4586</v>
      </c>
      <c r="Y658" t="str">
        <f>mapPRC!A758</f>
        <v>TAOAGOAG-E</v>
      </c>
      <c r="Z658" t="str">
        <f>IFERROR(INDEX($AX$7:$AX$89,MATCH(mapPRC!C758,$AW$7:$AW$89,0)),"")</f>
        <v/>
      </c>
    </row>
    <row r="659" spans="3:26" x14ac:dyDescent="0.25">
      <c r="C659" t="s">
        <v>4578</v>
      </c>
      <c r="E659" t="s">
        <v>4587</v>
      </c>
      <c r="Y659" t="str">
        <f>mapPRC!A759</f>
        <v>TAOAGOAG-N</v>
      </c>
      <c r="Z659" t="str">
        <f>IFERROR(INDEX($AX$7:$AX$89,MATCH(mapPRC!C759,$AW$7:$AW$89,0)),"")</f>
        <v/>
      </c>
    </row>
    <row r="660" spans="3:26" x14ac:dyDescent="0.25">
      <c r="C660" t="s">
        <v>4579</v>
      </c>
      <c r="E660" t="s">
        <v>4588</v>
      </c>
      <c r="Y660" t="str">
        <f>mapPRC!A760</f>
        <v>TFHCV1ELC-N</v>
      </c>
      <c r="Z660" t="str">
        <f>IFERROR(INDEX($AX$7:$AX$89,MATCH(mapPRC!C760,$AW$7:$AW$89,0)),"")</f>
        <v>tranlf</v>
      </c>
    </row>
    <row r="661" spans="3:26" x14ac:dyDescent="0.25">
      <c r="C661" t="s">
        <v>4580</v>
      </c>
      <c r="E661" t="s">
        <v>4589</v>
      </c>
      <c r="Y661" t="str">
        <f>mapPRC!A761</f>
        <v>TFHCV1GAS-N</v>
      </c>
      <c r="Z661" t="str">
        <f>IFERROR(INDEX($AX$7:$AX$89,MATCH(mapPRC!C761,$AW$7:$AW$89,0)),"")</f>
        <v>tranlf</v>
      </c>
    </row>
    <row r="662" spans="3:26" x14ac:dyDescent="0.25">
      <c r="C662" t="s">
        <v>4581</v>
      </c>
      <c r="E662" t="s">
        <v>4590</v>
      </c>
      <c r="Y662" t="str">
        <f>mapPRC!A762</f>
        <v>TFHCV1ODS-E</v>
      </c>
      <c r="Z662" t="str">
        <f>IFERROR(INDEX($AX$7:$AX$89,MATCH(mapPRC!C762,$AW$7:$AW$89,0)),"")</f>
        <v>tranlf</v>
      </c>
    </row>
    <row r="663" spans="3:26" x14ac:dyDescent="0.25">
      <c r="C663" t="s">
        <v>4582</v>
      </c>
      <c r="E663" t="s">
        <v>4591</v>
      </c>
      <c r="Y663" t="str">
        <f>mapPRC!A763</f>
        <v>TFHCV1ODS-N</v>
      </c>
      <c r="Z663" t="str">
        <f>IFERROR(INDEX($AX$7:$AX$89,MATCH(mapPRC!C763,$AW$7:$AW$89,0)),"")</f>
        <v>tranlf</v>
      </c>
    </row>
    <row r="664" spans="3:26" x14ac:dyDescent="0.25">
      <c r="C664" t="s">
        <v>4583</v>
      </c>
      <c r="E664" t="s">
        <v>4592</v>
      </c>
      <c r="Y664" t="str">
        <f>mapPRC!A764</f>
        <v>TFHCV1OGS-E</v>
      </c>
      <c r="Z664" t="str">
        <f>IFERROR(INDEX($AX$7:$AX$89,MATCH(mapPRC!C764,$AW$7:$AW$89,0)),"")</f>
        <v>tranlf</v>
      </c>
    </row>
    <row r="665" spans="3:26" x14ac:dyDescent="0.25">
      <c r="C665" t="s">
        <v>4584</v>
      </c>
      <c r="E665" t="s">
        <v>4593</v>
      </c>
      <c r="Y665" t="str">
        <f>mapPRC!A765</f>
        <v>TFHCV1OGS-N</v>
      </c>
      <c r="Z665" t="str">
        <f>IFERROR(INDEX($AX$7:$AX$89,MATCH(mapPRC!C765,$AW$7:$AW$89,0)),"")</f>
        <v>tranlf</v>
      </c>
    </row>
    <row r="666" spans="3:26" x14ac:dyDescent="0.25">
      <c r="C666" t="s">
        <v>4585</v>
      </c>
      <c r="E666" t="s">
        <v>4594</v>
      </c>
      <c r="Y666" t="str">
        <f>mapPRC!A766</f>
        <v>TFHCV2ELC-N</v>
      </c>
      <c r="Z666" t="str">
        <f>IFERROR(INDEX($AX$7:$AX$89,MATCH(mapPRC!C766,$AW$7:$AW$89,0)),"")</f>
        <v>tranlf</v>
      </c>
    </row>
    <row r="667" spans="3:26" x14ac:dyDescent="0.25">
      <c r="C667" t="s">
        <v>4586</v>
      </c>
      <c r="E667" t="s">
        <v>4595</v>
      </c>
      <c r="Y667" t="str">
        <f>mapPRC!A767</f>
        <v>TFHCV2GAS-N</v>
      </c>
      <c r="Z667" t="str">
        <f>IFERROR(INDEX($AX$7:$AX$89,MATCH(mapPRC!C767,$AW$7:$AW$89,0)),"")</f>
        <v>tranlf</v>
      </c>
    </row>
    <row r="668" spans="3:26" x14ac:dyDescent="0.25">
      <c r="C668" t="s">
        <v>4587</v>
      </c>
      <c r="E668" t="s">
        <v>4596</v>
      </c>
      <c r="Y668" t="str">
        <f>mapPRC!A768</f>
        <v>TFHCV2HGN-N</v>
      </c>
      <c r="Z668" t="str">
        <f>IFERROR(INDEX($AX$7:$AX$89,MATCH(mapPRC!C768,$AW$7:$AW$89,0)),"")</f>
        <v>tranlf</v>
      </c>
    </row>
    <row r="669" spans="3:26" x14ac:dyDescent="0.25">
      <c r="C669" t="s">
        <v>4588</v>
      </c>
      <c r="E669" t="s">
        <v>4597</v>
      </c>
      <c r="Y669" t="str">
        <f>mapPRC!A769</f>
        <v>TFHCV2ODS-E</v>
      </c>
      <c r="Z669" t="str">
        <f>IFERROR(INDEX($AX$7:$AX$89,MATCH(mapPRC!C769,$AW$7:$AW$89,0)),"")</f>
        <v>tranlf</v>
      </c>
    </row>
    <row r="670" spans="3:26" x14ac:dyDescent="0.25">
      <c r="C670" t="s">
        <v>4589</v>
      </c>
      <c r="E670" t="s">
        <v>4598</v>
      </c>
      <c r="Y670" t="str">
        <f>mapPRC!A770</f>
        <v>TFHCV2ODS-N</v>
      </c>
      <c r="Z670" t="str">
        <f>IFERROR(INDEX($AX$7:$AX$89,MATCH(mapPRC!C770,$AW$7:$AW$89,0)),"")</f>
        <v>tranlf</v>
      </c>
    </row>
    <row r="671" spans="3:26" x14ac:dyDescent="0.25">
      <c r="C671" t="s">
        <v>4590</v>
      </c>
      <c r="E671" t="s">
        <v>4599</v>
      </c>
      <c r="Y671" t="str">
        <f>mapPRC!A771</f>
        <v>TFHCV3ELC-N</v>
      </c>
      <c r="Z671" t="str">
        <f>IFERROR(INDEX($AX$7:$AX$89,MATCH(mapPRC!C771,$AW$7:$AW$89,0)),"")</f>
        <v>tranlf</v>
      </c>
    </row>
    <row r="672" spans="3:26" x14ac:dyDescent="0.25">
      <c r="C672" t="s">
        <v>4591</v>
      </c>
      <c r="E672" t="s">
        <v>4600</v>
      </c>
      <c r="Y672" t="str">
        <f>mapPRC!A772</f>
        <v>TFHCV3GAS-N</v>
      </c>
      <c r="Z672" t="str">
        <f>IFERROR(INDEX($AX$7:$AX$89,MATCH(mapPRC!C772,$AW$7:$AW$89,0)),"")</f>
        <v>tranlf</v>
      </c>
    </row>
    <row r="673" spans="3:26" x14ac:dyDescent="0.25">
      <c r="C673" t="s">
        <v>4592</v>
      </c>
      <c r="E673" t="s">
        <v>4601</v>
      </c>
      <c r="Y673" t="str">
        <f>mapPRC!A773</f>
        <v>TFHCV3HGN-N</v>
      </c>
      <c r="Z673" t="str">
        <f>IFERROR(INDEX($AX$7:$AX$89,MATCH(mapPRC!C773,$AW$7:$AW$89,0)),"")</f>
        <v>tranlf</v>
      </c>
    </row>
    <row r="674" spans="3:26" x14ac:dyDescent="0.25">
      <c r="C674" t="s">
        <v>4593</v>
      </c>
      <c r="E674" t="s">
        <v>4602</v>
      </c>
      <c r="Y674" t="str">
        <f>mapPRC!A774</f>
        <v>TFHCV3ODS-E</v>
      </c>
      <c r="Z674" t="str">
        <f>IFERROR(INDEX($AX$7:$AX$89,MATCH(mapPRC!C774,$AW$7:$AW$89,0)),"")</f>
        <v>tranlf</v>
      </c>
    </row>
    <row r="675" spans="3:26" x14ac:dyDescent="0.25">
      <c r="C675" t="s">
        <v>4594</v>
      </c>
      <c r="E675" t="s">
        <v>4603</v>
      </c>
      <c r="Y675" t="str">
        <f>mapPRC!A775</f>
        <v>TFHCV3ODS-N</v>
      </c>
      <c r="Z675" t="str">
        <f>IFERROR(INDEX($AX$7:$AX$89,MATCH(mapPRC!C775,$AW$7:$AW$89,0)),"")</f>
        <v>tranlf</v>
      </c>
    </row>
    <row r="676" spans="3:26" x14ac:dyDescent="0.25">
      <c r="C676" t="s">
        <v>4595</v>
      </c>
      <c r="E676" t="s">
        <v>4604</v>
      </c>
      <c r="Y676" t="str">
        <f>mapPRC!A776</f>
        <v>TFHCV4ELC-N</v>
      </c>
      <c r="Z676" t="str">
        <f>IFERROR(INDEX($AX$7:$AX$89,MATCH(mapPRC!C776,$AW$7:$AW$89,0)),"")</f>
        <v>tranlf</v>
      </c>
    </row>
    <row r="677" spans="3:26" x14ac:dyDescent="0.25">
      <c r="C677" t="s">
        <v>4596</v>
      </c>
      <c r="E677" t="s">
        <v>4605</v>
      </c>
      <c r="Y677" t="str">
        <f>mapPRC!A777</f>
        <v>TFHCV4GAS-N</v>
      </c>
      <c r="Z677" t="str">
        <f>IFERROR(INDEX($AX$7:$AX$89,MATCH(mapPRC!C777,$AW$7:$AW$89,0)),"")</f>
        <v>tranlf</v>
      </c>
    </row>
    <row r="678" spans="3:26" x14ac:dyDescent="0.25">
      <c r="C678" t="s">
        <v>4597</v>
      </c>
      <c r="E678" t="s">
        <v>4606</v>
      </c>
      <c r="Y678" t="str">
        <f>mapPRC!A778</f>
        <v>TFHCV4HGN-N</v>
      </c>
      <c r="Z678" t="str">
        <f>IFERROR(INDEX($AX$7:$AX$89,MATCH(mapPRC!C778,$AW$7:$AW$89,0)),"")</f>
        <v>tranlf</v>
      </c>
    </row>
    <row r="679" spans="3:26" x14ac:dyDescent="0.25">
      <c r="C679" t="s">
        <v>4598</v>
      </c>
      <c r="E679" t="s">
        <v>4607</v>
      </c>
      <c r="Y679" t="str">
        <f>mapPRC!A779</f>
        <v>TFHCV4ODS-E</v>
      </c>
      <c r="Z679" t="str">
        <f>IFERROR(INDEX($AX$7:$AX$89,MATCH(mapPRC!C779,$AW$7:$AW$89,0)),"")</f>
        <v>tranlf</v>
      </c>
    </row>
    <row r="680" spans="3:26" x14ac:dyDescent="0.25">
      <c r="C680" t="s">
        <v>4599</v>
      </c>
      <c r="E680" t="s">
        <v>4608</v>
      </c>
      <c r="Y680" t="str">
        <f>mapPRC!A780</f>
        <v>TFHCV4ODS-N</v>
      </c>
      <c r="Z680" t="str">
        <f>IFERROR(INDEX($AX$7:$AX$89,MATCH(mapPRC!C780,$AW$7:$AW$89,0)),"")</f>
        <v>tranlf</v>
      </c>
    </row>
    <row r="681" spans="3:26" x14ac:dyDescent="0.25">
      <c r="C681" t="s">
        <v>4600</v>
      </c>
      <c r="E681" t="s">
        <v>4609</v>
      </c>
      <c r="Y681" t="str">
        <f>mapPRC!A781</f>
        <v>TFHCV5ELC-N</v>
      </c>
      <c r="Z681" t="str">
        <f>IFERROR(INDEX($AX$7:$AX$89,MATCH(mapPRC!C781,$AW$7:$AW$89,0)),"")</f>
        <v>tranlf</v>
      </c>
    </row>
    <row r="682" spans="3:26" x14ac:dyDescent="0.25">
      <c r="C682" t="s">
        <v>4601</v>
      </c>
      <c r="E682" t="s">
        <v>4610</v>
      </c>
      <c r="Y682" t="str">
        <f>mapPRC!A782</f>
        <v>TFHCV5GAS-N</v>
      </c>
      <c r="Z682" t="str">
        <f>IFERROR(INDEX($AX$7:$AX$89,MATCH(mapPRC!C782,$AW$7:$AW$89,0)),"")</f>
        <v>tranlf</v>
      </c>
    </row>
    <row r="683" spans="3:26" x14ac:dyDescent="0.25">
      <c r="C683" t="s">
        <v>4602</v>
      </c>
      <c r="E683" t="s">
        <v>4611</v>
      </c>
      <c r="Y683" t="str">
        <f>mapPRC!A783</f>
        <v>TFHCV5HGN-N</v>
      </c>
      <c r="Z683" t="str">
        <f>IFERROR(INDEX($AX$7:$AX$89,MATCH(mapPRC!C783,$AW$7:$AW$89,0)),"")</f>
        <v>tranlf</v>
      </c>
    </row>
    <row r="684" spans="3:26" x14ac:dyDescent="0.25">
      <c r="C684" t="s">
        <v>4603</v>
      </c>
      <c r="E684" t="s">
        <v>4612</v>
      </c>
      <c r="Y684" t="str">
        <f>mapPRC!A784</f>
        <v>TFHCV5ODS-E</v>
      </c>
      <c r="Z684" t="str">
        <f>IFERROR(INDEX($AX$7:$AX$89,MATCH(mapPRC!C784,$AW$7:$AW$89,0)),"")</f>
        <v>tranlf</v>
      </c>
    </row>
    <row r="685" spans="3:26" x14ac:dyDescent="0.25">
      <c r="C685" t="s">
        <v>4604</v>
      </c>
      <c r="E685" t="s">
        <v>4613</v>
      </c>
      <c r="Y685" t="str">
        <f>mapPRC!A785</f>
        <v>TFHCV5ODS-N</v>
      </c>
      <c r="Z685" t="str">
        <f>IFERROR(INDEX($AX$7:$AX$89,MATCH(mapPRC!C785,$AW$7:$AW$89,0)),"")</f>
        <v>tranlf</v>
      </c>
    </row>
    <row r="686" spans="3:26" x14ac:dyDescent="0.25">
      <c r="C686" t="s">
        <v>4605</v>
      </c>
      <c r="E686" t="s">
        <v>4614</v>
      </c>
      <c r="Y686" t="str">
        <f>mapPRC!A786</f>
        <v>TFHCV6ELC-N</v>
      </c>
      <c r="Z686" t="str">
        <f>IFERROR(INDEX($AX$7:$AX$89,MATCH(mapPRC!C786,$AW$7:$AW$89,0)),"")</f>
        <v>tranlf</v>
      </c>
    </row>
    <row r="687" spans="3:26" x14ac:dyDescent="0.25">
      <c r="C687" t="s">
        <v>4606</v>
      </c>
      <c r="E687" t="s">
        <v>4615</v>
      </c>
      <c r="Y687" t="str">
        <f>mapPRC!A787</f>
        <v>TFHCV6GAS-N</v>
      </c>
      <c r="Z687" t="str">
        <f>IFERROR(INDEX($AX$7:$AX$89,MATCH(mapPRC!C787,$AW$7:$AW$89,0)),"")</f>
        <v>tranlf</v>
      </c>
    </row>
    <row r="688" spans="3:26" x14ac:dyDescent="0.25">
      <c r="C688" t="s">
        <v>4607</v>
      </c>
      <c r="E688" t="s">
        <v>4616</v>
      </c>
      <c r="Y688" t="str">
        <f>mapPRC!A788</f>
        <v>TFHCV6HGN-N</v>
      </c>
      <c r="Z688" t="str">
        <f>IFERROR(INDEX($AX$7:$AX$89,MATCH(mapPRC!C788,$AW$7:$AW$89,0)),"")</f>
        <v>tranlf</v>
      </c>
    </row>
    <row r="689" spans="3:26" x14ac:dyDescent="0.25">
      <c r="C689" t="s">
        <v>4608</v>
      </c>
      <c r="E689" t="s">
        <v>4617</v>
      </c>
      <c r="Y689" t="str">
        <f>mapPRC!A789</f>
        <v>TFHCV6ODS-E</v>
      </c>
      <c r="Z689" t="str">
        <f>IFERROR(INDEX($AX$7:$AX$89,MATCH(mapPRC!C789,$AW$7:$AW$89,0)),"")</f>
        <v>tranlf</v>
      </c>
    </row>
    <row r="690" spans="3:26" x14ac:dyDescent="0.25">
      <c r="C690" t="s">
        <v>4609</v>
      </c>
      <c r="E690" t="s">
        <v>4618</v>
      </c>
      <c r="Y690" t="str">
        <f>mapPRC!A790</f>
        <v>TFHCV6ODS-N</v>
      </c>
      <c r="Z690" t="str">
        <f>IFERROR(INDEX($AX$7:$AX$89,MATCH(mapPRC!C790,$AW$7:$AW$89,0)),"")</f>
        <v>tranlf</v>
      </c>
    </row>
    <row r="691" spans="3:26" x14ac:dyDescent="0.25">
      <c r="C691" t="s">
        <v>4610</v>
      </c>
      <c r="E691" t="s">
        <v>4619</v>
      </c>
      <c r="Y691" t="str">
        <f>mapPRC!A791</f>
        <v>TFHCV7ELC-N</v>
      </c>
      <c r="Z691" t="str">
        <f>IFERROR(INDEX($AX$7:$AX$89,MATCH(mapPRC!C791,$AW$7:$AW$89,0)),"")</f>
        <v>tranlf</v>
      </c>
    </row>
    <row r="692" spans="3:26" x14ac:dyDescent="0.25">
      <c r="C692" t="s">
        <v>4611</v>
      </c>
      <c r="E692" t="s">
        <v>4620</v>
      </c>
      <c r="Y692" t="str">
        <f>mapPRC!A792</f>
        <v>TFHCV7GAS-N</v>
      </c>
      <c r="Z692" t="str">
        <f>IFERROR(INDEX($AX$7:$AX$89,MATCH(mapPRC!C792,$AW$7:$AW$89,0)),"")</f>
        <v>tranlf</v>
      </c>
    </row>
    <row r="693" spans="3:26" x14ac:dyDescent="0.25">
      <c r="C693" t="s">
        <v>4612</v>
      </c>
      <c r="E693" t="s">
        <v>4621</v>
      </c>
      <c r="Y693" t="str">
        <f>mapPRC!A793</f>
        <v>TFHCV7HGN-N</v>
      </c>
      <c r="Z693" t="str">
        <f>IFERROR(INDEX($AX$7:$AX$89,MATCH(mapPRC!C793,$AW$7:$AW$89,0)),"")</f>
        <v>tranlf</v>
      </c>
    </row>
    <row r="694" spans="3:26" x14ac:dyDescent="0.25">
      <c r="C694" t="s">
        <v>4613</v>
      </c>
      <c r="E694" t="s">
        <v>4622</v>
      </c>
      <c r="Y694" t="str">
        <f>mapPRC!A794</f>
        <v>TFHCV7ODS-E</v>
      </c>
      <c r="Z694" t="str">
        <f>IFERROR(INDEX($AX$7:$AX$89,MATCH(mapPRC!C794,$AW$7:$AW$89,0)),"")</f>
        <v>tranlf</v>
      </c>
    </row>
    <row r="695" spans="3:26" x14ac:dyDescent="0.25">
      <c r="C695" t="s">
        <v>4614</v>
      </c>
      <c r="E695" t="s">
        <v>4623</v>
      </c>
      <c r="Y695" t="str">
        <f>mapPRC!A795</f>
        <v>TFHCV7ODS-N</v>
      </c>
      <c r="Z695" t="str">
        <f>IFERROR(INDEX($AX$7:$AX$89,MATCH(mapPRC!C795,$AW$7:$AW$89,0)),"")</f>
        <v>tranlf</v>
      </c>
    </row>
    <row r="696" spans="3:26" x14ac:dyDescent="0.25">
      <c r="C696" t="s">
        <v>4615</v>
      </c>
      <c r="E696" t="s">
        <v>4624</v>
      </c>
      <c r="Y696" t="str">
        <f>mapPRC!A796</f>
        <v>TFHCV8ELC-N</v>
      </c>
      <c r="Z696" t="str">
        <f>IFERROR(INDEX($AX$7:$AX$89,MATCH(mapPRC!C796,$AW$7:$AW$89,0)),"")</f>
        <v>tranlf</v>
      </c>
    </row>
    <row r="697" spans="3:26" x14ac:dyDescent="0.25">
      <c r="C697" t="s">
        <v>4616</v>
      </c>
      <c r="E697" t="s">
        <v>4625</v>
      </c>
      <c r="Y697" t="str">
        <f>mapPRC!A797</f>
        <v>TFHCV8GAS-N</v>
      </c>
      <c r="Z697" t="str">
        <f>IFERROR(INDEX($AX$7:$AX$89,MATCH(mapPRC!C797,$AW$7:$AW$89,0)),"")</f>
        <v>tranlf</v>
      </c>
    </row>
    <row r="698" spans="3:26" x14ac:dyDescent="0.25">
      <c r="C698" t="s">
        <v>4617</v>
      </c>
      <c r="E698" t="s">
        <v>4626</v>
      </c>
      <c r="Y698" t="str">
        <f>mapPRC!A798</f>
        <v>TFHCV8HGN-N</v>
      </c>
      <c r="Z698" t="str">
        <f>IFERROR(INDEX($AX$7:$AX$89,MATCH(mapPRC!C798,$AW$7:$AW$89,0)),"")</f>
        <v>tranlf</v>
      </c>
    </row>
    <row r="699" spans="3:26" x14ac:dyDescent="0.25">
      <c r="C699" t="s">
        <v>4618</v>
      </c>
      <c r="E699" t="s">
        <v>4627</v>
      </c>
      <c r="Y699" t="str">
        <f>mapPRC!A799</f>
        <v>TFHCV8ODS-E</v>
      </c>
      <c r="Z699" t="str">
        <f>IFERROR(INDEX($AX$7:$AX$89,MATCH(mapPRC!C799,$AW$7:$AW$89,0)),"")</f>
        <v>tranlf</v>
      </c>
    </row>
    <row r="700" spans="3:26" x14ac:dyDescent="0.25">
      <c r="C700" t="s">
        <v>4619</v>
      </c>
      <c r="E700" t="s">
        <v>4628</v>
      </c>
      <c r="Y700" t="str">
        <f>mapPRC!A800</f>
        <v>TFHCV8ODS-N</v>
      </c>
      <c r="Z700" t="str">
        <f>IFERROR(INDEX($AX$7:$AX$89,MATCH(mapPRC!C800,$AW$7:$AW$89,0)),"")</f>
        <v>tranlf</v>
      </c>
    </row>
    <row r="701" spans="3:26" x14ac:dyDescent="0.25">
      <c r="C701" t="s">
        <v>4620</v>
      </c>
      <c r="E701" t="s">
        <v>4629</v>
      </c>
      <c r="Y701" t="str">
        <f>mapPRC!A801</f>
        <v>TFHCV9ELC-N</v>
      </c>
      <c r="Z701" t="str">
        <f>IFERROR(INDEX($AX$7:$AX$89,MATCH(mapPRC!C801,$AW$7:$AW$89,0)),"")</f>
        <v>tranlf</v>
      </c>
    </row>
    <row r="702" spans="3:26" x14ac:dyDescent="0.25">
      <c r="C702" t="s">
        <v>4621</v>
      </c>
      <c r="E702" t="s">
        <v>4630</v>
      </c>
      <c r="Y702" t="str">
        <f>mapPRC!A802</f>
        <v>TFHCV9GAS-N</v>
      </c>
      <c r="Z702" t="str">
        <f>IFERROR(INDEX($AX$7:$AX$89,MATCH(mapPRC!C802,$AW$7:$AW$89,0)),"")</f>
        <v>tranlf</v>
      </c>
    </row>
    <row r="703" spans="3:26" x14ac:dyDescent="0.25">
      <c r="C703" t="s">
        <v>4622</v>
      </c>
      <c r="E703" t="s">
        <v>4631</v>
      </c>
      <c r="Y703" t="str">
        <f>mapPRC!A803</f>
        <v>TFHCV9HGN-N</v>
      </c>
      <c r="Z703" t="str">
        <f>IFERROR(INDEX($AX$7:$AX$89,MATCH(mapPRC!C803,$AW$7:$AW$89,0)),"")</f>
        <v>tranlf</v>
      </c>
    </row>
    <row r="704" spans="3:26" x14ac:dyDescent="0.25">
      <c r="C704" t="s">
        <v>4623</v>
      </c>
      <c r="E704" t="s">
        <v>4632</v>
      </c>
      <c r="Y704" t="str">
        <f>mapPRC!A804</f>
        <v>TFHCV9ODS-E</v>
      </c>
      <c r="Z704" t="str">
        <f>IFERROR(INDEX($AX$7:$AX$89,MATCH(mapPRC!C804,$AW$7:$AW$89,0)),"")</f>
        <v>tranlf</v>
      </c>
    </row>
    <row r="705" spans="3:26" x14ac:dyDescent="0.25">
      <c r="C705" t="s">
        <v>4624</v>
      </c>
      <c r="E705" t="s">
        <v>4633</v>
      </c>
      <c r="Y705" t="str">
        <f>mapPRC!A805</f>
        <v>TFHCV9ODS-N</v>
      </c>
      <c r="Z705" t="str">
        <f>IFERROR(INDEX($AX$7:$AX$89,MATCH(mapPRC!C805,$AW$7:$AW$89,0)),"")</f>
        <v>tranlf</v>
      </c>
    </row>
    <row r="706" spans="3:26" x14ac:dyDescent="0.25">
      <c r="C706" t="s">
        <v>4625</v>
      </c>
      <c r="E706" t="s">
        <v>4634</v>
      </c>
      <c r="Y706" t="str">
        <f>mapPRC!A806</f>
        <v>TFLCVELC-N</v>
      </c>
      <c r="Z706" t="str">
        <f>IFERROR(INDEX($AX$7:$AX$89,MATCH(mapPRC!C806,$AW$7:$AW$89,0)),"")</f>
        <v>tranlf</v>
      </c>
    </row>
    <row r="707" spans="3:26" x14ac:dyDescent="0.25">
      <c r="C707" t="s">
        <v>4626</v>
      </c>
      <c r="E707" t="s">
        <v>4635</v>
      </c>
      <c r="Y707" t="str">
        <f>mapPRC!A807</f>
        <v>TFLCVGAS-N</v>
      </c>
      <c r="Z707" t="str">
        <f>IFERROR(INDEX($AX$7:$AX$89,MATCH(mapPRC!C807,$AW$7:$AW$89,0)),"")</f>
        <v>tranlf</v>
      </c>
    </row>
    <row r="708" spans="3:26" x14ac:dyDescent="0.25">
      <c r="C708" t="s">
        <v>4627</v>
      </c>
      <c r="E708" t="s">
        <v>4636</v>
      </c>
      <c r="Y708" t="str">
        <f>mapPRC!A808</f>
        <v>TFLCVODS-E</v>
      </c>
      <c r="Z708" t="str">
        <f>IFERROR(INDEX($AX$7:$AX$89,MATCH(mapPRC!C808,$AW$7:$AW$89,0)),"")</f>
        <v>tranlf</v>
      </c>
    </row>
    <row r="709" spans="3:26" x14ac:dyDescent="0.25">
      <c r="C709" t="s">
        <v>4628</v>
      </c>
      <c r="E709" t="s">
        <v>4637</v>
      </c>
      <c r="Y709" t="str">
        <f>mapPRC!A809</f>
        <v>TFLCVODSH-N</v>
      </c>
      <c r="Z709" t="str">
        <f>IFERROR(INDEX($AX$7:$AX$89,MATCH(mapPRC!C809,$AW$7:$AW$89,0)),"")</f>
        <v>tranlf</v>
      </c>
    </row>
    <row r="710" spans="3:26" x14ac:dyDescent="0.25">
      <c r="C710" t="s">
        <v>4629</v>
      </c>
      <c r="E710" t="s">
        <v>4638</v>
      </c>
      <c r="Y710" t="str">
        <f>mapPRC!A810</f>
        <v>TFLCVODS-N</v>
      </c>
      <c r="Z710" t="str">
        <f>IFERROR(INDEX($AX$7:$AX$89,MATCH(mapPRC!C810,$AW$7:$AW$89,0)),"")</f>
        <v>tranlf</v>
      </c>
    </row>
    <row r="711" spans="3:26" x14ac:dyDescent="0.25">
      <c r="C711" t="s">
        <v>4630</v>
      </c>
      <c r="E711" t="s">
        <v>4639</v>
      </c>
      <c r="Y711" t="str">
        <f>mapPRC!A811</f>
        <v>TFLCVOGS-E</v>
      </c>
      <c r="Z711" t="str">
        <f>IFERROR(INDEX($AX$7:$AX$89,MATCH(mapPRC!C811,$AW$7:$AW$89,0)),"")</f>
        <v>tranlf</v>
      </c>
    </row>
    <row r="712" spans="3:26" x14ac:dyDescent="0.25">
      <c r="C712" t="s">
        <v>4631</v>
      </c>
      <c r="E712" t="s">
        <v>4640</v>
      </c>
      <c r="Y712" t="str">
        <f>mapPRC!A812</f>
        <v>TFLCVOGSH-N</v>
      </c>
      <c r="Z712" t="str">
        <f>IFERROR(INDEX($AX$7:$AX$89,MATCH(mapPRC!C812,$AW$7:$AW$89,0)),"")</f>
        <v>tranlf</v>
      </c>
    </row>
    <row r="713" spans="3:26" x14ac:dyDescent="0.25">
      <c r="C713" t="s">
        <v>4632</v>
      </c>
      <c r="E713" t="s">
        <v>4641</v>
      </c>
      <c r="Y713" t="str">
        <f>mapPRC!A813</f>
        <v>TFLCVOGS-N</v>
      </c>
      <c r="Z713" t="str">
        <f>IFERROR(INDEX($AX$7:$AX$89,MATCH(mapPRC!C813,$AW$7:$AW$89,0)),"")</f>
        <v>tranlf</v>
      </c>
    </row>
    <row r="714" spans="3:26" x14ac:dyDescent="0.25">
      <c r="C714" t="s">
        <v>4633</v>
      </c>
      <c r="E714" t="s">
        <v>4642</v>
      </c>
      <c r="Y714" t="str">
        <f>mapPRC!A814</f>
        <v>TFPIPELC-E</v>
      </c>
      <c r="Z714" t="str">
        <f>IFERROR(INDEX($AX$7:$AX$89,MATCH(mapPRC!C814,$AW$7:$AW$89,0)),"")</f>
        <v>trano</v>
      </c>
    </row>
    <row r="715" spans="3:26" x14ac:dyDescent="0.25">
      <c r="C715" t="s">
        <v>4634</v>
      </c>
      <c r="E715" t="s">
        <v>4643</v>
      </c>
      <c r="Y715" t="str">
        <f>mapPRC!A815</f>
        <v>TFPIPELC-N</v>
      </c>
      <c r="Z715" t="str">
        <f>IFERROR(INDEX($AX$7:$AX$89,MATCH(mapPRC!C815,$AW$7:$AW$89,0)),"")</f>
        <v>trano</v>
      </c>
    </row>
    <row r="716" spans="3:26" x14ac:dyDescent="0.25">
      <c r="C716" t="s">
        <v>4635</v>
      </c>
      <c r="E716" t="s">
        <v>4644</v>
      </c>
      <c r="Y716" t="str">
        <f>mapPRC!A816</f>
        <v>TFRCOELC-E</v>
      </c>
      <c r="Z716" t="str">
        <f>IFERROR(INDEX($AX$7:$AX$89,MATCH(mapPRC!C816,$AW$7:$AW$89,0)),"")</f>
        <v>tranlf</v>
      </c>
    </row>
    <row r="717" spans="3:26" x14ac:dyDescent="0.25">
      <c r="C717" t="s">
        <v>4636</v>
      </c>
      <c r="E717" t="s">
        <v>4645</v>
      </c>
      <c r="Y717" t="str">
        <f>mapPRC!A817</f>
        <v>TFRCOELC-N</v>
      </c>
      <c r="Z717" t="str">
        <f>IFERROR(INDEX($AX$7:$AX$89,MATCH(mapPRC!C817,$AW$7:$AW$89,0)),"")</f>
        <v>tranlf</v>
      </c>
    </row>
    <row r="718" spans="3:26" x14ac:dyDescent="0.25">
      <c r="C718" t="s">
        <v>4637</v>
      </c>
      <c r="E718" t="s">
        <v>4646</v>
      </c>
      <c r="Y718" t="str">
        <f>mapPRC!A818</f>
        <v>TFRCOGAS-N</v>
      </c>
      <c r="Z718" t="str">
        <f>IFERROR(INDEX($AX$7:$AX$89,MATCH(mapPRC!C818,$AW$7:$AW$89,0)),"")</f>
        <v>tranlf</v>
      </c>
    </row>
    <row r="719" spans="3:26" x14ac:dyDescent="0.25">
      <c r="C719" t="s">
        <v>4638</v>
      </c>
      <c r="E719" t="s">
        <v>4647</v>
      </c>
      <c r="Y719" t="str">
        <f>mapPRC!A819</f>
        <v>TFRCOODS-E</v>
      </c>
      <c r="Z719" t="str">
        <f>IFERROR(INDEX($AX$7:$AX$89,MATCH(mapPRC!C819,$AW$7:$AW$89,0)),"")</f>
        <v>tranlf</v>
      </c>
    </row>
    <row r="720" spans="3:26" x14ac:dyDescent="0.25">
      <c r="C720" t="s">
        <v>4639</v>
      </c>
      <c r="E720" t="s">
        <v>4648</v>
      </c>
      <c r="Y720" t="str">
        <f>mapPRC!A820</f>
        <v>TFREXELC-N</v>
      </c>
      <c r="Z720" t="str">
        <f>IFERROR(INDEX($AX$7:$AX$89,MATCH(mapPRC!C820,$AW$7:$AW$89,0)),"")</f>
        <v>tranlf</v>
      </c>
    </row>
    <row r="721" spans="3:26" x14ac:dyDescent="0.25">
      <c r="C721" t="s">
        <v>4640</v>
      </c>
      <c r="E721" t="s">
        <v>4649</v>
      </c>
      <c r="Y721" t="str">
        <f>mapPRC!A821</f>
        <v>TFREXELCR-E</v>
      </c>
      <c r="Z721" t="str">
        <f>IFERROR(INDEX($AX$7:$AX$89,MATCH(mapPRC!C821,$AW$7:$AW$89,0)),"")</f>
        <v>tranlf</v>
      </c>
    </row>
    <row r="722" spans="3:26" x14ac:dyDescent="0.25">
      <c r="C722" t="s">
        <v>4641</v>
      </c>
      <c r="E722" t="s">
        <v>4650</v>
      </c>
      <c r="Y722" t="str">
        <f>mapPRC!A822</f>
        <v>TFREXODSR-E</v>
      </c>
      <c r="Z722" t="str">
        <f>IFERROR(INDEX($AX$7:$AX$89,MATCH(mapPRC!C822,$AW$7:$AW$89,0)),"")</f>
        <v>tranlf</v>
      </c>
    </row>
    <row r="723" spans="3:26" x14ac:dyDescent="0.25">
      <c r="C723" t="s">
        <v>4642</v>
      </c>
      <c r="E723" t="s">
        <v>4651</v>
      </c>
      <c r="Y723" t="str">
        <f>mapPRC!A823</f>
        <v>TFROTELC-E</v>
      </c>
      <c r="Z723" t="str">
        <f>IFERROR(INDEX($AX$7:$AX$89,MATCH(mapPRC!C823,$AW$7:$AW$89,0)),"")</f>
        <v>tranlf</v>
      </c>
    </row>
    <row r="724" spans="3:26" x14ac:dyDescent="0.25">
      <c r="C724" t="s">
        <v>4643</v>
      </c>
      <c r="E724" t="s">
        <v>4652</v>
      </c>
      <c r="Y724" t="str">
        <f>mapPRC!A824</f>
        <v>TFROTELC-N</v>
      </c>
      <c r="Z724" t="str">
        <f>IFERROR(INDEX($AX$7:$AX$89,MATCH(mapPRC!C824,$AW$7:$AW$89,0)),"")</f>
        <v>tranlf</v>
      </c>
    </row>
    <row r="725" spans="3:26" x14ac:dyDescent="0.25">
      <c r="C725" t="s">
        <v>4644</v>
      </c>
      <c r="E725" t="s">
        <v>4653</v>
      </c>
      <c r="Y725" t="str">
        <f>mapPRC!A825</f>
        <v>TFROTODS-E</v>
      </c>
      <c r="Z725" t="str">
        <f>IFERROR(INDEX($AX$7:$AX$89,MATCH(mapPRC!C825,$AW$7:$AW$89,0)),"")</f>
        <v>tranlf</v>
      </c>
    </row>
    <row r="726" spans="3:26" x14ac:dyDescent="0.25">
      <c r="C726" t="s">
        <v>4645</v>
      </c>
      <c r="E726" t="s">
        <v>4654</v>
      </c>
      <c r="Y726" t="str">
        <f>mapPRC!A826</f>
        <v>TPPRCARBGS-N</v>
      </c>
      <c r="Z726" t="str">
        <f>IFERROR(INDEX($AX$7:$AX$89,MATCH(mapPRC!C826,$AW$7:$AW$89,0)),"")</f>
        <v>tppr</v>
      </c>
    </row>
    <row r="727" spans="3:26" x14ac:dyDescent="0.25">
      <c r="C727" t="s">
        <v>4646</v>
      </c>
      <c r="E727" t="s">
        <v>4655</v>
      </c>
      <c r="Y727" t="str">
        <f>mapPRC!A827</f>
        <v>TPPRCARELC-N</v>
      </c>
      <c r="Z727" t="str">
        <f>IFERROR(INDEX($AX$7:$AX$89,MATCH(mapPRC!C827,$AW$7:$AW$89,0)),"")</f>
        <v>tppr</v>
      </c>
    </row>
    <row r="728" spans="3:26" x14ac:dyDescent="0.25">
      <c r="C728" t="s">
        <v>4647</v>
      </c>
      <c r="E728" t="s">
        <v>4656</v>
      </c>
      <c r="Y728" t="str">
        <f>mapPRC!A828</f>
        <v>TPPRCARGAS-N</v>
      </c>
      <c r="Z728" t="str">
        <f>IFERROR(INDEX($AX$7:$AX$89,MATCH(mapPRC!C828,$AW$7:$AW$89,0)),"")</f>
        <v>tppr</v>
      </c>
    </row>
    <row r="729" spans="3:26" x14ac:dyDescent="0.25">
      <c r="C729" t="s">
        <v>4648</v>
      </c>
      <c r="E729" t="s">
        <v>4657</v>
      </c>
      <c r="Y729" t="str">
        <f>mapPRC!A829</f>
        <v>TPPRCARHGNF-N</v>
      </c>
      <c r="Z729" t="str">
        <f>IFERROR(INDEX($AX$7:$AX$89,MATCH(mapPRC!C829,$AW$7:$AW$89,0)),"")</f>
        <v>tppr</v>
      </c>
    </row>
    <row r="730" spans="3:26" x14ac:dyDescent="0.25">
      <c r="C730" t="s">
        <v>4649</v>
      </c>
      <c r="E730" t="s">
        <v>4658</v>
      </c>
      <c r="Y730" t="str">
        <f>mapPRC!A830</f>
        <v>TPPRCARODS-E</v>
      </c>
      <c r="Z730" t="str">
        <f>IFERROR(INDEX($AX$7:$AX$89,MATCH(mapPRC!C830,$AW$7:$AW$89,0)),"")</f>
        <v>tppr</v>
      </c>
    </row>
    <row r="731" spans="3:26" x14ac:dyDescent="0.25">
      <c r="C731" t="s">
        <v>4650</v>
      </c>
      <c r="E731" t="s">
        <v>4659</v>
      </c>
      <c r="Y731" t="str">
        <f>mapPRC!A831</f>
        <v>TPPRCARODSH-N</v>
      </c>
      <c r="Z731" t="str">
        <f>IFERROR(INDEX($AX$7:$AX$89,MATCH(mapPRC!C831,$AW$7:$AW$89,0)),"")</f>
        <v>tppr</v>
      </c>
    </row>
    <row r="732" spans="3:26" x14ac:dyDescent="0.25">
      <c r="C732" t="s">
        <v>4651</v>
      </c>
      <c r="E732" t="s">
        <v>4660</v>
      </c>
      <c r="Y732" t="str">
        <f>mapPRC!A832</f>
        <v>TPPRCARODS-N</v>
      </c>
      <c r="Z732" t="str">
        <f>IFERROR(INDEX($AX$7:$AX$89,MATCH(mapPRC!C832,$AW$7:$AW$89,0)),"")</f>
        <v>tppr</v>
      </c>
    </row>
    <row r="733" spans="3:26" x14ac:dyDescent="0.25">
      <c r="C733" t="s">
        <v>4652</v>
      </c>
      <c r="E733" t="s">
        <v>4661</v>
      </c>
      <c r="Y733" t="str">
        <f>mapPRC!A833</f>
        <v>TPPRCAROGS-E</v>
      </c>
      <c r="Z733" t="str">
        <f>IFERROR(INDEX($AX$7:$AX$89,MATCH(mapPRC!C833,$AW$7:$AW$89,0)),"")</f>
        <v>tppr</v>
      </c>
    </row>
    <row r="734" spans="3:26" x14ac:dyDescent="0.25">
      <c r="C734" t="s">
        <v>4653</v>
      </c>
      <c r="E734" t="s">
        <v>4662</v>
      </c>
      <c r="Y734" t="str">
        <f>mapPRC!A834</f>
        <v>TPPRCAROGSH-E</v>
      </c>
      <c r="Z734" t="str">
        <f>IFERROR(INDEX($AX$7:$AX$89,MATCH(mapPRC!C834,$AW$7:$AW$89,0)),"")</f>
        <v>tppr</v>
      </c>
    </row>
    <row r="735" spans="3:26" x14ac:dyDescent="0.25">
      <c r="C735" t="s">
        <v>4654</v>
      </c>
      <c r="E735" t="s">
        <v>4663</v>
      </c>
      <c r="Y735" t="str">
        <f>mapPRC!A835</f>
        <v>TPPRCAROGSH-N</v>
      </c>
      <c r="Z735" t="str">
        <f>IFERROR(INDEX($AX$7:$AX$89,MATCH(mapPRC!C835,$AW$7:$AW$89,0)),"")</f>
        <v>tppr</v>
      </c>
    </row>
    <row r="736" spans="3:26" x14ac:dyDescent="0.25">
      <c r="C736" t="s">
        <v>4655</v>
      </c>
      <c r="E736" t="s">
        <v>4664</v>
      </c>
      <c r="Y736" t="str">
        <f>mapPRC!A836</f>
        <v>TPPRCAROGS-N</v>
      </c>
      <c r="Z736" t="str">
        <f>IFERROR(INDEX($AX$7:$AX$89,MATCH(mapPRC!C836,$AW$7:$AW$89,0)),"")</f>
        <v>tppr</v>
      </c>
    </row>
    <row r="737" spans="3:26" x14ac:dyDescent="0.25">
      <c r="C737" t="s">
        <v>4656</v>
      </c>
      <c r="E737" t="s">
        <v>4665</v>
      </c>
      <c r="Y737" t="str">
        <f>mapPRC!A837</f>
        <v>TPPRMOTELC-N</v>
      </c>
      <c r="Z737" t="str">
        <f>IFERROR(INDEX($AX$7:$AX$89,MATCH(mapPRC!C837,$AW$7:$AW$89,0)),"")</f>
        <v>tppr</v>
      </c>
    </row>
    <row r="738" spans="3:26" x14ac:dyDescent="0.25">
      <c r="C738" t="s">
        <v>4657</v>
      </c>
      <c r="E738" t="s">
        <v>4666</v>
      </c>
      <c r="Y738" t="str">
        <f>mapPRC!A838</f>
        <v>TPPRMOTOGS-E</v>
      </c>
      <c r="Z738" t="str">
        <f>IFERROR(INDEX($AX$7:$AX$89,MATCH(mapPRC!C838,$AW$7:$AW$89,0)),"")</f>
        <v>tppr</v>
      </c>
    </row>
    <row r="739" spans="3:26" x14ac:dyDescent="0.25">
      <c r="C739" t="s">
        <v>4658</v>
      </c>
      <c r="E739" t="s">
        <v>4667</v>
      </c>
      <c r="Y739" t="str">
        <f>mapPRC!A839</f>
        <v>TPPRMOTOGS-N</v>
      </c>
      <c r="Z739" t="str">
        <f>IFERROR(INDEX($AX$7:$AX$89,MATCH(mapPRC!C839,$AW$7:$AW$89,0)),"")</f>
        <v>tppr</v>
      </c>
    </row>
    <row r="740" spans="3:26" x14ac:dyDescent="0.25">
      <c r="C740" t="s">
        <v>4659</v>
      </c>
      <c r="E740" t="s">
        <v>4668</v>
      </c>
      <c r="Y740" t="str">
        <f>mapPRC!A840</f>
        <v>TPPRSUVBGS-N</v>
      </c>
      <c r="Z740" t="str">
        <f>IFERROR(INDEX($AX$7:$AX$89,MATCH(mapPRC!C840,$AW$7:$AW$89,0)),"")</f>
        <v>tppr</v>
      </c>
    </row>
    <row r="741" spans="3:26" x14ac:dyDescent="0.25">
      <c r="C741" t="s">
        <v>4660</v>
      </c>
      <c r="E741" t="s">
        <v>4669</v>
      </c>
      <c r="Y741" t="str">
        <f>mapPRC!A841</f>
        <v>TPPRSUVELC-E</v>
      </c>
      <c r="Z741" t="str">
        <f>IFERROR(INDEX($AX$7:$AX$89,MATCH(mapPRC!C841,$AW$7:$AW$89,0)),"")</f>
        <v>tppr</v>
      </c>
    </row>
    <row r="742" spans="3:26" x14ac:dyDescent="0.25">
      <c r="C742" t="s">
        <v>4661</v>
      </c>
      <c r="E742" t="s">
        <v>4670</v>
      </c>
      <c r="Y742" t="str">
        <f>mapPRC!A842</f>
        <v>TPPRSUVELC-N</v>
      </c>
      <c r="Z742" t="str">
        <f>IFERROR(INDEX($AX$7:$AX$89,MATCH(mapPRC!C842,$AW$7:$AW$89,0)),"")</f>
        <v>tppr</v>
      </c>
    </row>
    <row r="743" spans="3:26" x14ac:dyDescent="0.25">
      <c r="C743" t="s">
        <v>4662</v>
      </c>
      <c r="E743" t="s">
        <v>4671</v>
      </c>
      <c r="Y743" t="str">
        <f>mapPRC!A843</f>
        <v>TPPRSUVGAS-N</v>
      </c>
      <c r="Z743" t="str">
        <f>IFERROR(INDEX($AX$7:$AX$89,MATCH(mapPRC!C843,$AW$7:$AW$89,0)),"")</f>
        <v>tppr</v>
      </c>
    </row>
    <row r="744" spans="3:26" x14ac:dyDescent="0.25">
      <c r="C744" t="s">
        <v>4663</v>
      </c>
      <c r="E744" t="s">
        <v>4672</v>
      </c>
      <c r="Y744" t="str">
        <f>mapPRC!A844</f>
        <v>TPPRSUVHGNF-N</v>
      </c>
      <c r="Z744" t="str">
        <f>IFERROR(INDEX($AX$7:$AX$89,MATCH(mapPRC!C844,$AW$7:$AW$89,0)),"")</f>
        <v>tppr</v>
      </c>
    </row>
    <row r="745" spans="3:26" x14ac:dyDescent="0.25">
      <c r="C745" t="s">
        <v>4664</v>
      </c>
      <c r="E745" t="s">
        <v>4673</v>
      </c>
      <c r="Y745" t="str">
        <f>mapPRC!A845</f>
        <v>TPPRSUVODS-E</v>
      </c>
      <c r="Z745" t="str">
        <f>IFERROR(INDEX($AX$7:$AX$89,MATCH(mapPRC!C845,$AW$7:$AW$89,0)),"")</f>
        <v>tppr</v>
      </c>
    </row>
    <row r="746" spans="3:26" x14ac:dyDescent="0.25">
      <c r="C746" t="s">
        <v>4665</v>
      </c>
      <c r="E746" t="s">
        <v>4674</v>
      </c>
      <c r="Y746" t="str">
        <f>mapPRC!A846</f>
        <v>TPPRSUVODSH-N</v>
      </c>
      <c r="Z746" t="str">
        <f>IFERROR(INDEX($AX$7:$AX$89,MATCH(mapPRC!C846,$AW$7:$AW$89,0)),"")</f>
        <v>tppr</v>
      </c>
    </row>
    <row r="747" spans="3:26" x14ac:dyDescent="0.25">
      <c r="C747" t="s">
        <v>4666</v>
      </c>
      <c r="E747" t="s">
        <v>4675</v>
      </c>
      <c r="Y747" t="str">
        <f>mapPRC!A847</f>
        <v>TPPRSUVODS-N</v>
      </c>
      <c r="Z747" t="str">
        <f>IFERROR(INDEX($AX$7:$AX$89,MATCH(mapPRC!C847,$AW$7:$AW$89,0)),"")</f>
        <v>tppr</v>
      </c>
    </row>
    <row r="748" spans="3:26" x14ac:dyDescent="0.25">
      <c r="C748" t="s">
        <v>4667</v>
      </c>
      <c r="E748" t="s">
        <v>4676</v>
      </c>
      <c r="Y748" t="str">
        <f>mapPRC!A848</f>
        <v>TPPRSUVOGS-E</v>
      </c>
      <c r="Z748" t="str">
        <f>IFERROR(INDEX($AX$7:$AX$89,MATCH(mapPRC!C848,$AW$7:$AW$89,0)),"")</f>
        <v>tppr</v>
      </c>
    </row>
    <row r="749" spans="3:26" x14ac:dyDescent="0.25">
      <c r="C749" t="s">
        <v>4668</v>
      </c>
      <c r="E749" t="s">
        <v>4677</v>
      </c>
      <c r="Y749" t="str">
        <f>mapPRC!A849</f>
        <v>TPPRSUVOGSH-E</v>
      </c>
      <c r="Z749" t="str">
        <f>IFERROR(INDEX($AX$7:$AX$89,MATCH(mapPRC!C849,$AW$7:$AW$89,0)),"")</f>
        <v>tppr</v>
      </c>
    </row>
    <row r="750" spans="3:26" x14ac:dyDescent="0.25">
      <c r="C750" t="s">
        <v>4669</v>
      </c>
      <c r="E750" t="s">
        <v>4678</v>
      </c>
      <c r="Y750" t="str">
        <f>mapPRC!A850</f>
        <v>TPPRSUVOGSH-N</v>
      </c>
      <c r="Z750" t="str">
        <f>IFERROR(INDEX($AX$7:$AX$89,MATCH(mapPRC!C850,$AW$7:$AW$89,0)),"")</f>
        <v>tppr</v>
      </c>
    </row>
    <row r="751" spans="3:26" x14ac:dyDescent="0.25">
      <c r="C751" t="s">
        <v>4670</v>
      </c>
      <c r="E751" t="s">
        <v>4679</v>
      </c>
      <c r="Y751" t="str">
        <f>mapPRC!A851</f>
        <v>TPPRSUVOGS-N</v>
      </c>
      <c r="Z751" t="str">
        <f>IFERROR(INDEX($AX$7:$AX$89,MATCH(mapPRC!C851,$AW$7:$AW$89,0)),"")</f>
        <v>tppr</v>
      </c>
    </row>
    <row r="752" spans="3:26" x14ac:dyDescent="0.25">
      <c r="C752" t="s">
        <v>4671</v>
      </c>
      <c r="E752" t="s">
        <v>4680</v>
      </c>
      <c r="Y752" t="str">
        <f>mapPRC!A852</f>
        <v>TPPUBRTBGS-N</v>
      </c>
      <c r="Z752" t="str">
        <f>IFERROR(INDEX($AX$7:$AX$89,MATCH(mapPRC!C852,$AW$7:$AW$89,0)),"")</f>
        <v>tranlp</v>
      </c>
    </row>
    <row r="753" spans="3:26" x14ac:dyDescent="0.25">
      <c r="C753" t="s">
        <v>4672</v>
      </c>
      <c r="E753" t="s">
        <v>4681</v>
      </c>
      <c r="Y753" t="str">
        <f>mapPRC!A853</f>
        <v>TPPUBRTELC-N</v>
      </c>
      <c r="Z753" t="str">
        <f>IFERROR(INDEX($AX$7:$AX$89,MATCH(mapPRC!C853,$AW$7:$AW$89,0)),"")</f>
        <v>tranlp</v>
      </c>
    </row>
    <row r="754" spans="3:26" x14ac:dyDescent="0.25">
      <c r="C754" t="s">
        <v>4673</v>
      </c>
      <c r="E754" t="s">
        <v>4682</v>
      </c>
      <c r="Y754" t="str">
        <f>mapPRC!A854</f>
        <v>TPPUBRTGAS-N</v>
      </c>
      <c r="Z754" t="str">
        <f>IFERROR(INDEX($AX$7:$AX$89,MATCH(mapPRC!C854,$AW$7:$AW$89,0)),"")</f>
        <v>tranlp</v>
      </c>
    </row>
    <row r="755" spans="3:26" x14ac:dyDescent="0.25">
      <c r="C755" t="s">
        <v>4674</v>
      </c>
      <c r="E755" t="s">
        <v>4683</v>
      </c>
      <c r="Y755" t="str">
        <f>mapPRC!A855</f>
        <v>TPPUBRTHGNF-N</v>
      </c>
      <c r="Z755" t="str">
        <f>IFERROR(INDEX($AX$7:$AX$89,MATCH(mapPRC!C855,$AW$7:$AW$89,0)),"")</f>
        <v>tranlp</v>
      </c>
    </row>
    <row r="756" spans="3:26" x14ac:dyDescent="0.25">
      <c r="C756" t="s">
        <v>4675</v>
      </c>
      <c r="E756" t="s">
        <v>4684</v>
      </c>
      <c r="Y756" t="str">
        <f>mapPRC!A856</f>
        <v>TPPUBRTODS-N</v>
      </c>
      <c r="Z756" t="str">
        <f>IFERROR(INDEX($AX$7:$AX$89,MATCH(mapPRC!C856,$AW$7:$AW$89,0)),"")</f>
        <v>tranlp</v>
      </c>
    </row>
    <row r="757" spans="3:26" x14ac:dyDescent="0.25">
      <c r="C757" t="s">
        <v>4676</v>
      </c>
      <c r="E757" t="s">
        <v>4685</v>
      </c>
      <c r="Y757" t="str">
        <f>mapPRC!A857</f>
        <v>TPPUBUSBGS-N</v>
      </c>
      <c r="Z757" t="str">
        <f>IFERROR(INDEX($AX$7:$AX$89,MATCH(mapPRC!C857,$AW$7:$AW$89,0)),"")</f>
        <v>tranlp</v>
      </c>
    </row>
    <row r="758" spans="3:26" x14ac:dyDescent="0.25">
      <c r="C758" t="s">
        <v>4677</v>
      </c>
      <c r="E758" t="s">
        <v>4686</v>
      </c>
      <c r="Y758" t="str">
        <f>mapPRC!A858</f>
        <v>TPPUBUSELC-N</v>
      </c>
      <c r="Z758" t="str">
        <f>IFERROR(INDEX($AX$7:$AX$89,MATCH(mapPRC!C858,$AW$7:$AW$89,0)),"")</f>
        <v>tranlp</v>
      </c>
    </row>
    <row r="759" spans="3:26" x14ac:dyDescent="0.25">
      <c r="C759" t="s">
        <v>4678</v>
      </c>
      <c r="E759" t="s">
        <v>4687</v>
      </c>
      <c r="Y759" t="str">
        <f>mapPRC!A859</f>
        <v>TPPUBUSGAS-N</v>
      </c>
      <c r="Z759" t="str">
        <f>IFERROR(INDEX($AX$7:$AX$89,MATCH(mapPRC!C859,$AW$7:$AW$89,0)),"")</f>
        <v>tranlp</v>
      </c>
    </row>
    <row r="760" spans="3:26" x14ac:dyDescent="0.25">
      <c r="C760" t="s">
        <v>4679</v>
      </c>
      <c r="E760" t="s">
        <v>4688</v>
      </c>
      <c r="Y760" t="str">
        <f>mapPRC!A860</f>
        <v>TPPUBUSHGNF-N</v>
      </c>
      <c r="Z760" t="str">
        <f>IFERROR(INDEX($AX$7:$AX$89,MATCH(mapPRC!C860,$AW$7:$AW$89,0)),"")</f>
        <v>tranlp</v>
      </c>
    </row>
    <row r="761" spans="3:26" x14ac:dyDescent="0.25">
      <c r="C761" t="s">
        <v>4680</v>
      </c>
      <c r="E761" t="s">
        <v>4689</v>
      </c>
      <c r="Y761" t="str">
        <f>mapPRC!A861</f>
        <v>TPPUBUSODS-E</v>
      </c>
      <c r="Z761" t="str">
        <f>IFERROR(INDEX($AX$7:$AX$89,MATCH(mapPRC!C861,$AW$7:$AW$89,0)),"")</f>
        <v>tranlp</v>
      </c>
    </row>
    <row r="762" spans="3:26" x14ac:dyDescent="0.25">
      <c r="C762" t="s">
        <v>4681</v>
      </c>
      <c r="E762" t="s">
        <v>4690</v>
      </c>
      <c r="Y762" t="str">
        <f>mapPRC!A862</f>
        <v>TPPUBUSODS-N</v>
      </c>
      <c r="Z762" t="str">
        <f>IFERROR(INDEX($AX$7:$AX$89,MATCH(mapPRC!C862,$AW$7:$AW$89,0)),"")</f>
        <v>tranlp</v>
      </c>
    </row>
    <row r="763" spans="3:26" x14ac:dyDescent="0.25">
      <c r="C763" t="s">
        <v>4682</v>
      </c>
      <c r="E763" t="s">
        <v>4691</v>
      </c>
      <c r="Y763" t="str">
        <f>mapPRC!A863</f>
        <v>TPPUGATELC-N</v>
      </c>
      <c r="Z763" t="str">
        <f>IFERROR(INDEX($AX$7:$AX$89,MATCH(mapPRC!C863,$AW$7:$AW$89,0)),"")</f>
        <v>tranlp</v>
      </c>
    </row>
    <row r="764" spans="3:26" x14ac:dyDescent="0.25">
      <c r="C764" t="s">
        <v>4683</v>
      </c>
      <c r="E764" t="s">
        <v>4692</v>
      </c>
      <c r="Y764" t="str">
        <f>mapPRC!A864</f>
        <v>TPPUMBTBGS-N</v>
      </c>
      <c r="Z764" t="str">
        <f>IFERROR(INDEX($AX$7:$AX$89,MATCH(mapPRC!C864,$AW$7:$AW$89,0)),"")</f>
        <v>tranlp</v>
      </c>
    </row>
    <row r="765" spans="3:26" x14ac:dyDescent="0.25">
      <c r="C765" t="s">
        <v>4684</v>
      </c>
      <c r="E765" t="s">
        <v>4693</v>
      </c>
      <c r="Y765" t="str">
        <f>mapPRC!A865</f>
        <v>TPPUMBTELC-N</v>
      </c>
      <c r="Z765" t="str">
        <f>IFERROR(INDEX($AX$7:$AX$89,MATCH(mapPRC!C865,$AW$7:$AW$89,0)),"")</f>
        <v>tranlp</v>
      </c>
    </row>
    <row r="766" spans="3:26" x14ac:dyDescent="0.25">
      <c r="C766" t="s">
        <v>4685</v>
      </c>
      <c r="E766" t="s">
        <v>4694</v>
      </c>
      <c r="Y766" t="str">
        <f>mapPRC!A866</f>
        <v>TPPUMBTGAS-N</v>
      </c>
      <c r="Z766" t="str">
        <f>IFERROR(INDEX($AX$7:$AX$89,MATCH(mapPRC!C866,$AW$7:$AW$89,0)),"")</f>
        <v>tranlp</v>
      </c>
    </row>
    <row r="767" spans="3:26" x14ac:dyDescent="0.25">
      <c r="C767" t="s">
        <v>4686</v>
      </c>
      <c r="E767" t="s">
        <v>4695</v>
      </c>
      <c r="Y767" t="str">
        <f>mapPRC!A867</f>
        <v>TPPUMBTHGNF-N</v>
      </c>
      <c r="Z767" t="str">
        <f>IFERROR(INDEX($AX$7:$AX$89,MATCH(mapPRC!C867,$AW$7:$AW$89,0)),"")</f>
        <v>tranlp</v>
      </c>
    </row>
    <row r="768" spans="3:26" x14ac:dyDescent="0.25">
      <c r="C768" t="s">
        <v>4687</v>
      </c>
      <c r="E768" t="s">
        <v>4696</v>
      </c>
      <c r="Y768" t="str">
        <f>mapPRC!A868</f>
        <v>TPPUMBTODS-E</v>
      </c>
      <c r="Z768" t="str">
        <f>IFERROR(INDEX($AX$7:$AX$89,MATCH(mapPRC!C868,$AW$7:$AW$89,0)),"")</f>
        <v>tranlp</v>
      </c>
    </row>
    <row r="769" spans="3:26" x14ac:dyDescent="0.25">
      <c r="C769" t="s">
        <v>4688</v>
      </c>
      <c r="E769" t="s">
        <v>4697</v>
      </c>
      <c r="Y769" t="str">
        <f>mapPRC!A869</f>
        <v>TPPUMBTODSH-N</v>
      </c>
      <c r="Z769" t="str">
        <f>IFERROR(INDEX($AX$7:$AX$89,MATCH(mapPRC!C869,$AW$7:$AW$89,0)),"")</f>
        <v>tranlp</v>
      </c>
    </row>
    <row r="770" spans="3:26" x14ac:dyDescent="0.25">
      <c r="C770" t="s">
        <v>4689</v>
      </c>
      <c r="E770" t="s">
        <v>4698</v>
      </c>
      <c r="Y770" t="str">
        <f>mapPRC!A870</f>
        <v>TPPUMBTODS-N</v>
      </c>
      <c r="Z770" t="str">
        <f>IFERROR(INDEX($AX$7:$AX$89,MATCH(mapPRC!C870,$AW$7:$AW$89,0)),"")</f>
        <v>tranlp</v>
      </c>
    </row>
    <row r="771" spans="3:26" x14ac:dyDescent="0.25">
      <c r="C771" t="s">
        <v>4690</v>
      </c>
      <c r="E771" t="s">
        <v>4699</v>
      </c>
      <c r="Y771" t="str">
        <f>mapPRC!A871</f>
        <v>TPPUMBTOGS-E</v>
      </c>
      <c r="Z771" t="str">
        <f>IFERROR(INDEX($AX$7:$AX$89,MATCH(mapPRC!C871,$AW$7:$AW$89,0)),"")</f>
        <v>tranlp</v>
      </c>
    </row>
    <row r="772" spans="3:26" x14ac:dyDescent="0.25">
      <c r="C772" t="s">
        <v>4691</v>
      </c>
      <c r="E772" t="s">
        <v>4700</v>
      </c>
      <c r="Y772" t="str">
        <f>mapPRC!A872</f>
        <v>TPPUMBTOGS-N</v>
      </c>
      <c r="Z772" t="str">
        <f>IFERROR(INDEX($AX$7:$AX$89,MATCH(mapPRC!C872,$AW$7:$AW$89,0)),"")</f>
        <v>tranlp</v>
      </c>
    </row>
    <row r="773" spans="3:26" x14ac:dyDescent="0.25">
      <c r="C773" t="s">
        <v>4692</v>
      </c>
      <c r="E773" t="s">
        <v>4701</v>
      </c>
      <c r="Y773" t="str">
        <f>mapPRC!A873</f>
        <v>TPPUMERELC-E</v>
      </c>
      <c r="Z773" t="str">
        <f>IFERROR(INDEX($AX$7:$AX$89,MATCH(mapPRC!C873,$AW$7:$AW$89,0)),"")</f>
        <v>tranlp</v>
      </c>
    </row>
    <row r="774" spans="3:26" x14ac:dyDescent="0.25">
      <c r="C774" t="s">
        <v>4693</v>
      </c>
      <c r="E774" t="s">
        <v>4702</v>
      </c>
      <c r="Y774" t="str">
        <f>mapPRC!A874</f>
        <v>TPPUMERELC-N</v>
      </c>
      <c r="Z774" t="str">
        <f>IFERROR(INDEX($AX$7:$AX$89,MATCH(mapPRC!C874,$AW$7:$AW$89,0)),"")</f>
        <v>tranlp</v>
      </c>
    </row>
    <row r="775" spans="3:26" x14ac:dyDescent="0.25">
      <c r="C775" t="s">
        <v>4694</v>
      </c>
      <c r="E775" t="s">
        <v>4703</v>
      </c>
      <c r="Y775" t="str">
        <f>mapPRC!A875</f>
        <v>TSHFOOHF-E</v>
      </c>
      <c r="Z775" t="str">
        <f>IFERROR(INDEX($AX$7:$AX$89,MATCH(mapPRC!C875,$AW$7:$AW$89,0)),"")</f>
        <v>trano</v>
      </c>
    </row>
    <row r="776" spans="3:26" x14ac:dyDescent="0.25">
      <c r="C776" t="s">
        <v>4695</v>
      </c>
      <c r="E776" t="s">
        <v>4704</v>
      </c>
      <c r="Y776" t="str">
        <f>mapPRC!A876</f>
        <v>TSHFOOHF-N</v>
      </c>
      <c r="Z776" t="str">
        <f>IFERROR(INDEX($AX$7:$AX$89,MATCH(mapPRC!C876,$AW$7:$AW$89,0)),"")</f>
        <v>trano</v>
      </c>
    </row>
    <row r="777" spans="3:26" x14ac:dyDescent="0.25">
      <c r="C777" t="s">
        <v>4696</v>
      </c>
      <c r="E777" t="s">
        <v>4705</v>
      </c>
      <c r="Y777" t="str">
        <f>mapPRC!A877</f>
        <v>UBBEBIE-N</v>
      </c>
      <c r="Z777" t="str">
        <f>IFERROR(INDEX($AX$7:$AX$89,MATCH(mapPRC!C877,$AW$7:$AW$89,0)),"")</f>
        <v>petr</v>
      </c>
    </row>
    <row r="778" spans="3:26" x14ac:dyDescent="0.25">
      <c r="C778" t="s">
        <v>4697</v>
      </c>
      <c r="E778" t="s">
        <v>4706</v>
      </c>
      <c r="Y778" t="str">
        <f>mapPRC!A878</f>
        <v>UBCABID-N</v>
      </c>
      <c r="Z778" t="str">
        <f>IFERROR(INDEX($AX$7:$AX$89,MATCH(mapPRC!C878,$AW$7:$AW$89,0)),"")</f>
        <v>petr</v>
      </c>
    </row>
    <row r="779" spans="3:26" x14ac:dyDescent="0.25">
      <c r="C779" t="s">
        <v>4698</v>
      </c>
      <c r="E779" t="s">
        <v>4707</v>
      </c>
      <c r="Y779" t="str">
        <f>mapPRC!A879</f>
        <v>UBSCBIE-N</v>
      </c>
      <c r="Z779" t="str">
        <f>IFERROR(INDEX($AX$7:$AX$89,MATCH(mapPRC!C879,$AW$7:$AW$89,0)),"")</f>
        <v>petr</v>
      </c>
    </row>
    <row r="780" spans="3:26" x14ac:dyDescent="0.25">
      <c r="C780" t="s">
        <v>4699</v>
      </c>
      <c r="E780" t="s">
        <v>4708</v>
      </c>
      <c r="Y780" t="str">
        <f>mapPRC!A880</f>
        <v>UBSRBIE-N</v>
      </c>
      <c r="Z780" t="str">
        <f>IFERROR(INDEX($AX$7:$AX$89,MATCH(mapPRC!C880,$AW$7:$AW$89,0)),"")</f>
        <v>petr</v>
      </c>
    </row>
    <row r="781" spans="3:26" x14ac:dyDescent="0.25">
      <c r="C781" t="s">
        <v>4700</v>
      </c>
      <c r="E781" t="s">
        <v>4709</v>
      </c>
      <c r="Y781" t="str">
        <f>mapPRC!A881</f>
        <v>UBSYBID-N</v>
      </c>
      <c r="Z781" t="str">
        <f>IFERROR(INDEX($AX$7:$AX$89,MATCH(mapPRC!C881,$AW$7:$AW$89,0)),"")</f>
        <v>petr</v>
      </c>
    </row>
    <row r="782" spans="3:26" x14ac:dyDescent="0.25">
      <c r="C782" t="s">
        <v>4701</v>
      </c>
      <c r="E782" t="s">
        <v>4710</v>
      </c>
      <c r="Y782" t="str">
        <f>mapPRC!A882</f>
        <v>UCO2SPCEM</v>
      </c>
      <c r="Z782" t="str">
        <f>IFERROR(INDEX($AX$7:$AX$89,MATCH(mapPRC!C882,$AW$7:$AW$89,0)),"")</f>
        <v/>
      </c>
    </row>
    <row r="783" spans="3:26" x14ac:dyDescent="0.25">
      <c r="C783" t="s">
        <v>4702</v>
      </c>
      <c r="E783" t="s">
        <v>4711</v>
      </c>
      <c r="Y783" t="str">
        <f>mapPRC!A883</f>
        <v>UCO2SPIIS</v>
      </c>
      <c r="Z783" t="str">
        <f>IFERROR(INDEX($AX$7:$AX$89,MATCH(mapPRC!C883,$AW$7:$AW$89,0)),"")</f>
        <v/>
      </c>
    </row>
    <row r="784" spans="3:26" x14ac:dyDescent="0.25">
      <c r="C784" t="s">
        <v>4703</v>
      </c>
      <c r="E784" t="s">
        <v>4712</v>
      </c>
      <c r="Y784" t="str">
        <f>mapPRC!A884</f>
        <v>UCO2SPLIM</v>
      </c>
      <c r="Z784" t="str">
        <f>IFERROR(INDEX($AX$7:$AX$89,MATCH(mapPRC!C884,$AW$7:$AW$89,0)),"")</f>
        <v/>
      </c>
    </row>
    <row r="785" spans="3:26" x14ac:dyDescent="0.25">
      <c r="C785" t="s">
        <v>4704</v>
      </c>
      <c r="E785" t="s">
        <v>4713</v>
      </c>
      <c r="Y785" t="str">
        <f>mapPRC!A885</f>
        <v>UCO2SPIFC</v>
      </c>
      <c r="Z785" t="str">
        <f>IFERROR(INDEX($AX$7:$AX$89,MATCH(mapPRC!C885,$AW$7:$AW$89,0)),"")</f>
        <v/>
      </c>
    </row>
    <row r="786" spans="3:26" x14ac:dyDescent="0.25">
      <c r="C786" t="s">
        <v>4705</v>
      </c>
      <c r="E786" t="s">
        <v>4714</v>
      </c>
      <c r="Y786" t="str">
        <f>mapPRC!A886</f>
        <v>UCO2SPIFM</v>
      </c>
      <c r="Z786" t="str">
        <f>IFERROR(INDEX($AX$7:$AX$89,MATCH(mapPRC!C886,$AW$7:$AW$89,0)),"")</f>
        <v/>
      </c>
    </row>
    <row r="787" spans="3:26" x14ac:dyDescent="0.25">
      <c r="C787" t="s">
        <v>4706</v>
      </c>
      <c r="E787" t="s">
        <v>4715</v>
      </c>
      <c r="Y787" t="str">
        <f>mapPRC!A887</f>
        <v>UCO2STOR</v>
      </c>
      <c r="Z787" t="str">
        <f>IFERROR(INDEX($AX$7:$AX$89,MATCH(mapPRC!C887,$AW$7:$AW$89,0)),"")</f>
        <v/>
      </c>
    </row>
    <row r="788" spans="3:26" x14ac:dyDescent="0.25">
      <c r="C788" t="s">
        <v>4707</v>
      </c>
      <c r="E788" t="s">
        <v>4716</v>
      </c>
      <c r="Y788" t="str">
        <f>mapPRC!A888</f>
        <v>UPWRCO2SCRC</v>
      </c>
      <c r="Z788" t="str">
        <f>IFERROR(INDEX($AX$7:$AX$89,MATCH(mapPRC!C888,$AW$7:$AW$89,0)),"")</f>
        <v/>
      </c>
    </row>
    <row r="789" spans="3:26" x14ac:dyDescent="0.25">
      <c r="C789" t="s">
        <v>4708</v>
      </c>
      <c r="E789" t="s">
        <v>4717</v>
      </c>
      <c r="Y789" t="str">
        <f>mapPRC!A889</f>
        <v>UPWRCO2SCRG</v>
      </c>
      <c r="Z789" t="str">
        <f>IFERROR(INDEX($AX$7:$AX$89,MATCH(mapPRC!C889,$AW$7:$AW$89,0)),"")</f>
        <v/>
      </c>
    </row>
    <row r="790" spans="3:26" x14ac:dyDescent="0.25">
      <c r="C790" t="s">
        <v>4709</v>
      </c>
      <c r="E790" t="s">
        <v>4718</v>
      </c>
      <c r="Y790" t="str">
        <f>mapPRC!A890</f>
        <v>UPWRCO2SCD</v>
      </c>
      <c r="Z790" t="str">
        <f>IFERROR(INDEX($AX$7:$AX$89,MATCH(mapPRC!C890,$AW$7:$AW$89,0)),"")</f>
        <v/>
      </c>
    </row>
    <row r="791" spans="3:26" x14ac:dyDescent="0.25">
      <c r="C791" t="s">
        <v>4710</v>
      </c>
      <c r="E791" t="s">
        <v>4719</v>
      </c>
      <c r="Y791" t="str">
        <f>mapPRC!A891</f>
        <v>UCOGCLEHGN</v>
      </c>
      <c r="Z791" t="str">
        <f>IFERROR(INDEX($AX$7:$AX$89,MATCH(mapPRC!C891,$AW$7:$AW$89,0)),"")</f>
        <v>hydr</v>
      </c>
    </row>
    <row r="792" spans="3:26" x14ac:dyDescent="0.25">
      <c r="C792" t="s">
        <v>4711</v>
      </c>
      <c r="E792" t="s">
        <v>4720</v>
      </c>
      <c r="Y792" t="str">
        <f>mapPRC!A892</f>
        <v>UCTLCLEIN-E</v>
      </c>
      <c r="Z792" t="str">
        <f>IFERROR(INDEX($AX$7:$AX$89,MATCH(mapPRC!C892,$AW$7:$AW$89,0)),"")</f>
        <v>petr</v>
      </c>
    </row>
    <row r="793" spans="3:26" x14ac:dyDescent="0.25">
      <c r="C793" t="s">
        <v>4712</v>
      </c>
      <c r="E793" t="s">
        <v>4721</v>
      </c>
      <c r="Y793" t="str">
        <f>mapPRC!A893</f>
        <v>UCTLCLEIN-N</v>
      </c>
      <c r="Z793" t="str">
        <f>IFERROR(INDEX($AX$7:$AX$89,MATCH(mapPRC!C893,$AW$7:$AW$89,0)),"")</f>
        <v>petr</v>
      </c>
    </row>
    <row r="794" spans="3:26" x14ac:dyDescent="0.25">
      <c r="C794" t="s">
        <v>4713</v>
      </c>
      <c r="E794" t="s">
        <v>4722</v>
      </c>
      <c r="Y794" t="str">
        <f>mapPRC!A894</f>
        <v>UCTLCLEIN-N-A</v>
      </c>
      <c r="Z794" t="str">
        <f>IFERROR(INDEX($AX$7:$AX$89,MATCH(mapPRC!C894,$AW$7:$AW$89,0)),"")</f>
        <v>petr</v>
      </c>
    </row>
    <row r="795" spans="3:26" x14ac:dyDescent="0.25">
      <c r="C795" t="s">
        <v>4714</v>
      </c>
      <c r="E795" t="s">
        <v>4723</v>
      </c>
      <c r="Y795" t="str">
        <f>mapPRC!A895</f>
        <v>UCTLNH3-E</v>
      </c>
      <c r="Z795" t="str">
        <f>IFERROR(INDEX($AX$7:$AX$89,MATCH(mapPRC!C895,$AW$7:$AW$89,0)),"")</f>
        <v>am</v>
      </c>
    </row>
    <row r="796" spans="3:26" x14ac:dyDescent="0.25">
      <c r="C796" t="s">
        <v>4715</v>
      </c>
      <c r="E796" t="s">
        <v>4724</v>
      </c>
      <c r="Y796" t="str">
        <f>mapPRC!A896</f>
        <v>UELEA1HGN</v>
      </c>
      <c r="Z796" t="str">
        <f>IFERROR(INDEX($AX$7:$AX$89,MATCH(mapPRC!C896,$AW$7:$AW$89,0)),"")</f>
        <v>hydr</v>
      </c>
    </row>
    <row r="797" spans="3:26" x14ac:dyDescent="0.25">
      <c r="C797" t="s">
        <v>4716</v>
      </c>
      <c r="E797" t="s">
        <v>4725</v>
      </c>
      <c r="Y797" t="str">
        <f>mapPRC!A897</f>
        <v>UELEP1HGN</v>
      </c>
      <c r="Z797" t="str">
        <f>IFERROR(INDEX($AX$7:$AX$89,MATCH(mapPRC!C897,$AW$7:$AW$89,0)),"")</f>
        <v>hydr</v>
      </c>
    </row>
    <row r="798" spans="3:26" x14ac:dyDescent="0.25">
      <c r="C798" t="s">
        <v>4717</v>
      </c>
      <c r="E798" t="s">
        <v>4726</v>
      </c>
      <c r="Y798" t="str">
        <f>mapPRC!A898</f>
        <v>UDACCO2S</v>
      </c>
      <c r="Z798" t="str">
        <f>IFERROR(INDEX($AX$7:$AX$89,MATCH(mapPRC!C898,$AW$7:$AW$89,0)),"")</f>
        <v/>
      </c>
    </row>
    <row r="799" spans="3:26" x14ac:dyDescent="0.25">
      <c r="C799" t="s">
        <v>4718</v>
      </c>
      <c r="E799" t="s">
        <v>4727</v>
      </c>
      <c r="Y799" t="str">
        <f>mapPRC!A899</f>
        <v>UDACCO2S2</v>
      </c>
      <c r="Z799" t="str">
        <f>IFERROR(INDEX($AX$7:$AX$89,MATCH(mapPRC!C899,$AW$7:$AW$89,0)),"")</f>
        <v/>
      </c>
    </row>
    <row r="800" spans="3:26" x14ac:dyDescent="0.25">
      <c r="C800" t="s">
        <v>4719</v>
      </c>
      <c r="E800" t="s">
        <v>4728</v>
      </c>
      <c r="Y800" t="str">
        <f>mapPRC!A900</f>
        <v>UFTHGNCO2-N</v>
      </c>
      <c r="Z800" t="str">
        <f>IFERROR(INDEX($AX$7:$AX$89,MATCH(mapPRC!C900,$AW$7:$AW$89,0)),"")</f>
        <v/>
      </c>
    </row>
    <row r="801" spans="3:26" x14ac:dyDescent="0.25">
      <c r="C801" t="s">
        <v>4720</v>
      </c>
      <c r="E801" t="s">
        <v>4729</v>
      </c>
      <c r="Y801" t="str">
        <f>mapPRC!A901</f>
        <v>UGASGIB-N</v>
      </c>
      <c r="Z801" t="str">
        <f>IFERROR(INDEX($AX$7:$AX$89,MATCH(mapPRC!C901,$AW$7:$AW$89,0)),"")</f>
        <v/>
      </c>
    </row>
    <row r="802" spans="3:26" x14ac:dyDescent="0.25">
      <c r="C802" t="s">
        <v>4721</v>
      </c>
      <c r="E802" t="s">
        <v>4730</v>
      </c>
      <c r="Y802" t="str">
        <f>mapPRC!A902</f>
        <v>UGASGIC-N</v>
      </c>
      <c r="Z802" t="str">
        <f>IFERROR(INDEX($AX$7:$AX$89,MATCH(mapPRC!C902,$AW$7:$AW$89,0)),"")</f>
        <v/>
      </c>
    </row>
    <row r="803" spans="3:26" x14ac:dyDescent="0.25">
      <c r="C803" t="s">
        <v>4722</v>
      </c>
      <c r="E803" t="s">
        <v>4731</v>
      </c>
      <c r="Y803" t="str">
        <f>mapPRC!A903</f>
        <v>UGASGIHE-N</v>
      </c>
      <c r="Z803" t="str">
        <f>IFERROR(INDEX($AX$7:$AX$89,MATCH(mapPRC!C903,$AW$7:$AW$89,0)),"")</f>
        <v/>
      </c>
    </row>
    <row r="804" spans="3:26" x14ac:dyDescent="0.25">
      <c r="C804" t="s">
        <v>4723</v>
      </c>
      <c r="E804" t="s">
        <v>4732</v>
      </c>
      <c r="Y804" t="str">
        <f>mapPRC!A904</f>
        <v>UGASGIH-N</v>
      </c>
      <c r="Z804" t="str">
        <f>IFERROR(INDEX($AX$7:$AX$89,MATCH(mapPRC!C904,$AW$7:$AW$89,0)),"")</f>
        <v/>
      </c>
    </row>
    <row r="805" spans="3:26" x14ac:dyDescent="0.25">
      <c r="C805" t="s">
        <v>4724</v>
      </c>
      <c r="E805" t="s">
        <v>4733</v>
      </c>
      <c r="Y805" t="str">
        <f>mapPRC!A905</f>
        <v>UGASGRM-N</v>
      </c>
      <c r="Z805" t="str">
        <f>IFERROR(INDEX($AX$7:$AX$89,MATCH(mapPRC!C905,$AW$7:$AW$89,0)),"")</f>
        <v>imp</v>
      </c>
    </row>
    <row r="806" spans="3:26" x14ac:dyDescent="0.25">
      <c r="C806" t="s">
        <v>4725</v>
      </c>
      <c r="E806" t="s">
        <v>4734</v>
      </c>
      <c r="Y806" t="str">
        <f>mapPRC!A906</f>
        <v>UGASGRS-N</v>
      </c>
      <c r="Z806" t="str">
        <f>IFERROR(INDEX($AX$7:$AX$89,MATCH(mapPRC!C906,$AW$7:$AW$89,0)),"")</f>
        <v>imp</v>
      </c>
    </row>
    <row r="807" spans="3:26" x14ac:dyDescent="0.25">
      <c r="C807" t="s">
        <v>4726</v>
      </c>
      <c r="E807" t="s">
        <v>4735</v>
      </c>
      <c r="Y807" t="str">
        <f>mapPRC!A907</f>
        <v>UGTLGASIN-N</v>
      </c>
      <c r="Z807" t="str">
        <f>IFERROR(INDEX($AX$7:$AX$89,MATCH(mapPRC!C907,$AW$7:$AW$89,0)),"")</f>
        <v>petr</v>
      </c>
    </row>
    <row r="808" spans="3:26" x14ac:dyDescent="0.25">
      <c r="C808" t="s">
        <v>4727</v>
      </c>
      <c r="E808" t="s">
        <v>4736</v>
      </c>
      <c r="Y808" t="str">
        <f>mapPRC!A908</f>
        <v>UGTLGICCO-E</v>
      </c>
      <c r="Z808" t="str">
        <f>IFERROR(INDEX($AX$7:$AX$89,MATCH(mapPRC!C908,$AW$7:$AW$89,0)),"")</f>
        <v>petr</v>
      </c>
    </row>
    <row r="809" spans="3:26" x14ac:dyDescent="0.25">
      <c r="C809" t="s">
        <v>4728</v>
      </c>
      <c r="E809" t="s">
        <v>4737</v>
      </c>
      <c r="Y809" t="str">
        <f>mapPRC!A909</f>
        <v>UGTLGICCO-N</v>
      </c>
      <c r="Z809" t="str">
        <f>IFERROR(INDEX($AX$7:$AX$89,MATCH(mapPRC!C909,$AW$7:$AW$89,0)),"")</f>
        <v>petr</v>
      </c>
    </row>
    <row r="810" spans="3:26" x14ac:dyDescent="0.25">
      <c r="C810" t="s">
        <v>4729</v>
      </c>
      <c r="E810" t="s">
        <v>4738</v>
      </c>
      <c r="Y810" t="str">
        <f>mapPRC!A910</f>
        <v>UHETCLE-E</v>
      </c>
      <c r="Z810" t="str">
        <f>IFERROR(INDEX($AX$7:$AX$89,MATCH(mapPRC!C910,$AW$7:$AW$89,0)),"")</f>
        <v>petr</v>
      </c>
    </row>
    <row r="811" spans="3:26" x14ac:dyDescent="0.25">
      <c r="C811" t="s">
        <v>4730</v>
      </c>
      <c r="E811" t="s">
        <v>4739</v>
      </c>
      <c r="Y811" t="str">
        <f>mapPRC!A911</f>
        <v>UHETCLE-N</v>
      </c>
      <c r="Z811" t="str">
        <f>IFERROR(INDEX($AX$7:$AX$89,MATCH(mapPRC!C911,$AW$7:$AW$89,0)),"")</f>
        <v>petr</v>
      </c>
    </row>
    <row r="812" spans="3:26" x14ac:dyDescent="0.25">
      <c r="C812" t="s">
        <v>4731</v>
      </c>
      <c r="E812" t="s">
        <v>4740</v>
      </c>
      <c r="Y812" t="str">
        <f>mapPRC!A912</f>
        <v>UINDSCOA1-N</v>
      </c>
      <c r="Z812" t="str">
        <f>IFERROR(INDEX($AX$7:$AX$89,MATCH(mapPRC!C912,$AW$7:$AW$89,0)),"")</f>
        <v/>
      </c>
    </row>
    <row r="813" spans="3:26" x14ac:dyDescent="0.25">
      <c r="C813" t="s">
        <v>4732</v>
      </c>
      <c r="E813" t="s">
        <v>4741</v>
      </c>
      <c r="Y813" t="str">
        <f>mapPRC!A913</f>
        <v>UINDSGAS1-N</v>
      </c>
      <c r="Z813" t="str">
        <f>IFERROR(INDEX($AX$7:$AX$89,MATCH(mapPRC!C913,$AW$7:$AW$89,0)),"")</f>
        <v/>
      </c>
    </row>
    <row r="814" spans="3:26" x14ac:dyDescent="0.25">
      <c r="C814" t="s">
        <v>4733</v>
      </c>
      <c r="E814" t="s">
        <v>4742</v>
      </c>
      <c r="Y814" t="str">
        <f>mapPRC!A914</f>
        <v>ULGTGRLFSRU-N</v>
      </c>
      <c r="Z814" t="str">
        <f>IFERROR(INDEX($AX$7:$AX$89,MATCH(mapPRC!C914,$AW$7:$AW$89,0)),"")</f>
        <v>imp</v>
      </c>
    </row>
    <row r="815" spans="3:26" x14ac:dyDescent="0.25">
      <c r="C815" t="s">
        <v>4734</v>
      </c>
      <c r="E815" t="s">
        <v>4743</v>
      </c>
      <c r="Y815" t="str">
        <f>mapPRC!A915</f>
        <v>ULGTGRL-N</v>
      </c>
      <c r="Z815" t="str">
        <f>IFERROR(INDEX($AX$7:$AX$89,MATCH(mapPRC!C915,$AW$7:$AW$89,0)),"")</f>
        <v>imp</v>
      </c>
    </row>
    <row r="816" spans="3:26" x14ac:dyDescent="0.25">
      <c r="C816" t="s">
        <v>4735</v>
      </c>
      <c r="E816" t="s">
        <v>4744</v>
      </c>
      <c r="Y816" t="str">
        <f>mapPRC!A916</f>
        <v>UREFOCRCA-E</v>
      </c>
      <c r="Z816" t="str">
        <f>IFERROR(INDEX($AX$7:$AX$89,MATCH(mapPRC!C916,$AW$7:$AW$89,0)),"")</f>
        <v>petr</v>
      </c>
    </row>
    <row r="817" spans="3:26" x14ac:dyDescent="0.25">
      <c r="C817" t="s">
        <v>4736</v>
      </c>
      <c r="E817" t="s">
        <v>4745</v>
      </c>
      <c r="Y817" t="str">
        <f>mapPRC!A917</f>
        <v>UREFOCRCO-E</v>
      </c>
      <c r="Z817" t="str">
        <f>IFERROR(INDEX($AX$7:$AX$89,MATCH(mapPRC!C917,$AW$7:$AW$89,0)),"")</f>
        <v>petr</v>
      </c>
    </row>
    <row r="818" spans="3:26" x14ac:dyDescent="0.25">
      <c r="C818" t="s">
        <v>4737</v>
      </c>
      <c r="E818" t="s">
        <v>4746</v>
      </c>
      <c r="Y818" t="str">
        <f>mapPRC!A918</f>
        <v>UREFOCRCO-N</v>
      </c>
      <c r="Z818" t="str">
        <f>IFERROR(INDEX($AX$7:$AX$89,MATCH(mapPRC!C918,$AW$7:$AW$89,0)),"")</f>
        <v>petr</v>
      </c>
    </row>
    <row r="819" spans="3:26" x14ac:dyDescent="0.25">
      <c r="C819" t="s">
        <v>4738</v>
      </c>
      <c r="E819" t="s">
        <v>4747</v>
      </c>
      <c r="Y819" t="str">
        <f>mapPRC!A919</f>
        <v>UREFOCRIN-E</v>
      </c>
      <c r="Z819" t="str">
        <f>IFERROR(INDEX($AX$7:$AX$89,MATCH(mapPRC!C919,$AW$7:$AW$89,0)),"")</f>
        <v>petr</v>
      </c>
    </row>
    <row r="820" spans="3:26" x14ac:dyDescent="0.25">
      <c r="C820" t="s">
        <v>4739</v>
      </c>
      <c r="E820" t="s">
        <v>4748</v>
      </c>
      <c r="Y820" t="str">
        <f>mapPRC!A920</f>
        <v>USMRGASHGN</v>
      </c>
      <c r="Z820" t="str">
        <f>IFERROR(INDEX($AX$7:$AX$89,MATCH(mapPRC!C920,$AW$7:$AW$89,0)),"")</f>
        <v>hydr</v>
      </c>
    </row>
    <row r="821" spans="3:26" x14ac:dyDescent="0.25">
      <c r="C821" t="s">
        <v>4740</v>
      </c>
      <c r="E821" t="s">
        <v>4749</v>
      </c>
      <c r="Y821" t="str">
        <f>mapPRC!A921</f>
        <v>USMRGICHGN</v>
      </c>
      <c r="Z821" t="str">
        <f>IFERROR(INDEX($AX$7:$AX$89,MATCH(mapPRC!C921,$AW$7:$AW$89,0)),"")</f>
        <v>hydr</v>
      </c>
    </row>
    <row r="822" spans="3:26" x14ac:dyDescent="0.25">
      <c r="C822" t="s">
        <v>4741</v>
      </c>
      <c r="E822" t="s">
        <v>4750</v>
      </c>
      <c r="Y822" t="str">
        <f>mapPRC!A922</f>
        <v>UTRNGIMGAS</v>
      </c>
      <c r="Z822" t="str">
        <f>IFERROR(INDEX($AX$7:$AX$89,MATCH(mapPRC!C922,$AW$7:$AW$89,0)),"")</f>
        <v/>
      </c>
    </row>
    <row r="823" spans="3:26" x14ac:dyDescent="0.25">
      <c r="C823" t="s">
        <v>4742</v>
      </c>
      <c r="E823" t="s">
        <v>4751</v>
      </c>
      <c r="Y823" t="str">
        <f>mapPRC!A923</f>
        <v>UXCWCME</v>
      </c>
      <c r="Z823" t="str">
        <f>IFERROR(INDEX($AX$7:$AX$89,MATCH(mapPRC!C923,$AW$7:$AW$89,0)),"")</f>
        <v/>
      </c>
    </row>
    <row r="824" spans="3:26" x14ac:dyDescent="0.25">
      <c r="C824" t="s">
        <v>4743</v>
      </c>
      <c r="E824" t="s">
        <v>4752</v>
      </c>
      <c r="Y824" t="str">
        <f>mapPRC!A924</f>
        <v>UXCWCOA</v>
      </c>
      <c r="Z824" t="str">
        <f>IFERROR(INDEX($AX$7:$AX$89,MATCH(mapPRC!C924,$AW$7:$AW$89,0)),"")</f>
        <v/>
      </c>
    </row>
    <row r="825" spans="3:26" x14ac:dyDescent="0.25">
      <c r="C825" t="s">
        <v>4744</v>
      </c>
      <c r="E825" t="s">
        <v>4753</v>
      </c>
      <c r="Y825" t="str">
        <f>mapPRC!A925</f>
        <v>UXLE2-AB</v>
      </c>
      <c r="Z825" t="str">
        <f>IFERROR(INDEX($AX$7:$AX$89,MATCH(mapPRC!C925,$AW$7:$AW$89,0)),"")</f>
        <v/>
      </c>
    </row>
    <row r="826" spans="3:26" x14ac:dyDescent="0.25">
      <c r="C826" t="s">
        <v>4745</v>
      </c>
      <c r="E826" t="s">
        <v>4754</v>
      </c>
      <c r="Y826" t="str">
        <f>mapPRC!A926</f>
        <v>UXLE-AB</v>
      </c>
      <c r="Z826" t="str">
        <f>IFERROR(INDEX($AX$7:$AX$89,MATCH(mapPRC!C926,$AW$7:$AW$89,0)),"")</f>
        <v/>
      </c>
    </row>
    <row r="827" spans="3:26" x14ac:dyDescent="0.25">
      <c r="C827" t="s">
        <v>4746</v>
      </c>
      <c r="E827" t="s">
        <v>4755</v>
      </c>
      <c r="Y827" t="str">
        <f>mapPRC!A927</f>
        <v>UXLE-BR</v>
      </c>
      <c r="Z827" t="str">
        <f>IFERROR(INDEX($AX$7:$AX$89,MATCH(mapPRC!C927,$AW$7:$AW$89,0)),"")</f>
        <v/>
      </c>
    </row>
    <row r="828" spans="3:26" x14ac:dyDescent="0.25">
      <c r="C828" t="s">
        <v>4747</v>
      </c>
      <c r="E828" t="s">
        <v>4756</v>
      </c>
      <c r="Y828" t="str">
        <f>mapPRC!A928</f>
        <v>XAGRBIO</v>
      </c>
      <c r="Z828" t="str">
        <f>IFERROR(INDEX($AX$7:$AX$89,MATCH(mapPRC!C928,$AW$7:$AW$89,0)),"")</f>
        <v/>
      </c>
    </row>
    <row r="829" spans="3:26" x14ac:dyDescent="0.25">
      <c r="C829" t="s">
        <v>4748</v>
      </c>
      <c r="E829" t="s">
        <v>4757</v>
      </c>
      <c r="Y829" t="str">
        <f>mapPRC!A929</f>
        <v>XAGRCOA</v>
      </c>
      <c r="Z829" t="str">
        <f>IFERROR(INDEX($AX$7:$AX$89,MATCH(mapPRC!C929,$AW$7:$AW$89,0)),"")</f>
        <v/>
      </c>
    </row>
    <row r="830" spans="3:26" x14ac:dyDescent="0.25">
      <c r="C830" t="s">
        <v>4749</v>
      </c>
      <c r="E830" t="s">
        <v>4758</v>
      </c>
      <c r="Y830" t="str">
        <f>mapPRC!A930</f>
        <v>XAGRELC</v>
      </c>
      <c r="Z830" t="str">
        <f>IFERROR(INDEX($AX$7:$AX$89,MATCH(mapPRC!C930,$AW$7:$AW$89,0)),"")</f>
        <v>elec</v>
      </c>
    </row>
    <row r="831" spans="3:26" x14ac:dyDescent="0.25">
      <c r="C831" t="s">
        <v>4750</v>
      </c>
      <c r="E831" t="s">
        <v>4759</v>
      </c>
      <c r="Y831" t="str">
        <f>mapPRC!A931</f>
        <v>XAGRODS</v>
      </c>
      <c r="Z831" t="str">
        <f>IFERROR(INDEX($AX$7:$AX$89,MATCH(mapPRC!C931,$AW$7:$AW$89,0)),"")</f>
        <v/>
      </c>
    </row>
    <row r="832" spans="3:26" x14ac:dyDescent="0.25">
      <c r="C832" t="s">
        <v>4751</v>
      </c>
      <c r="E832" t="s">
        <v>4760</v>
      </c>
      <c r="Y832" t="str">
        <f>mapPRC!A932</f>
        <v>XAGROGS</v>
      </c>
      <c r="Z832" t="str">
        <f>IFERROR(INDEX($AX$7:$AX$89,MATCH(mapPRC!C932,$AW$7:$AW$89,0)),"")</f>
        <v/>
      </c>
    </row>
    <row r="833" spans="3:26" x14ac:dyDescent="0.25">
      <c r="C833" t="s">
        <v>4752</v>
      </c>
      <c r="E833" t="s">
        <v>4761</v>
      </c>
      <c r="Y833" t="str">
        <f>mapPRC!A933</f>
        <v>XAGROHF</v>
      </c>
      <c r="Z833" t="str">
        <f>IFERROR(INDEX($AX$7:$AX$89,MATCH(mapPRC!C933,$AW$7:$AW$89,0)),"")</f>
        <v/>
      </c>
    </row>
    <row r="834" spans="3:26" x14ac:dyDescent="0.25">
      <c r="C834" t="s">
        <v>4753</v>
      </c>
      <c r="E834" t="s">
        <v>4762</v>
      </c>
      <c r="Y834" t="str">
        <f>mapPRC!A934</f>
        <v>XAGROKE</v>
      </c>
      <c r="Z834" t="str">
        <f>IFERROR(INDEX($AX$7:$AX$89,MATCH(mapPRC!C934,$AW$7:$AW$89,0)),"")</f>
        <v/>
      </c>
    </row>
    <row r="835" spans="3:26" x14ac:dyDescent="0.25">
      <c r="C835" t="s">
        <v>4754</v>
      </c>
      <c r="E835" t="s">
        <v>4763</v>
      </c>
      <c r="Y835" t="str">
        <f>mapPRC!A935</f>
        <v>XAGROLP</v>
      </c>
      <c r="Z835" t="str">
        <f>IFERROR(INDEX($AX$7:$AX$89,MATCH(mapPRC!C935,$AW$7:$AW$89,0)),"")</f>
        <v/>
      </c>
    </row>
    <row r="836" spans="3:26" x14ac:dyDescent="0.25">
      <c r="C836" t="s">
        <v>4755</v>
      </c>
      <c r="E836" t="s">
        <v>4764</v>
      </c>
      <c r="Y836" t="str">
        <f>mapPRC!A936</f>
        <v>XCHPELC</v>
      </c>
      <c r="Z836" t="str">
        <f>IFERROR(INDEX($AX$7:$AX$89,MATCH(mapPRC!C936,$AW$7:$AW$89,0)),"")</f>
        <v/>
      </c>
    </row>
    <row r="837" spans="3:26" x14ac:dyDescent="0.25">
      <c r="C837" t="s">
        <v>4756</v>
      </c>
      <c r="E837" t="s">
        <v>4765</v>
      </c>
      <c r="Y837" t="str">
        <f>mapPRC!A937</f>
        <v>XCO2TRANSPORT</v>
      </c>
      <c r="Z837" t="str">
        <f>IFERROR(INDEX($AX$7:$AX$89,MATCH(mapPRC!C937,$AW$7:$AW$89,0)),"")</f>
        <v/>
      </c>
    </row>
    <row r="838" spans="3:26" x14ac:dyDescent="0.25">
      <c r="C838" t="s">
        <v>4757</v>
      </c>
      <c r="E838" t="s">
        <v>4766</v>
      </c>
      <c r="Y838" t="str">
        <f>mapPRC!A938</f>
        <v>XCOMCOA</v>
      </c>
      <c r="Z838" t="str">
        <f>IFERROR(INDEX($AX$7:$AX$89,MATCH(mapPRC!C938,$AW$7:$AW$89,0)),"")</f>
        <v/>
      </c>
    </row>
    <row r="839" spans="3:26" x14ac:dyDescent="0.25">
      <c r="C839" t="s">
        <v>4758</v>
      </c>
      <c r="E839" t="s">
        <v>4767</v>
      </c>
      <c r="Y839" t="str">
        <f>mapPRC!A939</f>
        <v>XCOMELC</v>
      </c>
      <c r="Z839" t="str">
        <f>IFERROR(INDEX($AX$7:$AX$89,MATCH(mapPRC!C939,$AW$7:$AW$89,0)),"")</f>
        <v>elec</v>
      </c>
    </row>
    <row r="840" spans="3:26" x14ac:dyDescent="0.25">
      <c r="C840" t="s">
        <v>4759</v>
      </c>
      <c r="E840" t="s">
        <v>4768</v>
      </c>
      <c r="Y840" t="str">
        <f>mapPRC!A940</f>
        <v>XCOMGAS</v>
      </c>
      <c r="Z840" t="str">
        <f>IFERROR(INDEX($AX$7:$AX$89,MATCH(mapPRC!C940,$AW$7:$AW$89,0)),"")</f>
        <v/>
      </c>
    </row>
    <row r="841" spans="3:26" x14ac:dyDescent="0.25">
      <c r="C841" t="s">
        <v>4760</v>
      </c>
      <c r="E841" t="s">
        <v>4769</v>
      </c>
      <c r="Y841" t="str">
        <f>mapPRC!A941</f>
        <v>XCOMODS</v>
      </c>
      <c r="Z841" t="str">
        <f>IFERROR(INDEX($AX$7:$AX$89,MATCH(mapPRC!C941,$AW$7:$AW$89,0)),"")</f>
        <v/>
      </c>
    </row>
    <row r="842" spans="3:26" x14ac:dyDescent="0.25">
      <c r="C842" t="s">
        <v>4761</v>
      </c>
      <c r="E842" t="s">
        <v>4770</v>
      </c>
      <c r="Y842" t="str">
        <f>mapPRC!A942</f>
        <v>XCOMOGS</v>
      </c>
      <c r="Z842" t="str">
        <f>IFERROR(INDEX($AX$7:$AX$89,MATCH(mapPRC!C942,$AW$7:$AW$89,0)),"")</f>
        <v/>
      </c>
    </row>
    <row r="843" spans="3:26" x14ac:dyDescent="0.25">
      <c r="C843" t="s">
        <v>4762</v>
      </c>
      <c r="E843" t="s">
        <v>4771</v>
      </c>
      <c r="Y843" t="str">
        <f>mapPRC!A943</f>
        <v>XCOMOHF</v>
      </c>
      <c r="Z843" t="str">
        <f>IFERROR(INDEX($AX$7:$AX$89,MATCH(mapPRC!C943,$AW$7:$AW$89,0)),"")</f>
        <v/>
      </c>
    </row>
    <row r="844" spans="3:26" x14ac:dyDescent="0.25">
      <c r="C844" t="s">
        <v>4763</v>
      </c>
      <c r="E844" t="s">
        <v>4772</v>
      </c>
      <c r="Y844" t="str">
        <f>mapPRC!A944</f>
        <v>XCOMOKE</v>
      </c>
      <c r="Z844" t="str">
        <f>IFERROR(INDEX($AX$7:$AX$89,MATCH(mapPRC!C944,$AW$7:$AW$89,0)),"")</f>
        <v/>
      </c>
    </row>
    <row r="845" spans="3:26" x14ac:dyDescent="0.25">
      <c r="C845" t="s">
        <v>4764</v>
      </c>
      <c r="E845" t="s">
        <v>4773</v>
      </c>
      <c r="Y845" t="str">
        <f>mapPRC!A945</f>
        <v>XCOMOLP</v>
      </c>
      <c r="Z845" t="str">
        <f>IFERROR(INDEX($AX$7:$AX$89,MATCH(mapPRC!C945,$AW$7:$AW$89,0)),"")</f>
        <v/>
      </c>
    </row>
    <row r="846" spans="3:26" x14ac:dyDescent="0.25">
      <c r="C846" t="s">
        <v>4765</v>
      </c>
      <c r="E846" t="s">
        <v>4774</v>
      </c>
      <c r="Y846" t="str">
        <f>mapPRC!A946</f>
        <v>XICPELC</v>
      </c>
      <c r="Z846" t="str">
        <f>IFERROR(INDEX($AX$7:$AX$89,MATCH(mapPRC!C946,$AW$7:$AW$89,0)),"")</f>
        <v>elec</v>
      </c>
    </row>
    <row r="847" spans="3:26" x14ac:dyDescent="0.25">
      <c r="C847" t="s">
        <v>4766</v>
      </c>
      <c r="E847" t="s">
        <v>4775</v>
      </c>
      <c r="Y847" t="str">
        <f>mapPRC!A947</f>
        <v>XICPGAS</v>
      </c>
      <c r="Z847" t="str">
        <f>IFERROR(INDEX($AX$7:$AX$89,MATCH(mapPRC!C947,$AW$7:$AW$89,0)),"")</f>
        <v/>
      </c>
    </row>
    <row r="848" spans="3:26" x14ac:dyDescent="0.25">
      <c r="C848" t="s">
        <v>4767</v>
      </c>
      <c r="E848" t="s">
        <v>4776</v>
      </c>
      <c r="Y848" t="str">
        <f>mapPRC!A948</f>
        <v>XIFAELC</v>
      </c>
      <c r="Z848" t="str">
        <f>IFERROR(INDEX($AX$7:$AX$89,MATCH(mapPRC!C948,$AW$7:$AW$89,0)),"")</f>
        <v>elec</v>
      </c>
    </row>
    <row r="849" spans="3:26" x14ac:dyDescent="0.25">
      <c r="C849" t="s">
        <v>4768</v>
      </c>
      <c r="E849" t="s">
        <v>4777</v>
      </c>
      <c r="Y849" t="str">
        <f>mapPRC!A949</f>
        <v>XIFAGAS</v>
      </c>
      <c r="Z849" t="str">
        <f>IFERROR(INDEX($AX$7:$AX$89,MATCH(mapPRC!C949,$AW$7:$AW$89,0)),"")</f>
        <v/>
      </c>
    </row>
    <row r="850" spans="3:26" x14ac:dyDescent="0.25">
      <c r="C850" t="s">
        <v>4769</v>
      </c>
      <c r="E850" t="s">
        <v>4778</v>
      </c>
      <c r="Y850" t="str">
        <f>mapPRC!A950</f>
        <v>XIFBELC</v>
      </c>
      <c r="Z850" t="str">
        <f>IFERROR(INDEX($AX$7:$AX$89,MATCH(mapPRC!C950,$AW$7:$AW$89,0)),"")</f>
        <v>elec</v>
      </c>
    </row>
    <row r="851" spans="3:26" x14ac:dyDescent="0.25">
      <c r="C851" t="s">
        <v>4770</v>
      </c>
      <c r="E851" t="s">
        <v>4779</v>
      </c>
      <c r="Y851" t="str">
        <f>mapPRC!A951</f>
        <v>XIFBGAS</v>
      </c>
      <c r="Z851" t="str">
        <f>IFERROR(INDEX($AX$7:$AX$89,MATCH(mapPRC!C951,$AW$7:$AW$89,0)),"")</f>
        <v/>
      </c>
    </row>
    <row r="852" spans="3:26" x14ac:dyDescent="0.25">
      <c r="C852" t="s">
        <v>4771</v>
      </c>
      <c r="E852" t="s">
        <v>4780</v>
      </c>
      <c r="Y852" t="str">
        <f>mapPRC!A952</f>
        <v>XIISBIO</v>
      </c>
      <c r="Z852" t="str">
        <f>IFERROR(INDEX($AX$7:$AX$89,MATCH(mapPRC!C952,$AW$7:$AW$89,0)),"")</f>
        <v/>
      </c>
    </row>
    <row r="853" spans="3:26" x14ac:dyDescent="0.25">
      <c r="C853" t="s">
        <v>4772</v>
      </c>
      <c r="E853" t="s">
        <v>4781</v>
      </c>
      <c r="Y853" t="str">
        <f>mapPRC!A953</f>
        <v>XIISCKC</v>
      </c>
      <c r="Z853" t="str">
        <f>IFERROR(INDEX($AX$7:$AX$89,MATCH(mapPRC!C953,$AW$7:$AW$89,0)),"")</f>
        <v/>
      </c>
    </row>
    <row r="854" spans="3:26" x14ac:dyDescent="0.25">
      <c r="C854" t="s">
        <v>4773</v>
      </c>
      <c r="E854" t="s">
        <v>4782</v>
      </c>
      <c r="Y854" t="str">
        <f>mapPRC!A954</f>
        <v>XIISCOA</v>
      </c>
      <c r="Z854" t="str">
        <f>IFERROR(INDEX($AX$7:$AX$89,MATCH(mapPRC!C954,$AW$7:$AW$89,0)),"")</f>
        <v/>
      </c>
    </row>
    <row r="855" spans="3:26" x14ac:dyDescent="0.25">
      <c r="C855" t="s">
        <v>4774</v>
      </c>
      <c r="E855" t="s">
        <v>4783</v>
      </c>
      <c r="Y855" t="str">
        <f>mapPRC!A955</f>
        <v>XIISELC</v>
      </c>
      <c r="Z855" t="str">
        <f>IFERROR(INDEX($AX$7:$AX$89,MATCH(mapPRC!C955,$AW$7:$AW$89,0)),"")</f>
        <v>elec</v>
      </c>
    </row>
    <row r="856" spans="3:26" x14ac:dyDescent="0.25">
      <c r="C856" t="s">
        <v>4775</v>
      </c>
      <c r="E856" t="s">
        <v>4784</v>
      </c>
      <c r="Y856" t="str">
        <f>mapPRC!A956</f>
        <v>XIISELCHY</v>
      </c>
      <c r="Z856" t="str">
        <f>IFERROR(INDEX($AX$7:$AX$89,MATCH(mapPRC!C956,$AW$7:$AW$89,0)),"")</f>
        <v/>
      </c>
    </row>
    <row r="857" spans="3:26" x14ac:dyDescent="0.25">
      <c r="C857" t="s">
        <v>4776</v>
      </c>
      <c r="E857" t="s">
        <v>4785</v>
      </c>
      <c r="Y857" t="str">
        <f>mapPRC!A957</f>
        <v>XIISGAS</v>
      </c>
      <c r="Z857" t="str">
        <f>IFERROR(INDEX($AX$7:$AX$89,MATCH(mapPRC!C957,$AW$7:$AW$89,0)),"")</f>
        <v/>
      </c>
    </row>
    <row r="858" spans="3:26" x14ac:dyDescent="0.25">
      <c r="C858" t="s">
        <v>4777</v>
      </c>
      <c r="E858" t="s">
        <v>4786</v>
      </c>
      <c r="Y858" t="str">
        <f>mapPRC!A958</f>
        <v>XIISOIL</v>
      </c>
      <c r="Z858" t="str">
        <f>IFERROR(INDEX($AX$7:$AX$89,MATCH(mapPRC!C958,$AW$7:$AW$89,0)),"")</f>
        <v/>
      </c>
    </row>
    <row r="859" spans="3:26" x14ac:dyDescent="0.25">
      <c r="C859" t="s">
        <v>4778</v>
      </c>
      <c r="E859" t="s">
        <v>4787</v>
      </c>
      <c r="Y859" t="str">
        <f>mapPRC!A959</f>
        <v>XIISOLP</v>
      </c>
      <c r="Z859" t="str">
        <f>IFERROR(INDEX($AX$7:$AX$89,MATCH(mapPRC!C959,$AW$7:$AW$89,0)),"")</f>
        <v/>
      </c>
    </row>
    <row r="860" spans="3:26" x14ac:dyDescent="0.25">
      <c r="C860" t="s">
        <v>4779</v>
      </c>
      <c r="E860" t="s">
        <v>4788</v>
      </c>
      <c r="Y860" t="str">
        <f>mapPRC!A960</f>
        <v>XIISSSC</v>
      </c>
      <c r="Z860" t="str">
        <f>IFERROR(INDEX($AX$7:$AX$89,MATCH(mapPRC!C960,$AW$7:$AW$89,0)),"")</f>
        <v/>
      </c>
    </row>
    <row r="861" spans="3:26" x14ac:dyDescent="0.25">
      <c r="C861" t="s">
        <v>4780</v>
      </c>
      <c r="E861" t="s">
        <v>4789</v>
      </c>
      <c r="Y861" t="str">
        <f>mapPRC!A961</f>
        <v>XIISWAS</v>
      </c>
      <c r="Z861" t="str">
        <f>IFERROR(INDEX($AX$7:$AX$89,MATCH(mapPRC!C961,$AW$7:$AW$89,0)),"")</f>
        <v/>
      </c>
    </row>
    <row r="862" spans="3:26" x14ac:dyDescent="0.25">
      <c r="C862" t="s">
        <v>4781</v>
      </c>
      <c r="E862" t="s">
        <v>4790</v>
      </c>
      <c r="Y862" t="str">
        <f>mapPRC!A962</f>
        <v>XIMIELC</v>
      </c>
      <c r="Z862" t="str">
        <f>IFERROR(INDEX($AX$7:$AX$89,MATCH(mapPRC!C962,$AW$7:$AW$89,0)),"")</f>
        <v>elec</v>
      </c>
    </row>
    <row r="863" spans="3:26" x14ac:dyDescent="0.25">
      <c r="C863" t="s">
        <v>4782</v>
      </c>
      <c r="E863" t="s">
        <v>4791</v>
      </c>
      <c r="Y863" t="str">
        <f>mapPRC!A963</f>
        <v>XIMIGAS</v>
      </c>
      <c r="Z863" t="str">
        <f>IFERROR(INDEX($AX$7:$AX$89,MATCH(mapPRC!C963,$AW$7:$AW$89,0)),"")</f>
        <v/>
      </c>
    </row>
    <row r="864" spans="3:26" x14ac:dyDescent="0.25">
      <c r="C864" t="s">
        <v>4783</v>
      </c>
      <c r="E864" t="s">
        <v>4792</v>
      </c>
      <c r="Y864" t="str">
        <f>mapPRC!A964</f>
        <v>XINDBIB</v>
      </c>
      <c r="Z864" t="str">
        <f>IFERROR(INDEX($AX$7:$AX$89,MATCH(mapPRC!C964,$AW$7:$AW$89,0)),"")</f>
        <v/>
      </c>
    </row>
    <row r="865" spans="3:26" x14ac:dyDescent="0.25">
      <c r="C865" t="s">
        <v>4784</v>
      </c>
      <c r="E865" t="s">
        <v>4793</v>
      </c>
      <c r="Y865" t="str">
        <f>mapPRC!A965</f>
        <v>XINDBIO</v>
      </c>
      <c r="Z865" t="str">
        <f>IFERROR(INDEX($AX$7:$AX$89,MATCH(mapPRC!C965,$AW$7:$AW$89,0)),"")</f>
        <v/>
      </c>
    </row>
    <row r="866" spans="3:26" x14ac:dyDescent="0.25">
      <c r="C866" t="s">
        <v>4785</v>
      </c>
      <c r="E866" t="s">
        <v>4794</v>
      </c>
      <c r="Y866" t="str">
        <f>mapPRC!A966</f>
        <v>XINDBIW</v>
      </c>
      <c r="Z866" t="str">
        <f>IFERROR(INDEX($AX$7:$AX$89,MATCH(mapPRC!C966,$AW$7:$AW$89,0)),"")</f>
        <v/>
      </c>
    </row>
    <row r="867" spans="3:26" x14ac:dyDescent="0.25">
      <c r="C867" t="s">
        <v>4786</v>
      </c>
      <c r="E867" t="s">
        <v>4795</v>
      </c>
      <c r="Y867" t="str">
        <f>mapPRC!A967</f>
        <v>XINDCLE</v>
      </c>
      <c r="Z867" t="str">
        <f>IFERROR(INDEX($AX$7:$AX$89,MATCH(mapPRC!C967,$AW$7:$AW$89,0)),"")</f>
        <v/>
      </c>
    </row>
    <row r="868" spans="3:26" x14ac:dyDescent="0.25">
      <c r="C868" t="s">
        <v>4787</v>
      </c>
      <c r="E868" t="s">
        <v>4796</v>
      </c>
      <c r="Y868" t="str">
        <f>mapPRC!A968</f>
        <v>XINDCMU</v>
      </c>
      <c r="Z868" t="str">
        <f>IFERROR(INDEX($AX$7:$AX$89,MATCH(mapPRC!C968,$AW$7:$AW$89,0)),"")</f>
        <v/>
      </c>
    </row>
    <row r="869" spans="3:26" x14ac:dyDescent="0.25">
      <c r="C869" t="s">
        <v>4788</v>
      </c>
      <c r="E869" t="s">
        <v>4797</v>
      </c>
      <c r="Y869" t="str">
        <f>mapPRC!A969</f>
        <v>XINDCOA</v>
      </c>
      <c r="Z869" t="str">
        <f>IFERROR(INDEX($AX$7:$AX$89,MATCH(mapPRC!C969,$AW$7:$AW$89,0)),"")</f>
        <v/>
      </c>
    </row>
    <row r="870" spans="3:26" x14ac:dyDescent="0.25">
      <c r="C870" t="s">
        <v>4789</v>
      </c>
      <c r="E870" t="s">
        <v>4798</v>
      </c>
      <c r="Y870" t="str">
        <f>mapPRC!A970</f>
        <v>XINDCOK</v>
      </c>
    </row>
    <row r="871" spans="3:26" x14ac:dyDescent="0.25">
      <c r="C871" t="s">
        <v>4790</v>
      </c>
      <c r="E871" t="s">
        <v>4799</v>
      </c>
      <c r="Y871" t="str">
        <f>mapPRC!A971</f>
        <v>XINDELC</v>
      </c>
    </row>
    <row r="872" spans="3:26" x14ac:dyDescent="0.25">
      <c r="C872" t="s">
        <v>4791</v>
      </c>
      <c r="E872" t="s">
        <v>4800</v>
      </c>
      <c r="Y872" t="str">
        <f>mapPRC!A972</f>
        <v>XINDELP</v>
      </c>
    </row>
    <row r="873" spans="3:26" x14ac:dyDescent="0.25">
      <c r="C873" t="s">
        <v>4792</v>
      </c>
      <c r="E873" t="s">
        <v>4801</v>
      </c>
      <c r="Y873" t="str">
        <f>mapPRC!A973</f>
        <v>XINDGAS</v>
      </c>
      <c r="Z873" t="str">
        <f>IFERROR(INDEX($AX$7:$AX$89,MATCH(mapPRC!C993,$AW$7:$AW$89,0)),"")</f>
        <v>elec</v>
      </c>
    </row>
    <row r="874" spans="3:26" x14ac:dyDescent="0.25">
      <c r="C874" t="s">
        <v>4793</v>
      </c>
      <c r="E874" t="s">
        <v>4802</v>
      </c>
      <c r="Y874" t="str">
        <f>mapPRC!A974</f>
        <v>XINDGMU</v>
      </c>
      <c r="Z874" t="str">
        <f>IFERROR(INDEX($AX$7:$AX$89,MATCH(mapPRC!C994,$AW$7:$AW$89,0)),"")</f>
        <v/>
      </c>
    </row>
    <row r="875" spans="3:26" x14ac:dyDescent="0.25">
      <c r="C875" t="s">
        <v>4794</v>
      </c>
      <c r="E875" t="s">
        <v>4803</v>
      </c>
      <c r="Y875" t="str">
        <f>mapPRC!A975</f>
        <v>XINDHGN</v>
      </c>
    </row>
    <row r="876" spans="3:26" x14ac:dyDescent="0.25">
      <c r="C876" t="s">
        <v>4795</v>
      </c>
      <c r="E876" t="s">
        <v>4804</v>
      </c>
      <c r="Y876" t="str">
        <f>mapPRC!A976</f>
        <v>XINDOMU</v>
      </c>
      <c r="Z876" t="str">
        <f>IFERROR(INDEX($AX$7:$AX$89,MATCH(mapPRC!C996,$AW$7:$AW$89,0)),"")</f>
        <v/>
      </c>
    </row>
    <row r="877" spans="3:26" x14ac:dyDescent="0.25">
      <c r="C877" t="s">
        <v>4796</v>
      </c>
      <c r="E877" t="s">
        <v>4805</v>
      </c>
      <c r="Y877" t="str">
        <f>mapPRC!A977</f>
        <v>XINDODS</v>
      </c>
      <c r="Z877" t="str">
        <f>IFERROR(INDEX($AX$7:$AX$89,MATCH(mapPRC!C998,$AW$7:$AW$89,0)),"")</f>
        <v/>
      </c>
    </row>
    <row r="878" spans="3:26" x14ac:dyDescent="0.25">
      <c r="C878" t="s">
        <v>4797</v>
      </c>
      <c r="E878" t="s">
        <v>4806</v>
      </c>
      <c r="Y878" t="str">
        <f>mapPRC!A978</f>
        <v>XINDOGS</v>
      </c>
      <c r="Z878" t="str">
        <f>IFERROR(INDEX($AX$7:$AX$89,MATCH(mapPRC!C999,$AW$7:$AW$89,0)),"")</f>
        <v>elec</v>
      </c>
    </row>
    <row r="879" spans="3:26" x14ac:dyDescent="0.25">
      <c r="C879" t="s">
        <v>4798</v>
      </c>
      <c r="E879" t="s">
        <v>4807</v>
      </c>
      <c r="Y879" t="str">
        <f>mapPRC!A979</f>
        <v>XINDOHF</v>
      </c>
      <c r="Z879" t="str">
        <f>IFERROR(INDEX($AX$7:$AX$89,MATCH(mapPRC!C1000,$AW$7:$AW$89,0)),"")</f>
        <v/>
      </c>
    </row>
    <row r="880" spans="3:26" x14ac:dyDescent="0.25">
      <c r="C880" t="s">
        <v>4799</v>
      </c>
      <c r="E880" t="s">
        <v>4808</v>
      </c>
      <c r="Y880" t="str">
        <f>mapPRC!A980</f>
        <v>XINDOLP</v>
      </c>
      <c r="Z880" t="str">
        <f>IFERROR(INDEX($AX$7:$AX$89,MATCH(mapPRC!C1001,$AW$7:$AW$89,0)),"")</f>
        <v/>
      </c>
    </row>
    <row r="881" spans="3:26" x14ac:dyDescent="0.25">
      <c r="C881" t="s">
        <v>4800</v>
      </c>
      <c r="E881" t="s">
        <v>4809</v>
      </c>
      <c r="Y881" t="str">
        <f>mapPRC!A981</f>
        <v>XINDWAS</v>
      </c>
      <c r="Z881" t="str">
        <f>IFERROR(INDEX($AX$7:$AX$89,MATCH(mapPRC!C1002,$AW$7:$AW$89,0)),"")</f>
        <v/>
      </c>
    </row>
    <row r="882" spans="3:26" x14ac:dyDescent="0.25">
      <c r="C882" t="s">
        <v>4801</v>
      </c>
      <c r="E882" t="s">
        <v>4810</v>
      </c>
      <c r="Y882" t="str">
        <f>mapPRC!A982</f>
        <v>XINDWMU</v>
      </c>
      <c r="Z882" t="str">
        <f>IFERROR(INDEX($AX$7:$AX$89,MATCH(mapPRC!C1003,$AW$7:$AW$89,0)),"")</f>
        <v/>
      </c>
    </row>
    <row r="883" spans="3:26" x14ac:dyDescent="0.25">
      <c r="C883" t="s">
        <v>4802</v>
      </c>
      <c r="E883" t="s">
        <v>4811</v>
      </c>
      <c r="Y883" t="str">
        <f>mapPRC!A983</f>
        <v>XINFELC</v>
      </c>
      <c r="Z883" t="str">
        <f>IFERROR(INDEX($AX$7:$AX$89,MATCH(mapPRC!C1004,$AW$7:$AW$89,0)),"")</f>
        <v/>
      </c>
    </row>
    <row r="884" spans="3:26" x14ac:dyDescent="0.25">
      <c r="C884" t="s">
        <v>4803</v>
      </c>
      <c r="E884" t="s">
        <v>4812</v>
      </c>
      <c r="Y884" t="str">
        <f>mapPRC!A984</f>
        <v>XINFGAS</v>
      </c>
      <c r="Z884" t="str">
        <f>IFERROR(INDEX($AX$7:$AX$89,MATCH(mapPRC!C1006,$AW$7:$AW$89,0)),"")</f>
        <v/>
      </c>
    </row>
    <row r="885" spans="3:26" x14ac:dyDescent="0.25">
      <c r="C885" t="s">
        <v>4804</v>
      </c>
      <c r="E885" t="s">
        <v>4813</v>
      </c>
      <c r="Y885" t="str">
        <f>mapPRC!A985</f>
        <v>XINMBIO</v>
      </c>
      <c r="Z885" t="str">
        <f>IFERROR(INDEX($AX$7:$AX$89,MATCH(mapPRC!C1008,$AW$7:$AW$89,0)),"")</f>
        <v/>
      </c>
    </row>
    <row r="886" spans="3:26" x14ac:dyDescent="0.25">
      <c r="C886" t="s">
        <v>4805</v>
      </c>
      <c r="E886" t="s">
        <v>4814</v>
      </c>
      <c r="Y886" t="str">
        <f>mapPRC!A986</f>
        <v>XINMCOA</v>
      </c>
      <c r="Z886" t="str">
        <f>IFERROR(INDEX($AX$7:$AX$89,MATCH(mapPRC!C1009,$AW$7:$AW$89,0)),"")</f>
        <v/>
      </c>
    </row>
    <row r="887" spans="3:26" x14ac:dyDescent="0.25">
      <c r="C887" t="s">
        <v>4806</v>
      </c>
      <c r="E887" t="s">
        <v>4815</v>
      </c>
      <c r="Y887" t="str">
        <f>mapPRC!A987</f>
        <v>XINMELC</v>
      </c>
      <c r="Z887" t="str">
        <f>IFERROR(INDEX($AX$7:$AX$89,MATCH(mapPRC!C1010,$AW$7:$AW$89,0)),"")</f>
        <v/>
      </c>
    </row>
    <row r="888" spans="3:26" x14ac:dyDescent="0.25">
      <c r="C888" t="s">
        <v>4807</v>
      </c>
      <c r="E888" t="s">
        <v>4816</v>
      </c>
      <c r="Y888" t="str">
        <f>mapPRC!A988</f>
        <v>XINMGAS</v>
      </c>
      <c r="Z888" t="str">
        <f>IFERROR(INDEX($AX$7:$AX$89,MATCH(mapPRC!C1011,$AW$7:$AW$89,0)),"")</f>
        <v/>
      </c>
    </row>
    <row r="889" spans="3:26" x14ac:dyDescent="0.25">
      <c r="C889" t="s">
        <v>4808</v>
      </c>
      <c r="E889" t="s">
        <v>4817</v>
      </c>
      <c r="Y889" t="str">
        <f>mapPRC!A989</f>
        <v>XINMOIL</v>
      </c>
      <c r="Z889" t="str">
        <f>IFERROR(INDEX($AX$7:$AX$89,MATCH(mapPRC!C1012,$AW$7:$AW$89,0)),"")</f>
        <v/>
      </c>
    </row>
    <row r="890" spans="3:26" x14ac:dyDescent="0.25">
      <c r="C890" t="s">
        <v>4809</v>
      </c>
      <c r="E890" t="s">
        <v>4818</v>
      </c>
      <c r="Y890" t="str">
        <f>mapPRC!A990</f>
        <v>XINMCLCOA</v>
      </c>
      <c r="Z890" t="str">
        <f>IFERROR(INDEX($AX$7:$AX$89,MATCH(mapPRC!C1013,$AW$7:$AW$89,0)),"")</f>
        <v/>
      </c>
    </row>
    <row r="891" spans="3:26" x14ac:dyDescent="0.25">
      <c r="C891" t="s">
        <v>4810</v>
      </c>
      <c r="E891" t="s">
        <v>4819</v>
      </c>
      <c r="Y891" t="str">
        <f>mapPRC!A991</f>
        <v>XINMCLGAS</v>
      </c>
      <c r="Z891" t="str">
        <f>IFERROR(INDEX($AX$7:$AX$89,MATCH(mapPRC!C1014,$AW$7:$AW$89,0)),"")</f>
        <v/>
      </c>
    </row>
    <row r="892" spans="3:26" x14ac:dyDescent="0.25">
      <c r="C892" t="s">
        <v>4811</v>
      </c>
      <c r="E892" t="s">
        <v>4820</v>
      </c>
      <c r="Y892" t="str">
        <f>mapPRC!A992</f>
        <v>XINMCLOIL</v>
      </c>
      <c r="Z892" t="str">
        <f>IFERROR(INDEX($AX$7:$AX$89,MATCH(mapPRC!C1015,$AW$7:$AW$89,0)),"")</f>
        <v/>
      </c>
    </row>
    <row r="893" spans="3:26" x14ac:dyDescent="0.25">
      <c r="C893" t="s">
        <v>4812</v>
      </c>
      <c r="E893" t="s">
        <v>4821</v>
      </c>
      <c r="Y893" t="str">
        <f>mapPRC!A993</f>
        <v>XIOTELC</v>
      </c>
      <c r="Z893" t="str">
        <f>IFERROR(INDEX($AX$7:$AX$89,MATCH(mapPRC!C1016,$AW$7:$AW$89,0)),"")</f>
        <v/>
      </c>
    </row>
    <row r="894" spans="3:26" x14ac:dyDescent="0.25">
      <c r="C894" t="s">
        <v>4813</v>
      </c>
      <c r="E894" t="s">
        <v>4822</v>
      </c>
      <c r="Y894" t="str">
        <f>mapPRC!A994</f>
        <v>XIOTGAS</v>
      </c>
      <c r="Z894" t="str">
        <f>IFERROR(INDEX($AX$7:$AX$89,MATCH(mapPRC!C1017,$AW$7:$AW$89,0)),"")</f>
        <v/>
      </c>
    </row>
    <row r="895" spans="3:26" x14ac:dyDescent="0.25">
      <c r="C895" t="s">
        <v>4814</v>
      </c>
      <c r="E895" t="s">
        <v>4823</v>
      </c>
      <c r="Y895" t="str">
        <f>mapPRC!A995</f>
        <v>XIPGM</v>
      </c>
      <c r="Z895" t="str">
        <f>IFERROR(INDEX($AX$7:$AX$89,MATCH(mapPRC!C1018,$AW$7:$AW$89,0)),"")</f>
        <v/>
      </c>
    </row>
    <row r="896" spans="3:26" x14ac:dyDescent="0.25">
      <c r="C896" t="s">
        <v>4815</v>
      </c>
      <c r="E896" t="s">
        <v>4824</v>
      </c>
      <c r="Y896" t="str">
        <f>mapPRC!A996</f>
        <v>XIPPBIB</v>
      </c>
      <c r="Z896" t="str">
        <f>IFERROR(INDEX($AX$7:$AX$89,MATCH(mapPRC!C1019,$AW$7:$AW$89,0)),"")</f>
        <v/>
      </c>
    </row>
    <row r="897" spans="3:26" x14ac:dyDescent="0.25">
      <c r="C897" t="s">
        <v>4816</v>
      </c>
      <c r="E897" t="s">
        <v>4825</v>
      </c>
      <c r="Y897" t="str">
        <f>mapPRC!A997</f>
        <v>XIPPBIO</v>
      </c>
      <c r="Z897" t="str">
        <f>IFERROR(INDEX($AX$7:$AX$89,MATCH(mapPRC!C1020,$AW$7:$AW$89,0)),"")</f>
        <v/>
      </c>
    </row>
    <row r="898" spans="3:26" x14ac:dyDescent="0.25">
      <c r="C898" t="s">
        <v>4817</v>
      </c>
      <c r="E898" t="s">
        <v>4826</v>
      </c>
      <c r="Y898" t="str">
        <f>mapPRC!A998</f>
        <v>XIPPCOA</v>
      </c>
      <c r="Z898" t="str">
        <f>IFERROR(INDEX($AX$7:$AX$89,MATCH(mapPRC!C1021,$AW$7:$AW$89,0)),"")</f>
        <v/>
      </c>
    </row>
    <row r="899" spans="3:26" x14ac:dyDescent="0.25">
      <c r="C899" t="s">
        <v>4818</v>
      </c>
      <c r="E899" t="s">
        <v>4827</v>
      </c>
      <c r="Y899" t="str">
        <f>mapPRC!A999</f>
        <v>XIPPELC</v>
      </c>
      <c r="Z899" t="str">
        <f>IFERROR(INDEX($AX$7:$AX$89,MATCH(mapPRC!C1022,$AW$7:$AW$89,0)),"")</f>
        <v/>
      </c>
    </row>
    <row r="900" spans="3:26" x14ac:dyDescent="0.25">
      <c r="C900" t="s">
        <v>4819</v>
      </c>
      <c r="E900" t="s">
        <v>4828</v>
      </c>
      <c r="Y900" t="str">
        <f>mapPRC!A1000</f>
        <v>XIPPGAS</v>
      </c>
      <c r="Z900" t="str">
        <f>IFERROR(INDEX($AX$7:$AX$89,MATCH(mapPRC!C1023,$AW$7:$AW$89,0)),"")</f>
        <v/>
      </c>
    </row>
    <row r="901" spans="3:26" x14ac:dyDescent="0.25">
      <c r="C901" t="s">
        <v>4820</v>
      </c>
      <c r="E901" t="s">
        <v>4829</v>
      </c>
      <c r="Y901" t="str">
        <f>mapPRC!A1001</f>
        <v>XIPPODS</v>
      </c>
      <c r="Z901" t="str">
        <f>IFERROR(INDEX($AX$7:$AX$89,MATCH(mapPRC!C1024,$AW$7:$AW$89,0)),"")</f>
        <v/>
      </c>
    </row>
    <row r="902" spans="3:26" x14ac:dyDescent="0.25">
      <c r="C902" t="s">
        <v>4821</v>
      </c>
      <c r="E902" t="s">
        <v>4830</v>
      </c>
      <c r="Y902" t="str">
        <f>mapPRC!A1002</f>
        <v>XIPPOGS</v>
      </c>
      <c r="Z902" t="str">
        <f>IFERROR(INDEX($AX$7:$AX$89,MATCH(mapPRC!C1025,$AW$7:$AW$89,0)),"")</f>
        <v/>
      </c>
    </row>
    <row r="903" spans="3:26" x14ac:dyDescent="0.25">
      <c r="C903" t="s">
        <v>4822</v>
      </c>
      <c r="E903" t="s">
        <v>4831</v>
      </c>
      <c r="Y903" t="str">
        <f>mapPRC!A1003</f>
        <v>XIPPOHF</v>
      </c>
      <c r="Z903" t="str">
        <f>IFERROR(INDEX($AX$7:$AX$89,MATCH(mapPRC!C1026,$AW$7:$AW$89,0)),"")</f>
        <v/>
      </c>
    </row>
    <row r="904" spans="3:26" x14ac:dyDescent="0.25">
      <c r="C904" t="s">
        <v>4823</v>
      </c>
      <c r="E904" t="s">
        <v>4832</v>
      </c>
      <c r="Y904" t="str">
        <f>mapPRC!A1004</f>
        <v>XIPPOLP</v>
      </c>
      <c r="Z904" t="str">
        <f>IFERROR(INDEX($AX$7:$AX$89,MATCH(mapPRC!C1027,$AW$7:$AW$89,0)),"")</f>
        <v/>
      </c>
    </row>
    <row r="905" spans="3:26" x14ac:dyDescent="0.25">
      <c r="C905" t="s">
        <v>4824</v>
      </c>
      <c r="E905" t="s">
        <v>4833</v>
      </c>
      <c r="Y905" t="str">
        <f>mapPRC!A1005</f>
        <v>XIPPOTH</v>
      </c>
      <c r="Z905" t="str">
        <f>IFERROR(INDEX($AX$7:$AX$89,MATCH(mapPRC!C1028,$AW$7:$AW$89,0)),"")</f>
        <v/>
      </c>
    </row>
    <row r="906" spans="3:26" x14ac:dyDescent="0.25">
      <c r="C906" t="s">
        <v>4825</v>
      </c>
      <c r="E906" t="s">
        <v>4834</v>
      </c>
      <c r="Y906" t="str">
        <f>mapPRC!A1006</f>
        <v>XIPPREC</v>
      </c>
      <c r="Z906" t="str">
        <f>IFERROR(INDEX($AX$7:$AX$89,MATCH(mapPRC!C1029,$AW$7:$AW$89,0)),"")</f>
        <v/>
      </c>
    </row>
    <row r="907" spans="3:26" x14ac:dyDescent="0.25">
      <c r="C907" t="s">
        <v>4826</v>
      </c>
      <c r="E907" t="s">
        <v>4835</v>
      </c>
      <c r="Y907" t="str">
        <f>mapPRC!A1007</f>
        <v>XOKGOKE</v>
      </c>
      <c r="Z907" t="str">
        <f>IFERROR(INDEX($AX$7:$AX$89,MATCH(mapPRC!C1030,$AW$7:$AW$89,0)),"")</f>
        <v/>
      </c>
    </row>
    <row r="908" spans="3:26" x14ac:dyDescent="0.25">
      <c r="C908" t="s">
        <v>4827</v>
      </c>
      <c r="E908" t="s">
        <v>4836</v>
      </c>
      <c r="Y908" t="str">
        <f>mapPRC!A1008</f>
        <v>XPWRBIB</v>
      </c>
      <c r="Z908" t="str">
        <f>IFERROR(INDEX($AX$7:$AX$89,MATCH(mapPRC!C1031,$AW$7:$AW$89,0)),"")</f>
        <v/>
      </c>
    </row>
    <row r="909" spans="3:26" x14ac:dyDescent="0.25">
      <c r="C909" t="s">
        <v>4828</v>
      </c>
      <c r="E909" t="s">
        <v>4837</v>
      </c>
      <c r="Y909" t="str">
        <f>mapPRC!A1009</f>
        <v>XPWRBIG</v>
      </c>
      <c r="Z909" t="str">
        <f>IFERROR(INDEX($AX$7:$AX$89,MATCH(mapPRC!C1032,$AW$7:$AW$89,0)),"")</f>
        <v/>
      </c>
    </row>
    <row r="910" spans="3:26" x14ac:dyDescent="0.25">
      <c r="C910" t="s">
        <v>4829</v>
      </c>
      <c r="E910" t="s">
        <v>4838</v>
      </c>
      <c r="Y910" t="str">
        <f>mapPRC!A1010</f>
        <v>XPWRBIO</v>
      </c>
      <c r="Z910" t="str">
        <f>IFERROR(INDEX($AX$7:$AX$89,MATCH(mapPRC!C1033,$AW$7:$AW$89,0)),"")</f>
        <v/>
      </c>
    </row>
    <row r="911" spans="3:26" x14ac:dyDescent="0.25">
      <c r="C911" t="s">
        <v>4830</v>
      </c>
      <c r="E911" t="s">
        <v>4839</v>
      </c>
      <c r="Y911" t="str">
        <f>mapPRC!A1011</f>
        <v>XPWRBIW</v>
      </c>
      <c r="Z911" t="str">
        <f>IFERROR(INDEX($AX$7:$AX$89,MATCH(mapPRC!C1034,$AW$7:$AW$89,0)),"")</f>
        <v>elec</v>
      </c>
    </row>
    <row r="912" spans="3:26" x14ac:dyDescent="0.25">
      <c r="C912" t="s">
        <v>4831</v>
      </c>
      <c r="E912" t="s">
        <v>4840</v>
      </c>
      <c r="Y912" t="str">
        <f>mapPRC!A1012</f>
        <v>XPWRCLD</v>
      </c>
      <c r="Z912" t="str">
        <f>IFERROR(INDEX($AX$7:$AX$89,MATCH(mapPRC!C1035,$AW$7:$AW$89,0)),"")</f>
        <v/>
      </c>
    </row>
    <row r="913" spans="3:26" x14ac:dyDescent="0.25">
      <c r="C913" t="s">
        <v>4832</v>
      </c>
      <c r="E913" t="s">
        <v>4841</v>
      </c>
      <c r="Y913" t="str">
        <f>mapPRC!A1013</f>
        <v>XPWRCLE</v>
      </c>
      <c r="Z913" t="str">
        <f>IFERROR(INDEX($AX$7:$AX$89,MATCH(mapPRC!C1036,$AW$7:$AW$89,0)),"")</f>
        <v/>
      </c>
    </row>
    <row r="914" spans="3:26" x14ac:dyDescent="0.25">
      <c r="C914" t="s">
        <v>4833</v>
      </c>
      <c r="E914" t="s">
        <v>4842</v>
      </c>
      <c r="Y914" t="str">
        <f>mapPRC!A1014</f>
        <v>XPWRCLE-A</v>
      </c>
      <c r="Z914" t="str">
        <f>IFERROR(INDEX($AX$7:$AX$89,MATCH(mapPRC!C1037,$AW$7:$AW$89,0)),"")</f>
        <v/>
      </c>
    </row>
    <row r="915" spans="3:26" x14ac:dyDescent="0.25">
      <c r="C915" t="s">
        <v>4834</v>
      </c>
      <c r="E915" t="s">
        <v>4843</v>
      </c>
      <c r="Y915" t="str">
        <f>mapPRC!A1015</f>
        <v>XPWRCLEC</v>
      </c>
      <c r="Z915" t="str">
        <f>IFERROR(INDEX($AX$7:$AX$89,MATCH(mapPRC!C1038,$AW$7:$AW$89,0)),"")</f>
        <v/>
      </c>
    </row>
    <row r="916" spans="3:26" x14ac:dyDescent="0.25">
      <c r="C916" t="s">
        <v>4835</v>
      </c>
      <c r="E916" t="s">
        <v>4844</v>
      </c>
      <c r="Y916" t="str">
        <f>mapPRC!A1016</f>
        <v>XPWRCLEC-A</v>
      </c>
      <c r="Z916" t="str">
        <f>IFERROR(INDEX($AX$7:$AX$89,MATCH(mapPRC!C1039,$AW$7:$AW$89,0)),"")</f>
        <v/>
      </c>
    </row>
    <row r="917" spans="3:26" x14ac:dyDescent="0.25">
      <c r="C917" t="s">
        <v>4836</v>
      </c>
      <c r="E917" t="s">
        <v>4845</v>
      </c>
      <c r="Y917" t="str">
        <f>mapPRC!A1017</f>
        <v>XPWRCRB</v>
      </c>
      <c r="Z917" t="str">
        <f>IFERROR(INDEX($AX$7:$AX$89,MATCH(mapPRC!C1040,$AW$7:$AW$89,0)),"")</f>
        <v/>
      </c>
    </row>
    <row r="918" spans="3:26" x14ac:dyDescent="0.25">
      <c r="C918" t="s">
        <v>4837</v>
      </c>
      <c r="E918" t="s">
        <v>4846</v>
      </c>
      <c r="Y918" t="str">
        <f>mapPRC!A1018</f>
        <v>XPWRHGN</v>
      </c>
      <c r="Z918" t="str">
        <f>IFERROR(INDEX($AX$7:$AX$89,MATCH(mapPRC!C1041,$AW$7:$AW$89,0)),"")</f>
        <v>elec</v>
      </c>
    </row>
    <row r="919" spans="3:26" x14ac:dyDescent="0.25">
      <c r="C919" t="s">
        <v>4838</v>
      </c>
      <c r="E919" t="s">
        <v>4847</v>
      </c>
      <c r="Y919" t="str">
        <f>mapPRC!A1019</f>
        <v>XPWRGAS</v>
      </c>
      <c r="Z919" t="str">
        <f>IFERROR(INDEX($AX$7:$AX$89,MATCH(mapPRC!C1042,$AW$7:$AW$89,0)),"")</f>
        <v/>
      </c>
    </row>
    <row r="920" spans="3:26" x14ac:dyDescent="0.25">
      <c r="C920" t="s">
        <v>4839</v>
      </c>
      <c r="E920" t="s">
        <v>4848</v>
      </c>
      <c r="Y920" t="str">
        <f>mapPRC!A1020</f>
        <v>XPWRGIC</v>
      </c>
      <c r="Z920" t="str">
        <f>IFERROR(INDEX($AX$7:$AX$89,MATCH(mapPRC!C1043,$AW$7:$AW$89,0)),"")</f>
        <v/>
      </c>
    </row>
    <row r="921" spans="3:26" x14ac:dyDescent="0.25">
      <c r="C921" t="s">
        <v>4840</v>
      </c>
      <c r="E921" t="s">
        <v>4849</v>
      </c>
      <c r="Y921" t="str">
        <f>mapPRC!A1021</f>
        <v>XPWRGIH</v>
      </c>
      <c r="Z921" t="str">
        <f>IFERROR(INDEX($AX$7:$AX$89,MATCH(mapPRC!C1044,$AW$7:$AW$89,0)),"")</f>
        <v/>
      </c>
    </row>
    <row r="922" spans="3:26" x14ac:dyDescent="0.25">
      <c r="C922" t="s">
        <v>4841</v>
      </c>
      <c r="E922" t="s">
        <v>4850</v>
      </c>
      <c r="Y922" t="str">
        <f>mapPRC!A1022</f>
        <v>XPWRGRM</v>
      </c>
      <c r="Z922" t="str">
        <f>IFERROR(INDEX($AX$7:$AX$89,MATCH(mapPRC!C1045,$AW$7:$AW$89,0)),"")</f>
        <v/>
      </c>
    </row>
    <row r="923" spans="3:26" x14ac:dyDescent="0.25">
      <c r="C923" t="s">
        <v>4842</v>
      </c>
      <c r="E923" t="s">
        <v>4851</v>
      </c>
      <c r="Y923" t="str">
        <f>mapPRC!A1023</f>
        <v>XPWRGRN</v>
      </c>
      <c r="Z923" t="str">
        <f>IFERROR(INDEX($AX$7:$AX$89,MATCH(mapPRC!C1046,$AW$7:$AW$89,0)),"")</f>
        <v/>
      </c>
    </row>
    <row r="924" spans="3:26" x14ac:dyDescent="0.25">
      <c r="C924" t="s">
        <v>4843</v>
      </c>
      <c r="E924" t="s">
        <v>4852</v>
      </c>
      <c r="Y924" t="str">
        <f>mapPRC!A1024</f>
        <v>XPWRGRS</v>
      </c>
      <c r="Z924" t="str">
        <f>IFERROR(INDEX($AX$7:$AX$89,MATCH(mapPRC!C1047,$AW$7:$AW$89,0)),"")</f>
        <v/>
      </c>
    </row>
    <row r="925" spans="3:26" x14ac:dyDescent="0.25">
      <c r="C925" t="s">
        <v>4844</v>
      </c>
      <c r="E925" t="s">
        <v>4853</v>
      </c>
      <c r="Y925" t="str">
        <f>mapPRC!A1025</f>
        <v>XPWRHYD</v>
      </c>
      <c r="Z925" t="str">
        <f>IFERROR(INDEX($AX$7:$AX$89,MATCH(mapPRC!C1048,$AW$7:$AW$89,0)),"")</f>
        <v/>
      </c>
    </row>
    <row r="926" spans="3:26" x14ac:dyDescent="0.25">
      <c r="C926" t="s">
        <v>4845</v>
      </c>
      <c r="E926" t="s">
        <v>4854</v>
      </c>
      <c r="Y926" t="str">
        <f>mapPRC!A1026</f>
        <v>XPWRNUC</v>
      </c>
      <c r="Z926" t="str">
        <f>IFERROR(INDEX($AX$7:$AX$89,MATCH(mapPRC!C1049,$AW$7:$AW$89,0)),"")</f>
        <v/>
      </c>
    </row>
    <row r="927" spans="3:26" x14ac:dyDescent="0.25">
      <c r="C927" t="s">
        <v>4846</v>
      </c>
      <c r="E927" t="s">
        <v>4855</v>
      </c>
      <c r="Y927" t="str">
        <f>mapPRC!A1027</f>
        <v>XPWRODS</v>
      </c>
      <c r="Z927" t="str">
        <f>IFERROR(INDEX($AX$7:$AX$89,MATCH(mapPRC!C1050,$AW$7:$AW$89,0)),"")</f>
        <v/>
      </c>
    </row>
    <row r="928" spans="3:26" x14ac:dyDescent="0.25">
      <c r="C928" t="s">
        <v>4847</v>
      </c>
      <c r="E928" t="s">
        <v>4856</v>
      </c>
      <c r="Y928" t="str">
        <f>mapPRC!A1028</f>
        <v>XPWROHF</v>
      </c>
      <c r="Z928" t="str">
        <f>IFERROR(INDEX($AX$7:$AX$89,MATCH(mapPRC!C1051,$AW$7:$AW$89,0)),"")</f>
        <v/>
      </c>
    </row>
    <row r="929" spans="3:26" x14ac:dyDescent="0.25">
      <c r="C929" t="s">
        <v>4848</v>
      </c>
      <c r="E929" t="s">
        <v>4857</v>
      </c>
      <c r="Y929" t="str">
        <f>mapPRC!A1029</f>
        <v>XPWROKE</v>
      </c>
      <c r="Z929" t="str">
        <f>IFERROR(INDEX($AX$7:$AX$89,MATCH(mapPRC!C1052,$AW$7:$AW$89,0)),"")</f>
        <v/>
      </c>
    </row>
    <row r="930" spans="3:26" x14ac:dyDescent="0.25">
      <c r="C930" t="s">
        <v>4849</v>
      </c>
      <c r="E930" t="s">
        <v>4858</v>
      </c>
      <c r="Y930" t="str">
        <f>mapPRC!A1030</f>
        <v>XPWRSOL</v>
      </c>
      <c r="Z930" t="str">
        <f>IFERROR(INDEX($AX$7:$AX$89,MATCH(mapPRC!C1053,$AW$7:$AW$89,0)),"")</f>
        <v/>
      </c>
    </row>
    <row r="931" spans="3:26" x14ac:dyDescent="0.25">
      <c r="C931" t="s">
        <v>4850</v>
      </c>
      <c r="E931" t="s">
        <v>4859</v>
      </c>
      <c r="Y931" t="str">
        <f>mapPRC!A1031</f>
        <v>XPWRWND</v>
      </c>
      <c r="Z931" t="str">
        <f>IFERROR(INDEX($AX$7:$AX$89,MATCH(mapPRC!C1054,$AW$7:$AW$89,0)),"")</f>
        <v/>
      </c>
    </row>
    <row r="932" spans="3:26" x14ac:dyDescent="0.25">
      <c r="C932" t="s">
        <v>4851</v>
      </c>
      <c r="E932" t="s">
        <v>4860</v>
      </c>
      <c r="Y932" t="str">
        <f>mapPRC!A1032</f>
        <v>XRESBIW</v>
      </c>
      <c r="Z932" t="str">
        <f>IFERROR(INDEX($AX$7:$AX$89,MATCH(mapPRC!C1056,$AW$7:$AW$89,0)),"")</f>
        <v/>
      </c>
    </row>
    <row r="933" spans="3:26" x14ac:dyDescent="0.25">
      <c r="C933" t="s">
        <v>4852</v>
      </c>
      <c r="E933" t="s">
        <v>4861</v>
      </c>
      <c r="Y933" t="str">
        <f>mapPRC!A1033</f>
        <v>XRESCOA</v>
      </c>
      <c r="Z933" t="str">
        <f>IFERROR(INDEX($AX$7:$AX$89,MATCH(mapPRC!C1057,$AW$7:$AW$89,0)),"")</f>
        <v>elec</v>
      </c>
    </row>
    <row r="934" spans="3:26" x14ac:dyDescent="0.25">
      <c r="C934" t="s">
        <v>4853</v>
      </c>
      <c r="E934" t="s">
        <v>4862</v>
      </c>
      <c r="Y934" t="str">
        <f>mapPRC!A1034</f>
        <v>XRESELC</v>
      </c>
      <c r="Z934" t="str">
        <f>IFERROR(INDEX($AX$7:$AX$89,MATCH(mapPRC!C1058,$AW$7:$AW$89,0)),"")</f>
        <v/>
      </c>
    </row>
    <row r="935" spans="3:26" x14ac:dyDescent="0.25">
      <c r="C935" t="s">
        <v>4854</v>
      </c>
      <c r="E935" t="s">
        <v>4863</v>
      </c>
      <c r="Y935" t="str">
        <f>mapPRC!A1035</f>
        <v>XRESGAS</v>
      </c>
      <c r="Z935" t="str">
        <f>IFERROR(INDEX($AX$7:$AX$89,MATCH(mapPRC!C1059,$AW$7:$AW$89,0)),"")</f>
        <v/>
      </c>
    </row>
    <row r="936" spans="3:26" x14ac:dyDescent="0.25">
      <c r="C936" t="s">
        <v>4855</v>
      </c>
      <c r="E936" t="s">
        <v>4864</v>
      </c>
      <c r="Y936" t="str">
        <f>mapPRC!A1036</f>
        <v>XRESOKE</v>
      </c>
      <c r="Z936" t="str">
        <f>IFERROR(INDEX($AX$7:$AX$89,MATCH(mapPRC!C1061,$AW$7:$AW$89,0)),"")</f>
        <v/>
      </c>
    </row>
    <row r="937" spans="3:26" x14ac:dyDescent="0.25">
      <c r="C937" t="s">
        <v>4856</v>
      </c>
      <c r="E937" t="s">
        <v>4865</v>
      </c>
      <c r="Y937" t="str">
        <f>mapPRC!A1037</f>
        <v>XRESOLP</v>
      </c>
      <c r="Z937" t="str">
        <f>IFERROR(INDEX($AX$7:$AX$89,MATCH(mapPRC!C1062,$AW$7:$AW$89,0)),"")</f>
        <v/>
      </c>
    </row>
    <row r="938" spans="3:26" x14ac:dyDescent="0.25">
      <c r="C938" t="s">
        <v>4857</v>
      </c>
      <c r="E938" t="s">
        <v>4866</v>
      </c>
      <c r="Y938" t="str">
        <f>mapPRC!A1038</f>
        <v>XTRABGS</v>
      </c>
      <c r="Z938" t="str">
        <f>IFERROR(INDEX($AX$7:$AX$89,MATCH(mapPRC!C1063,$AW$7:$AW$89,0)),"")</f>
        <v/>
      </c>
    </row>
    <row r="939" spans="3:26" x14ac:dyDescent="0.25">
      <c r="C939" t="s">
        <v>4858</v>
      </c>
      <c r="E939" t="s">
        <v>4867</v>
      </c>
      <c r="Y939" t="str">
        <f>mapPRC!A1039</f>
        <v>XTRABID</v>
      </c>
      <c r="Z939" t="str">
        <f>IFERROR(INDEX($AX$7:$AX$89,MATCH(mapPRC!C1064,$AW$7:$AW$89,0)),"")</f>
        <v/>
      </c>
    </row>
    <row r="940" spans="3:26" x14ac:dyDescent="0.25">
      <c r="C940" t="s">
        <v>4859</v>
      </c>
      <c r="E940" t="s">
        <v>4868</v>
      </c>
      <c r="Y940" t="str">
        <f>mapPRC!A1040</f>
        <v>XTRABIE</v>
      </c>
      <c r="Z940" t="str">
        <f>IFERROR(INDEX($AX$7:$AX$89,MATCH(mapPRC!C1065,$AW$7:$AW$89,0)),"")</f>
        <v/>
      </c>
    </row>
    <row r="941" spans="3:26" x14ac:dyDescent="0.25">
      <c r="C941" t="s">
        <v>4860</v>
      </c>
      <c r="E941" t="s">
        <v>4869</v>
      </c>
      <c r="Y941" t="str">
        <f>mapPRC!A1041</f>
        <v>XTRAELC</v>
      </c>
      <c r="Z941" t="str">
        <f>IFERROR(INDEX($AX$7:$AX$89,MATCH(mapPRC!C1066,$AW$7:$AW$89,0)),"")</f>
        <v/>
      </c>
    </row>
    <row r="942" spans="3:26" x14ac:dyDescent="0.25">
      <c r="C942" t="s">
        <v>4861</v>
      </c>
      <c r="E942" t="s">
        <v>4870</v>
      </c>
      <c r="Y942" t="str">
        <f>mapPRC!A1042</f>
        <v>XTRAEVF</v>
      </c>
      <c r="Z942" t="str">
        <f>IFERROR(INDEX($AX$7:$AX$89,MATCH(mapPRC!C1067,$AW$7:$AW$89,0)),"")</f>
        <v/>
      </c>
    </row>
    <row r="943" spans="3:26" x14ac:dyDescent="0.25">
      <c r="C943" t="s">
        <v>4862</v>
      </c>
      <c r="E943" t="s">
        <v>4871</v>
      </c>
      <c r="Y943" t="str">
        <f>mapPRC!A1043</f>
        <v>XTRAEVP</v>
      </c>
      <c r="Z943" t="str">
        <f>IFERROR(INDEX($AX$7:$AX$89,MATCH(mapPRC!C1068,$AW$7:$AW$89,0)),"")</f>
        <v/>
      </c>
    </row>
    <row r="944" spans="3:26" x14ac:dyDescent="0.25">
      <c r="C944" t="s">
        <v>4863</v>
      </c>
      <c r="E944" t="s">
        <v>4872</v>
      </c>
      <c r="Y944" t="str">
        <f>mapPRC!A1044</f>
        <v>XTRAGAS</v>
      </c>
      <c r="Z944" t="str">
        <f>IFERROR(INDEX($AX$7:$AX$89,MATCH(mapPRC!C1069,$AW$7:$AW$89,0)),"")</f>
        <v/>
      </c>
    </row>
    <row r="945" spans="3:26" x14ac:dyDescent="0.25">
      <c r="C945" t="s">
        <v>4864</v>
      </c>
      <c r="E945" t="s">
        <v>4873</v>
      </c>
      <c r="Y945" t="str">
        <f>mapPRC!A1045</f>
        <v>XTRAHGN</v>
      </c>
      <c r="Z945" t="str">
        <f>IFERROR(INDEX($AX$7:$AX$89,MATCH(mapPRC!C1070,$AW$7:$AW$89,0)),"")</f>
        <v/>
      </c>
    </row>
    <row r="946" spans="3:26" x14ac:dyDescent="0.25">
      <c r="C946" t="s">
        <v>4865</v>
      </c>
      <c r="E946" t="s">
        <v>4874</v>
      </c>
      <c r="Y946" t="str">
        <f>mapPRC!A1046</f>
        <v>XTRANH3</v>
      </c>
      <c r="Z946" t="str">
        <f>IFERROR(INDEX($AX$7:$AX$89,MATCH(mapPRC!C1071,$AW$7:$AW$89,0)),"")</f>
        <v/>
      </c>
    </row>
    <row r="947" spans="3:26" x14ac:dyDescent="0.25">
      <c r="C947" t="s">
        <v>4866</v>
      </c>
      <c r="E947" t="s">
        <v>4875</v>
      </c>
      <c r="Y947" t="str">
        <f>mapPRC!A1047</f>
        <v>XTRAOAG</v>
      </c>
      <c r="Z947" t="str">
        <f>IFERROR(INDEX($AX$7:$AX$89,MATCH(mapPRC!C1072,$AW$7:$AW$89,0)),"")</f>
        <v/>
      </c>
    </row>
    <row r="948" spans="3:26" x14ac:dyDescent="0.25">
      <c r="C948" t="s">
        <v>4867</v>
      </c>
      <c r="E948" t="s">
        <v>4876</v>
      </c>
      <c r="Y948" t="str">
        <f>mapPRC!A1048</f>
        <v>XTRAODS</v>
      </c>
      <c r="Z948" t="str">
        <f>IFERROR(INDEX($AX$7:$AX$89,MATCH(mapPRC!C1073,$AW$7:$AW$89,0)),"")</f>
        <v/>
      </c>
    </row>
    <row r="949" spans="3:26" x14ac:dyDescent="0.25">
      <c r="C949" t="s">
        <v>4868</v>
      </c>
      <c r="E949" t="s">
        <v>4877</v>
      </c>
      <c r="Y949" t="str">
        <f>mapPRC!A1049</f>
        <v>XTRAOGS</v>
      </c>
      <c r="Z949" t="str">
        <f>IFERROR(INDEX($AX$7:$AX$89,MATCH(mapPRC!C1074,$AW$7:$AW$89,0)),"")</f>
        <v/>
      </c>
    </row>
    <row r="950" spans="3:26" x14ac:dyDescent="0.25">
      <c r="C950" t="s">
        <v>4869</v>
      </c>
      <c r="E950" t="s">
        <v>4878</v>
      </c>
      <c r="Y950" t="str">
        <f>mapPRC!A1050</f>
        <v>XTRAOHF</v>
      </c>
      <c r="Z950" t="str">
        <f>IFERROR(INDEX($AX$7:$AX$89,MATCH(mapPRC!C1075,$AW$7:$AW$89,0)),"")</f>
        <v/>
      </c>
    </row>
    <row r="951" spans="3:26" x14ac:dyDescent="0.25">
      <c r="C951" t="s">
        <v>4870</v>
      </c>
      <c r="E951" t="s">
        <v>4879</v>
      </c>
      <c r="Y951" t="str">
        <f>mapPRC!A1051</f>
        <v>XTRAOKE</v>
      </c>
      <c r="Z951" t="str">
        <f>IFERROR(INDEX($AX$7:$AX$89,MATCH(mapPRC!C1076,$AW$7:$AW$89,0)),"")</f>
        <v/>
      </c>
    </row>
    <row r="952" spans="3:26" x14ac:dyDescent="0.25">
      <c r="C952" t="s">
        <v>4871</v>
      </c>
      <c r="E952" t="s">
        <v>4880</v>
      </c>
      <c r="Y952" t="str">
        <f>mapPRC!A1052</f>
        <v>XUPSBID</v>
      </c>
      <c r="Z952" t="str">
        <f>IFERROR(INDEX($AX$7:$AX$89,MATCH(mapPRC!C1077,$AW$7:$AW$89,0)),"")</f>
        <v/>
      </c>
    </row>
    <row r="953" spans="3:26" x14ac:dyDescent="0.25">
      <c r="C953" t="s">
        <v>4872</v>
      </c>
      <c r="E953" t="s">
        <v>4881</v>
      </c>
      <c r="Y953" t="str">
        <f>mapPRC!A1053</f>
        <v>XUPSBIE</v>
      </c>
      <c r="Z953" t="str">
        <f>IFERROR(INDEX($AX$7:$AX$89,MATCH(mapPRC!C1078,$AW$7:$AW$89,0)),"")</f>
        <v/>
      </c>
    </row>
    <row r="954" spans="3:26" x14ac:dyDescent="0.25">
      <c r="C954" t="s">
        <v>4873</v>
      </c>
      <c r="E954" t="s">
        <v>4882</v>
      </c>
      <c r="Y954" t="str">
        <f>mapPRC!A1054</f>
        <v>XUPSCLE</v>
      </c>
      <c r="Z954" t="str">
        <f>IFERROR(INDEX($AX$7:$AX$89,MATCH(mapPRC!C1079,$AW$7:$AW$89,0)),"")</f>
        <v/>
      </c>
    </row>
    <row r="955" spans="3:26" x14ac:dyDescent="0.25">
      <c r="C955" t="s">
        <v>4874</v>
      </c>
      <c r="E955" t="s">
        <v>4883</v>
      </c>
      <c r="Y955" t="str">
        <f>mapPRC!A1055</f>
        <v>XUPSCMU</v>
      </c>
      <c r="Z955" t="str">
        <f>IFERROR(INDEX($AX$7:$AX$89,MATCH(mapPRC!C1080,$AW$7:$AW$89,0)),"")</f>
        <v/>
      </c>
    </row>
    <row r="956" spans="3:26" x14ac:dyDescent="0.25">
      <c r="C956" t="s">
        <v>4875</v>
      </c>
      <c r="E956" t="s">
        <v>4884</v>
      </c>
      <c r="Y956" t="str">
        <f>mapPRC!A1056</f>
        <v>XUPSCLE-S</v>
      </c>
      <c r="Z956" t="str">
        <f>IFERROR(INDEX($AX$7:$AX$89,MATCH(mapPRC!C1081,$AW$7:$AW$89,0)),"")</f>
        <v/>
      </c>
    </row>
    <row r="957" spans="3:26" x14ac:dyDescent="0.25">
      <c r="C957" t="s">
        <v>4876</v>
      </c>
      <c r="E957" t="s">
        <v>4885</v>
      </c>
      <c r="Y957" t="str">
        <f>mapPRC!A1057</f>
        <v>XUPSELC</v>
      </c>
      <c r="Z957" t="str">
        <f>IFERROR(INDEX($AX$7:$AX$89,MATCH(mapPRC!C1082,$AW$7:$AW$89,0)),"")</f>
        <v/>
      </c>
    </row>
    <row r="958" spans="3:26" x14ac:dyDescent="0.25">
      <c r="C958" t="s">
        <v>4877</v>
      </c>
      <c r="E958" t="s">
        <v>4886</v>
      </c>
      <c r="Y958" t="str">
        <f>mapPRC!A1058</f>
        <v>XUPSGAS</v>
      </c>
      <c r="Z958" t="str">
        <f>IFERROR(INDEX($AX$7:$AX$89,MATCH(mapPRC!C1083,$AW$7:$AW$89,0)),"")</f>
        <v/>
      </c>
    </row>
    <row r="959" spans="3:26" x14ac:dyDescent="0.25">
      <c r="C959" t="s">
        <v>4878</v>
      </c>
      <c r="E959" t="s">
        <v>4887</v>
      </c>
      <c r="Y959" t="str">
        <f>mapPRC!A1059</f>
        <v>XUPSGIC</v>
      </c>
      <c r="Z959" t="str">
        <f>IFERROR(INDEX($AX$7:$AX$89,MATCH(mapPRC!C1084,$AW$7:$AW$89,0)),"")</f>
        <v/>
      </c>
    </row>
    <row r="960" spans="3:26" x14ac:dyDescent="0.25">
      <c r="C960" t="s">
        <v>4879</v>
      </c>
      <c r="E960" t="s">
        <v>4888</v>
      </c>
      <c r="Y960" t="str">
        <f>mapPRC!A1060</f>
        <v>XUPSGMU</v>
      </c>
      <c r="Z960" t="str">
        <f>IFERROR(INDEX($AX$7:$AX$89,MATCH(mapPRC!C1085,$AW$7:$AW$89,0)),"")</f>
        <v/>
      </c>
    </row>
    <row r="961" spans="3:26" x14ac:dyDescent="0.25">
      <c r="C961" t="s">
        <v>4880</v>
      </c>
      <c r="E961" t="s">
        <v>4889</v>
      </c>
      <c r="Y961" t="str">
        <f>mapPRC!A1061</f>
        <v>XUPSHEE</v>
      </c>
      <c r="Z961" t="str">
        <f>IFERROR(INDEX($AX$7:$AX$89,MATCH(mapPRC!C1086,$AW$7:$AW$89,0)),"")</f>
        <v/>
      </c>
    </row>
    <row r="962" spans="3:26" x14ac:dyDescent="0.25">
      <c r="C962" t="s">
        <v>4881</v>
      </c>
      <c r="E962" t="s">
        <v>4890</v>
      </c>
      <c r="Y962" t="str">
        <f>mapPRC!A1062</f>
        <v>XUPSHEN</v>
      </c>
      <c r="Z962" t="str">
        <f>IFERROR(INDEX($AX$7:$AX$89,MATCH(mapPRC!C1087,$AW$7:$AW$89,0)),"")</f>
        <v/>
      </c>
    </row>
    <row r="963" spans="3:26" x14ac:dyDescent="0.25">
      <c r="C963" t="s">
        <v>4882</v>
      </c>
      <c r="E963" t="s">
        <v>4891</v>
      </c>
      <c r="Y963" t="str">
        <f>mapPRC!A1063</f>
        <v>XUPSHGN</v>
      </c>
      <c r="Z963" t="str">
        <f>IFERROR(INDEX($AX$7:$AX$89,MATCH(mapPRC!C1088,$AW$7:$AW$89,0)),"")</f>
        <v/>
      </c>
    </row>
    <row r="964" spans="3:26" x14ac:dyDescent="0.25">
      <c r="C964" t="s">
        <v>4883</v>
      </c>
      <c r="E964" t="s">
        <v>4892</v>
      </c>
      <c r="Y964" t="str">
        <f>mapPRC!A1064</f>
        <v>XUPSOCR</v>
      </c>
      <c r="Z964" t="str">
        <f>IFERROR(INDEX($AX$7:$AX$89,MATCH(mapPRC!C1089,$AW$7:$AW$89,0)),"")</f>
        <v/>
      </c>
    </row>
    <row r="965" spans="3:26" x14ac:dyDescent="0.25">
      <c r="C965" t="s">
        <v>4884</v>
      </c>
      <c r="E965" t="s">
        <v>4893</v>
      </c>
      <c r="Y965" t="str">
        <f>mapPRC!A1065</f>
        <v>XUPSOHF</v>
      </c>
      <c r="Z965" t="str">
        <f>IFERROR(INDEX($AX$7:$AX$89,MATCH(mapPRC!C1090,$AW$7:$AW$89,0)),"")</f>
        <v/>
      </c>
    </row>
    <row r="966" spans="3:26" x14ac:dyDescent="0.25">
      <c r="C966" t="s">
        <v>4885</v>
      </c>
      <c r="E966" t="s">
        <v>4894</v>
      </c>
      <c r="Y966" t="str">
        <f>mapPRC!A1066</f>
        <v>ZZBKELCC</v>
      </c>
      <c r="Z966" t="str">
        <f>IFERROR(INDEX($AX$7:$AX$89,MATCH(mapPRC!C1091,$AW$7:$AW$89,0)),"")</f>
        <v/>
      </c>
    </row>
    <row r="967" spans="3:26" x14ac:dyDescent="0.25">
      <c r="C967" t="s">
        <v>4886</v>
      </c>
      <c r="E967" t="s">
        <v>4895</v>
      </c>
      <c r="Y967" t="str">
        <f>mapPRC!A1067</f>
        <v>ZZBKNRG</v>
      </c>
      <c r="Z967" t="str">
        <f>IFERROR(INDEX($AX$7:$AX$89,MATCH(mapPRC!C1092,$AW$7:$AW$89,0)),"")</f>
        <v/>
      </c>
    </row>
    <row r="968" spans="3:26" x14ac:dyDescent="0.25">
      <c r="C968" t="s">
        <v>4887</v>
      </c>
      <c r="E968" t="s">
        <v>4896</v>
      </c>
      <c r="Y968" t="str">
        <f>mapPRC!A1068</f>
        <v>ZZCOMCEC</v>
      </c>
      <c r="Z968" t="str">
        <f>IFERROR(INDEX($AX$7:$AX$89,MATCH(mapPRC!C1093,$AW$7:$AW$89,0)),"")</f>
        <v/>
      </c>
    </row>
    <row r="969" spans="3:26" x14ac:dyDescent="0.25">
      <c r="C969" t="s">
        <v>4888</v>
      </c>
      <c r="E969" t="s">
        <v>4897</v>
      </c>
      <c r="Y969" t="str">
        <f>mapPRC!A1069</f>
        <v>ZZCOMCEG</v>
      </c>
      <c r="Z969" t="str">
        <f>IFERROR(INDEX($AX$7:$AX$89,MATCH(mapPRC!C1094,$AW$7:$AW$89,0)),"")</f>
        <v/>
      </c>
    </row>
    <row r="970" spans="3:26" x14ac:dyDescent="0.25">
      <c r="C970" t="s">
        <v>4889</v>
      </c>
      <c r="E970" t="s">
        <v>4898</v>
      </c>
      <c r="Y970" t="str">
        <f>mapPRC!A1070</f>
        <v>ZZCOMCEH</v>
      </c>
      <c r="Z970" t="str">
        <f>IFERROR(INDEX($AX$7:$AX$89,MATCH(mapPRC!C1095,$AW$7:$AW$89,0)),"")</f>
        <v/>
      </c>
    </row>
    <row r="971" spans="3:26" x14ac:dyDescent="0.25">
      <c r="C971" t="s">
        <v>4890</v>
      </c>
      <c r="E971" t="s">
        <v>4899</v>
      </c>
      <c r="Y971" t="str">
        <f>mapPRC!A1071</f>
        <v>ZZCOMCEK</v>
      </c>
      <c r="Z971" t="str">
        <f>IFERROR(INDEX($AX$7:$AX$89,MATCH(mapPRC!C1096,$AW$7:$AW$89,0)),"")</f>
        <v/>
      </c>
    </row>
    <row r="972" spans="3:26" x14ac:dyDescent="0.25">
      <c r="C972" t="s">
        <v>4891</v>
      </c>
      <c r="E972" t="s">
        <v>4900</v>
      </c>
      <c r="Y972" t="str">
        <f>mapPRC!A1072</f>
        <v>ZZCOMCEL</v>
      </c>
      <c r="Z972" t="str">
        <f>IFERROR(INDEX($AX$7:$AX$89,MATCH(mapPRC!C1097,$AW$7:$AW$89,0)),"")</f>
        <v/>
      </c>
    </row>
    <row r="973" spans="3:26" x14ac:dyDescent="0.25">
      <c r="C973" t="s">
        <v>4892</v>
      </c>
      <c r="E973" t="s">
        <v>4901</v>
      </c>
      <c r="Y973" t="str">
        <f>mapPRC!A1073</f>
        <v>ZZCOMCEO</v>
      </c>
      <c r="Z973" t="str">
        <f>IFERROR(INDEX($AX$7:$AX$89,MATCH(mapPRC!C1098,$AW$7:$AW$89,0)),"")</f>
        <v/>
      </c>
    </row>
    <row r="974" spans="3:26" x14ac:dyDescent="0.25">
      <c r="C974" t="s">
        <v>4893</v>
      </c>
      <c r="E974" t="s">
        <v>4902</v>
      </c>
      <c r="Y974" t="str">
        <f>mapPRC!A1074</f>
        <v>ZZCOMCER</v>
      </c>
      <c r="Z974" t="str">
        <f>IFERROR(INDEX($AX$7:$AX$89,MATCH(mapPRC!C1099,$AW$7:$AW$89,0)),"")</f>
        <v/>
      </c>
    </row>
    <row r="975" spans="3:26" x14ac:dyDescent="0.25">
      <c r="C975" t="s">
        <v>4894</v>
      </c>
      <c r="E975" t="s">
        <v>4903</v>
      </c>
      <c r="Y975" t="str">
        <f>mapPRC!A1075</f>
        <v>ZZCOMCET</v>
      </c>
      <c r="Z975" t="str">
        <f>IFERROR(INDEX($AX$7:$AX$89,MATCH(mapPRC!C1100,$AW$7:$AW$89,0)),"")</f>
        <v/>
      </c>
    </row>
    <row r="976" spans="3:26" x14ac:dyDescent="0.25">
      <c r="C976" t="s">
        <v>4895</v>
      </c>
      <c r="E976" t="s">
        <v>4904</v>
      </c>
      <c r="Y976" t="str">
        <f>mapPRC!A1076</f>
        <v>ZZCOMCEW</v>
      </c>
      <c r="Z976" t="str">
        <f>IFERROR(INDEX($AX$7:$AX$89,MATCH(mapPRC!C1101,$AW$7:$AW$89,0)),"")</f>
        <v/>
      </c>
    </row>
    <row r="977" spans="3:26" x14ac:dyDescent="0.25">
      <c r="C977" t="s">
        <v>4896</v>
      </c>
      <c r="E977" t="s">
        <v>4905</v>
      </c>
      <c r="Y977" t="str">
        <f>mapPRC!A1077</f>
        <v>ZZRHEH</v>
      </c>
      <c r="Z977" t="str">
        <f>IFERROR(INDEX($AX$7:$AX$89,MATCH(mapPRC!C1102,$AW$7:$AW$89,0)),"")</f>
        <v/>
      </c>
    </row>
    <row r="978" spans="3:26" x14ac:dyDescent="0.25">
      <c r="C978" t="s">
        <v>4897</v>
      </c>
      <c r="E978" t="s">
        <v>4906</v>
      </c>
      <c r="Y978" t="str">
        <f>mapPRC!A1078</f>
        <v>ZZRHEK</v>
      </c>
      <c r="Z978" t="str">
        <f>IFERROR(INDEX($AX$7:$AX$89,MATCH(mapPRC!C1103,$AW$7:$AW$89,0)),"")</f>
        <v/>
      </c>
    </row>
    <row r="979" spans="3:26" x14ac:dyDescent="0.25">
      <c r="C979" t="s">
        <v>4898</v>
      </c>
      <c r="E979" t="s">
        <v>4907</v>
      </c>
      <c r="Y979" t="str">
        <f>mapPRC!A1079</f>
        <v>ZZRHEL</v>
      </c>
      <c r="Z979" t="str">
        <f>IFERROR(INDEX($AX$7:$AX$89,MATCH(mapPRC!C1104,$AW$7:$AW$89,0)),"")</f>
        <v/>
      </c>
    </row>
    <row r="980" spans="3:26" x14ac:dyDescent="0.25">
      <c r="C980" t="s">
        <v>4899</v>
      </c>
      <c r="E980" t="s">
        <v>4908</v>
      </c>
      <c r="Y980" t="str">
        <f>mapPRC!A1080</f>
        <v>ZZRHEN</v>
      </c>
      <c r="Z980" t="str">
        <f>IFERROR(INDEX($AX$7:$AX$89,MATCH(mapPRC!C1105,$AW$7:$AW$89,0)),"")</f>
        <v/>
      </c>
    </row>
    <row r="981" spans="3:26" x14ac:dyDescent="0.25">
      <c r="C981" t="s">
        <v>4900</v>
      </c>
      <c r="E981" t="s">
        <v>4909</v>
      </c>
      <c r="Y981" t="str">
        <f>mapPRC!A1081</f>
        <v>ZZRHEO</v>
      </c>
      <c r="Z981" t="str">
        <f>IFERROR(INDEX($AX$7:$AX$89,MATCH(mapPRC!C1106,$AW$7:$AW$89,0)),"")</f>
        <v/>
      </c>
    </row>
    <row r="982" spans="3:26" x14ac:dyDescent="0.25">
      <c r="C982" t="s">
        <v>4901</v>
      </c>
      <c r="E982" t="s">
        <v>4910</v>
      </c>
      <c r="Y982" t="str">
        <f>mapPRC!A1082</f>
        <v>ZZRHER</v>
      </c>
      <c r="Z982" t="str">
        <f>IFERROR(INDEX($AX$7:$AX$89,MATCH(mapPRC!C1107,$AW$7:$AW$89,0)),"")</f>
        <v/>
      </c>
    </row>
    <row r="983" spans="3:26" x14ac:dyDescent="0.25">
      <c r="C983" t="s">
        <v>4902</v>
      </c>
      <c r="E983" t="s">
        <v>4911</v>
      </c>
      <c r="Y983" t="str">
        <f>mapPRC!A1083</f>
        <v>ZZRHEW</v>
      </c>
      <c r="Z983" t="str">
        <f>IFERROR(INDEX($AX$7:$AX$89,MATCH(mapPRC!C1108,$AW$7:$AW$89,0)),"")</f>
        <v/>
      </c>
    </row>
    <row r="984" spans="3:26" x14ac:dyDescent="0.25">
      <c r="C984" t="s">
        <v>4903</v>
      </c>
      <c r="E984" t="s">
        <v>4912</v>
      </c>
      <c r="Y984" t="str">
        <f>mapPRC!A1084</f>
        <v>ZZRHEWG</v>
      </c>
      <c r="Z984" t="str">
        <f>IFERROR(INDEX($AX$7:$AX$89,MATCH(mapPRC!C1109,$AW$7:$AW$89,0)),"")</f>
        <v/>
      </c>
    </row>
    <row r="985" spans="3:26" x14ac:dyDescent="0.25">
      <c r="C985" t="s">
        <v>4904</v>
      </c>
      <c r="E985" t="s">
        <v>4913</v>
      </c>
      <c r="Y985" t="str">
        <f>mapPRC!A1085</f>
        <v>ZZRLEH</v>
      </c>
      <c r="Z985" t="str">
        <f>IFERROR(INDEX($AX$7:$AX$89,MATCH(mapPRC!C1110,$AW$7:$AW$89,0)),"")</f>
        <v/>
      </c>
    </row>
    <row r="986" spans="3:26" x14ac:dyDescent="0.25">
      <c r="C986" t="s">
        <v>4905</v>
      </c>
      <c r="E986" t="s">
        <v>4914</v>
      </c>
      <c r="Y986" t="str">
        <f>mapPRC!A1086</f>
        <v>ZZRLEK</v>
      </c>
    </row>
    <row r="987" spans="3:26" x14ac:dyDescent="0.25">
      <c r="C987" t="s">
        <v>4906</v>
      </c>
      <c r="E987" t="s">
        <v>4915</v>
      </c>
      <c r="Y987" t="str">
        <f>mapPRC!A1087</f>
        <v>ZZRLEL</v>
      </c>
    </row>
    <row r="988" spans="3:26" x14ac:dyDescent="0.25">
      <c r="C988" t="s">
        <v>4907</v>
      </c>
      <c r="E988" t="s">
        <v>4916</v>
      </c>
      <c r="Y988" t="str">
        <f>mapPRC!A1088</f>
        <v>ZZRLEN</v>
      </c>
    </row>
    <row r="989" spans="3:26" x14ac:dyDescent="0.25">
      <c r="C989" t="s">
        <v>4908</v>
      </c>
      <c r="E989" t="s">
        <v>4917</v>
      </c>
      <c r="Y989" t="str">
        <f>mapPRC!A1089</f>
        <v>ZZRLEO</v>
      </c>
    </row>
    <row r="990" spans="3:26" x14ac:dyDescent="0.25">
      <c r="C990" t="s">
        <v>4909</v>
      </c>
      <c r="E990" t="s">
        <v>4918</v>
      </c>
      <c r="Y990" t="str">
        <f>mapPRC!A1090</f>
        <v>ZZRLER</v>
      </c>
    </row>
    <row r="991" spans="3:26" x14ac:dyDescent="0.25">
      <c r="C991" t="s">
        <v>4910</v>
      </c>
      <c r="E991" t="s">
        <v>4919</v>
      </c>
      <c r="Y991" t="str">
        <f>mapPRC!A1091</f>
        <v>ZZRLEW</v>
      </c>
    </row>
    <row r="992" spans="3:26" x14ac:dyDescent="0.25">
      <c r="C992" t="s">
        <v>4911</v>
      </c>
      <c r="E992" t="s">
        <v>4920</v>
      </c>
      <c r="Y992" t="str">
        <f>mapPRC!A1092</f>
        <v>ZZRLEWG</v>
      </c>
    </row>
    <row r="993" spans="3:25" x14ac:dyDescent="0.25">
      <c r="C993" t="s">
        <v>4912</v>
      </c>
      <c r="E993" t="s">
        <v>4921</v>
      </c>
      <c r="Y993" t="str">
        <f>mapPRC!A1093</f>
        <v>ZZRLNH</v>
      </c>
    </row>
    <row r="994" spans="3:25" x14ac:dyDescent="0.25">
      <c r="C994" t="s">
        <v>4913</v>
      </c>
      <c r="E994" t="s">
        <v>4922</v>
      </c>
      <c r="Y994" t="str">
        <f>mapPRC!A1094</f>
        <v>ZZRLNK</v>
      </c>
    </row>
    <row r="995" spans="3:25" x14ac:dyDescent="0.25">
      <c r="C995" t="s">
        <v>4914</v>
      </c>
      <c r="E995" t="s">
        <v>4923</v>
      </c>
      <c r="Y995" t="str">
        <f>mapPRC!A1095</f>
        <v>ZZRLNL</v>
      </c>
    </row>
    <row r="996" spans="3:25" x14ac:dyDescent="0.25">
      <c r="C996" t="s">
        <v>4915</v>
      </c>
      <c r="E996" t="s">
        <v>4924</v>
      </c>
      <c r="Y996" t="str">
        <f>mapPRC!A1096</f>
        <v>ZZRLNN</v>
      </c>
    </row>
    <row r="997" spans="3:25" x14ac:dyDescent="0.25">
      <c r="C997" t="s">
        <v>4916</v>
      </c>
      <c r="E997" t="s">
        <v>4925</v>
      </c>
      <c r="Y997" t="str">
        <f>mapPRC!A1097</f>
        <v>ZZRLNW</v>
      </c>
    </row>
    <row r="998" spans="3:25" x14ac:dyDescent="0.25">
      <c r="C998" t="s">
        <v>4917</v>
      </c>
      <c r="E998" t="s">
        <v>4926</v>
      </c>
      <c r="Y998" t="str">
        <f>mapPRC!A1098</f>
        <v>ZZRMEH</v>
      </c>
    </row>
    <row r="999" spans="3:25" x14ac:dyDescent="0.25">
      <c r="C999" t="s">
        <v>4918</v>
      </c>
      <c r="E999" t="s">
        <v>4927</v>
      </c>
      <c r="Y999" t="str">
        <f>mapPRC!A1099</f>
        <v>ZZRMEK</v>
      </c>
    </row>
    <row r="1000" spans="3:25" x14ac:dyDescent="0.25">
      <c r="C1000" t="s">
        <v>4919</v>
      </c>
      <c r="E1000" t="s">
        <v>4928</v>
      </c>
      <c r="Y1000" t="str">
        <f>mapPRC!A1100</f>
        <v>ZZRMEL</v>
      </c>
    </row>
    <row r="1001" spans="3:25" x14ac:dyDescent="0.25">
      <c r="C1001" t="s">
        <v>4920</v>
      </c>
      <c r="E1001" t="s">
        <v>4929</v>
      </c>
      <c r="Y1001" t="str">
        <f>mapPRC!A1101</f>
        <v>ZZRMEN</v>
      </c>
    </row>
    <row r="1002" spans="3:25" x14ac:dyDescent="0.25">
      <c r="C1002" t="s">
        <v>4921</v>
      </c>
      <c r="E1002" t="s">
        <v>4930</v>
      </c>
      <c r="Y1002" t="str">
        <f>mapPRC!A1102</f>
        <v>ZZRMEO</v>
      </c>
    </row>
    <row r="1003" spans="3:25" x14ac:dyDescent="0.25">
      <c r="C1003" t="s">
        <v>4922</v>
      </c>
      <c r="E1003" t="s">
        <v>4931</v>
      </c>
      <c r="Y1003" t="str">
        <f>mapPRC!A1103</f>
        <v>ZZRMER</v>
      </c>
    </row>
    <row r="1004" spans="3:25" x14ac:dyDescent="0.25">
      <c r="C1004" t="s">
        <v>4923</v>
      </c>
      <c r="E1004" t="s">
        <v>4932</v>
      </c>
      <c r="Y1004" t="str">
        <f>mapPRC!A1104</f>
        <v>ZZRMEW</v>
      </c>
    </row>
    <row r="1005" spans="3:25" x14ac:dyDescent="0.25">
      <c r="C1005" t="s">
        <v>4924</v>
      </c>
      <c r="E1005" t="s">
        <v>4933</v>
      </c>
      <c r="Y1005" t="str">
        <f>mapPRC!A1105</f>
        <v>ZZRMEWG</v>
      </c>
    </row>
    <row r="1006" spans="3:25" x14ac:dyDescent="0.25">
      <c r="C1006" t="s">
        <v>4925</v>
      </c>
      <c r="E1006" t="s">
        <v>4934</v>
      </c>
      <c r="Y1006" t="str">
        <f>mapPRC!A1106</f>
        <v>ZZRMNH</v>
      </c>
    </row>
    <row r="1007" spans="3:25" x14ac:dyDescent="0.25">
      <c r="C1007" t="s">
        <v>4926</v>
      </c>
      <c r="E1007" t="s">
        <v>4935</v>
      </c>
      <c r="Y1007" t="str">
        <f>mapPRC!A1107</f>
        <v>ZZRMNK</v>
      </c>
    </row>
    <row r="1008" spans="3:25" x14ac:dyDescent="0.25">
      <c r="C1008" t="s">
        <v>4927</v>
      </c>
      <c r="E1008" t="s">
        <v>4936</v>
      </c>
      <c r="Y1008" t="str">
        <f>mapPRC!A1108</f>
        <v>ZZRMNL</v>
      </c>
    </row>
    <row r="1009" spans="3:5" x14ac:dyDescent="0.25">
      <c r="C1009" t="s">
        <v>4928</v>
      </c>
      <c r="E1009" t="s">
        <v>4937</v>
      </c>
    </row>
    <row r="1010" spans="3:5" x14ac:dyDescent="0.25">
      <c r="C1010" t="s">
        <v>4929</v>
      </c>
      <c r="E1010" t="s">
        <v>4938</v>
      </c>
    </row>
    <row r="1011" spans="3:5" x14ac:dyDescent="0.25">
      <c r="C1011" t="s">
        <v>4930</v>
      </c>
      <c r="E1011" t="s">
        <v>4939</v>
      </c>
    </row>
    <row r="1012" spans="3:5" x14ac:dyDescent="0.25">
      <c r="C1012" t="s">
        <v>4931</v>
      </c>
      <c r="E1012" t="s">
        <v>4940</v>
      </c>
    </row>
    <row r="1013" spans="3:5" x14ac:dyDescent="0.25">
      <c r="C1013" t="s">
        <v>4932</v>
      </c>
      <c r="E1013" t="s">
        <v>4941</v>
      </c>
    </row>
    <row r="1014" spans="3:5" x14ac:dyDescent="0.25">
      <c r="C1014" t="s">
        <v>4933</v>
      </c>
      <c r="E1014" t="s">
        <v>4942</v>
      </c>
    </row>
    <row r="1015" spans="3:5" x14ac:dyDescent="0.25">
      <c r="C1015" t="s">
        <v>4934</v>
      </c>
      <c r="E1015" t="s">
        <v>4943</v>
      </c>
    </row>
    <row r="1016" spans="3:5" x14ac:dyDescent="0.25">
      <c r="C1016" t="s">
        <v>4935</v>
      </c>
      <c r="E1016" t="s">
        <v>4944</v>
      </c>
    </row>
    <row r="1017" spans="3:5" x14ac:dyDescent="0.25">
      <c r="C1017" t="s">
        <v>4936</v>
      </c>
      <c r="E1017" t="s">
        <v>4945</v>
      </c>
    </row>
    <row r="1018" spans="3:5" x14ac:dyDescent="0.25">
      <c r="C1018" t="s">
        <v>4937</v>
      </c>
      <c r="E1018" t="s">
        <v>4946</v>
      </c>
    </row>
    <row r="1019" spans="3:5" x14ac:dyDescent="0.25">
      <c r="C1019" t="s">
        <v>4938</v>
      </c>
      <c r="E1019" t="s">
        <v>4947</v>
      </c>
    </row>
    <row r="1020" spans="3:5" x14ac:dyDescent="0.25">
      <c r="C1020" t="s">
        <v>4939</v>
      </c>
      <c r="E1020" t="s">
        <v>4948</v>
      </c>
    </row>
    <row r="1021" spans="3:5" x14ac:dyDescent="0.25">
      <c r="C1021" t="s">
        <v>4940</v>
      </c>
      <c r="E1021" t="s">
        <v>4949</v>
      </c>
    </row>
    <row r="1022" spans="3:5" x14ac:dyDescent="0.25">
      <c r="C1022" t="s">
        <v>4941</v>
      </c>
      <c r="E1022" t="s">
        <v>4950</v>
      </c>
    </row>
    <row r="1023" spans="3:5" x14ac:dyDescent="0.25">
      <c r="C1023" t="s">
        <v>4942</v>
      </c>
      <c r="E1023" t="s">
        <v>4951</v>
      </c>
    </row>
    <row r="1024" spans="3:5" x14ac:dyDescent="0.25">
      <c r="C1024" t="s">
        <v>4943</v>
      </c>
      <c r="E1024" t="s">
        <v>4952</v>
      </c>
    </row>
    <row r="1025" spans="3:5" x14ac:dyDescent="0.25">
      <c r="C1025" t="s">
        <v>4944</v>
      </c>
      <c r="E1025" t="s">
        <v>4953</v>
      </c>
    </row>
    <row r="1026" spans="3:5" x14ac:dyDescent="0.25">
      <c r="C1026" t="s">
        <v>4945</v>
      </c>
      <c r="E1026" t="s">
        <v>4954</v>
      </c>
    </row>
    <row r="1027" spans="3:5" x14ac:dyDescent="0.25">
      <c r="C1027" t="s">
        <v>4946</v>
      </c>
      <c r="E1027" t="s">
        <v>4955</v>
      </c>
    </row>
    <row r="1028" spans="3:5" x14ac:dyDescent="0.25">
      <c r="C1028" t="s">
        <v>4947</v>
      </c>
      <c r="E1028" t="s">
        <v>4956</v>
      </c>
    </row>
    <row r="1029" spans="3:5" x14ac:dyDescent="0.25">
      <c r="C1029" t="s">
        <v>4948</v>
      </c>
      <c r="E1029" t="s">
        <v>4957</v>
      </c>
    </row>
    <row r="1030" spans="3:5" x14ac:dyDescent="0.25">
      <c r="C1030" t="s">
        <v>4949</v>
      </c>
      <c r="E1030" t="s">
        <v>4958</v>
      </c>
    </row>
    <row r="1031" spans="3:5" x14ac:dyDescent="0.25">
      <c r="C1031" t="s">
        <v>4950</v>
      </c>
      <c r="E1031" t="s">
        <v>4959</v>
      </c>
    </row>
    <row r="1032" spans="3:5" x14ac:dyDescent="0.25">
      <c r="C1032" t="s">
        <v>4951</v>
      </c>
    </row>
    <row r="1033" spans="3:5" x14ac:dyDescent="0.25">
      <c r="C1033" t="s">
        <v>4952</v>
      </c>
    </row>
    <row r="1034" spans="3:5" x14ac:dyDescent="0.25">
      <c r="C1034" t="s">
        <v>4953</v>
      </c>
    </row>
    <row r="1035" spans="3:5" x14ac:dyDescent="0.25">
      <c r="C1035" t="s">
        <v>4954</v>
      </c>
    </row>
    <row r="1036" spans="3:5" x14ac:dyDescent="0.25">
      <c r="C1036" t="s">
        <v>4955</v>
      </c>
    </row>
    <row r="1037" spans="3:5" x14ac:dyDescent="0.25">
      <c r="C1037" t="s">
        <v>4956</v>
      </c>
    </row>
    <row r="1038" spans="3:5" x14ac:dyDescent="0.25">
      <c r="C1038" t="s">
        <v>4957</v>
      </c>
    </row>
    <row r="1039" spans="3:5" x14ac:dyDescent="0.25">
      <c r="C1039" t="s">
        <v>4958</v>
      </c>
    </row>
    <row r="1040" spans="3:5" x14ac:dyDescent="0.25">
      <c r="C1040" t="s">
        <v>4959</v>
      </c>
    </row>
  </sheetData>
  <autoFilter ref="A6:AX878" xr:uid="{5840DC9A-3776-4E58-B434-39C6A0E79E1E}"/>
  <phoneticPr fontId="4" type="noConversion"/>
  <conditionalFormatting sqref="Y1:Y1048576">
    <cfRule type="duplicateValues" dxfId="0" priority="1"/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3391</v>
      </c>
    </row>
    <row r="6" spans="1:27" x14ac:dyDescent="0.25">
      <c r="A6" s="2" t="s">
        <v>3285</v>
      </c>
      <c r="G6" t="s">
        <v>3374</v>
      </c>
      <c r="H6" t="s">
        <v>2446</v>
      </c>
      <c r="I6" t="s">
        <v>3375</v>
      </c>
      <c r="K6" s="2" t="s">
        <v>3374</v>
      </c>
      <c r="L6" t="s">
        <v>2446</v>
      </c>
      <c r="M6" t="s">
        <v>3376</v>
      </c>
      <c r="X6" s="2" t="s">
        <v>2449</v>
      </c>
      <c r="Y6" s="2" t="s">
        <v>3390</v>
      </c>
    </row>
    <row r="7" spans="1:27" x14ac:dyDescent="0.25">
      <c r="B7" t="s">
        <v>3286</v>
      </c>
      <c r="C7" t="s">
        <v>3287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1896</v>
      </c>
      <c r="R7" t="s">
        <v>3377</v>
      </c>
      <c r="S7" t="s">
        <v>3378</v>
      </c>
      <c r="U7" s="4">
        <f>[1]FTRA!F63</f>
        <v>0.39784000000000003</v>
      </c>
      <c r="X7" t="s">
        <v>2391</v>
      </c>
      <c r="Y7">
        <v>27</v>
      </c>
      <c r="AA7" t="s">
        <v>1622</v>
      </c>
    </row>
    <row r="8" spans="1:27" x14ac:dyDescent="0.25">
      <c r="A8" t="s">
        <v>2833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1914</v>
      </c>
      <c r="R8" t="s">
        <v>3379</v>
      </c>
      <c r="S8" t="s">
        <v>3378</v>
      </c>
      <c r="U8" s="4">
        <f>[1]FTRA!F64</f>
        <v>1.4841</v>
      </c>
      <c r="X8" t="s">
        <v>2351</v>
      </c>
      <c r="Y8">
        <v>11</v>
      </c>
      <c r="AA8" t="s">
        <v>2205</v>
      </c>
    </row>
    <row r="9" spans="1:27" x14ac:dyDescent="0.25">
      <c r="A9" t="s">
        <v>2835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1912</v>
      </c>
      <c r="R9" t="s">
        <v>3380</v>
      </c>
      <c r="S9" t="s">
        <v>3378</v>
      </c>
      <c r="U9" s="4">
        <f>[1]FTRA!F65</f>
        <v>2.5009999999999999</v>
      </c>
      <c r="X9" t="s">
        <v>2349</v>
      </c>
      <c r="Y9">
        <v>21</v>
      </c>
      <c r="AA9" t="s">
        <v>3395</v>
      </c>
    </row>
    <row r="10" spans="1:27" x14ac:dyDescent="0.25">
      <c r="A10" t="s">
        <v>2838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1910</v>
      </c>
      <c r="R10" t="s">
        <v>3381</v>
      </c>
      <c r="S10" t="s">
        <v>3378</v>
      </c>
      <c r="U10" s="4">
        <f>[1]FTRA!F66</f>
        <v>5.0070955734014992</v>
      </c>
      <c r="X10" t="s">
        <v>2338</v>
      </c>
      <c r="Y10">
        <v>23</v>
      </c>
      <c r="AA10" t="s">
        <v>3396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1908</v>
      </c>
      <c r="R11" t="s">
        <v>3382</v>
      </c>
      <c r="S11" t="s">
        <v>3378</v>
      </c>
      <c r="U11" s="4">
        <f>[1]FTRA!F67</f>
        <v>7.9193584801965402</v>
      </c>
      <c r="X11" t="s">
        <v>2336</v>
      </c>
      <c r="Y11">
        <v>30</v>
      </c>
      <c r="AA11" t="s">
        <v>1792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1906</v>
      </c>
      <c r="R12" t="s">
        <v>3383</v>
      </c>
      <c r="S12" t="s">
        <v>3378</v>
      </c>
      <c r="U12" s="4">
        <f>[1]FTRA!F68</f>
        <v>10.886935146339562</v>
      </c>
      <c r="X12" t="s">
        <v>2328</v>
      </c>
      <c r="Y12">
        <v>27</v>
      </c>
      <c r="AA12" t="s">
        <v>3397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1904</v>
      </c>
      <c r="R13" t="s">
        <v>3384</v>
      </c>
      <c r="S13" t="s">
        <v>3378</v>
      </c>
      <c r="U13" s="4">
        <f>[1]FTRA!F69</f>
        <v>19.520776457571557</v>
      </c>
      <c r="X13" t="s">
        <v>2302</v>
      </c>
      <c r="Y13">
        <v>24</v>
      </c>
      <c r="AA13" t="s">
        <v>3398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1902</v>
      </c>
      <c r="R14" t="s">
        <v>3385</v>
      </c>
      <c r="S14" t="s">
        <v>3378</v>
      </c>
      <c r="U14" s="4">
        <f>[1]FTRA!F70</f>
        <v>17.889918497338776</v>
      </c>
      <c r="X14" t="s">
        <v>1796</v>
      </c>
      <c r="Y14">
        <v>0</v>
      </c>
      <c r="AA14" t="s">
        <v>3403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1900</v>
      </c>
      <c r="R15" t="s">
        <v>3386</v>
      </c>
      <c r="S15" t="s">
        <v>3378</v>
      </c>
      <c r="U15" s="4">
        <f>[1]FTRA!F71</f>
        <v>18.402975262404723</v>
      </c>
      <c r="X15" t="s">
        <v>1794</v>
      </c>
      <c r="Y15">
        <v>30</v>
      </c>
      <c r="AA15" t="s">
        <v>3404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1898</v>
      </c>
      <c r="R16" t="s">
        <v>3387</v>
      </c>
      <c r="S16" t="s">
        <v>3378</v>
      </c>
      <c r="U16" s="4">
        <f>[1]FTRA!F72</f>
        <v>21.907017031495844</v>
      </c>
      <c r="X16" t="s">
        <v>1789</v>
      </c>
      <c r="Y16">
        <v>30</v>
      </c>
      <c r="AA16" t="s">
        <v>3399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3111</v>
      </c>
      <c r="Y17">
        <v>30</v>
      </c>
      <c r="AA17" t="s">
        <v>3405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1764</v>
      </c>
      <c r="Y18">
        <v>30</v>
      </c>
      <c r="AA18" t="s">
        <v>3400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1679</v>
      </c>
      <c r="Y19">
        <v>20</v>
      </c>
      <c r="AA19" t="s">
        <v>3401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5656</v>
      </c>
      <c r="Y20">
        <v>27</v>
      </c>
      <c r="AA20" t="s">
        <v>5891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2260</v>
      </c>
      <c r="Y21">
        <v>27</v>
      </c>
      <c r="AA21" t="s">
        <v>3402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2258</v>
      </c>
      <c r="Y22">
        <v>30</v>
      </c>
      <c r="AA22" t="s">
        <v>3406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1731</v>
      </c>
      <c r="Y23">
        <v>20</v>
      </c>
      <c r="AA23" t="s">
        <v>3407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1707</v>
      </c>
      <c r="Y24">
        <v>27</v>
      </c>
      <c r="AA24" t="s">
        <v>3408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2206</v>
      </c>
      <c r="Y25">
        <v>11</v>
      </c>
      <c r="AA25" t="s">
        <v>3409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2204</v>
      </c>
      <c r="Y26">
        <v>21</v>
      </c>
      <c r="AA26" t="s">
        <v>3410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3003</v>
      </c>
      <c r="Y27">
        <v>20.52</v>
      </c>
      <c r="AA27" t="s">
        <v>3411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3005</v>
      </c>
      <c r="Y28">
        <v>18.649999999999999</v>
      </c>
      <c r="AA28" t="s">
        <v>3412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3007</v>
      </c>
      <c r="Y29">
        <v>20.78</v>
      </c>
      <c r="AA29" t="s">
        <v>3413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3009</v>
      </c>
      <c r="Y30">
        <v>20.58</v>
      </c>
      <c r="AA30" t="s">
        <v>3414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3011</v>
      </c>
      <c r="Y31">
        <v>20.64</v>
      </c>
      <c r="AA31" t="s">
        <v>3415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3013</v>
      </c>
      <c r="Y32">
        <v>18.48</v>
      </c>
      <c r="AA32" t="s">
        <v>3416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3015</v>
      </c>
      <c r="Y33">
        <v>19.68</v>
      </c>
      <c r="AA33" t="s">
        <v>3417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3017</v>
      </c>
      <c r="Y34">
        <v>20.94</v>
      </c>
      <c r="AA34" t="s">
        <v>3418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3029</v>
      </c>
      <c r="Y35">
        <v>18.5</v>
      </c>
      <c r="AA35" t="s">
        <v>3419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3019</v>
      </c>
      <c r="Y36">
        <v>15.4</v>
      </c>
      <c r="AA36" t="s">
        <v>3420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3021</v>
      </c>
      <c r="Y37">
        <v>18.62</v>
      </c>
      <c r="AA37" t="s">
        <v>3421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3023</v>
      </c>
      <c r="Y38">
        <v>18.690000000000001</v>
      </c>
      <c r="AA38" t="s">
        <v>3422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3025</v>
      </c>
      <c r="Y39">
        <v>19.809999999999999</v>
      </c>
      <c r="AA39" t="s">
        <v>3423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3031</v>
      </c>
      <c r="Y40">
        <v>18.690000000000001</v>
      </c>
      <c r="AA40" t="s">
        <v>3424</v>
      </c>
    </row>
    <row r="41" spans="7:27" x14ac:dyDescent="0.25">
      <c r="G41" t="s">
        <v>29</v>
      </c>
      <c r="H41" t="s">
        <v>3078</v>
      </c>
      <c r="I41" s="4">
        <f t="shared" si="6"/>
        <v>1.4</v>
      </c>
      <c r="K41" t="str">
        <f t="shared" ref="K41:K70" si="7">LEFT(L41,6)</f>
        <v>TFHCV4</v>
      </c>
      <c r="L41" t="s">
        <v>5818</v>
      </c>
      <c r="M41" s="4">
        <f t="shared" ref="M41:M70" si="8">INDEX($U$7:$U$16,MATCH(K41,$Q$7:$Q$16,0))</f>
        <v>7.9193584801965402</v>
      </c>
      <c r="X41" t="s">
        <v>3027</v>
      </c>
      <c r="Y41">
        <v>20.350000000000001</v>
      </c>
      <c r="AA41" t="s">
        <v>3425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3033</v>
      </c>
      <c r="Y42">
        <f>Y40</f>
        <v>18.690000000000001</v>
      </c>
      <c r="AA42" t="s">
        <v>3426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2193</v>
      </c>
      <c r="Y43">
        <v>21</v>
      </c>
      <c r="AA43" t="s">
        <v>3427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2144</v>
      </c>
      <c r="Y44">
        <v>27</v>
      </c>
      <c r="AA44" t="s">
        <v>3428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2088</v>
      </c>
      <c r="Y45">
        <v>20.84</v>
      </c>
      <c r="AA45" t="s">
        <v>3429</v>
      </c>
    </row>
    <row r="46" spans="7:27" x14ac:dyDescent="0.25">
      <c r="G46" t="s">
        <v>522</v>
      </c>
      <c r="H46" t="s">
        <v>3080</v>
      </c>
      <c r="I46" s="4">
        <f t="shared" si="6"/>
        <v>1.4</v>
      </c>
      <c r="K46" t="str">
        <f t="shared" si="7"/>
        <v>TFHCV5</v>
      </c>
      <c r="L46" t="s">
        <v>5820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5822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5824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5826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5828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D23" sqref="D23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5545</v>
      </c>
      <c r="B1" t="s">
        <v>2418</v>
      </c>
      <c r="C1" t="s">
        <v>3580</v>
      </c>
      <c r="D1" t="s">
        <v>5882</v>
      </c>
      <c r="G1" t="s">
        <v>2446</v>
      </c>
      <c r="H1" t="s">
        <v>2418</v>
      </c>
      <c r="I1" t="s">
        <v>3580</v>
      </c>
      <c r="J1" t="s">
        <v>3714</v>
      </c>
      <c r="N1" t="s">
        <v>43</v>
      </c>
      <c r="O1" t="s">
        <v>43</v>
      </c>
      <c r="P1" t="s">
        <v>3196</v>
      </c>
    </row>
    <row r="2" spans="1:16" x14ac:dyDescent="0.25">
      <c r="A2" t="s">
        <v>1648</v>
      </c>
      <c r="B2" t="s">
        <v>4972</v>
      </c>
      <c r="C2">
        <f>MATCH(A2,mapPRC!A$2:A$1154,0)</f>
        <v>106</v>
      </c>
      <c r="G2" t="s">
        <v>1648</v>
      </c>
      <c r="H2" t="s">
        <v>1647</v>
      </c>
      <c r="I2">
        <f>MATCH(G2,mapPRC!$A$2:$A$1154,0)</f>
        <v>106</v>
      </c>
      <c r="N2" t="s">
        <v>3196</v>
      </c>
      <c r="O2" t="s">
        <v>2427</v>
      </c>
      <c r="P2" t="s">
        <v>43</v>
      </c>
    </row>
    <row r="3" spans="1:16" x14ac:dyDescent="0.25">
      <c r="A3" t="s">
        <v>1646</v>
      </c>
      <c r="B3" t="s">
        <v>4973</v>
      </c>
      <c r="C3">
        <f>MATCH(A3,mapPRC!A$2:A$1154,0)</f>
        <v>107</v>
      </c>
      <c r="G3" t="s">
        <v>1646</v>
      </c>
      <c r="H3" t="s">
        <v>1645</v>
      </c>
      <c r="I3">
        <f>MATCH(G3,mapPRC!$A$2:$A$1154,0)</f>
        <v>107</v>
      </c>
      <c r="N3" t="s">
        <v>1622</v>
      </c>
      <c r="O3" t="s">
        <v>140</v>
      </c>
      <c r="P3" t="s">
        <v>3589</v>
      </c>
    </row>
    <row r="4" spans="1:16" x14ac:dyDescent="0.25">
      <c r="A4" t="s">
        <v>1644</v>
      </c>
      <c r="B4" t="s">
        <v>4974</v>
      </c>
      <c r="C4">
        <f>MATCH(A4,mapPRC!A$2:A$1154,0)</f>
        <v>108</v>
      </c>
      <c r="G4" t="s">
        <v>1644</v>
      </c>
      <c r="H4" t="s">
        <v>1643</v>
      </c>
      <c r="I4">
        <f>MATCH(G4,mapPRC!$A$2:$A$1154,0)</f>
        <v>108</v>
      </c>
      <c r="N4" t="s">
        <v>3467</v>
      </c>
      <c r="O4" t="s">
        <v>3196</v>
      </c>
      <c r="P4" t="s">
        <v>1263</v>
      </c>
    </row>
    <row r="5" spans="1:16" x14ac:dyDescent="0.25">
      <c r="A5" t="s">
        <v>1642</v>
      </c>
      <c r="B5" t="s">
        <v>4975</v>
      </c>
      <c r="C5">
        <f>MATCH(A5,mapPRC!A$2:A$1154,0)</f>
        <v>109</v>
      </c>
      <c r="G5" t="s">
        <v>1642</v>
      </c>
      <c r="H5" t="s">
        <v>1641</v>
      </c>
      <c r="I5">
        <f>MATCH(G5,mapPRC!$A$2:$A$1154,0)</f>
        <v>109</v>
      </c>
      <c r="N5" t="s">
        <v>3716</v>
      </c>
      <c r="O5" t="s">
        <v>1622</v>
      </c>
      <c r="P5" t="s">
        <v>2988</v>
      </c>
    </row>
    <row r="6" spans="1:16" x14ac:dyDescent="0.25">
      <c r="A6" t="s">
        <v>1640</v>
      </c>
      <c r="B6" t="s">
        <v>4976</v>
      </c>
      <c r="C6">
        <f>MATCH(A6,mapPRC!A$2:A$1154,0)</f>
        <v>110</v>
      </c>
      <c r="G6" t="s">
        <v>1640</v>
      </c>
      <c r="H6" t="s">
        <v>1639</v>
      </c>
      <c r="I6">
        <f>MATCH(G6,mapPRC!$A$2:$A$1154,0)</f>
        <v>110</v>
      </c>
      <c r="N6" t="s">
        <v>1472</v>
      </c>
      <c r="O6" t="s">
        <v>3049</v>
      </c>
      <c r="P6" t="s">
        <v>2990</v>
      </c>
    </row>
    <row r="7" spans="1:16" x14ac:dyDescent="0.25">
      <c r="A7" t="s">
        <v>1638</v>
      </c>
      <c r="B7" t="s">
        <v>4977</v>
      </c>
      <c r="C7">
        <f>MATCH(A7,mapPRC!A$2:A$1154,0)</f>
        <v>111</v>
      </c>
      <c r="G7" t="s">
        <v>1638</v>
      </c>
      <c r="H7" t="s">
        <v>1637</v>
      </c>
      <c r="I7">
        <f>MATCH(G7,mapPRC!$A$2:$A$1154,0)</f>
        <v>111</v>
      </c>
      <c r="N7" t="s">
        <v>3304</v>
      </c>
      <c r="O7" t="s">
        <v>1471</v>
      </c>
      <c r="P7" t="s">
        <v>2989</v>
      </c>
    </row>
    <row r="8" spans="1:16" x14ac:dyDescent="0.25">
      <c r="A8" t="s">
        <v>1636</v>
      </c>
      <c r="B8" t="s">
        <v>4978</v>
      </c>
      <c r="C8">
        <f>MATCH(A8,mapPRC!A$2:A$1154,0)</f>
        <v>112</v>
      </c>
      <c r="G8" t="s">
        <v>1636</v>
      </c>
      <c r="H8" t="s">
        <v>1635</v>
      </c>
      <c r="I8">
        <f>MATCH(G8,mapPRC!$A$2:$A$1154,0)</f>
        <v>112</v>
      </c>
      <c r="N8" t="s">
        <v>386</v>
      </c>
      <c r="O8" t="s">
        <v>2986</v>
      </c>
      <c r="P8" t="s">
        <v>2991</v>
      </c>
    </row>
    <row r="9" spans="1:16" x14ac:dyDescent="0.25">
      <c r="A9" t="s">
        <v>1632</v>
      </c>
      <c r="B9" t="s">
        <v>4979</v>
      </c>
      <c r="C9">
        <f>MATCH(A9,mapPRC!A$2:A$1154,0)</f>
        <v>114</v>
      </c>
      <c r="G9" t="s">
        <v>1634</v>
      </c>
      <c r="H9" t="s">
        <v>1633</v>
      </c>
      <c r="I9">
        <f>MATCH(G9,mapPRC!$A$2:$A$1154,0)</f>
        <v>113</v>
      </c>
      <c r="N9" t="s">
        <v>960</v>
      </c>
      <c r="O9" t="s">
        <v>2987</v>
      </c>
      <c r="P9" t="s">
        <v>708</v>
      </c>
    </row>
    <row r="10" spans="1:16" x14ac:dyDescent="0.25">
      <c r="A10" t="s">
        <v>1630</v>
      </c>
      <c r="B10" t="s">
        <v>4980</v>
      </c>
      <c r="C10">
        <f>MATCH(A10,mapPRC!A$2:A$1154,0)</f>
        <v>115</v>
      </c>
      <c r="G10" t="s">
        <v>1632</v>
      </c>
      <c r="H10" t="s">
        <v>1631</v>
      </c>
      <c r="I10">
        <f>MATCH(G10,mapPRC!$A$2:$A$1154,0)</f>
        <v>114</v>
      </c>
      <c r="N10" t="s">
        <v>3197</v>
      </c>
      <c r="O10" t="s">
        <v>3076</v>
      </c>
      <c r="P10" t="s">
        <v>1229</v>
      </c>
    </row>
    <row r="11" spans="1:16" x14ac:dyDescent="0.25">
      <c r="A11" t="s">
        <v>1628</v>
      </c>
      <c r="B11" t="s">
        <v>4981</v>
      </c>
      <c r="C11">
        <f>MATCH(A11,mapPRC!A$2:A$1154,0)</f>
        <v>116</v>
      </c>
      <c r="G11" t="s">
        <v>1630</v>
      </c>
      <c r="H11" t="s">
        <v>1629</v>
      </c>
      <c r="I11">
        <f>MATCH(G11,mapPRC!$A$2:$A$1154,0)</f>
        <v>115</v>
      </c>
      <c r="N11" t="s">
        <v>3280</v>
      </c>
      <c r="O11" t="s">
        <v>3077</v>
      </c>
      <c r="P11" t="s">
        <v>1226</v>
      </c>
    </row>
    <row r="12" spans="1:16" x14ac:dyDescent="0.25">
      <c r="A12" t="s">
        <v>1626</v>
      </c>
      <c r="B12" t="s">
        <v>4982</v>
      </c>
      <c r="C12">
        <f>MATCH(A12,mapPRC!A$2:A$1154,0)</f>
        <v>117</v>
      </c>
      <c r="G12" t="s">
        <v>1628</v>
      </c>
      <c r="H12" t="s">
        <v>1627</v>
      </c>
      <c r="I12">
        <f>MATCH(G12,mapPRC!$A$2:$A$1154,0)</f>
        <v>116</v>
      </c>
      <c r="N12" t="s">
        <v>3290</v>
      </c>
      <c r="O12" t="s">
        <v>44</v>
      </c>
      <c r="P12" t="s">
        <v>444</v>
      </c>
    </row>
    <row r="13" spans="1:16" x14ac:dyDescent="0.25">
      <c r="A13" t="s">
        <v>1621</v>
      </c>
      <c r="B13" t="s">
        <v>4983</v>
      </c>
      <c r="C13">
        <f>MATCH(A13,mapPRC!A$2:A$1154,0)</f>
        <v>119</v>
      </c>
      <c r="G13" t="s">
        <v>1626</v>
      </c>
      <c r="H13" t="s">
        <v>1625</v>
      </c>
      <c r="I13">
        <f>MATCH(G13,mapPRC!$A$2:$A$1154,0)</f>
        <v>117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1620</v>
      </c>
      <c r="B14" t="s">
        <v>1574</v>
      </c>
      <c r="C14">
        <f>MATCH(A14,mapPRC!A$2:A$1154,0)</f>
        <v>120</v>
      </c>
      <c r="G14" t="s">
        <v>1624</v>
      </c>
      <c r="H14" t="s">
        <v>1623</v>
      </c>
      <c r="I14">
        <f>MATCH(G14,mapPRC!$A$2:$A$1154,0)</f>
        <v>118</v>
      </c>
      <c r="N14" t="s">
        <v>3165</v>
      </c>
      <c r="O14" t="s">
        <v>1264</v>
      </c>
      <c r="P14" t="s">
        <v>406</v>
      </c>
    </row>
    <row r="15" spans="1:16" x14ac:dyDescent="0.25">
      <c r="A15" t="s">
        <v>1619</v>
      </c>
      <c r="B15" t="s">
        <v>4984</v>
      </c>
      <c r="C15">
        <f>MATCH(A15,mapPRC!A$2:A$1154,0)</f>
        <v>121</v>
      </c>
      <c r="G15" t="s">
        <v>1621</v>
      </c>
      <c r="H15" t="s">
        <v>1576</v>
      </c>
      <c r="I15">
        <f>MATCH(G15,mapPRC!$A$2:$A$1154,0)</f>
        <v>119</v>
      </c>
      <c r="N15" t="s">
        <v>387</v>
      </c>
      <c r="O15" t="s">
        <v>3717</v>
      </c>
      <c r="P15" t="s">
        <v>958</v>
      </c>
    </row>
    <row r="16" spans="1:16" x14ac:dyDescent="0.25">
      <c r="A16" t="s">
        <v>1618</v>
      </c>
      <c r="B16" t="s">
        <v>4985</v>
      </c>
      <c r="C16">
        <f>MATCH(A16,mapPRC!A$2:A$1154,0)</f>
        <v>122</v>
      </c>
      <c r="G16" t="s">
        <v>1620</v>
      </c>
      <c r="H16" t="s">
        <v>1574</v>
      </c>
      <c r="I16">
        <f>MATCH(G16,mapPRC!$A$2:$A$1154,0)</f>
        <v>120</v>
      </c>
      <c r="N16" t="s">
        <v>719</v>
      </c>
      <c r="O16" t="s">
        <v>3719</v>
      </c>
      <c r="P16" t="s">
        <v>1101</v>
      </c>
    </row>
    <row r="17" spans="1:16" x14ac:dyDescent="0.25">
      <c r="A17" t="s">
        <v>1617</v>
      </c>
      <c r="B17" t="s">
        <v>4986</v>
      </c>
      <c r="C17">
        <f>MATCH(A17,mapPRC!A$2:A$1154,0)</f>
        <v>123</v>
      </c>
      <c r="G17" t="s">
        <v>1619</v>
      </c>
      <c r="H17" t="s">
        <v>1572</v>
      </c>
      <c r="I17">
        <f>MATCH(G17,mapPRC!$A$2:$A$1154,0)</f>
        <v>121</v>
      </c>
      <c r="N17" t="s">
        <v>21</v>
      </c>
      <c r="O17" t="s">
        <v>3718</v>
      </c>
      <c r="P17" t="s">
        <v>516</v>
      </c>
    </row>
    <row r="18" spans="1:16" x14ac:dyDescent="0.25">
      <c r="A18" t="s">
        <v>1616</v>
      </c>
      <c r="B18" t="s">
        <v>4987</v>
      </c>
      <c r="C18">
        <f>MATCH(A18,mapPRC!A$2:A$1154,0)</f>
        <v>124</v>
      </c>
      <c r="G18" t="s">
        <v>1618</v>
      </c>
      <c r="H18" t="s">
        <v>1570</v>
      </c>
      <c r="I18">
        <f>MATCH(G18,mapPRC!$A$2:$A$1154,0)</f>
        <v>122</v>
      </c>
      <c r="N18" t="s">
        <v>26</v>
      </c>
      <c r="O18" t="s">
        <v>1578</v>
      </c>
      <c r="P18" t="s">
        <v>519</v>
      </c>
    </row>
    <row r="19" spans="1:16" x14ac:dyDescent="0.25">
      <c r="A19" t="s">
        <v>1615</v>
      </c>
      <c r="B19" t="s">
        <v>4988</v>
      </c>
      <c r="C19">
        <f>MATCH(A19,mapPRC!A$2:A$1154,0)</f>
        <v>125</v>
      </c>
      <c r="G19" t="s">
        <v>1617</v>
      </c>
      <c r="H19" t="s">
        <v>1568</v>
      </c>
      <c r="I19">
        <f>MATCH(G19,mapPRC!$A$2:$A$1154,0)</f>
        <v>123</v>
      </c>
      <c r="N19" t="s">
        <v>1772</v>
      </c>
      <c r="O19" t="s">
        <v>1489</v>
      </c>
      <c r="P19" t="s">
        <v>513</v>
      </c>
    </row>
    <row r="20" spans="1:16" x14ac:dyDescent="0.25">
      <c r="A20" t="s">
        <v>1614</v>
      </c>
      <c r="B20" t="s">
        <v>4989</v>
      </c>
      <c r="C20">
        <f>MATCH(A20,mapPRC!A$2:A$1154,0)</f>
        <v>126</v>
      </c>
      <c r="G20" t="s">
        <v>1616</v>
      </c>
      <c r="H20" t="s">
        <v>1566</v>
      </c>
      <c r="I20">
        <f>MATCH(G20,mapPRC!$A$2:$A$1154,0)</f>
        <v>124</v>
      </c>
      <c r="O20" t="s">
        <v>392</v>
      </c>
      <c r="P20" t="s">
        <v>510</v>
      </c>
    </row>
    <row r="21" spans="1:16" x14ac:dyDescent="0.25">
      <c r="A21" t="s">
        <v>1613</v>
      </c>
      <c r="B21" t="s">
        <v>4990</v>
      </c>
      <c r="C21">
        <f>MATCH(A21,mapPRC!A$2:A$1154,0)</f>
        <v>127</v>
      </c>
      <c r="G21" t="s">
        <v>1615</v>
      </c>
      <c r="H21" t="s">
        <v>1564</v>
      </c>
      <c r="I21">
        <f>MATCH(G21,mapPRC!$A$2:$A$1154,0)</f>
        <v>125</v>
      </c>
      <c r="O21" t="s">
        <v>411</v>
      </c>
      <c r="P21" t="s">
        <v>507</v>
      </c>
    </row>
    <row r="22" spans="1:16" x14ac:dyDescent="0.25">
      <c r="A22" t="s">
        <v>1612</v>
      </c>
      <c r="B22" t="s">
        <v>4991</v>
      </c>
      <c r="C22">
        <f>MATCH(A22,mapPRC!A$2:A$1154,0)</f>
        <v>128</v>
      </c>
      <c r="G22" t="s">
        <v>1614</v>
      </c>
      <c r="H22" t="s">
        <v>1562</v>
      </c>
      <c r="I22">
        <f>MATCH(G22,mapPRC!$A$2:$A$1154,0)</f>
        <v>126</v>
      </c>
      <c r="O22" t="s">
        <v>3125</v>
      </c>
      <c r="P22" t="s">
        <v>501</v>
      </c>
    </row>
    <row r="23" spans="1:16" x14ac:dyDescent="0.25">
      <c r="A23" t="s">
        <v>1611</v>
      </c>
      <c r="B23" t="s">
        <v>4992</v>
      </c>
      <c r="C23">
        <f>MATCH(A23,mapPRC!A$2:A$1154,0)</f>
        <v>129</v>
      </c>
      <c r="G23" t="s">
        <v>1613</v>
      </c>
      <c r="H23" t="s">
        <v>1560</v>
      </c>
      <c r="I23">
        <f>MATCH(G23,mapPRC!$A$2:$A$1154,0)</f>
        <v>127</v>
      </c>
      <c r="O23" t="s">
        <v>3597</v>
      </c>
      <c r="P23" t="s">
        <v>504</v>
      </c>
    </row>
    <row r="24" spans="1:16" x14ac:dyDescent="0.25">
      <c r="A24" t="s">
        <v>1610</v>
      </c>
      <c r="B24" t="s">
        <v>4993</v>
      </c>
      <c r="C24">
        <f>MATCH(A24,mapPRC!A$2:A$1154,0)</f>
        <v>130</v>
      </c>
      <c r="G24" t="s">
        <v>1612</v>
      </c>
      <c r="H24" t="s">
        <v>1558</v>
      </c>
      <c r="I24">
        <f>MATCH(G24,mapPRC!$A$2:$A$1154,0)</f>
        <v>128</v>
      </c>
      <c r="O24" t="s">
        <v>1363</v>
      </c>
      <c r="P24" t="s">
        <v>498</v>
      </c>
    </row>
    <row r="25" spans="1:16" x14ac:dyDescent="0.25">
      <c r="A25" t="s">
        <v>1609</v>
      </c>
      <c r="B25" t="s">
        <v>4994</v>
      </c>
      <c r="C25">
        <f>MATCH(A25,mapPRC!A$2:A$1154,0)</f>
        <v>131</v>
      </c>
      <c r="G25" t="s">
        <v>1611</v>
      </c>
      <c r="H25" t="s">
        <v>1556</v>
      </c>
      <c r="I25">
        <f>MATCH(G25,mapPRC!$A$2:$A$1154,0)</f>
        <v>129</v>
      </c>
      <c r="O25" t="s">
        <v>1461</v>
      </c>
      <c r="P25" t="s">
        <v>495</v>
      </c>
    </row>
    <row r="26" spans="1:16" x14ac:dyDescent="0.25">
      <c r="A26" t="s">
        <v>1608</v>
      </c>
      <c r="B26" t="s">
        <v>4995</v>
      </c>
      <c r="C26">
        <f>MATCH(A26,mapPRC!A$2:A$1154,0)</f>
        <v>132</v>
      </c>
      <c r="G26" t="s">
        <v>1610</v>
      </c>
      <c r="H26" t="s">
        <v>1554</v>
      </c>
      <c r="I26">
        <f>MATCH(G26,mapPRC!$A$2:$A$1154,0)</f>
        <v>130</v>
      </c>
      <c r="O26" t="s">
        <v>1322</v>
      </c>
      <c r="P26" t="s">
        <v>490</v>
      </c>
    </row>
    <row r="27" spans="1:16" x14ac:dyDescent="0.25">
      <c r="A27" t="s">
        <v>1607</v>
      </c>
      <c r="B27" t="s">
        <v>4996</v>
      </c>
      <c r="C27">
        <f>MATCH(A27,mapPRC!A$2:A$1154,0)</f>
        <v>133</v>
      </c>
      <c r="G27" t="s">
        <v>1609</v>
      </c>
      <c r="H27" t="s">
        <v>1551</v>
      </c>
      <c r="I27">
        <f>MATCH(G27,mapPRC!$A$2:$A$1154,0)</f>
        <v>131</v>
      </c>
      <c r="O27" t="s">
        <v>3582</v>
      </c>
      <c r="P27" t="s">
        <v>572</v>
      </c>
    </row>
    <row r="28" spans="1:16" x14ac:dyDescent="0.25">
      <c r="A28" t="s">
        <v>1606</v>
      </c>
      <c r="B28" t="s">
        <v>4997</v>
      </c>
      <c r="C28">
        <f>MATCH(A28,mapPRC!A$2:A$1154,0)</f>
        <v>134</v>
      </c>
      <c r="G28" t="s">
        <v>1608</v>
      </c>
      <c r="H28" t="s">
        <v>1549</v>
      </c>
      <c r="I28">
        <f>MATCH(G28,mapPRC!$A$2:$A$1154,0)</f>
        <v>132</v>
      </c>
      <c r="O28" t="s">
        <v>1391</v>
      </c>
      <c r="P28" t="s">
        <v>575</v>
      </c>
    </row>
    <row r="29" spans="1:16" x14ac:dyDescent="0.25">
      <c r="A29" t="s">
        <v>1605</v>
      </c>
      <c r="B29" t="s">
        <v>4998</v>
      </c>
      <c r="C29">
        <f>MATCH(A29,mapPRC!A$2:A$1154,0)</f>
        <v>135</v>
      </c>
      <c r="G29" t="s">
        <v>1607</v>
      </c>
      <c r="H29" t="s">
        <v>1547</v>
      </c>
      <c r="I29">
        <f>MATCH(G29,mapPRC!$A$2:$A$1154,0)</f>
        <v>133</v>
      </c>
      <c r="O29" t="s">
        <v>144</v>
      </c>
      <c r="P29" t="s">
        <v>569</v>
      </c>
    </row>
    <row r="30" spans="1:16" x14ac:dyDescent="0.25">
      <c r="A30" t="s">
        <v>1604</v>
      </c>
      <c r="B30" t="s">
        <v>4999</v>
      </c>
      <c r="C30">
        <f>MATCH(A30,mapPRC!A$2:A$1154,0)</f>
        <v>136</v>
      </c>
      <c r="G30" t="s">
        <v>1606</v>
      </c>
      <c r="H30" t="s">
        <v>1545</v>
      </c>
      <c r="I30">
        <f>MATCH(G30,mapPRC!$A$2:$A$1154,0)</f>
        <v>134</v>
      </c>
      <c r="O30" t="s">
        <v>1313</v>
      </c>
      <c r="P30" t="s">
        <v>550</v>
      </c>
    </row>
    <row r="31" spans="1:16" x14ac:dyDescent="0.25">
      <c r="A31" t="s">
        <v>1603</v>
      </c>
      <c r="B31" t="s">
        <v>5000</v>
      </c>
      <c r="C31">
        <f>MATCH(A31,mapPRC!A$2:A$1154,0)</f>
        <v>137</v>
      </c>
      <c r="G31" t="s">
        <v>1605</v>
      </c>
      <c r="H31" t="s">
        <v>1543</v>
      </c>
      <c r="I31">
        <f>MATCH(G31,mapPRC!$A$2:$A$1154,0)</f>
        <v>135</v>
      </c>
      <c r="O31" t="s">
        <v>3584</v>
      </c>
      <c r="P31" t="s">
        <v>566</v>
      </c>
    </row>
    <row r="32" spans="1:16" x14ac:dyDescent="0.25">
      <c r="A32" t="s">
        <v>1602</v>
      </c>
      <c r="B32" t="s">
        <v>5001</v>
      </c>
      <c r="C32">
        <f>MATCH(A32,mapPRC!A$2:A$1154,0)</f>
        <v>138</v>
      </c>
      <c r="G32" t="s">
        <v>1604</v>
      </c>
      <c r="H32" t="s">
        <v>1541</v>
      </c>
      <c r="I32">
        <f>MATCH(G32,mapPRC!$A$2:$A$1154,0)</f>
        <v>136</v>
      </c>
      <c r="O32" t="s">
        <v>1454</v>
      </c>
      <c r="P32" t="s">
        <v>553</v>
      </c>
    </row>
    <row r="33" spans="1:16" x14ac:dyDescent="0.25">
      <c r="A33" t="s">
        <v>1601</v>
      </c>
      <c r="B33" t="s">
        <v>5002</v>
      </c>
      <c r="C33">
        <f>MATCH(A33,mapPRC!A$2:A$1154,0)</f>
        <v>139</v>
      </c>
      <c r="G33" t="s">
        <v>1603</v>
      </c>
      <c r="H33" t="s">
        <v>1539</v>
      </c>
      <c r="I33">
        <f>MATCH(G33,mapPRC!$A$2:$A$1154,0)</f>
        <v>137</v>
      </c>
      <c r="O33" t="s">
        <v>3585</v>
      </c>
      <c r="P33" t="s">
        <v>1078</v>
      </c>
    </row>
    <row r="34" spans="1:16" x14ac:dyDescent="0.25">
      <c r="A34" t="s">
        <v>1600</v>
      </c>
      <c r="B34" t="s">
        <v>5003</v>
      </c>
      <c r="C34">
        <f>MATCH(A34,mapPRC!A$2:A$1154,0)</f>
        <v>140</v>
      </c>
      <c r="G34" t="s">
        <v>1602</v>
      </c>
      <c r="H34" t="s">
        <v>1537</v>
      </c>
      <c r="I34">
        <f>MATCH(G34,mapPRC!$A$2:$A$1154,0)</f>
        <v>138</v>
      </c>
      <c r="O34" t="s">
        <v>1305</v>
      </c>
      <c r="P34" t="s">
        <v>1014</v>
      </c>
    </row>
    <row r="35" spans="1:16" x14ac:dyDescent="0.25">
      <c r="A35" t="s">
        <v>1599</v>
      </c>
      <c r="B35" t="s">
        <v>5004</v>
      </c>
      <c r="C35">
        <f>MATCH(A35,mapPRC!A$2:A$1154,0)</f>
        <v>141</v>
      </c>
      <c r="G35" t="s">
        <v>1601</v>
      </c>
      <c r="H35" t="s">
        <v>1535</v>
      </c>
      <c r="I35">
        <f>MATCH(G35,mapPRC!$A$2:$A$1154,0)</f>
        <v>139</v>
      </c>
      <c r="O35" t="s">
        <v>1301</v>
      </c>
      <c r="P35" t="s">
        <v>1007</v>
      </c>
    </row>
    <row r="36" spans="1:16" x14ac:dyDescent="0.25">
      <c r="A36" t="s">
        <v>1598</v>
      </c>
      <c r="B36" t="s">
        <v>5005</v>
      </c>
      <c r="C36">
        <f>MATCH(A36,mapPRC!A$2:A$1154,0)</f>
        <v>142</v>
      </c>
      <c r="G36" t="s">
        <v>1600</v>
      </c>
      <c r="H36" t="s">
        <v>1533</v>
      </c>
      <c r="I36">
        <f>MATCH(G36,mapPRC!$A$2:$A$1154,0)</f>
        <v>140</v>
      </c>
      <c r="O36" t="s">
        <v>1466</v>
      </c>
      <c r="P36" t="s">
        <v>3717</v>
      </c>
    </row>
    <row r="37" spans="1:16" x14ac:dyDescent="0.25">
      <c r="A37" t="s">
        <v>1597</v>
      </c>
      <c r="B37" t="s">
        <v>5006</v>
      </c>
      <c r="C37">
        <f>MATCH(A37,mapPRC!A$2:A$1154,0)</f>
        <v>143</v>
      </c>
      <c r="G37" t="s">
        <v>1599</v>
      </c>
      <c r="H37" t="s">
        <v>1531</v>
      </c>
      <c r="I37">
        <f>MATCH(G37,mapPRC!$A$2:$A$1154,0)</f>
        <v>141</v>
      </c>
      <c r="O37" t="s">
        <v>1412</v>
      </c>
      <c r="P37" t="s">
        <v>3719</v>
      </c>
    </row>
    <row r="38" spans="1:16" x14ac:dyDescent="0.25">
      <c r="A38" t="s">
        <v>1596</v>
      </c>
      <c r="B38" t="s">
        <v>5007</v>
      </c>
      <c r="C38">
        <f>MATCH(A38,mapPRC!A$2:A$1154,0)</f>
        <v>144</v>
      </c>
      <c r="G38" t="s">
        <v>1598</v>
      </c>
      <c r="H38" t="s">
        <v>1529</v>
      </c>
      <c r="I38">
        <f>MATCH(G38,mapPRC!$A$2:$A$1154,0)</f>
        <v>142</v>
      </c>
      <c r="O38" t="s">
        <v>1296</v>
      </c>
      <c r="P38" t="s">
        <v>3718</v>
      </c>
    </row>
    <row r="39" spans="1:16" x14ac:dyDescent="0.25">
      <c r="A39" t="s">
        <v>1595</v>
      </c>
      <c r="B39" t="s">
        <v>5008</v>
      </c>
      <c r="C39">
        <f>MATCH(A39,mapPRC!A$2:A$1154,0)</f>
        <v>145</v>
      </c>
      <c r="G39" t="s">
        <v>1597</v>
      </c>
      <c r="H39" t="s">
        <v>1527</v>
      </c>
      <c r="I39">
        <f>MATCH(G39,mapPRC!$A$2:$A$1154,0)</f>
        <v>143</v>
      </c>
      <c r="O39" t="s">
        <v>1386</v>
      </c>
      <c r="P39" t="s">
        <v>916</v>
      </c>
    </row>
    <row r="40" spans="1:16" x14ac:dyDescent="0.25">
      <c r="A40" t="s">
        <v>1594</v>
      </c>
      <c r="B40" t="s">
        <v>5009</v>
      </c>
      <c r="C40">
        <f>MATCH(A40,mapPRC!A$2:A$1154,0)</f>
        <v>146</v>
      </c>
      <c r="G40" t="s">
        <v>1596</v>
      </c>
      <c r="H40" t="s">
        <v>1525</v>
      </c>
      <c r="I40">
        <f>MATCH(G40,mapPRC!$A$2:$A$1154,0)</f>
        <v>144</v>
      </c>
      <c r="O40" t="s">
        <v>859</v>
      </c>
      <c r="P40" t="s">
        <v>921</v>
      </c>
    </row>
    <row r="41" spans="1:16" x14ac:dyDescent="0.25">
      <c r="A41" t="s">
        <v>1593</v>
      </c>
      <c r="B41" t="s">
        <v>5010</v>
      </c>
      <c r="C41">
        <f>MATCH(A41,mapPRC!A$2:A$1154,0)</f>
        <v>147</v>
      </c>
      <c r="G41" t="s">
        <v>1595</v>
      </c>
      <c r="H41" t="s">
        <v>1523</v>
      </c>
      <c r="I41">
        <f>MATCH(G41,mapPRC!$A$2:$A$1154,0)</f>
        <v>145</v>
      </c>
      <c r="O41" t="s">
        <v>42</v>
      </c>
      <c r="P41" t="s">
        <v>1217</v>
      </c>
    </row>
    <row r="42" spans="1:16" x14ac:dyDescent="0.25">
      <c r="A42" t="s">
        <v>1592</v>
      </c>
      <c r="B42" t="s">
        <v>5011</v>
      </c>
      <c r="C42">
        <f>MATCH(A42,mapPRC!A$2:A$1154,0)</f>
        <v>148</v>
      </c>
      <c r="G42" t="s">
        <v>1594</v>
      </c>
      <c r="H42" t="s">
        <v>1521</v>
      </c>
      <c r="I42">
        <f>MATCH(G42,mapPRC!$A$2:$A$1154,0)</f>
        <v>146</v>
      </c>
      <c r="O42" t="s">
        <v>2856</v>
      </c>
      <c r="P42" t="s">
        <v>1060</v>
      </c>
    </row>
    <row r="43" spans="1:16" x14ac:dyDescent="0.25">
      <c r="A43" t="s">
        <v>1591</v>
      </c>
      <c r="B43" t="s">
        <v>5012</v>
      </c>
      <c r="C43">
        <f>MATCH(A43,mapPRC!A$2:A$1154,0)</f>
        <v>149</v>
      </c>
      <c r="G43" t="s">
        <v>1593</v>
      </c>
      <c r="H43" t="s">
        <v>1519</v>
      </c>
      <c r="I43">
        <f>MATCH(G43,mapPRC!$A$2:$A$1154,0)</f>
        <v>147</v>
      </c>
      <c r="O43" t="s">
        <v>2857</v>
      </c>
      <c r="P43" t="s">
        <v>732</v>
      </c>
    </row>
    <row r="44" spans="1:16" x14ac:dyDescent="0.25">
      <c r="A44" t="s">
        <v>1590</v>
      </c>
      <c r="B44" t="s">
        <v>5013</v>
      </c>
      <c r="C44">
        <f>MATCH(A44,mapPRC!A$2:A$1154,0)</f>
        <v>150</v>
      </c>
      <c r="G44" t="s">
        <v>1592</v>
      </c>
      <c r="H44" t="s">
        <v>1517</v>
      </c>
      <c r="I44">
        <f>MATCH(G44,mapPRC!$A$2:$A$1154,0)</f>
        <v>148</v>
      </c>
      <c r="O44" t="s">
        <v>2858</v>
      </c>
      <c r="P44" t="s">
        <v>1057</v>
      </c>
    </row>
    <row r="45" spans="1:16" x14ac:dyDescent="0.25">
      <c r="A45" t="s">
        <v>1589</v>
      </c>
      <c r="B45" t="s">
        <v>5014</v>
      </c>
      <c r="C45">
        <f>MATCH(A45,mapPRC!A$2:A$1154,0)</f>
        <v>151</v>
      </c>
      <c r="G45" t="s">
        <v>1591</v>
      </c>
      <c r="H45" t="s">
        <v>1515</v>
      </c>
      <c r="I45">
        <f>MATCH(G45,mapPRC!$A$2:$A$1154,0)</f>
        <v>149</v>
      </c>
      <c r="O45" t="s">
        <v>2903</v>
      </c>
      <c r="P45" t="s">
        <v>1220</v>
      </c>
    </row>
    <row r="46" spans="1:16" x14ac:dyDescent="0.25">
      <c r="A46" t="s">
        <v>1588</v>
      </c>
      <c r="B46" t="s">
        <v>5015</v>
      </c>
      <c r="C46">
        <f>MATCH(A46,mapPRC!A$2:A$1154,0)</f>
        <v>152</v>
      </c>
      <c r="G46" t="s">
        <v>1590</v>
      </c>
      <c r="H46" t="s">
        <v>1513</v>
      </c>
      <c r="I46">
        <f>MATCH(G46,mapPRC!$A$2:$A$1154,0)</f>
        <v>150</v>
      </c>
      <c r="O46" t="s">
        <v>2859</v>
      </c>
      <c r="P46" t="s">
        <v>392</v>
      </c>
    </row>
    <row r="47" spans="1:16" x14ac:dyDescent="0.25">
      <c r="A47" t="s">
        <v>1587</v>
      </c>
      <c r="B47" t="s">
        <v>5016</v>
      </c>
      <c r="C47">
        <f>MATCH(A47,mapPRC!A$2:A$1154,0)</f>
        <v>153</v>
      </c>
      <c r="G47" t="s">
        <v>1589</v>
      </c>
      <c r="H47" t="s">
        <v>1511</v>
      </c>
      <c r="I47">
        <f>MATCH(G47,mapPRC!$A$2:$A$1154,0)</f>
        <v>151</v>
      </c>
      <c r="O47" t="s">
        <v>1262</v>
      </c>
      <c r="P47" t="s">
        <v>411</v>
      </c>
    </row>
    <row r="48" spans="1:16" x14ac:dyDescent="0.25">
      <c r="A48" t="s">
        <v>1586</v>
      </c>
      <c r="B48" t="s">
        <v>5017</v>
      </c>
      <c r="C48">
        <f>MATCH(A48,mapPRC!A$2:A$1154,0)</f>
        <v>154</v>
      </c>
      <c r="G48" t="s">
        <v>1588</v>
      </c>
      <c r="H48" t="s">
        <v>1509</v>
      </c>
      <c r="I48">
        <f>MATCH(G48,mapPRC!$A$2:$A$1154,0)</f>
        <v>152</v>
      </c>
      <c r="O48" t="s">
        <v>1235</v>
      </c>
      <c r="P48" t="s">
        <v>3597</v>
      </c>
    </row>
    <row r="49" spans="1:16" x14ac:dyDescent="0.25">
      <c r="A49" t="s">
        <v>1585</v>
      </c>
      <c r="B49" t="s">
        <v>5018</v>
      </c>
      <c r="C49">
        <f>MATCH(A49,mapPRC!A$2:A$1154,0)</f>
        <v>155</v>
      </c>
      <c r="G49" t="s">
        <v>1587</v>
      </c>
      <c r="H49" t="s">
        <v>1507</v>
      </c>
      <c r="I49">
        <f>MATCH(G49,mapPRC!$A$2:$A$1154,0)</f>
        <v>153</v>
      </c>
      <c r="O49" t="s">
        <v>598</v>
      </c>
      <c r="P49" t="s">
        <v>1000</v>
      </c>
    </row>
    <row r="50" spans="1:16" x14ac:dyDescent="0.25">
      <c r="A50" t="s">
        <v>1584</v>
      </c>
      <c r="B50" t="s">
        <v>5019</v>
      </c>
      <c r="C50">
        <f>MATCH(A50,mapPRC!A$2:A$1154,0)</f>
        <v>156</v>
      </c>
      <c r="G50" t="s">
        <v>1586</v>
      </c>
      <c r="H50" t="s">
        <v>1505</v>
      </c>
      <c r="I50">
        <f>MATCH(G50,mapPRC!$A$2:$A$1154,0)</f>
        <v>154</v>
      </c>
      <c r="O50" t="s">
        <v>578</v>
      </c>
      <c r="P50" t="s">
        <v>1209</v>
      </c>
    </row>
    <row r="51" spans="1:16" x14ac:dyDescent="0.25">
      <c r="A51" t="s">
        <v>1582</v>
      </c>
      <c r="B51" t="s">
        <v>5021</v>
      </c>
      <c r="C51">
        <f>MATCH(A51,mapPRC!A$2:A$1154,0)</f>
        <v>157</v>
      </c>
      <c r="G51" t="s">
        <v>1585</v>
      </c>
      <c r="H51" t="s">
        <v>1502</v>
      </c>
      <c r="I51">
        <f>MATCH(G51,mapPRC!$A$2:$A$1154,0)</f>
        <v>155</v>
      </c>
      <c r="O51" t="s">
        <v>37</v>
      </c>
      <c r="P51" t="s">
        <v>1211</v>
      </c>
    </row>
    <row r="52" spans="1:16" x14ac:dyDescent="0.25">
      <c r="A52" t="s">
        <v>1583</v>
      </c>
      <c r="B52" t="s">
        <v>5020</v>
      </c>
      <c r="C52">
        <f>MATCH(A52,mapPRC!A$2:A$1154,0)</f>
        <v>158</v>
      </c>
      <c r="G52" t="s">
        <v>1584</v>
      </c>
      <c r="H52" t="s">
        <v>1500</v>
      </c>
      <c r="I52">
        <f>MATCH(G52,mapPRC!$A$2:$A$1154,0)</f>
        <v>156</v>
      </c>
      <c r="O52" t="s">
        <v>416</v>
      </c>
      <c r="P52" t="s">
        <v>1206</v>
      </c>
    </row>
    <row r="53" spans="1:16" x14ac:dyDescent="0.25">
      <c r="A53" t="s">
        <v>1581</v>
      </c>
      <c r="B53" t="s">
        <v>5022</v>
      </c>
      <c r="C53">
        <f>MATCH(A53,mapPRC!A$2:A$1154,0)</f>
        <v>159</v>
      </c>
      <c r="G53" t="s">
        <v>1582</v>
      </c>
      <c r="H53" t="s">
        <v>1496</v>
      </c>
      <c r="I53">
        <f>MATCH(G53,mapPRC!$A$2:$A$1154,0)</f>
        <v>157</v>
      </c>
      <c r="O53" t="s">
        <v>3293</v>
      </c>
      <c r="P53" t="s">
        <v>3440</v>
      </c>
    </row>
    <row r="54" spans="1:16" x14ac:dyDescent="0.25">
      <c r="A54" t="s">
        <v>1580</v>
      </c>
      <c r="B54" t="s">
        <v>5023</v>
      </c>
      <c r="C54">
        <f>MATCH(A54,mapPRC!A$2:A$1154,0)</f>
        <v>160</v>
      </c>
      <c r="G54" t="s">
        <v>1583</v>
      </c>
      <c r="H54" t="s">
        <v>1498</v>
      </c>
      <c r="I54">
        <f>MATCH(G54,mapPRC!$A$2:$A$1154,0)</f>
        <v>158</v>
      </c>
      <c r="O54" t="s">
        <v>830</v>
      </c>
      <c r="P54" t="s">
        <v>3439</v>
      </c>
    </row>
    <row r="55" spans="1:16" x14ac:dyDescent="0.25">
      <c r="A55" t="s">
        <v>1579</v>
      </c>
      <c r="B55" t="s">
        <v>5024</v>
      </c>
      <c r="C55">
        <f>MATCH(A55,mapPRC!A$2:A$1154,0)</f>
        <v>161</v>
      </c>
      <c r="G55" t="s">
        <v>1581</v>
      </c>
      <c r="H55" t="s">
        <v>1494</v>
      </c>
      <c r="I55">
        <f>MATCH(G55,mapPRC!$A$2:$A$1154,0)</f>
        <v>159</v>
      </c>
      <c r="O55" t="s">
        <v>3294</v>
      </c>
      <c r="P55" t="s">
        <v>1461</v>
      </c>
    </row>
    <row r="56" spans="1:16" x14ac:dyDescent="0.25">
      <c r="A56" t="s">
        <v>1577</v>
      </c>
      <c r="B56" t="s">
        <v>4983</v>
      </c>
      <c r="C56">
        <f>MATCH(A56,mapPRC!A$2:A$1154,0)</f>
        <v>162</v>
      </c>
      <c r="G56" t="s">
        <v>1580</v>
      </c>
      <c r="H56" t="s">
        <v>1492</v>
      </c>
      <c r="I56">
        <f>MATCH(G56,mapPRC!$A$2:$A$1154,0)</f>
        <v>160</v>
      </c>
      <c r="O56" t="s">
        <v>3295</v>
      </c>
      <c r="P56" t="s">
        <v>3581</v>
      </c>
    </row>
    <row r="57" spans="1:16" x14ac:dyDescent="0.25">
      <c r="A57" t="s">
        <v>1575</v>
      </c>
      <c r="B57" t="s">
        <v>1574</v>
      </c>
      <c r="C57">
        <f>MATCH(A57,mapPRC!A$2:A$1154,0)</f>
        <v>163</v>
      </c>
      <c r="G57" t="s">
        <v>1579</v>
      </c>
      <c r="H57" t="s">
        <v>1490</v>
      </c>
      <c r="I57">
        <f>MATCH(G57,mapPRC!$A$2:$A$1154,0)</f>
        <v>161</v>
      </c>
      <c r="O57" t="s">
        <v>3296</v>
      </c>
      <c r="P57" t="s">
        <v>3444</v>
      </c>
    </row>
    <row r="58" spans="1:16" x14ac:dyDescent="0.25">
      <c r="A58" t="s">
        <v>1573</v>
      </c>
      <c r="B58" t="s">
        <v>4984</v>
      </c>
      <c r="C58">
        <f>MATCH(A58,mapPRC!A$2:A$1154,0)</f>
        <v>164</v>
      </c>
      <c r="G58" t="s">
        <v>1577</v>
      </c>
      <c r="H58" t="s">
        <v>1576</v>
      </c>
      <c r="I58">
        <f>MATCH(G58,mapPRC!$A$2:$A$1154,0)</f>
        <v>162</v>
      </c>
      <c r="O58" t="s">
        <v>3297</v>
      </c>
      <c r="P58" t="s">
        <v>3445</v>
      </c>
    </row>
    <row r="59" spans="1:16" x14ac:dyDescent="0.25">
      <c r="A59" t="s">
        <v>1571</v>
      </c>
      <c r="B59" t="s">
        <v>4985</v>
      </c>
      <c r="C59">
        <f>MATCH(A59,mapPRC!A$2:A$1154,0)</f>
        <v>165</v>
      </c>
      <c r="G59" t="s">
        <v>1575</v>
      </c>
      <c r="H59" t="s">
        <v>1574</v>
      </c>
      <c r="I59">
        <f>MATCH(G59,mapPRC!$A$2:$A$1154,0)</f>
        <v>163</v>
      </c>
      <c r="O59" t="s">
        <v>3298</v>
      </c>
      <c r="P59" t="s">
        <v>1391</v>
      </c>
    </row>
    <row r="60" spans="1:16" x14ac:dyDescent="0.25">
      <c r="A60" t="s">
        <v>1569</v>
      </c>
      <c r="B60" t="s">
        <v>4986</v>
      </c>
      <c r="C60">
        <f>MATCH(A60,mapPRC!A$2:A$1154,0)</f>
        <v>166</v>
      </c>
      <c r="G60" t="s">
        <v>1573</v>
      </c>
      <c r="H60" t="s">
        <v>1572</v>
      </c>
      <c r="I60">
        <f>MATCH(G60,mapPRC!$A$2:$A$1154,0)</f>
        <v>164</v>
      </c>
      <c r="O60" t="s">
        <v>3299</v>
      </c>
      <c r="P60" t="s">
        <v>366</v>
      </c>
    </row>
    <row r="61" spans="1:16" x14ac:dyDescent="0.25">
      <c r="A61" t="s">
        <v>1567</v>
      </c>
      <c r="B61" t="s">
        <v>4987</v>
      </c>
      <c r="C61">
        <f>MATCH(A61,mapPRC!A$2:A$1154,0)</f>
        <v>167</v>
      </c>
      <c r="G61" t="s">
        <v>1571</v>
      </c>
      <c r="H61" t="s">
        <v>1570</v>
      </c>
      <c r="I61">
        <f>MATCH(G61,mapPRC!$A$2:$A$1154,0)</f>
        <v>165</v>
      </c>
      <c r="O61" t="s">
        <v>3300</v>
      </c>
      <c r="P61" t="s">
        <v>351</v>
      </c>
    </row>
    <row r="62" spans="1:16" x14ac:dyDescent="0.25">
      <c r="A62" t="s">
        <v>1565</v>
      </c>
      <c r="B62" t="s">
        <v>4988</v>
      </c>
      <c r="C62">
        <f>MATCH(A62,mapPRC!A$2:A$1154,0)</f>
        <v>168</v>
      </c>
      <c r="G62" t="s">
        <v>1569</v>
      </c>
      <c r="H62" t="s">
        <v>1568</v>
      </c>
      <c r="I62">
        <f>MATCH(G62,mapPRC!$A$2:$A$1154,0)</f>
        <v>166</v>
      </c>
      <c r="O62" t="s">
        <v>3301</v>
      </c>
      <c r="P62" t="s">
        <v>143</v>
      </c>
    </row>
    <row r="63" spans="1:16" x14ac:dyDescent="0.25">
      <c r="A63" t="s">
        <v>1563</v>
      </c>
      <c r="B63" t="s">
        <v>4989</v>
      </c>
      <c r="C63">
        <f>MATCH(A63,mapPRC!A$2:A$1154,0)</f>
        <v>169</v>
      </c>
      <c r="G63" t="s">
        <v>1567</v>
      </c>
      <c r="H63" t="s">
        <v>1566</v>
      </c>
      <c r="I63">
        <f>MATCH(G63,mapPRC!$A$2:$A$1154,0)</f>
        <v>167</v>
      </c>
      <c r="O63" t="s">
        <v>3302</v>
      </c>
      <c r="P63" t="s">
        <v>190</v>
      </c>
    </row>
    <row r="64" spans="1:16" x14ac:dyDescent="0.25">
      <c r="A64" t="s">
        <v>1561</v>
      </c>
      <c r="B64" t="s">
        <v>4990</v>
      </c>
      <c r="C64">
        <f>MATCH(A64,mapPRC!A$2:A$1154,0)</f>
        <v>170</v>
      </c>
      <c r="G64" t="s">
        <v>1565</v>
      </c>
      <c r="H64" t="s">
        <v>1564</v>
      </c>
      <c r="I64">
        <f>MATCH(G64,mapPRC!$A$2:$A$1154,0)</f>
        <v>168</v>
      </c>
      <c r="O64" t="s">
        <v>3303</v>
      </c>
      <c r="P64" t="s">
        <v>175</v>
      </c>
    </row>
    <row r="65" spans="1:16" x14ac:dyDescent="0.25">
      <c r="A65" t="s">
        <v>1559</v>
      </c>
      <c r="B65" t="s">
        <v>4991</v>
      </c>
      <c r="C65">
        <f>MATCH(A65,mapPRC!A$2:A$1154,0)</f>
        <v>171</v>
      </c>
      <c r="G65" t="s">
        <v>1563</v>
      </c>
      <c r="H65" t="s">
        <v>1562</v>
      </c>
      <c r="I65">
        <f>MATCH(G65,mapPRC!$A$2:$A$1154,0)</f>
        <v>169</v>
      </c>
      <c r="O65" t="s">
        <v>3588</v>
      </c>
      <c r="P65" t="s">
        <v>1313</v>
      </c>
    </row>
    <row r="66" spans="1:16" x14ac:dyDescent="0.25">
      <c r="A66" t="s">
        <v>1557</v>
      </c>
      <c r="B66" t="s">
        <v>4992</v>
      </c>
      <c r="C66">
        <f>MATCH(A66,mapPRC!A$2:A$1154,0)</f>
        <v>172</v>
      </c>
      <c r="G66" t="s">
        <v>1561</v>
      </c>
      <c r="H66" t="s">
        <v>1560</v>
      </c>
      <c r="I66">
        <f>MATCH(G66,mapPRC!$A$2:$A$1154,0)</f>
        <v>170</v>
      </c>
      <c r="O66" t="s">
        <v>3587</v>
      </c>
      <c r="P66" t="s">
        <v>3583</v>
      </c>
    </row>
    <row r="67" spans="1:16" x14ac:dyDescent="0.25">
      <c r="A67" t="s">
        <v>1555</v>
      </c>
      <c r="B67" t="s">
        <v>4993</v>
      </c>
      <c r="C67">
        <f>MATCH(A67,mapPRC!A$2:A$1154,0)</f>
        <v>173</v>
      </c>
      <c r="G67" t="s">
        <v>1559</v>
      </c>
      <c r="H67" t="s">
        <v>1558</v>
      </c>
      <c r="I67">
        <f>MATCH(G67,mapPRC!$A$2:$A$1154,0)</f>
        <v>171</v>
      </c>
      <c r="O67" t="s">
        <v>3600</v>
      </c>
      <c r="P67" t="s">
        <v>1454</v>
      </c>
    </row>
    <row r="68" spans="1:16" x14ac:dyDescent="0.25">
      <c r="A68" t="s">
        <v>1552</v>
      </c>
      <c r="B68" t="s">
        <v>4994</v>
      </c>
      <c r="C68">
        <f>MATCH(A68,mapPRC!A$2:A$1154,0)</f>
        <v>174</v>
      </c>
      <c r="G68" t="s">
        <v>1557</v>
      </c>
      <c r="H68" t="s">
        <v>1556</v>
      </c>
      <c r="I68">
        <f>MATCH(G68,mapPRC!$A$2:$A$1154,0)</f>
        <v>172</v>
      </c>
      <c r="O68" t="s">
        <v>3448</v>
      </c>
      <c r="P68" t="s">
        <v>3586</v>
      </c>
    </row>
    <row r="69" spans="1:16" x14ac:dyDescent="0.25">
      <c r="A69" t="s">
        <v>1550</v>
      </c>
      <c r="B69" t="s">
        <v>4995</v>
      </c>
      <c r="C69">
        <f>MATCH(A69,mapPRC!A$2:A$1154,0)</f>
        <v>175</v>
      </c>
      <c r="G69" t="s">
        <v>1555</v>
      </c>
      <c r="H69" t="s">
        <v>1554</v>
      </c>
      <c r="I69">
        <f>MATCH(G69,mapPRC!$A$2:$A$1154,0)</f>
        <v>173</v>
      </c>
      <c r="O69" t="s">
        <v>3449</v>
      </c>
      <c r="P69" t="s">
        <v>1310</v>
      </c>
    </row>
    <row r="70" spans="1:16" x14ac:dyDescent="0.25">
      <c r="A70" t="s">
        <v>1548</v>
      </c>
      <c r="B70" t="s">
        <v>4996</v>
      </c>
      <c r="C70">
        <f>MATCH(A70,mapPRC!A$2:A$1154,0)</f>
        <v>176</v>
      </c>
      <c r="G70" t="s">
        <v>1552</v>
      </c>
      <c r="H70" t="s">
        <v>1551</v>
      </c>
      <c r="I70">
        <f>MATCH(G70,mapPRC!$A$2:$A$1154,0)</f>
        <v>174</v>
      </c>
      <c r="O70" t="s">
        <v>3450</v>
      </c>
      <c r="P70" t="s">
        <v>1045</v>
      </c>
    </row>
    <row r="71" spans="1:16" x14ac:dyDescent="0.25">
      <c r="A71" t="s">
        <v>1546</v>
      </c>
      <c r="B71" t="s">
        <v>4997</v>
      </c>
      <c r="C71">
        <f>MATCH(A71,mapPRC!A$2:A$1154,0)</f>
        <v>177</v>
      </c>
      <c r="G71" t="s">
        <v>1550</v>
      </c>
      <c r="H71" t="s">
        <v>1549</v>
      </c>
      <c r="I71">
        <f>MATCH(G71,mapPRC!$A$2:$A$1154,0)</f>
        <v>175</v>
      </c>
      <c r="O71" t="s">
        <v>423</v>
      </c>
      <c r="P71" t="s">
        <v>1054</v>
      </c>
    </row>
    <row r="72" spans="1:16" x14ac:dyDescent="0.25">
      <c r="A72" t="s">
        <v>1544</v>
      </c>
      <c r="B72" t="s">
        <v>4998</v>
      </c>
      <c r="C72">
        <f>MATCH(A72,mapPRC!A$2:A$1154,0)</f>
        <v>178</v>
      </c>
      <c r="G72" t="s">
        <v>1548</v>
      </c>
      <c r="H72" t="s">
        <v>1547</v>
      </c>
      <c r="I72">
        <f>MATCH(G72,mapPRC!$A$2:$A$1154,0)</f>
        <v>176</v>
      </c>
      <c r="O72" t="s">
        <v>1022</v>
      </c>
      <c r="P72" t="s">
        <v>1301</v>
      </c>
    </row>
    <row r="73" spans="1:16" x14ac:dyDescent="0.25">
      <c r="A73" t="s">
        <v>1542</v>
      </c>
      <c r="B73" t="s">
        <v>4999</v>
      </c>
      <c r="C73">
        <f>MATCH(A73,mapPRC!A$2:A$1154,0)</f>
        <v>179</v>
      </c>
      <c r="G73" t="s">
        <v>1546</v>
      </c>
      <c r="H73" t="s">
        <v>1545</v>
      </c>
      <c r="I73">
        <f>MATCH(G73,mapPRC!$A$2:$A$1154,0)</f>
        <v>177</v>
      </c>
      <c r="O73" t="s">
        <v>1193</v>
      </c>
      <c r="P73" t="s">
        <v>1466</v>
      </c>
    </row>
    <row r="74" spans="1:16" x14ac:dyDescent="0.25">
      <c r="A74" t="s">
        <v>1540</v>
      </c>
      <c r="B74" t="s">
        <v>5000</v>
      </c>
      <c r="C74">
        <f>MATCH(A74,mapPRC!A$2:A$1154,0)</f>
        <v>180</v>
      </c>
      <c r="G74" t="s">
        <v>1544</v>
      </c>
      <c r="H74" t="s">
        <v>1543</v>
      </c>
      <c r="I74">
        <f>MATCH(G74,mapPRC!$A$2:$A$1154,0)</f>
        <v>178</v>
      </c>
      <c r="O74" t="s">
        <v>3197</v>
      </c>
      <c r="P74" t="s">
        <v>3438</v>
      </c>
    </row>
    <row r="75" spans="1:16" x14ac:dyDescent="0.25">
      <c r="A75" t="s">
        <v>1538</v>
      </c>
      <c r="B75" t="s">
        <v>5001</v>
      </c>
      <c r="C75">
        <f>MATCH(A75,mapPRC!A$2:A$1154,0)</f>
        <v>181</v>
      </c>
      <c r="G75" t="s">
        <v>1542</v>
      </c>
      <c r="H75" t="s">
        <v>1541</v>
      </c>
      <c r="I75">
        <f>MATCH(G75,mapPRC!$A$2:$A$1154,0)</f>
        <v>179</v>
      </c>
      <c r="O75" t="s">
        <v>3291</v>
      </c>
      <c r="P75" t="s">
        <v>1433</v>
      </c>
    </row>
    <row r="76" spans="1:16" x14ac:dyDescent="0.25">
      <c r="A76" t="s">
        <v>1536</v>
      </c>
      <c r="B76" t="s">
        <v>5002</v>
      </c>
      <c r="C76">
        <f>MATCH(A76,mapPRC!A$2:A$1154,0)</f>
        <v>182</v>
      </c>
      <c r="G76" t="s">
        <v>1540</v>
      </c>
      <c r="H76" t="s">
        <v>1539</v>
      </c>
      <c r="I76">
        <f>MATCH(G76,mapPRC!$A$2:$A$1154,0)</f>
        <v>180</v>
      </c>
      <c r="O76" t="s">
        <v>778</v>
      </c>
      <c r="P76" t="s">
        <v>3372</v>
      </c>
    </row>
    <row r="77" spans="1:16" x14ac:dyDescent="0.25">
      <c r="A77" t="s">
        <v>1534</v>
      </c>
      <c r="B77" t="s">
        <v>5003</v>
      </c>
      <c r="C77">
        <f>MATCH(A77,mapPRC!A$2:A$1154,0)</f>
        <v>183</v>
      </c>
      <c r="G77" t="s">
        <v>1538</v>
      </c>
      <c r="H77" t="s">
        <v>1537</v>
      </c>
      <c r="I77">
        <f>MATCH(G77,mapPRC!$A$2:$A$1154,0)</f>
        <v>181</v>
      </c>
      <c r="O77" t="s">
        <v>3292</v>
      </c>
      <c r="P77" t="s">
        <v>1386</v>
      </c>
    </row>
    <row r="78" spans="1:16" x14ac:dyDescent="0.25">
      <c r="A78" t="s">
        <v>1532</v>
      </c>
      <c r="B78" t="s">
        <v>5004</v>
      </c>
      <c r="C78">
        <f>MATCH(A78,mapPRC!A$2:A$1154,0)</f>
        <v>184</v>
      </c>
      <c r="G78" t="s">
        <v>1536</v>
      </c>
      <c r="H78" t="s">
        <v>1535</v>
      </c>
      <c r="I78">
        <f>MATCH(G78,mapPRC!$A$2:$A$1154,0)</f>
        <v>182</v>
      </c>
      <c r="O78" t="s">
        <v>718</v>
      </c>
      <c r="P78" t="s">
        <v>859</v>
      </c>
    </row>
    <row r="79" spans="1:16" x14ac:dyDescent="0.25">
      <c r="A79" t="s">
        <v>1530</v>
      </c>
      <c r="B79" t="s">
        <v>5005</v>
      </c>
      <c r="C79">
        <f>MATCH(A79,mapPRC!A$2:A$1154,0)</f>
        <v>185</v>
      </c>
      <c r="G79" t="s">
        <v>1534</v>
      </c>
      <c r="H79" t="s">
        <v>1533</v>
      </c>
      <c r="I79">
        <f>MATCH(G79,mapPRC!$A$2:$A$1154,0)</f>
        <v>183</v>
      </c>
      <c r="O79" t="s">
        <v>1159</v>
      </c>
      <c r="P79" t="s">
        <v>1051</v>
      </c>
    </row>
    <row r="80" spans="1:16" x14ac:dyDescent="0.25">
      <c r="A80" t="s">
        <v>1528</v>
      </c>
      <c r="B80" t="s">
        <v>5006</v>
      </c>
      <c r="C80">
        <f>MATCH(A80,mapPRC!A$2:A$1154,0)</f>
        <v>186</v>
      </c>
      <c r="G80" t="s">
        <v>1532</v>
      </c>
      <c r="H80" t="s">
        <v>1531</v>
      </c>
      <c r="I80">
        <f>MATCH(G80,mapPRC!$A$2:$A$1154,0)</f>
        <v>184</v>
      </c>
      <c r="O80" t="s">
        <v>1064</v>
      </c>
      <c r="P80" t="s">
        <v>3590</v>
      </c>
    </row>
    <row r="81" spans="1:16" x14ac:dyDescent="0.25">
      <c r="A81" t="s">
        <v>1526</v>
      </c>
      <c r="B81" t="s">
        <v>5007</v>
      </c>
      <c r="C81">
        <f>MATCH(A81,mapPRC!A$2:A$1154,0)</f>
        <v>187</v>
      </c>
      <c r="G81" t="s">
        <v>1530</v>
      </c>
      <c r="H81" t="s">
        <v>1529</v>
      </c>
      <c r="I81">
        <f>MATCH(G81,mapPRC!$A$2:$A$1154,0)</f>
        <v>185</v>
      </c>
      <c r="O81" t="s">
        <v>3593</v>
      </c>
      <c r="P81" t="s">
        <v>3715</v>
      </c>
    </row>
    <row r="82" spans="1:16" x14ac:dyDescent="0.25">
      <c r="A82" t="s">
        <v>1524</v>
      </c>
      <c r="B82" t="s">
        <v>5008</v>
      </c>
      <c r="C82">
        <f>MATCH(A82,mapPRC!A$2:A$1154,0)</f>
        <v>188</v>
      </c>
      <c r="G82" t="s">
        <v>1528</v>
      </c>
      <c r="H82" t="s">
        <v>1527</v>
      </c>
      <c r="I82">
        <f>MATCH(G82,mapPRC!$A$2:$A$1154,0)</f>
        <v>186</v>
      </c>
      <c r="O82" t="s">
        <v>3592</v>
      </c>
      <c r="P82" t="s">
        <v>598</v>
      </c>
    </row>
    <row r="83" spans="1:16" x14ac:dyDescent="0.25">
      <c r="A83" t="s">
        <v>1522</v>
      </c>
      <c r="B83" t="s">
        <v>5009</v>
      </c>
      <c r="C83">
        <f>MATCH(A83,mapPRC!A$2:A$1154,0)</f>
        <v>189</v>
      </c>
      <c r="G83" t="s">
        <v>1526</v>
      </c>
      <c r="H83" t="s">
        <v>1525</v>
      </c>
      <c r="I83">
        <f>MATCH(G83,mapPRC!$A$2:$A$1154,0)</f>
        <v>187</v>
      </c>
      <c r="O83" t="s">
        <v>3280</v>
      </c>
      <c r="P83" t="s">
        <v>578</v>
      </c>
    </row>
    <row r="84" spans="1:16" x14ac:dyDescent="0.25">
      <c r="A84" t="s">
        <v>1520</v>
      </c>
      <c r="B84" t="s">
        <v>5010</v>
      </c>
      <c r="C84">
        <f>MATCH(A84,mapPRC!A$2:A$1154,0)</f>
        <v>190</v>
      </c>
      <c r="G84" t="s">
        <v>1524</v>
      </c>
      <c r="H84" t="s">
        <v>1523</v>
      </c>
      <c r="I84">
        <f>MATCH(G84,mapPRC!$A$2:$A$1154,0)</f>
        <v>188</v>
      </c>
      <c r="O84" t="s">
        <v>30</v>
      </c>
      <c r="P84" t="s">
        <v>909</v>
      </c>
    </row>
    <row r="85" spans="1:16" x14ac:dyDescent="0.25">
      <c r="A85" t="s">
        <v>1518</v>
      </c>
      <c r="B85" t="s">
        <v>5011</v>
      </c>
      <c r="C85">
        <f>MATCH(A85,mapPRC!A$2:A$1154,0)</f>
        <v>191</v>
      </c>
      <c r="G85" t="s">
        <v>1522</v>
      </c>
      <c r="H85" t="s">
        <v>1521</v>
      </c>
      <c r="I85">
        <f>MATCH(G85,mapPRC!$A$2:$A$1154,0)</f>
        <v>189</v>
      </c>
      <c r="O85" t="s">
        <v>25</v>
      </c>
      <c r="P85" t="s">
        <v>906</v>
      </c>
    </row>
    <row r="86" spans="1:16" x14ac:dyDescent="0.25">
      <c r="A86" t="s">
        <v>1516</v>
      </c>
      <c r="B86" t="s">
        <v>5012</v>
      </c>
      <c r="C86">
        <f>MATCH(A86,mapPRC!A$2:A$1154,0)</f>
        <v>192</v>
      </c>
      <c r="G86" t="s">
        <v>1520</v>
      </c>
      <c r="H86" t="s">
        <v>1519</v>
      </c>
      <c r="I86">
        <f>MATCH(G86,mapPRC!$A$2:$A$1154,0)</f>
        <v>190</v>
      </c>
      <c r="O86" t="s">
        <v>1107</v>
      </c>
      <c r="P86" t="s">
        <v>1071</v>
      </c>
    </row>
    <row r="87" spans="1:16" x14ac:dyDescent="0.25">
      <c r="A87" t="s">
        <v>1514</v>
      </c>
      <c r="B87" t="s">
        <v>5013</v>
      </c>
      <c r="C87">
        <f>MATCH(A87,mapPRC!A$2:A$1154,0)</f>
        <v>193</v>
      </c>
      <c r="G87" t="s">
        <v>1518</v>
      </c>
      <c r="H87" t="s">
        <v>1517</v>
      </c>
      <c r="I87">
        <f>MATCH(G87,mapPRC!$A$2:$A$1154,0)</f>
        <v>191</v>
      </c>
      <c r="O87" t="s">
        <v>3165</v>
      </c>
      <c r="P87" t="s">
        <v>3596</v>
      </c>
    </row>
    <row r="88" spans="1:16" x14ac:dyDescent="0.25">
      <c r="A88" t="s">
        <v>1512</v>
      </c>
      <c r="B88" t="s">
        <v>5014</v>
      </c>
      <c r="C88">
        <f>MATCH(A88,mapPRC!A$2:A$1154,0)</f>
        <v>194</v>
      </c>
      <c r="G88" t="s">
        <v>1516</v>
      </c>
      <c r="H88" t="s">
        <v>1515</v>
      </c>
      <c r="I88">
        <f>MATCH(G88,mapPRC!$A$2:$A$1154,0)</f>
        <v>192</v>
      </c>
      <c r="O88" t="s">
        <v>959</v>
      </c>
      <c r="P88" t="s">
        <v>416</v>
      </c>
    </row>
    <row r="89" spans="1:16" x14ac:dyDescent="0.25">
      <c r="A89" t="s">
        <v>1510</v>
      </c>
      <c r="B89" t="s">
        <v>5015</v>
      </c>
      <c r="C89">
        <f>MATCH(A89,mapPRC!A$2:A$1154,0)</f>
        <v>195</v>
      </c>
      <c r="G89" t="s">
        <v>1514</v>
      </c>
      <c r="H89" t="s">
        <v>1513</v>
      </c>
      <c r="I89">
        <f>MATCH(G89,mapPRC!$A$2:$A$1154,0)</f>
        <v>193</v>
      </c>
      <c r="O89" t="s">
        <v>457</v>
      </c>
      <c r="P89" t="s">
        <v>705</v>
      </c>
    </row>
    <row r="90" spans="1:16" x14ac:dyDescent="0.25">
      <c r="A90" t="s">
        <v>1508</v>
      </c>
      <c r="B90" t="s">
        <v>5016</v>
      </c>
      <c r="C90">
        <f>MATCH(A90,mapPRC!A$2:A$1154,0)</f>
        <v>196</v>
      </c>
      <c r="G90" t="s">
        <v>1512</v>
      </c>
      <c r="H90" t="s">
        <v>1511</v>
      </c>
      <c r="I90">
        <f>MATCH(G90,mapPRC!$A$2:$A$1154,0)</f>
        <v>194</v>
      </c>
      <c r="O90" t="s">
        <v>1772</v>
      </c>
      <c r="P90" t="s">
        <v>702</v>
      </c>
    </row>
    <row r="91" spans="1:16" x14ac:dyDescent="0.25">
      <c r="A91" t="s">
        <v>1506</v>
      </c>
      <c r="B91" t="s">
        <v>5017</v>
      </c>
      <c r="C91">
        <f>MATCH(A91,mapPRC!A$2:A$1154,0)</f>
        <v>197</v>
      </c>
      <c r="G91" t="s">
        <v>1510</v>
      </c>
      <c r="H91" t="s">
        <v>1509</v>
      </c>
      <c r="I91">
        <f>MATCH(G91,mapPRC!$A$2:$A$1154,0)</f>
        <v>195</v>
      </c>
      <c r="P91" t="s">
        <v>693</v>
      </c>
    </row>
    <row r="92" spans="1:16" x14ac:dyDescent="0.25">
      <c r="A92" t="s">
        <v>1503</v>
      </c>
      <c r="B92" t="s">
        <v>5018</v>
      </c>
      <c r="C92">
        <f>MATCH(A92,mapPRC!A$2:A$1154,0)</f>
        <v>198</v>
      </c>
      <c r="G92" t="s">
        <v>1508</v>
      </c>
      <c r="H92" t="s">
        <v>1507</v>
      </c>
      <c r="I92">
        <f>MATCH(G92,mapPRC!$A$2:$A$1154,0)</f>
        <v>196</v>
      </c>
      <c r="P92" t="s">
        <v>680</v>
      </c>
    </row>
    <row r="93" spans="1:16" x14ac:dyDescent="0.25">
      <c r="A93" t="s">
        <v>1501</v>
      </c>
      <c r="B93" t="s">
        <v>5019</v>
      </c>
      <c r="C93">
        <f>MATCH(A93,mapPRC!A$2:A$1154,0)</f>
        <v>199</v>
      </c>
      <c r="G93" t="s">
        <v>1506</v>
      </c>
      <c r="H93" t="s">
        <v>1505</v>
      </c>
      <c r="I93">
        <f>MATCH(G93,mapPRC!$A$2:$A$1154,0)</f>
        <v>197</v>
      </c>
      <c r="P93" t="s">
        <v>661</v>
      </c>
    </row>
    <row r="94" spans="1:16" x14ac:dyDescent="0.25">
      <c r="A94" t="s">
        <v>1497</v>
      </c>
      <c r="B94" t="s">
        <v>5021</v>
      </c>
      <c r="C94">
        <f>MATCH(A94,mapPRC!A$2:A$1154,0)</f>
        <v>200</v>
      </c>
      <c r="G94" t="s">
        <v>1503</v>
      </c>
      <c r="H94" t="s">
        <v>1502</v>
      </c>
      <c r="I94">
        <f>MATCH(G94,mapPRC!$A$2:$A$1154,0)</f>
        <v>198</v>
      </c>
      <c r="P94" t="s">
        <v>658</v>
      </c>
    </row>
    <row r="95" spans="1:16" x14ac:dyDescent="0.25">
      <c r="A95" t="s">
        <v>1499</v>
      </c>
      <c r="B95" t="s">
        <v>5020</v>
      </c>
      <c r="C95">
        <f>MATCH(A95,mapPRC!A$2:A$1154,0)</f>
        <v>201</v>
      </c>
      <c r="G95" t="s">
        <v>1501</v>
      </c>
      <c r="H95" t="s">
        <v>1500</v>
      </c>
      <c r="I95">
        <f>MATCH(G95,mapPRC!$A$2:$A$1154,0)</f>
        <v>199</v>
      </c>
      <c r="P95" t="s">
        <v>653</v>
      </c>
    </row>
    <row r="96" spans="1:16" x14ac:dyDescent="0.25">
      <c r="A96" t="s">
        <v>1495</v>
      </c>
      <c r="B96" t="s">
        <v>5022</v>
      </c>
      <c r="C96">
        <f>MATCH(A96,mapPRC!A$2:A$1154,0)</f>
        <v>202</v>
      </c>
      <c r="G96" t="s">
        <v>1497</v>
      </c>
      <c r="H96" t="s">
        <v>1496</v>
      </c>
      <c r="I96">
        <f>MATCH(G96,mapPRC!$A$2:$A$1154,0)</f>
        <v>200</v>
      </c>
      <c r="P96" t="s">
        <v>626</v>
      </c>
    </row>
    <row r="97" spans="1:16" x14ac:dyDescent="0.25">
      <c r="A97" t="s">
        <v>1493</v>
      </c>
      <c r="B97" t="s">
        <v>5023</v>
      </c>
      <c r="C97">
        <f>MATCH(A97,mapPRC!A$2:A$1154,0)</f>
        <v>203</v>
      </c>
      <c r="G97" t="s">
        <v>1499</v>
      </c>
      <c r="H97" t="s">
        <v>1498</v>
      </c>
      <c r="I97">
        <f>MATCH(G97,mapPRC!$A$2:$A$1154,0)</f>
        <v>201</v>
      </c>
      <c r="P97" t="s">
        <v>623</v>
      </c>
    </row>
    <row r="98" spans="1:16" x14ac:dyDescent="0.25">
      <c r="A98" t="s">
        <v>1491</v>
      </c>
      <c r="B98" t="s">
        <v>5024</v>
      </c>
      <c r="C98">
        <f>MATCH(A98,mapPRC!A$2:A$1154,0)</f>
        <v>204</v>
      </c>
      <c r="G98" t="s">
        <v>1495</v>
      </c>
      <c r="H98" t="s">
        <v>1494</v>
      </c>
      <c r="I98">
        <f>MATCH(G98,mapPRC!$A$2:$A$1154,0)</f>
        <v>202</v>
      </c>
      <c r="P98" t="s">
        <v>618</v>
      </c>
    </row>
    <row r="99" spans="1:16" x14ac:dyDescent="0.25">
      <c r="A99" t="s">
        <v>5025</v>
      </c>
      <c r="B99" t="s">
        <v>5025</v>
      </c>
      <c r="C99" t="e">
        <f>MATCH(A99,mapPRC!A$2:A$1154,0)</f>
        <v>#N/A</v>
      </c>
      <c r="G99" t="s">
        <v>1493</v>
      </c>
      <c r="H99" t="s">
        <v>1492</v>
      </c>
      <c r="I99">
        <f>MATCH(G99,mapPRC!$A$2:$A$1154,0)</f>
        <v>203</v>
      </c>
      <c r="P99" t="s">
        <v>3293</v>
      </c>
    </row>
    <row r="100" spans="1:16" x14ac:dyDescent="0.25">
      <c r="A100" t="s">
        <v>5026</v>
      </c>
      <c r="B100" t="s">
        <v>5027</v>
      </c>
      <c r="C100">
        <f>MATCH(A100,mapPRC!A$2:A$1154,0)</f>
        <v>213</v>
      </c>
      <c r="D100">
        <v>1</v>
      </c>
      <c r="G100" t="s">
        <v>1491</v>
      </c>
      <c r="H100" t="s">
        <v>1490</v>
      </c>
      <c r="I100">
        <f>MATCH(G100,mapPRC!$A$2:$A$1154,0)</f>
        <v>204</v>
      </c>
      <c r="P100" t="s">
        <v>3294</v>
      </c>
    </row>
    <row r="101" spans="1:16" x14ac:dyDescent="0.25">
      <c r="A101" t="s">
        <v>5028</v>
      </c>
      <c r="B101" t="s">
        <v>5029</v>
      </c>
      <c r="C101">
        <f>MATCH(A101,mapPRC!A$2:A$1154,0)</f>
        <v>214</v>
      </c>
      <c r="D101">
        <v>1</v>
      </c>
      <c r="G101" t="s">
        <v>1488</v>
      </c>
      <c r="H101" t="s">
        <v>1487</v>
      </c>
      <c r="I101">
        <f>MATCH(G101,mapPRC!$A$2:$A$1154,0)</f>
        <v>205</v>
      </c>
      <c r="P101" t="s">
        <v>3295</v>
      </c>
    </row>
    <row r="102" spans="1:16" x14ac:dyDescent="0.25">
      <c r="A102" t="s">
        <v>3950</v>
      </c>
      <c r="B102" t="s">
        <v>5030</v>
      </c>
      <c r="C102">
        <f>MATCH(A102,mapPRC!A$2:A$1154,0)</f>
        <v>215</v>
      </c>
      <c r="G102" t="s">
        <v>1486</v>
      </c>
      <c r="H102" t="s">
        <v>1485</v>
      </c>
      <c r="I102">
        <f>MATCH(G102,mapPRC!$A$2:$A$1154,0)</f>
        <v>206</v>
      </c>
      <c r="P102" t="s">
        <v>3296</v>
      </c>
    </row>
    <row r="103" spans="1:16" x14ac:dyDescent="0.25">
      <c r="A103" t="s">
        <v>16</v>
      </c>
      <c r="B103" t="s">
        <v>5033</v>
      </c>
      <c r="C103">
        <f>MATCH(A103,mapPRC!A$2:A$1154,0)</f>
        <v>216</v>
      </c>
      <c r="G103" t="s">
        <v>1484</v>
      </c>
      <c r="H103" t="s">
        <v>1483</v>
      </c>
      <c r="I103">
        <f>MATCH(G103,mapPRC!$A$2:$A$1154,0)</f>
        <v>207</v>
      </c>
      <c r="P103" t="s">
        <v>3297</v>
      </c>
    </row>
    <row r="104" spans="1:16" x14ac:dyDescent="0.25">
      <c r="A104" t="s">
        <v>14</v>
      </c>
      <c r="B104" t="s">
        <v>5034</v>
      </c>
      <c r="C104">
        <f>MATCH(A104,mapPRC!A$2:A$1154,0)</f>
        <v>217</v>
      </c>
      <c r="G104" t="s">
        <v>1482</v>
      </c>
      <c r="H104" t="s">
        <v>1481</v>
      </c>
      <c r="I104">
        <f>MATCH(G104,mapPRC!$A$2:$A$1154,0)</f>
        <v>208</v>
      </c>
      <c r="P104" t="s">
        <v>3298</v>
      </c>
    </row>
    <row r="105" spans="1:16" x14ac:dyDescent="0.25">
      <c r="A105" t="s">
        <v>12</v>
      </c>
      <c r="B105" t="s">
        <v>5035</v>
      </c>
      <c r="C105">
        <f>MATCH(A105,mapPRC!A$2:A$1154,0)</f>
        <v>218</v>
      </c>
      <c r="G105" t="s">
        <v>1480</v>
      </c>
      <c r="H105" t="s">
        <v>1479</v>
      </c>
      <c r="I105">
        <f>MATCH(G105,mapPRC!$A$2:$A$1154,0)</f>
        <v>209</v>
      </c>
      <c r="P105" t="s">
        <v>3299</v>
      </c>
    </row>
    <row r="106" spans="1:16" x14ac:dyDescent="0.25">
      <c r="A106" t="s">
        <v>10</v>
      </c>
      <c r="B106" t="s">
        <v>5036</v>
      </c>
      <c r="C106">
        <f>MATCH(A106,mapPRC!A$2:A$1154,0)</f>
        <v>219</v>
      </c>
      <c r="G106" t="s">
        <v>1478</v>
      </c>
      <c r="H106" t="s">
        <v>1477</v>
      </c>
      <c r="I106">
        <f>MATCH(G106,mapPRC!$A$2:$A$1154,0)</f>
        <v>210</v>
      </c>
      <c r="P106" t="s">
        <v>3300</v>
      </c>
    </row>
    <row r="107" spans="1:16" x14ac:dyDescent="0.25">
      <c r="A107" t="s">
        <v>1468</v>
      </c>
      <c r="B107" t="s">
        <v>5031</v>
      </c>
      <c r="C107">
        <f>MATCH(A107,mapPRC!A$2:A$1154,0)</f>
        <v>220</v>
      </c>
      <c r="G107" t="s">
        <v>1476</v>
      </c>
      <c r="H107" t="s">
        <v>1475</v>
      </c>
      <c r="I107">
        <f>MATCH(G107,mapPRC!$A$2:$A$1154,0)</f>
        <v>211</v>
      </c>
      <c r="P107" t="s">
        <v>3301</v>
      </c>
    </row>
    <row r="108" spans="1:16" x14ac:dyDescent="0.25">
      <c r="A108" t="s">
        <v>1470</v>
      </c>
      <c r="B108" t="s">
        <v>5032</v>
      </c>
      <c r="C108">
        <f>MATCH(A108,mapPRC!A$2:A$1154,0)</f>
        <v>221</v>
      </c>
      <c r="G108" t="s">
        <v>1474</v>
      </c>
      <c r="H108" t="s">
        <v>1473</v>
      </c>
      <c r="I108">
        <f>MATCH(G108,mapPRC!$A$2:$A$1154,0)</f>
        <v>212</v>
      </c>
      <c r="P108" t="s">
        <v>3302</v>
      </c>
    </row>
    <row r="109" spans="1:16" x14ac:dyDescent="0.25">
      <c r="A109" t="s">
        <v>1465</v>
      </c>
      <c r="B109" t="s">
        <v>5037</v>
      </c>
      <c r="C109">
        <f>MATCH(A109,mapPRC!A$2:A$1154,0)</f>
        <v>222</v>
      </c>
      <c r="G109" t="s">
        <v>16</v>
      </c>
      <c r="H109" t="s">
        <v>15</v>
      </c>
      <c r="I109">
        <f>MATCH(G109,mapPRC!$A$2:$A$1154,0)</f>
        <v>216</v>
      </c>
      <c r="P109" t="s">
        <v>3303</v>
      </c>
    </row>
    <row r="110" spans="1:16" x14ac:dyDescent="0.25">
      <c r="A110" t="s">
        <v>1463</v>
      </c>
      <c r="B110" t="s">
        <v>5038</v>
      </c>
      <c r="C110">
        <f>MATCH(A110,mapPRC!A$2:A$1154,0)</f>
        <v>223</v>
      </c>
      <c r="G110" t="s">
        <v>14</v>
      </c>
      <c r="H110" t="s">
        <v>13</v>
      </c>
      <c r="I110">
        <f>MATCH(G110,mapPRC!$A$2:$A$1154,0)</f>
        <v>217</v>
      </c>
      <c r="P110" t="s">
        <v>1048</v>
      </c>
    </row>
    <row r="111" spans="1:16" x14ac:dyDescent="0.25">
      <c r="A111" t="s">
        <v>1460</v>
      </c>
      <c r="B111" t="s">
        <v>5039</v>
      </c>
      <c r="C111">
        <f>MATCH(A111,mapPRC!A$2:A$1154,0)</f>
        <v>225</v>
      </c>
      <c r="G111" t="s">
        <v>12</v>
      </c>
      <c r="H111" t="s">
        <v>11</v>
      </c>
      <c r="I111">
        <f>MATCH(G111,mapPRC!$A$2:$A$1154,0)</f>
        <v>218</v>
      </c>
      <c r="P111" t="s">
        <v>3588</v>
      </c>
    </row>
    <row r="112" spans="1:16" x14ac:dyDescent="0.25">
      <c r="A112" t="s">
        <v>1447</v>
      </c>
      <c r="B112" t="s">
        <v>5042</v>
      </c>
      <c r="C112">
        <f>MATCH(A112,mapPRC!A$2:A$1154,0)</f>
        <v>228</v>
      </c>
      <c r="G112" t="s">
        <v>10</v>
      </c>
      <c r="H112" t="s">
        <v>9</v>
      </c>
      <c r="I112">
        <f>MATCH(G112,mapPRC!$A$2:$A$1154,0)</f>
        <v>219</v>
      </c>
      <c r="P112" t="s">
        <v>3591</v>
      </c>
    </row>
    <row r="113" spans="1:16" x14ac:dyDescent="0.25">
      <c r="A113" t="s">
        <v>1458</v>
      </c>
      <c r="B113" t="s">
        <v>5040</v>
      </c>
      <c r="C113">
        <f>MATCH(A113,mapPRC!A$2:A$1154,0)</f>
        <v>230</v>
      </c>
      <c r="G113" t="s">
        <v>1468</v>
      </c>
      <c r="H113" t="s">
        <v>3520</v>
      </c>
      <c r="I113">
        <f>MATCH(G113,mapPRC!$A$2:$A$1154,0)</f>
        <v>220</v>
      </c>
      <c r="P113" t="s">
        <v>3587</v>
      </c>
    </row>
    <row r="114" spans="1:16" x14ac:dyDescent="0.25">
      <c r="A114" t="s">
        <v>1456</v>
      </c>
      <c r="B114" t="s">
        <v>5041</v>
      </c>
      <c r="C114">
        <f>MATCH(A114,mapPRC!A$2:A$1154,0)</f>
        <v>234</v>
      </c>
      <c r="G114" t="s">
        <v>1470</v>
      </c>
      <c r="H114" t="s">
        <v>3521</v>
      </c>
      <c r="I114">
        <f>MATCH(G114,mapPRC!$A$2:$A$1154,0)</f>
        <v>221</v>
      </c>
      <c r="P114" t="s">
        <v>3600</v>
      </c>
    </row>
    <row r="115" spans="1:16" x14ac:dyDescent="0.25">
      <c r="A115" t="s">
        <v>1437</v>
      </c>
      <c r="B115" t="s">
        <v>5043</v>
      </c>
      <c r="C115">
        <f>MATCH(A115,mapPRC!A$2:A$1154,0)</f>
        <v>235</v>
      </c>
      <c r="G115" t="s">
        <v>1465</v>
      </c>
      <c r="H115" t="s">
        <v>1464</v>
      </c>
      <c r="I115">
        <f>MATCH(G115,mapPRC!$A$2:$A$1154,0)</f>
        <v>222</v>
      </c>
      <c r="P115" t="s">
        <v>3448</v>
      </c>
    </row>
    <row r="116" spans="1:16" x14ac:dyDescent="0.25">
      <c r="A116" t="s">
        <v>1435</v>
      </c>
      <c r="B116" t="s">
        <v>5044</v>
      </c>
      <c r="C116">
        <f>MATCH(A116,mapPRC!A$2:A$1154,0)</f>
        <v>236</v>
      </c>
      <c r="G116" t="s">
        <v>1463</v>
      </c>
      <c r="H116" t="s">
        <v>1462</v>
      </c>
      <c r="I116">
        <f>MATCH(G116,mapPRC!$A$2:$A$1154,0)</f>
        <v>223</v>
      </c>
      <c r="P116" t="s">
        <v>3598</v>
      </c>
    </row>
    <row r="117" spans="1:16" x14ac:dyDescent="0.25">
      <c r="A117" t="s">
        <v>5803</v>
      </c>
      <c r="B117" t="s">
        <v>5801</v>
      </c>
      <c r="C117">
        <f>MATCH(A117,mapPRC!A$2:A$1154,0)</f>
        <v>245</v>
      </c>
      <c r="G117" t="s">
        <v>1460</v>
      </c>
      <c r="H117" t="s">
        <v>1459</v>
      </c>
      <c r="I117">
        <f>MATCH(G117,mapPRC!$A$2:$A$1154,0)</f>
        <v>225</v>
      </c>
      <c r="P117" t="s">
        <v>3599</v>
      </c>
    </row>
    <row r="118" spans="1:16" x14ac:dyDescent="0.25">
      <c r="A118" t="s">
        <v>1416</v>
      </c>
      <c r="B118" t="s">
        <v>5045</v>
      </c>
      <c r="C118">
        <f>MATCH(A118,mapPRC!A$2:A$1154,0)</f>
        <v>247</v>
      </c>
      <c r="G118" t="s">
        <v>1447</v>
      </c>
      <c r="H118" t="s">
        <v>3522</v>
      </c>
      <c r="I118">
        <f>MATCH(G118,mapPRC!$A$2:$A$1154,0)</f>
        <v>228</v>
      </c>
      <c r="P118" t="s">
        <v>3450</v>
      </c>
    </row>
    <row r="119" spans="1:16" x14ac:dyDescent="0.25">
      <c r="A119" t="s">
        <v>3044</v>
      </c>
      <c r="B119" t="s">
        <v>5046</v>
      </c>
      <c r="C119">
        <f>MATCH(A119,mapPRC!A$2:A$1154,0)</f>
        <v>248</v>
      </c>
      <c r="G119" t="s">
        <v>1458</v>
      </c>
      <c r="H119" t="s">
        <v>1457</v>
      </c>
      <c r="I119">
        <f>MATCH(G119,mapPRC!$A$2:$A$1154,0)</f>
        <v>230</v>
      </c>
      <c r="P119" t="s">
        <v>423</v>
      </c>
    </row>
    <row r="120" spans="1:16" x14ac:dyDescent="0.25">
      <c r="A120" t="s">
        <v>5804</v>
      </c>
      <c r="B120" t="s">
        <v>5802</v>
      </c>
      <c r="C120">
        <f>MATCH(A120,mapPRC!A$2:A$1154,0)</f>
        <v>246</v>
      </c>
      <c r="G120" t="s">
        <v>1456</v>
      </c>
      <c r="H120" t="s">
        <v>1455</v>
      </c>
      <c r="I120">
        <f>MATCH(G120,mapPRC!$A$2:$A$1154,0)</f>
        <v>234</v>
      </c>
      <c r="P120" t="s">
        <v>3447</v>
      </c>
    </row>
    <row r="121" spans="1:16" x14ac:dyDescent="0.25">
      <c r="A121" t="s">
        <v>1414</v>
      </c>
      <c r="B121" t="s">
        <v>5047</v>
      </c>
      <c r="C121">
        <f>MATCH(A121,mapPRC!A$2:A$1154,0)</f>
        <v>249</v>
      </c>
      <c r="G121" t="s">
        <v>1437</v>
      </c>
      <c r="H121" t="s">
        <v>1436</v>
      </c>
      <c r="I121">
        <f>MATCH(G121,mapPRC!$A$2:$A$1154,0)</f>
        <v>235</v>
      </c>
      <c r="P121" t="s">
        <v>3197</v>
      </c>
    </row>
    <row r="122" spans="1:16" x14ac:dyDescent="0.25">
      <c r="A122" t="s">
        <v>1407</v>
      </c>
      <c r="B122" t="s">
        <v>5048</v>
      </c>
      <c r="C122">
        <f>MATCH(A122,mapPRC!A$2:A$1154,0)</f>
        <v>253</v>
      </c>
      <c r="G122" t="s">
        <v>1435</v>
      </c>
      <c r="H122" t="s">
        <v>1434</v>
      </c>
      <c r="I122">
        <f>MATCH(G122,mapPRC!$A$2:$A$1154,0)</f>
        <v>236</v>
      </c>
      <c r="P122" t="s">
        <v>615</v>
      </c>
    </row>
    <row r="123" spans="1:16" x14ac:dyDescent="0.25">
      <c r="A123" t="s">
        <v>1390</v>
      </c>
      <c r="B123" t="s">
        <v>5049</v>
      </c>
      <c r="C123">
        <f>MATCH(A123,mapPRC!A$2:A$1154,0)</f>
        <v>260</v>
      </c>
      <c r="G123" t="s">
        <v>1416</v>
      </c>
      <c r="H123" t="s">
        <v>1415</v>
      </c>
      <c r="I123">
        <f>MATCH(G123,mapPRC!$A$2:$A$1154,0)</f>
        <v>247</v>
      </c>
      <c r="P123" t="s">
        <v>612</v>
      </c>
    </row>
    <row r="124" spans="1:16" x14ac:dyDescent="0.25">
      <c r="A124" t="s">
        <v>1365</v>
      </c>
      <c r="B124" t="s">
        <v>5050</v>
      </c>
      <c r="C124">
        <f>MATCH(A124,mapPRC!A$2:A$1154,0)</f>
        <v>272</v>
      </c>
      <c r="G124" t="s">
        <v>3044</v>
      </c>
      <c r="H124" t="s">
        <v>3045</v>
      </c>
      <c r="I124">
        <f>MATCH(G124,mapPRC!$A$2:$A$1154,0)</f>
        <v>248</v>
      </c>
      <c r="P124" t="s">
        <v>36</v>
      </c>
    </row>
    <row r="125" spans="1:16" x14ac:dyDescent="0.25">
      <c r="A125" t="s">
        <v>1362</v>
      </c>
      <c r="B125" t="s">
        <v>5051</v>
      </c>
      <c r="C125">
        <f>MATCH(A125,mapPRC!A$2:A$1154,0)</f>
        <v>273</v>
      </c>
      <c r="G125" t="s">
        <v>1414</v>
      </c>
      <c r="H125" t="s">
        <v>1413</v>
      </c>
      <c r="I125">
        <f>MATCH(G125,mapPRC!$A$2:$A$1154,0)</f>
        <v>249</v>
      </c>
      <c r="P125" t="s">
        <v>603</v>
      </c>
    </row>
    <row r="126" spans="1:16" x14ac:dyDescent="0.25">
      <c r="A126" t="s">
        <v>1360</v>
      </c>
      <c r="B126" t="s">
        <v>5053</v>
      </c>
      <c r="C126">
        <f>MATCH(A126,mapPRC!A$2:A$1154,0)</f>
        <v>274</v>
      </c>
      <c r="G126" t="s">
        <v>1407</v>
      </c>
      <c r="H126" t="s">
        <v>1406</v>
      </c>
      <c r="I126">
        <f>MATCH(G126,mapPRC!$A$2:$A$1154,0)</f>
        <v>253</v>
      </c>
      <c r="P126" t="s">
        <v>729</v>
      </c>
    </row>
    <row r="127" spans="1:16" x14ac:dyDescent="0.25">
      <c r="A127" t="s">
        <v>1358</v>
      </c>
      <c r="B127" t="s">
        <v>5054</v>
      </c>
      <c r="C127">
        <f>MATCH(A127,mapPRC!A$2:A$1154,0)</f>
        <v>275</v>
      </c>
      <c r="G127" t="s">
        <v>1390</v>
      </c>
      <c r="H127" t="s">
        <v>2053</v>
      </c>
      <c r="I127">
        <f>MATCH(G127,mapPRC!$A$2:$A$1154,0)</f>
        <v>260</v>
      </c>
      <c r="P127" t="s">
        <v>1063</v>
      </c>
    </row>
    <row r="128" spans="1:16" x14ac:dyDescent="0.25">
      <c r="A128" t="s">
        <v>3524</v>
      </c>
      <c r="B128" t="s">
        <v>5052</v>
      </c>
      <c r="C128">
        <f>MATCH(A128,mapPRC!A$2:A$1154,0)</f>
        <v>311</v>
      </c>
      <c r="G128" t="s">
        <v>1365</v>
      </c>
      <c r="H128" t="s">
        <v>3523</v>
      </c>
      <c r="I128">
        <f>MATCH(G128,mapPRC!$A$2:$A$1154,0)</f>
        <v>272</v>
      </c>
      <c r="P128" t="s">
        <v>400</v>
      </c>
    </row>
    <row r="129" spans="1:16" x14ac:dyDescent="0.25">
      <c r="A129" t="s">
        <v>1356</v>
      </c>
      <c r="B129" t="s">
        <v>5055</v>
      </c>
      <c r="C129">
        <f>MATCH(A129,mapPRC!A$2:A$1154,0)</f>
        <v>276</v>
      </c>
      <c r="G129" t="s">
        <v>1362</v>
      </c>
      <c r="H129" t="s">
        <v>1361</v>
      </c>
      <c r="I129">
        <f>MATCH(G129,mapPRC!$A$2:$A$1154,0)</f>
        <v>273</v>
      </c>
      <c r="P129" t="s">
        <v>3291</v>
      </c>
    </row>
    <row r="130" spans="1:16" x14ac:dyDescent="0.25">
      <c r="A130" t="s">
        <v>1354</v>
      </c>
      <c r="B130" t="s">
        <v>5056</v>
      </c>
      <c r="C130">
        <f>MATCH(A130,mapPRC!A$2:A$1154,0)</f>
        <v>277</v>
      </c>
      <c r="G130" t="s">
        <v>1360</v>
      </c>
      <c r="H130" t="s">
        <v>1359</v>
      </c>
      <c r="I130">
        <f>MATCH(G130,mapPRC!$A$2:$A$1154,0)</f>
        <v>274</v>
      </c>
      <c r="P130" t="s">
        <v>991</v>
      </c>
    </row>
    <row r="131" spans="1:16" x14ac:dyDescent="0.25">
      <c r="A131" t="s">
        <v>1352</v>
      </c>
      <c r="B131" t="s">
        <v>5057</v>
      </c>
      <c r="C131">
        <f>MATCH(A131,mapPRC!A$2:A$1154,0)</f>
        <v>278</v>
      </c>
      <c r="G131" t="s">
        <v>1358</v>
      </c>
      <c r="H131" t="s">
        <v>1357</v>
      </c>
      <c r="I131">
        <f>MATCH(G131,mapPRC!$A$2:$A$1154,0)</f>
        <v>275</v>
      </c>
      <c r="P131" t="s">
        <v>3292</v>
      </c>
    </row>
    <row r="132" spans="1:16" x14ac:dyDescent="0.25">
      <c r="A132" t="s">
        <v>1348</v>
      </c>
      <c r="B132" t="s">
        <v>5058</v>
      </c>
      <c r="C132">
        <f>MATCH(A132,mapPRC!A$2:A$1154,0)</f>
        <v>280</v>
      </c>
      <c r="G132" t="s">
        <v>3524</v>
      </c>
      <c r="H132" t="s">
        <v>3525</v>
      </c>
      <c r="I132">
        <f>MATCH(G132,mapPRC!$A$2:$A$1154,0)</f>
        <v>311</v>
      </c>
      <c r="P132" t="s">
        <v>24</v>
      </c>
    </row>
    <row r="133" spans="1:16" x14ac:dyDescent="0.25">
      <c r="A133" t="s">
        <v>1346</v>
      </c>
      <c r="B133" t="s">
        <v>5059</v>
      </c>
      <c r="C133">
        <f>MATCH(A133,mapPRC!A$2:A$1154,0)</f>
        <v>281</v>
      </c>
      <c r="G133" t="s">
        <v>1356</v>
      </c>
      <c r="H133" t="s">
        <v>1355</v>
      </c>
      <c r="I133">
        <f>MATCH(G133,mapPRC!$A$2:$A$1154,0)</f>
        <v>276</v>
      </c>
      <c r="P133" t="s">
        <v>485</v>
      </c>
    </row>
    <row r="134" spans="1:16" x14ac:dyDescent="0.25">
      <c r="A134" t="s">
        <v>1344</v>
      </c>
      <c r="B134" t="s">
        <v>5060</v>
      </c>
      <c r="C134">
        <f>MATCH(A134,mapPRC!A$2:A$1154,0)</f>
        <v>282</v>
      </c>
      <c r="G134" t="s">
        <v>1354</v>
      </c>
      <c r="H134" t="s">
        <v>1353</v>
      </c>
      <c r="I134">
        <f>MATCH(G134,mapPRC!$A$2:$A$1154,0)</f>
        <v>277</v>
      </c>
      <c r="P134" t="s">
        <v>482</v>
      </c>
    </row>
    <row r="135" spans="1:16" x14ac:dyDescent="0.25">
      <c r="A135" t="s">
        <v>1342</v>
      </c>
      <c r="B135" t="s">
        <v>5061</v>
      </c>
      <c r="C135">
        <f>MATCH(A135,mapPRC!A$2:A$1154,0)</f>
        <v>283</v>
      </c>
      <c r="G135" t="s">
        <v>1352</v>
      </c>
      <c r="H135" t="s">
        <v>1351</v>
      </c>
      <c r="I135">
        <f>MATCH(G135,mapPRC!$A$2:$A$1154,0)</f>
        <v>278</v>
      </c>
      <c r="P135" t="s">
        <v>472</v>
      </c>
    </row>
    <row r="136" spans="1:16" x14ac:dyDescent="0.25">
      <c r="A136" t="s">
        <v>2977</v>
      </c>
      <c r="B136" t="s">
        <v>1325</v>
      </c>
      <c r="C136">
        <f>MATCH(A136,mapPRC!A$2:A$1154,0)</f>
        <v>284</v>
      </c>
      <c r="G136" t="s">
        <v>1348</v>
      </c>
      <c r="H136" t="s">
        <v>1347</v>
      </c>
      <c r="I136">
        <f>MATCH(G136,mapPRC!$A$2:$A$1154,0)</f>
        <v>280</v>
      </c>
      <c r="P136" t="s">
        <v>479</v>
      </c>
    </row>
    <row r="137" spans="1:16" x14ac:dyDescent="0.25">
      <c r="A137" t="s">
        <v>1340</v>
      </c>
      <c r="B137" t="s">
        <v>5062</v>
      </c>
      <c r="C137">
        <f>MATCH(A137,mapPRC!A$2:A$1154,0)</f>
        <v>285</v>
      </c>
      <c r="G137" t="s">
        <v>1346</v>
      </c>
      <c r="H137" t="s">
        <v>1345</v>
      </c>
      <c r="I137">
        <f>MATCH(G137,mapPRC!$A$2:$A$1154,0)</f>
        <v>281</v>
      </c>
      <c r="P137" t="s">
        <v>467</v>
      </c>
    </row>
    <row r="138" spans="1:16" x14ac:dyDescent="0.25">
      <c r="A138" t="s">
        <v>1338</v>
      </c>
      <c r="B138" t="s">
        <v>5063</v>
      </c>
      <c r="C138">
        <f>MATCH(A138,mapPRC!A$2:A$1154,0)</f>
        <v>286</v>
      </c>
      <c r="G138" t="s">
        <v>1344</v>
      </c>
      <c r="H138" t="s">
        <v>1343</v>
      </c>
      <c r="I138">
        <f>MATCH(G138,mapPRC!$A$2:$A$1154,0)</f>
        <v>282</v>
      </c>
      <c r="P138" t="s">
        <v>33</v>
      </c>
    </row>
    <row r="139" spans="1:16" x14ac:dyDescent="0.25">
      <c r="A139" t="s">
        <v>1336</v>
      </c>
      <c r="B139" t="s">
        <v>5064</v>
      </c>
      <c r="C139">
        <f>MATCH(A139,mapPRC!A$2:A$1154,0)</f>
        <v>287</v>
      </c>
      <c r="G139" t="s">
        <v>1342</v>
      </c>
      <c r="H139" t="s">
        <v>1341</v>
      </c>
      <c r="I139">
        <f>MATCH(G139,mapPRC!$A$2:$A$1154,0)</f>
        <v>283</v>
      </c>
      <c r="P139" t="s">
        <v>545</v>
      </c>
    </row>
    <row r="140" spans="1:16" x14ac:dyDescent="0.25">
      <c r="A140" t="s">
        <v>1334</v>
      </c>
      <c r="B140" t="s">
        <v>5065</v>
      </c>
      <c r="C140">
        <f>MATCH(A140,mapPRC!A$2:A$1154,0)</f>
        <v>288</v>
      </c>
      <c r="G140" t="s">
        <v>2977</v>
      </c>
      <c r="H140" t="s">
        <v>3526</v>
      </c>
      <c r="I140">
        <f>MATCH(G140,mapPRC!$A$2:$A$1154,0)</f>
        <v>284</v>
      </c>
      <c r="P140" t="s">
        <v>3446</v>
      </c>
    </row>
    <row r="141" spans="1:16" x14ac:dyDescent="0.25">
      <c r="A141" t="s">
        <v>1332</v>
      </c>
      <c r="B141" t="s">
        <v>5066</v>
      </c>
      <c r="C141">
        <f>MATCH(A141,mapPRC!A$2:A$1154,0)</f>
        <v>289</v>
      </c>
      <c r="G141" t="s">
        <v>1340</v>
      </c>
      <c r="H141" t="s">
        <v>1339</v>
      </c>
      <c r="I141">
        <f>MATCH(G141,mapPRC!$A$2:$A$1154,0)</f>
        <v>285</v>
      </c>
      <c r="P141" t="s">
        <v>726</v>
      </c>
    </row>
    <row r="142" spans="1:16" x14ac:dyDescent="0.25">
      <c r="A142" t="s">
        <v>2974</v>
      </c>
      <c r="B142" t="s">
        <v>1330</v>
      </c>
      <c r="C142">
        <f>MATCH(A142,mapPRC!A$2:A$1154,0)</f>
        <v>290</v>
      </c>
      <c r="G142" t="s">
        <v>1338</v>
      </c>
      <c r="H142" t="s">
        <v>1337</v>
      </c>
      <c r="I142">
        <f>MATCH(G142,mapPRC!$A$2:$A$1154,0)</f>
        <v>286</v>
      </c>
      <c r="P142" t="s">
        <v>3595</v>
      </c>
    </row>
    <row r="143" spans="1:16" x14ac:dyDescent="0.25">
      <c r="A143" t="s">
        <v>1329</v>
      </c>
      <c r="B143" t="s">
        <v>5067</v>
      </c>
      <c r="C143">
        <f>MATCH(A143,mapPRC!A$2:A$1154,0)</f>
        <v>291</v>
      </c>
      <c r="G143" t="s">
        <v>1336</v>
      </c>
      <c r="H143" t="s">
        <v>1335</v>
      </c>
      <c r="I143">
        <f>MATCH(G143,mapPRC!$A$2:$A$1154,0)</f>
        <v>287</v>
      </c>
      <c r="P143" t="s">
        <v>3594</v>
      </c>
    </row>
    <row r="144" spans="1:16" x14ac:dyDescent="0.25">
      <c r="A144" t="s">
        <v>1327</v>
      </c>
      <c r="B144" t="s">
        <v>5068</v>
      </c>
      <c r="C144">
        <f>MATCH(A144,mapPRC!A$2:A$1154,0)</f>
        <v>292</v>
      </c>
      <c r="G144" t="s">
        <v>1334</v>
      </c>
      <c r="H144" t="s">
        <v>1333</v>
      </c>
      <c r="I144">
        <f>MATCH(G144,mapPRC!$A$2:$A$1154,0)</f>
        <v>288</v>
      </c>
      <c r="P144" t="s">
        <v>3592</v>
      </c>
    </row>
    <row r="145" spans="1:16" x14ac:dyDescent="0.25">
      <c r="A145" t="s">
        <v>1324</v>
      </c>
      <c r="B145" t="s">
        <v>5069</v>
      </c>
      <c r="C145">
        <f>MATCH(A145,mapPRC!A$2:A$1154,0)</f>
        <v>293</v>
      </c>
      <c r="G145" t="s">
        <v>1332</v>
      </c>
      <c r="H145" t="s">
        <v>1331</v>
      </c>
      <c r="I145">
        <f>MATCH(G145,mapPRC!$A$2:$A$1154,0)</f>
        <v>289</v>
      </c>
      <c r="P145" t="s">
        <v>0</v>
      </c>
    </row>
    <row r="146" spans="1:16" x14ac:dyDescent="0.25">
      <c r="A146" t="s">
        <v>2975</v>
      </c>
      <c r="B146" t="s">
        <v>2976</v>
      </c>
      <c r="C146">
        <f>MATCH(A146,mapPRC!A$2:A$1154,0)</f>
        <v>294</v>
      </c>
      <c r="G146" t="s">
        <v>2974</v>
      </c>
      <c r="H146" t="s">
        <v>3527</v>
      </c>
      <c r="I146">
        <f>MATCH(G146,mapPRC!$A$2:$A$1154,0)</f>
        <v>290</v>
      </c>
      <c r="P146" t="s">
        <v>1040</v>
      </c>
    </row>
    <row r="147" spans="1:16" x14ac:dyDescent="0.25">
      <c r="A147" t="s">
        <v>2984</v>
      </c>
      <c r="B147" t="s">
        <v>5070</v>
      </c>
      <c r="C147">
        <f>MATCH(A147,mapPRC!A$2:A$1154,0)</f>
        <v>312</v>
      </c>
      <c r="G147" t="s">
        <v>1329</v>
      </c>
      <c r="H147" t="s">
        <v>3528</v>
      </c>
      <c r="I147">
        <f>MATCH(G147,mapPRC!$A$2:$A$1154,0)</f>
        <v>291</v>
      </c>
      <c r="P147" t="s">
        <v>1200</v>
      </c>
    </row>
    <row r="148" spans="1:16" x14ac:dyDescent="0.25">
      <c r="A148" t="s">
        <v>3046</v>
      </c>
      <c r="B148" t="s">
        <v>5071</v>
      </c>
      <c r="C148">
        <f>MATCH(A148,mapPRC!A$2:A$1154,0)</f>
        <v>313</v>
      </c>
      <c r="G148" t="s">
        <v>1327</v>
      </c>
      <c r="H148" t="s">
        <v>3529</v>
      </c>
      <c r="I148">
        <f>MATCH(G148,mapPRC!$A$2:$A$1154,0)</f>
        <v>292</v>
      </c>
      <c r="P148" t="s">
        <v>3280</v>
      </c>
    </row>
    <row r="149" spans="1:16" x14ac:dyDescent="0.25">
      <c r="A149" t="s">
        <v>3533</v>
      </c>
      <c r="B149" t="s">
        <v>5072</v>
      </c>
      <c r="C149">
        <f>MATCH(A149,mapPRC!A$2:A$1154,0)</f>
        <v>315</v>
      </c>
      <c r="G149" t="s">
        <v>1324</v>
      </c>
      <c r="H149" t="s">
        <v>1323</v>
      </c>
      <c r="I149">
        <f>MATCH(G149,mapPRC!$A$2:$A$1154,0)</f>
        <v>293</v>
      </c>
      <c r="P149" t="s">
        <v>983</v>
      </c>
    </row>
    <row r="150" spans="1:16" x14ac:dyDescent="0.25">
      <c r="A150" t="s">
        <v>1321</v>
      </c>
      <c r="B150" t="s">
        <v>2980</v>
      </c>
      <c r="C150">
        <f>MATCH(A150,mapPRC!A$2:A$1154,0)</f>
        <v>314</v>
      </c>
      <c r="G150" t="s">
        <v>2975</v>
      </c>
      <c r="H150" t="s">
        <v>3530</v>
      </c>
      <c r="I150">
        <f>MATCH(G150,mapPRC!$A$2:$A$1154,0)</f>
        <v>294</v>
      </c>
      <c r="P150" t="s">
        <v>462</v>
      </c>
    </row>
    <row r="151" spans="1:16" x14ac:dyDescent="0.25">
      <c r="A151" t="s">
        <v>2981</v>
      </c>
      <c r="B151" t="s">
        <v>2982</v>
      </c>
      <c r="C151">
        <f>MATCH(A151,mapPRC!A$2:A$1154,0)</f>
        <v>316</v>
      </c>
      <c r="G151" t="s">
        <v>2984</v>
      </c>
      <c r="H151" t="s">
        <v>3531</v>
      </c>
      <c r="I151">
        <f>MATCH(G151,mapPRC!$A$2:$A$1154,0)</f>
        <v>312</v>
      </c>
      <c r="P151" t="s">
        <v>3443</v>
      </c>
    </row>
    <row r="152" spans="1:16" x14ac:dyDescent="0.25">
      <c r="A152" t="s">
        <v>1320</v>
      </c>
      <c r="B152" t="s">
        <v>2979</v>
      </c>
      <c r="C152">
        <f>MATCH(A152,mapPRC!A$2:A$1154,0)</f>
        <v>317</v>
      </c>
      <c r="G152" t="s">
        <v>3046</v>
      </c>
      <c r="H152" t="s">
        <v>3532</v>
      </c>
      <c r="I152">
        <f>MATCH(G152,mapPRC!$A$2:$A$1154,0)</f>
        <v>313</v>
      </c>
      <c r="P152" t="s">
        <v>3165</v>
      </c>
    </row>
    <row r="153" spans="1:16" x14ac:dyDescent="0.25">
      <c r="A153" t="s">
        <v>3538</v>
      </c>
      <c r="B153" t="s">
        <v>5073</v>
      </c>
      <c r="C153">
        <f>MATCH(A153,mapPRC!A$2:A$1154,0)</f>
        <v>322</v>
      </c>
      <c r="G153" t="s">
        <v>3533</v>
      </c>
      <c r="H153" t="s">
        <v>3534</v>
      </c>
      <c r="I153">
        <f>MATCH(G153,mapPRC!$A$2:$A$1154,0)</f>
        <v>315</v>
      </c>
      <c r="P153" t="s">
        <v>1021</v>
      </c>
    </row>
    <row r="154" spans="1:16" x14ac:dyDescent="0.25">
      <c r="A154" t="s">
        <v>1309</v>
      </c>
      <c r="B154" t="s">
        <v>5074</v>
      </c>
      <c r="C154">
        <f>MATCH(A154,mapPRC!A$2:A$1154,0)</f>
        <v>323</v>
      </c>
      <c r="G154" t="s">
        <v>1321</v>
      </c>
      <c r="H154" t="s">
        <v>3535</v>
      </c>
      <c r="I154">
        <f>MATCH(G154,mapPRC!$A$2:$A$1154,0)</f>
        <v>314</v>
      </c>
      <c r="P154" t="s">
        <v>1553</v>
      </c>
    </row>
    <row r="155" spans="1:16" x14ac:dyDescent="0.25">
      <c r="A155" t="s">
        <v>1307</v>
      </c>
      <c r="B155" t="s">
        <v>5075</v>
      </c>
      <c r="C155">
        <f>MATCH(A155,mapPRC!A$2:A$1154,0)</f>
        <v>324</v>
      </c>
      <c r="G155" t="s">
        <v>2981</v>
      </c>
      <c r="H155" t="s">
        <v>3536</v>
      </c>
      <c r="I155">
        <f>MATCH(G155,mapPRC!$A$2:$A$1154,0)</f>
        <v>316</v>
      </c>
      <c r="P155" t="s">
        <v>1504</v>
      </c>
    </row>
    <row r="156" spans="1:16" x14ac:dyDescent="0.25">
      <c r="A156" t="s">
        <v>1304</v>
      </c>
      <c r="B156" t="s">
        <v>5076</v>
      </c>
      <c r="C156">
        <f>MATCH(A156,mapPRC!A$2:A$1154,0)</f>
        <v>325</v>
      </c>
      <c r="G156" t="s">
        <v>1320</v>
      </c>
      <c r="H156" t="s">
        <v>3537</v>
      </c>
      <c r="I156">
        <f>MATCH(G156,mapPRC!$A$2:$A$1154,0)</f>
        <v>317</v>
      </c>
      <c r="P156" t="s">
        <v>1037</v>
      </c>
    </row>
    <row r="157" spans="1:16" x14ac:dyDescent="0.25">
      <c r="A157" t="s">
        <v>1302</v>
      </c>
      <c r="B157" t="s">
        <v>2978</v>
      </c>
      <c r="C157">
        <f>MATCH(A157,mapPRC!A$2:A$1154,0)</f>
        <v>326</v>
      </c>
      <c r="G157" t="s">
        <v>3538</v>
      </c>
      <c r="H157" t="s">
        <v>3539</v>
      </c>
      <c r="I157">
        <f>MATCH(G157,mapPRC!$A$2:$A$1154,0)</f>
        <v>322</v>
      </c>
      <c r="P157" t="s">
        <v>756</v>
      </c>
    </row>
    <row r="158" spans="1:16" x14ac:dyDescent="0.25">
      <c r="A158" t="s">
        <v>1300</v>
      </c>
      <c r="B158" t="s">
        <v>5077</v>
      </c>
      <c r="C158">
        <f>MATCH(A158,mapPRC!A$2:A$1154,0)</f>
        <v>327</v>
      </c>
      <c r="G158" t="s">
        <v>1309</v>
      </c>
      <c r="H158" t="s">
        <v>1308</v>
      </c>
      <c r="I158">
        <f>MATCH(G158,mapPRC!$A$2:$A$1154,0)</f>
        <v>323</v>
      </c>
      <c r="P158" t="s">
        <v>1196</v>
      </c>
    </row>
    <row r="159" spans="1:16" x14ac:dyDescent="0.25">
      <c r="A159" t="s">
        <v>1298</v>
      </c>
      <c r="B159" t="s">
        <v>1297</v>
      </c>
      <c r="C159">
        <f>MATCH(A159,mapPRC!A$2:A$1154,0)</f>
        <v>328</v>
      </c>
      <c r="G159" t="s">
        <v>1307</v>
      </c>
      <c r="H159" t="s">
        <v>1306</v>
      </c>
      <c r="I159">
        <f>MATCH(G159,mapPRC!$A$2:$A$1154,0)</f>
        <v>324</v>
      </c>
      <c r="P159" t="s">
        <v>1192</v>
      </c>
    </row>
    <row r="160" spans="1:16" x14ac:dyDescent="0.25">
      <c r="A160" t="s">
        <v>3047</v>
      </c>
      <c r="B160" t="s">
        <v>5078</v>
      </c>
      <c r="C160">
        <f>MATCH(A160,mapPRC!A$2:A$1154,0)</f>
        <v>349</v>
      </c>
      <c r="G160" t="s">
        <v>1304</v>
      </c>
      <c r="H160" t="s">
        <v>1303</v>
      </c>
      <c r="I160">
        <f>MATCH(G160,mapPRC!$A$2:$A$1154,0)</f>
        <v>325</v>
      </c>
      <c r="P160" t="s">
        <v>3050</v>
      </c>
    </row>
    <row r="161" spans="1:16" x14ac:dyDescent="0.25">
      <c r="A161" t="s">
        <v>3466</v>
      </c>
      <c r="B161" t="s">
        <v>5079</v>
      </c>
      <c r="C161">
        <f>MATCH(A161,mapPRC!A$2:A$1154,0)</f>
        <v>350</v>
      </c>
      <c r="G161" t="s">
        <v>1302</v>
      </c>
      <c r="H161" t="s">
        <v>3540</v>
      </c>
      <c r="I161">
        <f>MATCH(G161,mapPRC!$A$2:$A$1154,0)</f>
        <v>326</v>
      </c>
      <c r="P161" t="s">
        <v>739</v>
      </c>
    </row>
    <row r="162" spans="1:16" x14ac:dyDescent="0.25">
      <c r="A162" t="s">
        <v>1295</v>
      </c>
      <c r="B162" t="s">
        <v>5080</v>
      </c>
      <c r="C162">
        <f>MATCH(A162,mapPRC!A$2:A$1154,0)</f>
        <v>351</v>
      </c>
      <c r="G162" t="s">
        <v>1300</v>
      </c>
      <c r="H162" t="s">
        <v>1299</v>
      </c>
      <c r="I162">
        <f>MATCH(G162,mapPRC!$A$2:$A$1154,0)</f>
        <v>327</v>
      </c>
      <c r="P162" t="s">
        <v>29</v>
      </c>
    </row>
    <row r="163" spans="1:16" x14ac:dyDescent="0.25">
      <c r="A163" t="s">
        <v>1293</v>
      </c>
      <c r="B163" t="s">
        <v>5081</v>
      </c>
      <c r="C163">
        <f>MATCH(A163,mapPRC!A$2:A$1154,0)</f>
        <v>352</v>
      </c>
      <c r="G163" t="s">
        <v>1298</v>
      </c>
      <c r="H163" t="s">
        <v>3541</v>
      </c>
      <c r="I163">
        <f>MATCH(G163,mapPRC!$A$2:$A$1154,0)</f>
        <v>328</v>
      </c>
      <c r="P163" t="s">
        <v>542</v>
      </c>
    </row>
    <row r="164" spans="1:16" x14ac:dyDescent="0.25">
      <c r="A164" t="s">
        <v>1291</v>
      </c>
      <c r="B164" t="s">
        <v>5082</v>
      </c>
      <c r="C164">
        <f>MATCH(A164,mapPRC!A$2:A$1154,0)</f>
        <v>353</v>
      </c>
      <c r="G164" t="s">
        <v>3451</v>
      </c>
      <c r="H164" t="s">
        <v>3452</v>
      </c>
      <c r="I164">
        <f>MATCH(G164,mapPRC!$A$2:$A$1154,0)</f>
        <v>347</v>
      </c>
      <c r="P164" t="s">
        <v>539</v>
      </c>
    </row>
    <row r="165" spans="1:16" x14ac:dyDescent="0.25">
      <c r="A165" t="s">
        <v>1289</v>
      </c>
      <c r="B165" t="s">
        <v>5083</v>
      </c>
      <c r="C165">
        <f>MATCH(A165,mapPRC!A$2:A$1154,0)</f>
        <v>354</v>
      </c>
      <c r="G165" t="s">
        <v>3453</v>
      </c>
      <c r="H165" t="s">
        <v>3454</v>
      </c>
      <c r="I165">
        <f>MATCH(G165,mapPRC!$A$2:$A$1154,0)</f>
        <v>348</v>
      </c>
      <c r="P165" t="s">
        <v>522</v>
      </c>
    </row>
    <row r="166" spans="1:16" x14ac:dyDescent="0.25">
      <c r="A166" t="s">
        <v>1287</v>
      </c>
      <c r="B166" t="s">
        <v>5084</v>
      </c>
      <c r="C166">
        <f>MATCH(A166,mapPRC!A$2:A$1154,0)</f>
        <v>355</v>
      </c>
      <c r="G166" t="s">
        <v>3047</v>
      </c>
      <c r="H166" t="s">
        <v>3048</v>
      </c>
      <c r="I166">
        <f>MATCH(G166,mapPRC!$A$2:$A$1154,0)</f>
        <v>349</v>
      </c>
      <c r="P166" t="s">
        <v>536</v>
      </c>
    </row>
    <row r="167" spans="1:16" x14ac:dyDescent="0.25">
      <c r="A167" t="s">
        <v>1285</v>
      </c>
      <c r="B167" t="s">
        <v>5085</v>
      </c>
      <c r="C167">
        <f>MATCH(A167,mapPRC!A$2:A$1154,0)</f>
        <v>356</v>
      </c>
      <c r="G167" t="s">
        <v>3466</v>
      </c>
      <c r="H167" t="s">
        <v>3467</v>
      </c>
      <c r="I167">
        <f>MATCH(G167,mapPRC!$A$2:$A$1154,0)</f>
        <v>350</v>
      </c>
      <c r="P167" t="s">
        <v>525</v>
      </c>
    </row>
    <row r="168" spans="1:16" x14ac:dyDescent="0.25">
      <c r="A168" t="s">
        <v>1283</v>
      </c>
      <c r="B168" t="s">
        <v>5086</v>
      </c>
      <c r="C168">
        <f>MATCH(A168,mapPRC!A$2:A$1154,0)</f>
        <v>357</v>
      </c>
      <c r="G168" t="s">
        <v>1295</v>
      </c>
      <c r="H168" t="s">
        <v>1294</v>
      </c>
      <c r="I168">
        <f>MATCH(G168,mapPRC!$A$2:$A$1154,0)</f>
        <v>351</v>
      </c>
      <c r="P168" t="s">
        <v>457</v>
      </c>
    </row>
    <row r="169" spans="1:16" x14ac:dyDescent="0.25">
      <c r="A169" t="s">
        <v>1281</v>
      </c>
      <c r="B169" t="s">
        <v>5087</v>
      </c>
      <c r="C169">
        <f>MATCH(A169,mapPRC!A$2:A$1154,0)</f>
        <v>358</v>
      </c>
      <c r="G169" t="s">
        <v>1293</v>
      </c>
      <c r="H169" t="s">
        <v>1292</v>
      </c>
      <c r="I169">
        <f>MATCH(G169,mapPRC!$A$2:$A$1154,0)</f>
        <v>352</v>
      </c>
      <c r="P169" t="s">
        <v>1772</v>
      </c>
    </row>
    <row r="170" spans="1:16" x14ac:dyDescent="0.25">
      <c r="A170" t="s">
        <v>1279</v>
      </c>
      <c r="B170" t="s">
        <v>5088</v>
      </c>
      <c r="C170">
        <f>MATCH(A170,mapPRC!A$2:A$1154,0)</f>
        <v>359</v>
      </c>
      <c r="G170" t="s">
        <v>1291</v>
      </c>
      <c r="H170" t="s">
        <v>1290</v>
      </c>
      <c r="I170">
        <f>MATCH(G170,mapPRC!$A$2:$A$1154,0)</f>
        <v>353</v>
      </c>
      <c r="P170" t="s">
        <v>717</v>
      </c>
    </row>
    <row r="171" spans="1:16" x14ac:dyDescent="0.25">
      <c r="A171" t="s">
        <v>3051</v>
      </c>
      <c r="B171" t="s">
        <v>5089</v>
      </c>
      <c r="C171">
        <f>MATCH(A171,mapPRC!A$2:A$1154,0)</f>
        <v>360</v>
      </c>
      <c r="G171" t="s">
        <v>1289</v>
      </c>
      <c r="H171" t="s">
        <v>1288</v>
      </c>
      <c r="I171">
        <f>MATCH(G171,mapPRC!$A$2:$A$1154,0)</f>
        <v>354</v>
      </c>
    </row>
    <row r="172" spans="1:16" x14ac:dyDescent="0.25">
      <c r="A172" t="s">
        <v>1276</v>
      </c>
      <c r="B172" t="s">
        <v>5089</v>
      </c>
      <c r="C172">
        <f>MATCH(A172,mapPRC!A$2:A$1154,0)</f>
        <v>361</v>
      </c>
      <c r="G172" t="s">
        <v>3566</v>
      </c>
      <c r="H172" t="s">
        <v>3567</v>
      </c>
      <c r="I172">
        <f>MATCH(G172,mapPRC!$A$2:$A$1154,0)</f>
        <v>370</v>
      </c>
    </row>
    <row r="173" spans="1:16" x14ac:dyDescent="0.25">
      <c r="A173" t="s">
        <v>3748</v>
      </c>
      <c r="B173" t="s">
        <v>5090</v>
      </c>
      <c r="C173">
        <f>MATCH(A173,mapPRC!A$2:A$1154,0)</f>
        <v>362</v>
      </c>
      <c r="G173" t="s">
        <v>1287</v>
      </c>
      <c r="H173" t="s">
        <v>1286</v>
      </c>
      <c r="I173">
        <f>MATCH(G173,mapPRC!$A$2:$A$1154,0)</f>
        <v>355</v>
      </c>
    </row>
    <row r="174" spans="1:16" x14ac:dyDescent="0.25">
      <c r="A174" t="s">
        <v>1274</v>
      </c>
      <c r="B174" t="s">
        <v>5089</v>
      </c>
      <c r="C174">
        <f>MATCH(A174,mapPRC!A$2:A$1154,0)</f>
        <v>364</v>
      </c>
      <c r="G174" t="s">
        <v>3568</v>
      </c>
      <c r="H174" t="s">
        <v>3569</v>
      </c>
      <c r="I174">
        <f>MATCH(G174,mapPRC!$A$2:$A$1154,0)</f>
        <v>372</v>
      </c>
    </row>
    <row r="175" spans="1:16" x14ac:dyDescent="0.25">
      <c r="A175" t="s">
        <v>3749</v>
      </c>
      <c r="B175" t="s">
        <v>3747</v>
      </c>
      <c r="C175">
        <f>MATCH(A175,mapPRC!A$2:A$1154,0)</f>
        <v>363</v>
      </c>
      <c r="G175" t="s">
        <v>1285</v>
      </c>
      <c r="H175" t="s">
        <v>1284</v>
      </c>
      <c r="I175">
        <f>MATCH(G175,mapPRC!$A$2:$A$1154,0)</f>
        <v>356</v>
      </c>
    </row>
    <row r="176" spans="1:16" x14ac:dyDescent="0.25">
      <c r="A176" t="s">
        <v>1272</v>
      </c>
      <c r="B176" t="s">
        <v>5089</v>
      </c>
      <c r="C176">
        <f>MATCH(A176,mapPRC!A$2:A$1154,0)</f>
        <v>365</v>
      </c>
      <c r="G176" t="s">
        <v>1283</v>
      </c>
      <c r="H176" t="s">
        <v>1282</v>
      </c>
      <c r="I176">
        <f>MATCH(G176,mapPRC!$A$2:$A$1154,0)</f>
        <v>357</v>
      </c>
    </row>
    <row r="177" spans="1:9" x14ac:dyDescent="0.25">
      <c r="A177" t="s">
        <v>1270</v>
      </c>
      <c r="B177" t="s">
        <v>5089</v>
      </c>
      <c r="C177">
        <f>MATCH(A177,mapPRC!A$2:A$1154,0)</f>
        <v>366</v>
      </c>
      <c r="G177" t="s">
        <v>3570</v>
      </c>
      <c r="H177" t="s">
        <v>3571</v>
      </c>
      <c r="I177">
        <f>MATCH(G177,mapPRC!$A$2:$A$1154,0)</f>
        <v>373</v>
      </c>
    </row>
    <row r="178" spans="1:9" x14ac:dyDescent="0.25">
      <c r="A178" t="s">
        <v>1268</v>
      </c>
      <c r="B178" t="s">
        <v>5089</v>
      </c>
      <c r="C178">
        <f>MATCH(A178,mapPRC!A$2:A$1154,0)</f>
        <v>367</v>
      </c>
      <c r="G178" t="s">
        <v>1281</v>
      </c>
      <c r="H178" t="s">
        <v>1280</v>
      </c>
      <c r="I178">
        <f>MATCH(G178,mapPRC!$A$2:$A$1154,0)</f>
        <v>358</v>
      </c>
    </row>
    <row r="179" spans="1:9" x14ac:dyDescent="0.25">
      <c r="A179" t="s">
        <v>3865</v>
      </c>
      <c r="B179" t="s">
        <v>5091</v>
      </c>
      <c r="C179">
        <f>MATCH(A179,mapPRC!A$2:A$1154,0)</f>
        <v>368</v>
      </c>
      <c r="G179" t="s">
        <v>1279</v>
      </c>
      <c r="H179" t="s">
        <v>1278</v>
      </c>
      <c r="I179">
        <f>MATCH(G179,mapPRC!$A$2:$A$1154,0)</f>
        <v>359</v>
      </c>
    </row>
    <row r="180" spans="1:9" x14ac:dyDescent="0.25">
      <c r="A180" t="s">
        <v>1261</v>
      </c>
      <c r="B180" t="s">
        <v>5092</v>
      </c>
      <c r="C180">
        <f>MATCH(A180,mapPRC!A$2:A$1154,0)</f>
        <v>379</v>
      </c>
      <c r="G180" t="s">
        <v>3051</v>
      </c>
      <c r="H180" t="s">
        <v>1277</v>
      </c>
      <c r="I180">
        <f>MATCH(G180,mapPRC!$A$2:$A$1154,0)</f>
        <v>360</v>
      </c>
    </row>
    <row r="181" spans="1:9" x14ac:dyDescent="0.25">
      <c r="A181" t="s">
        <v>1259</v>
      </c>
      <c r="B181" t="s">
        <v>5093</v>
      </c>
      <c r="C181">
        <f>MATCH(A181,mapPRC!A$2:A$1154,0)</f>
        <v>380</v>
      </c>
      <c r="G181" t="s">
        <v>1276</v>
      </c>
      <c r="H181" t="s">
        <v>1275</v>
      </c>
      <c r="I181">
        <f>MATCH(G181,mapPRC!$A$2:$A$1154,0)</f>
        <v>361</v>
      </c>
    </row>
    <row r="182" spans="1:9" x14ac:dyDescent="0.25">
      <c r="A182" t="s">
        <v>1257</v>
      </c>
      <c r="B182" t="s">
        <v>5094</v>
      </c>
      <c r="C182">
        <f>MATCH(A182,mapPRC!A$2:A$1154,0)</f>
        <v>381</v>
      </c>
      <c r="G182" t="s">
        <v>1274</v>
      </c>
      <c r="H182" t="s">
        <v>1273</v>
      </c>
      <c r="I182">
        <f>MATCH(G182,mapPRC!$A$2:$A$1154,0)</f>
        <v>364</v>
      </c>
    </row>
    <row r="183" spans="1:9" x14ac:dyDescent="0.25">
      <c r="A183" t="s">
        <v>1255</v>
      </c>
      <c r="B183" t="s">
        <v>5095</v>
      </c>
      <c r="C183">
        <f>MATCH(A183,mapPRC!A$2:A$1154,0)</f>
        <v>382</v>
      </c>
      <c r="G183" t="s">
        <v>1272</v>
      </c>
      <c r="H183" t="s">
        <v>1271</v>
      </c>
      <c r="I183">
        <f>MATCH(G183,mapPRC!$A$2:$A$1154,0)</f>
        <v>365</v>
      </c>
    </row>
    <row r="184" spans="1:9" x14ac:dyDescent="0.25">
      <c r="A184" t="s">
        <v>1253</v>
      </c>
      <c r="B184" t="s">
        <v>5096</v>
      </c>
      <c r="C184">
        <f>MATCH(A184,mapPRC!A$2:A$1154,0)</f>
        <v>383</v>
      </c>
      <c r="G184" t="s">
        <v>1270</v>
      </c>
      <c r="H184" t="s">
        <v>1269</v>
      </c>
      <c r="I184">
        <f>MATCH(G184,mapPRC!$A$2:$A$1154,0)</f>
        <v>366</v>
      </c>
    </row>
    <row r="185" spans="1:9" x14ac:dyDescent="0.25">
      <c r="A185" t="s">
        <v>1251</v>
      </c>
      <c r="B185" t="s">
        <v>5097</v>
      </c>
      <c r="C185">
        <f>MATCH(A185,mapPRC!A$2:A$1154,0)</f>
        <v>384</v>
      </c>
      <c r="G185" t="s">
        <v>1268</v>
      </c>
      <c r="H185" t="s">
        <v>1267</v>
      </c>
      <c r="I185">
        <f>MATCH(G185,mapPRC!$A$2:$A$1154,0)</f>
        <v>367</v>
      </c>
    </row>
    <row r="186" spans="1:9" x14ac:dyDescent="0.25">
      <c r="A186" t="s">
        <v>1249</v>
      </c>
      <c r="B186" t="s">
        <v>5098</v>
      </c>
      <c r="C186">
        <f>MATCH(A186,mapPRC!A$2:A$1154,0)</f>
        <v>385</v>
      </c>
      <c r="G186" t="s">
        <v>1266</v>
      </c>
      <c r="H186" t="s">
        <v>1265</v>
      </c>
      <c r="I186" t="e">
        <f>MATCH(G186,mapPRC!$A$2:$A$1154,0)</f>
        <v>#N/A</v>
      </c>
    </row>
    <row r="187" spans="1:9" x14ac:dyDescent="0.25">
      <c r="A187" t="s">
        <v>1247</v>
      </c>
      <c r="B187" t="s">
        <v>5099</v>
      </c>
      <c r="C187">
        <f>MATCH(A187,mapPRC!A$2:A$1154,0)</f>
        <v>386</v>
      </c>
      <c r="G187" t="s">
        <v>1261</v>
      </c>
      <c r="H187" t="s">
        <v>1260</v>
      </c>
      <c r="I187">
        <f>MATCH(G187,mapPRC!$A$2:$A$1154,0)</f>
        <v>379</v>
      </c>
    </row>
    <row r="188" spans="1:9" x14ac:dyDescent="0.25">
      <c r="A188" t="s">
        <v>1245</v>
      </c>
      <c r="B188" t="s">
        <v>5100</v>
      </c>
      <c r="C188">
        <f>MATCH(A188,mapPRC!A$2:A$1154,0)</f>
        <v>387</v>
      </c>
      <c r="G188" t="s">
        <v>1259</v>
      </c>
      <c r="H188" t="s">
        <v>1258</v>
      </c>
      <c r="I188">
        <f>MATCH(G188,mapPRC!$A$2:$A$1154,0)</f>
        <v>380</v>
      </c>
    </row>
    <row r="189" spans="1:9" x14ac:dyDescent="0.25">
      <c r="A189" t="s">
        <v>1243</v>
      </c>
      <c r="B189" t="s">
        <v>5101</v>
      </c>
      <c r="C189">
        <f>MATCH(A189,mapPRC!A$2:A$1154,0)</f>
        <v>388</v>
      </c>
      <c r="G189" t="s">
        <v>1257</v>
      </c>
      <c r="H189" t="s">
        <v>1256</v>
      </c>
      <c r="I189">
        <f>MATCH(G189,mapPRC!$A$2:$A$1154,0)</f>
        <v>381</v>
      </c>
    </row>
    <row r="190" spans="1:9" x14ac:dyDescent="0.25">
      <c r="A190" t="s">
        <v>1242</v>
      </c>
      <c r="B190" t="s">
        <v>5101</v>
      </c>
      <c r="C190">
        <f>MATCH(A190,mapPRC!A$2:A$1154,0)</f>
        <v>389</v>
      </c>
      <c r="G190" t="s">
        <v>1255</v>
      </c>
      <c r="H190" t="s">
        <v>1254</v>
      </c>
      <c r="I190">
        <f>MATCH(G190,mapPRC!$A$2:$A$1154,0)</f>
        <v>382</v>
      </c>
    </row>
    <row r="191" spans="1:9" x14ac:dyDescent="0.25">
      <c r="A191" t="s">
        <v>1241</v>
      </c>
      <c r="B191" t="s">
        <v>5101</v>
      </c>
      <c r="C191">
        <f>MATCH(A191,mapPRC!A$2:A$1154,0)</f>
        <v>390</v>
      </c>
      <c r="G191" t="s">
        <v>1253</v>
      </c>
      <c r="H191" t="s">
        <v>1252</v>
      </c>
      <c r="I191">
        <f>MATCH(G191,mapPRC!$A$2:$A$1154,0)</f>
        <v>383</v>
      </c>
    </row>
    <row r="192" spans="1:9" x14ac:dyDescent="0.25">
      <c r="A192" t="s">
        <v>3752</v>
      </c>
      <c r="B192" t="s">
        <v>5102</v>
      </c>
      <c r="C192">
        <f>MATCH(A192,mapPRC!A$2:A$1154,0)</f>
        <v>391</v>
      </c>
      <c r="G192" t="s">
        <v>1251</v>
      </c>
      <c r="H192" t="s">
        <v>1250</v>
      </c>
      <c r="I192">
        <f>MATCH(G192,mapPRC!$A$2:$A$1154,0)</f>
        <v>384</v>
      </c>
    </row>
    <row r="193" spans="1:10" x14ac:dyDescent="0.25">
      <c r="A193" t="s">
        <v>1240</v>
      </c>
      <c r="B193" t="s">
        <v>5101</v>
      </c>
      <c r="C193">
        <f>MATCH(A193,mapPRC!A$2:A$1154,0)</f>
        <v>393</v>
      </c>
      <c r="G193" t="s">
        <v>1249</v>
      </c>
      <c r="H193" t="s">
        <v>1248</v>
      </c>
      <c r="I193">
        <f>MATCH(G193,mapPRC!$A$2:$A$1154,0)</f>
        <v>385</v>
      </c>
    </row>
    <row r="194" spans="1:10" x14ac:dyDescent="0.25">
      <c r="A194" t="s">
        <v>3753</v>
      </c>
      <c r="B194" t="s">
        <v>3751</v>
      </c>
      <c r="C194">
        <f>MATCH(A194,mapPRC!A$2:A$1154,0)</f>
        <v>392</v>
      </c>
      <c r="G194" t="s">
        <v>1247</v>
      </c>
      <c r="H194" t="s">
        <v>1246</v>
      </c>
      <c r="I194">
        <f>MATCH(G194,mapPRC!$A$2:$A$1154,0)</f>
        <v>386</v>
      </c>
    </row>
    <row r="195" spans="1:10" x14ac:dyDescent="0.25">
      <c r="A195" t="s">
        <v>1239</v>
      </c>
      <c r="B195" t="s">
        <v>5101</v>
      </c>
      <c r="C195">
        <f>MATCH(A195,mapPRC!A$2:A$1154,0)</f>
        <v>394</v>
      </c>
      <c r="G195" t="s">
        <v>1245</v>
      </c>
      <c r="H195" t="s">
        <v>1244</v>
      </c>
      <c r="I195">
        <f>MATCH(G195,mapPRC!$A$2:$A$1154,0)</f>
        <v>387</v>
      </c>
    </row>
    <row r="196" spans="1:10" x14ac:dyDescent="0.25">
      <c r="A196" t="s">
        <v>1238</v>
      </c>
      <c r="B196" t="s">
        <v>5101</v>
      </c>
      <c r="C196">
        <f>MATCH(A196,mapPRC!A$2:A$1154,0)</f>
        <v>395</v>
      </c>
      <c r="G196" t="s">
        <v>1243</v>
      </c>
      <c r="H196" t="s">
        <v>1236</v>
      </c>
      <c r="I196">
        <f>MATCH(G196,mapPRC!$A$2:$A$1154,0)</f>
        <v>388</v>
      </c>
    </row>
    <row r="197" spans="1:10" x14ac:dyDescent="0.25">
      <c r="A197" t="s">
        <v>1237</v>
      </c>
      <c r="B197" t="s">
        <v>5101</v>
      </c>
      <c r="C197">
        <f>MATCH(A197,mapPRC!A$2:A$1154,0)</f>
        <v>396</v>
      </c>
      <c r="G197" t="s">
        <v>1242</v>
      </c>
      <c r="H197" t="s">
        <v>1236</v>
      </c>
      <c r="I197">
        <f>MATCH(G197,mapPRC!$A$2:$A$1154,0)</f>
        <v>389</v>
      </c>
    </row>
    <row r="198" spans="1:10" x14ac:dyDescent="0.25">
      <c r="A198" t="s">
        <v>3468</v>
      </c>
      <c r="B198" t="s">
        <v>5105</v>
      </c>
      <c r="C198" t="e">
        <f>MATCH(A198,mapPRC!A$2:A$1154,0)</f>
        <v>#N/A</v>
      </c>
      <c r="G198" t="s">
        <v>1241</v>
      </c>
      <c r="H198" t="s">
        <v>1236</v>
      </c>
      <c r="I198">
        <f>MATCH(G198,mapPRC!$A$2:$A$1154,0)</f>
        <v>390</v>
      </c>
    </row>
    <row r="199" spans="1:10" x14ac:dyDescent="0.25">
      <c r="A199" t="s">
        <v>3470</v>
      </c>
      <c r="B199" t="s">
        <v>5103</v>
      </c>
      <c r="C199">
        <f>MATCH(A199,mapPRC!A$2:A$1154,0)</f>
        <v>374</v>
      </c>
      <c r="G199" t="s">
        <v>1240</v>
      </c>
      <c r="H199" t="s">
        <v>1236</v>
      </c>
      <c r="I199">
        <f>MATCH(G199,mapPRC!$A$2:$A$1154,0)</f>
        <v>393</v>
      </c>
    </row>
    <row r="200" spans="1:10" x14ac:dyDescent="0.25">
      <c r="A200" t="s">
        <v>3472</v>
      </c>
      <c r="B200" t="s">
        <v>5104</v>
      </c>
      <c r="C200">
        <f>MATCH(A200,mapPRC!A$2:A$1154,0)</f>
        <v>375</v>
      </c>
      <c r="G200" t="s">
        <v>1239</v>
      </c>
      <c r="H200" t="s">
        <v>1236</v>
      </c>
      <c r="I200">
        <f>MATCH(G200,mapPRC!$A$2:$A$1154,0)</f>
        <v>394</v>
      </c>
    </row>
    <row r="201" spans="1:10" x14ac:dyDescent="0.25">
      <c r="A201" t="s">
        <v>3696</v>
      </c>
      <c r="B201" t="s">
        <v>5108</v>
      </c>
      <c r="C201">
        <f>MATCH(A201,mapPRC!A$2:A$1154,0)</f>
        <v>397</v>
      </c>
      <c r="G201" t="s">
        <v>1238</v>
      </c>
      <c r="H201" t="s">
        <v>1236</v>
      </c>
      <c r="I201">
        <f>MATCH(G201,mapPRC!$A$2:$A$1154,0)</f>
        <v>395</v>
      </c>
    </row>
    <row r="202" spans="1:10" x14ac:dyDescent="0.25">
      <c r="A202" t="s">
        <v>3698</v>
      </c>
      <c r="B202" t="s">
        <v>5106</v>
      </c>
      <c r="C202">
        <f>MATCH(A202,mapPRC!A$2:A$1154,0)</f>
        <v>398</v>
      </c>
      <c r="G202" t="s">
        <v>1237</v>
      </c>
      <c r="H202" t="s">
        <v>1236</v>
      </c>
      <c r="I202">
        <f>MATCH(G202,mapPRC!$A$2:$A$1154,0)</f>
        <v>396</v>
      </c>
    </row>
    <row r="203" spans="1:10" x14ac:dyDescent="0.25">
      <c r="A203" t="s">
        <v>3700</v>
      </c>
      <c r="B203" t="s">
        <v>5107</v>
      </c>
      <c r="C203">
        <f>MATCH(A203,mapPRC!A$2:A$1154,0)</f>
        <v>399</v>
      </c>
      <c r="G203" t="s">
        <v>3468</v>
      </c>
      <c r="H203" t="s">
        <v>3469</v>
      </c>
      <c r="I203" t="e">
        <f>MATCH(G203,mapPRC!$A$2:$A$1154,0)</f>
        <v>#N/A</v>
      </c>
    </row>
    <row r="204" spans="1:10" x14ac:dyDescent="0.25">
      <c r="A204" t="s">
        <v>1231</v>
      </c>
      <c r="B204" t="s">
        <v>5810</v>
      </c>
      <c r="C204">
        <f>MATCH(A204,mapPRC!A$2:A$1154,0)</f>
        <v>400</v>
      </c>
      <c r="G204" t="s">
        <v>3470</v>
      </c>
      <c r="H204" t="s">
        <v>3471</v>
      </c>
      <c r="I204">
        <f>MATCH(G204,mapPRC!$A$2:$A$1154,0)</f>
        <v>374</v>
      </c>
    </row>
    <row r="205" spans="1:10" x14ac:dyDescent="0.25">
      <c r="A205" t="s">
        <v>1228</v>
      </c>
      <c r="B205" t="s">
        <v>5811</v>
      </c>
      <c r="C205">
        <f>MATCH(A205,mapPRC!A$2:A$1154,0)</f>
        <v>401</v>
      </c>
      <c r="G205" t="s">
        <v>3472</v>
      </c>
      <c r="H205" t="s">
        <v>3473</v>
      </c>
      <c r="I205">
        <f>MATCH(G205,mapPRC!$A$2:$A$1154,0)</f>
        <v>375</v>
      </c>
    </row>
    <row r="206" spans="1:10" x14ac:dyDescent="0.25">
      <c r="A206" t="s">
        <v>1222</v>
      </c>
      <c r="B206" t="s">
        <v>5812</v>
      </c>
      <c r="C206" t="e">
        <f>MATCH(A206,mapPRC!A$2:A$1154,0)</f>
        <v>#N/A</v>
      </c>
      <c r="G206" t="s">
        <v>3696</v>
      </c>
      <c r="H206" t="s">
        <v>3697</v>
      </c>
      <c r="I206">
        <f>MATCH(G206,mapPRC!$A$2:$A$1154,0)</f>
        <v>397</v>
      </c>
      <c r="J206">
        <v>1</v>
      </c>
    </row>
    <row r="207" spans="1:10" x14ac:dyDescent="0.25">
      <c r="A207" t="s">
        <v>1219</v>
      </c>
      <c r="B207" t="s">
        <v>5109</v>
      </c>
      <c r="C207" t="e">
        <f>MATCH(A207,mapPRC!A$2:A$1154,0)</f>
        <v>#N/A</v>
      </c>
      <c r="G207" t="s">
        <v>3698</v>
      </c>
      <c r="H207" t="s">
        <v>3699</v>
      </c>
      <c r="I207">
        <f>MATCH(G207,mapPRC!$A$2:$A$1154,0)</f>
        <v>398</v>
      </c>
      <c r="J207">
        <v>1</v>
      </c>
    </row>
    <row r="208" spans="1:10" x14ac:dyDescent="0.25">
      <c r="A208" t="s">
        <v>1213</v>
      </c>
      <c r="B208" t="s">
        <v>5813</v>
      </c>
      <c r="C208">
        <f>MATCH(A208,mapPRC!A$2:A$1154,0)</f>
        <v>405</v>
      </c>
      <c r="G208" t="s">
        <v>3700</v>
      </c>
      <c r="H208" t="s">
        <v>3701</v>
      </c>
      <c r="I208">
        <f>MATCH(G208,mapPRC!$A$2:$A$1154,0)</f>
        <v>399</v>
      </c>
      <c r="J208">
        <v>1</v>
      </c>
    </row>
    <row r="209" spans="1:9" x14ac:dyDescent="0.25">
      <c r="A209" t="s">
        <v>1208</v>
      </c>
      <c r="B209" t="s">
        <v>5110</v>
      </c>
      <c r="C209" t="e">
        <f>MATCH(A209,mapPRC!A$2:A$1154,0)</f>
        <v>#N/A</v>
      </c>
      <c r="G209" t="s">
        <v>1231</v>
      </c>
      <c r="H209" t="s">
        <v>1230</v>
      </c>
      <c r="I209">
        <f>MATCH(G209,mapPRC!$A$2:$A$1154,0)</f>
        <v>400</v>
      </c>
    </row>
    <row r="210" spans="1:9" x14ac:dyDescent="0.25">
      <c r="A210" t="s">
        <v>3474</v>
      </c>
      <c r="B210" t="s">
        <v>5111</v>
      </c>
      <c r="C210" t="e">
        <f>MATCH(A210,mapPRC!A$2:A$1154,0)</f>
        <v>#N/A</v>
      </c>
      <c r="G210" t="s">
        <v>1234</v>
      </c>
      <c r="H210" t="s">
        <v>1232</v>
      </c>
      <c r="I210" t="e">
        <f>MATCH(G210,mapPRC!$A$2:$A$1154,0)</f>
        <v>#N/A</v>
      </c>
    </row>
    <row r="211" spans="1:9" x14ac:dyDescent="0.25">
      <c r="A211" t="s">
        <v>3476</v>
      </c>
      <c r="B211" t="s">
        <v>5112</v>
      </c>
      <c r="C211" t="e">
        <f>MATCH(A211,mapPRC!A$2:A$1154,0)</f>
        <v>#N/A</v>
      </c>
      <c r="G211" t="s">
        <v>1233</v>
      </c>
      <c r="H211" t="s">
        <v>1232</v>
      </c>
      <c r="I211" t="e">
        <f>MATCH(G211,mapPRC!$A$2:$A$1154,0)</f>
        <v>#N/A</v>
      </c>
    </row>
    <row r="212" spans="1:9" x14ac:dyDescent="0.25">
      <c r="A212" t="s">
        <v>3052</v>
      </c>
      <c r="B212" t="s">
        <v>5113</v>
      </c>
      <c r="C212" t="e">
        <f>MATCH(A212,mapPRC!A$2:A$1154,0)</f>
        <v>#N/A</v>
      </c>
      <c r="G212" t="s">
        <v>1228</v>
      </c>
      <c r="H212" t="s">
        <v>1227</v>
      </c>
      <c r="I212">
        <f>MATCH(G212,mapPRC!$A$2:$A$1154,0)</f>
        <v>401</v>
      </c>
    </row>
    <row r="213" spans="1:9" x14ac:dyDescent="0.25">
      <c r="A213" t="s">
        <v>3054</v>
      </c>
      <c r="B213" t="s">
        <v>5114</v>
      </c>
      <c r="C213" t="e">
        <f>MATCH(A213,mapPRC!A$2:A$1154,0)</f>
        <v>#N/A</v>
      </c>
      <c r="G213" t="s">
        <v>1222</v>
      </c>
      <c r="H213" t="s">
        <v>1221</v>
      </c>
      <c r="I213" t="e">
        <f>MATCH(G213,mapPRC!$A$2:$A$1154,0)</f>
        <v>#N/A</v>
      </c>
    </row>
    <row r="214" spans="1:9" x14ac:dyDescent="0.25">
      <c r="A214" t="s">
        <v>3056</v>
      </c>
      <c r="B214" t="s">
        <v>5115</v>
      </c>
      <c r="C214" t="e">
        <f>MATCH(A214,mapPRC!A$2:A$1154,0)</f>
        <v>#N/A</v>
      </c>
      <c r="G214" t="s">
        <v>1225</v>
      </c>
      <c r="H214" t="s">
        <v>1223</v>
      </c>
      <c r="I214" t="e">
        <f>MATCH(G214,mapPRC!$A$2:$A$1154,0)</f>
        <v>#N/A</v>
      </c>
    </row>
    <row r="215" spans="1:9" x14ac:dyDescent="0.25">
      <c r="A215" t="s">
        <v>3058</v>
      </c>
      <c r="B215" t="s">
        <v>5116</v>
      </c>
      <c r="C215" t="e">
        <f>MATCH(A215,mapPRC!A$2:A$1154,0)</f>
        <v>#N/A</v>
      </c>
      <c r="G215" t="s">
        <v>1224</v>
      </c>
      <c r="H215" t="s">
        <v>1223</v>
      </c>
      <c r="I215" t="e">
        <f>MATCH(G215,mapPRC!$A$2:$A$1154,0)</f>
        <v>#N/A</v>
      </c>
    </row>
    <row r="216" spans="1:9" x14ac:dyDescent="0.25">
      <c r="A216" t="s">
        <v>1202</v>
      </c>
      <c r="B216" t="s">
        <v>5814</v>
      </c>
      <c r="C216" t="e">
        <f>MATCH(A216,mapPRC!A$2:A$1154,0)</f>
        <v>#N/A</v>
      </c>
      <c r="G216" t="s">
        <v>1219</v>
      </c>
      <c r="H216" t="s">
        <v>1218</v>
      </c>
      <c r="I216" t="e">
        <f>MATCH(G216,mapPRC!$A$2:$A$1154,0)</f>
        <v>#N/A</v>
      </c>
    </row>
    <row r="217" spans="1:9" x14ac:dyDescent="0.25">
      <c r="A217" t="s">
        <v>1197</v>
      </c>
      <c r="B217" t="s">
        <v>5815</v>
      </c>
      <c r="C217">
        <f>MATCH(A217,mapPRC!A$2:A$1154,0)</f>
        <v>415</v>
      </c>
      <c r="G217" t="s">
        <v>1213</v>
      </c>
      <c r="H217" t="s">
        <v>1212</v>
      </c>
      <c r="I217">
        <f>MATCH(G217,mapPRC!$A$2:$A$1154,0)</f>
        <v>405</v>
      </c>
    </row>
    <row r="218" spans="1:9" x14ac:dyDescent="0.25">
      <c r="A218" t="s">
        <v>1195</v>
      </c>
      <c r="B218" t="s">
        <v>5117</v>
      </c>
      <c r="C218">
        <f>MATCH(A218,mapPRC!A$2:A$1154,0)</f>
        <v>416</v>
      </c>
      <c r="G218" t="s">
        <v>1216</v>
      </c>
      <c r="H218" t="s">
        <v>1212</v>
      </c>
      <c r="I218" t="e">
        <f>MATCH(G218,mapPRC!$A$2:$A$1154,0)</f>
        <v>#N/A</v>
      </c>
    </row>
    <row r="219" spans="1:9" x14ac:dyDescent="0.25">
      <c r="A219" t="s">
        <v>3478</v>
      </c>
      <c r="B219" t="s">
        <v>5118</v>
      </c>
      <c r="C219" t="e">
        <f>MATCH(A219,mapPRC!A$2:A$1154,0)</f>
        <v>#N/A</v>
      </c>
      <c r="G219" t="s">
        <v>1215</v>
      </c>
      <c r="H219" t="s">
        <v>1214</v>
      </c>
      <c r="I219" t="e">
        <f>MATCH(G219,mapPRC!$A$2:$A$1154,0)</f>
        <v>#N/A</v>
      </c>
    </row>
    <row r="220" spans="1:9" x14ac:dyDescent="0.25">
      <c r="A220" t="s">
        <v>1191</v>
      </c>
      <c r="B220" t="s">
        <v>5119</v>
      </c>
      <c r="C220">
        <f>MATCH(A220,mapPRC!A$2:A$1154,0)</f>
        <v>417</v>
      </c>
      <c r="G220" t="s">
        <v>1210</v>
      </c>
      <c r="H220" t="s">
        <v>1207</v>
      </c>
      <c r="I220" t="e">
        <f>MATCH(G220,mapPRC!$A$2:$A$1154,0)</f>
        <v>#N/A</v>
      </c>
    </row>
    <row r="221" spans="1:9" x14ac:dyDescent="0.25">
      <c r="A221" t="s">
        <v>1189</v>
      </c>
      <c r="B221" t="s">
        <v>5120</v>
      </c>
      <c r="C221">
        <f>MATCH(A221,mapPRC!A$2:A$1154,0)</f>
        <v>418</v>
      </c>
      <c r="G221" t="s">
        <v>1208</v>
      </c>
      <c r="H221" t="s">
        <v>1207</v>
      </c>
      <c r="I221" t="e">
        <f>MATCH(G221,mapPRC!$A$2:$A$1154,0)</f>
        <v>#N/A</v>
      </c>
    </row>
    <row r="222" spans="1:9" x14ac:dyDescent="0.25">
      <c r="A222" t="s">
        <v>1187</v>
      </c>
      <c r="B222" t="s">
        <v>5121</v>
      </c>
      <c r="C222">
        <f>MATCH(A222,mapPRC!A$2:A$1154,0)</f>
        <v>419</v>
      </c>
      <c r="G222" t="s">
        <v>3474</v>
      </c>
      <c r="H222" t="s">
        <v>3475</v>
      </c>
      <c r="I222" t="e">
        <f>MATCH(G222,mapPRC!$A$2:$A$1154,0)</f>
        <v>#N/A</v>
      </c>
    </row>
    <row r="223" spans="1:9" x14ac:dyDescent="0.25">
      <c r="A223" t="s">
        <v>1185</v>
      </c>
      <c r="B223" t="s">
        <v>5122</v>
      </c>
      <c r="C223">
        <f>MATCH(A223,mapPRC!A$2:A$1154,0)</f>
        <v>420</v>
      </c>
      <c r="G223" t="s">
        <v>3476</v>
      </c>
      <c r="H223" t="s">
        <v>3477</v>
      </c>
      <c r="I223" t="e">
        <f>MATCH(G223,mapPRC!$A$2:$A$1154,0)</f>
        <v>#N/A</v>
      </c>
    </row>
    <row r="224" spans="1:9" x14ac:dyDescent="0.25">
      <c r="A224" t="s">
        <v>1183</v>
      </c>
      <c r="B224" t="s">
        <v>5123</v>
      </c>
      <c r="C224">
        <f>MATCH(A224,mapPRC!A$2:A$1154,0)</f>
        <v>421</v>
      </c>
      <c r="G224" t="s">
        <v>3052</v>
      </c>
      <c r="H224" t="s">
        <v>3053</v>
      </c>
      <c r="I224" t="e">
        <f>MATCH(G224,mapPRC!$A$2:$A$1154,0)</f>
        <v>#N/A</v>
      </c>
    </row>
    <row r="225" spans="1:9" x14ac:dyDescent="0.25">
      <c r="A225" t="s">
        <v>1181</v>
      </c>
      <c r="B225" t="s">
        <v>5124</v>
      </c>
      <c r="C225">
        <f>MATCH(A225,mapPRC!A$2:A$1154,0)</f>
        <v>422</v>
      </c>
      <c r="G225" t="s">
        <v>3054</v>
      </c>
      <c r="H225" t="s">
        <v>3055</v>
      </c>
      <c r="I225" t="e">
        <f>MATCH(G225,mapPRC!$A$2:$A$1154,0)</f>
        <v>#N/A</v>
      </c>
    </row>
    <row r="226" spans="1:9" x14ac:dyDescent="0.25">
      <c r="A226" t="s">
        <v>1179</v>
      </c>
      <c r="B226" t="s">
        <v>5125</v>
      </c>
      <c r="C226">
        <f>MATCH(A226,mapPRC!A$2:A$1154,0)</f>
        <v>423</v>
      </c>
      <c r="G226" t="s">
        <v>3056</v>
      </c>
      <c r="H226" t="s">
        <v>3057</v>
      </c>
      <c r="I226" t="e">
        <f>MATCH(G226,mapPRC!$A$2:$A$1154,0)</f>
        <v>#N/A</v>
      </c>
    </row>
    <row r="227" spans="1:9" x14ac:dyDescent="0.25">
      <c r="A227" t="s">
        <v>1177</v>
      </c>
      <c r="B227" t="s">
        <v>5126</v>
      </c>
      <c r="C227">
        <f>MATCH(A227,mapPRC!A$2:A$1154,0)</f>
        <v>424</v>
      </c>
      <c r="G227" t="s">
        <v>3058</v>
      </c>
      <c r="H227" t="s">
        <v>3059</v>
      </c>
      <c r="I227" t="e">
        <f>MATCH(G227,mapPRC!$A$2:$A$1154,0)</f>
        <v>#N/A</v>
      </c>
    </row>
    <row r="228" spans="1:9" x14ac:dyDescent="0.25">
      <c r="A228" t="s">
        <v>1175</v>
      </c>
      <c r="B228" t="s">
        <v>5127</v>
      </c>
      <c r="C228">
        <f>MATCH(A228,mapPRC!A$2:A$1154,0)</f>
        <v>425</v>
      </c>
      <c r="G228" t="s">
        <v>1202</v>
      </c>
      <c r="H228" t="s">
        <v>1201</v>
      </c>
      <c r="I228" t="e">
        <f>MATCH(G228,mapPRC!$A$2:$A$1154,0)</f>
        <v>#N/A</v>
      </c>
    </row>
    <row r="229" spans="1:9" x14ac:dyDescent="0.25">
      <c r="A229" t="s">
        <v>3479</v>
      </c>
      <c r="B229" t="s">
        <v>5128</v>
      </c>
      <c r="C229">
        <f>MATCH(A229,mapPRC!A$2:A$1154,0)</f>
        <v>427</v>
      </c>
      <c r="G229" t="s">
        <v>1205</v>
      </c>
      <c r="H229" t="s">
        <v>1203</v>
      </c>
      <c r="I229" t="e">
        <f>MATCH(G229,mapPRC!$A$2:$A$1154,0)</f>
        <v>#N/A</v>
      </c>
    </row>
    <row r="230" spans="1:9" x14ac:dyDescent="0.25">
      <c r="A230" t="s">
        <v>1173</v>
      </c>
      <c r="B230" t="s">
        <v>5129</v>
      </c>
      <c r="C230">
        <f>MATCH(A230,mapPRC!A$2:A$1154,0)</f>
        <v>426</v>
      </c>
      <c r="G230" t="s">
        <v>1204</v>
      </c>
      <c r="H230" t="s">
        <v>1203</v>
      </c>
      <c r="I230" t="e">
        <f>MATCH(G230,mapPRC!$A$2:$A$1154,0)</f>
        <v>#N/A</v>
      </c>
    </row>
    <row r="231" spans="1:9" x14ac:dyDescent="0.25">
      <c r="A231" t="s">
        <v>1171</v>
      </c>
      <c r="B231" t="s">
        <v>5130</v>
      </c>
      <c r="C231">
        <f>MATCH(A231,mapPRC!A$2:A$1154,0)</f>
        <v>428</v>
      </c>
      <c r="G231" t="s">
        <v>1197</v>
      </c>
      <c r="H231" t="s">
        <v>1194</v>
      </c>
      <c r="I231">
        <f>MATCH(G231,mapPRC!$A$2:$A$1154,0)</f>
        <v>415</v>
      </c>
    </row>
    <row r="232" spans="1:9" x14ac:dyDescent="0.25">
      <c r="A232" t="s">
        <v>1169</v>
      </c>
      <c r="B232" t="s">
        <v>5130</v>
      </c>
      <c r="C232">
        <f>MATCH(A232,mapPRC!A$2:A$1154,0)</f>
        <v>429</v>
      </c>
      <c r="G232" t="s">
        <v>1199</v>
      </c>
      <c r="H232" t="s">
        <v>1194</v>
      </c>
      <c r="I232" t="e">
        <f>MATCH(G232,mapPRC!$A$2:$A$1154,0)</f>
        <v>#N/A</v>
      </c>
    </row>
    <row r="233" spans="1:9" x14ac:dyDescent="0.25">
      <c r="A233" t="s">
        <v>3744</v>
      </c>
      <c r="B233" t="s">
        <v>5131</v>
      </c>
      <c r="C233">
        <f>MATCH(A233,mapPRC!A$2:A$1154,0)</f>
        <v>430</v>
      </c>
      <c r="G233" t="s">
        <v>1198</v>
      </c>
      <c r="H233" t="s">
        <v>1194</v>
      </c>
      <c r="I233" t="e">
        <f>MATCH(G233,mapPRC!$A$2:$A$1154,0)</f>
        <v>#N/A</v>
      </c>
    </row>
    <row r="234" spans="1:9" x14ac:dyDescent="0.25">
      <c r="A234" t="s">
        <v>1167</v>
      </c>
      <c r="B234" t="s">
        <v>5130</v>
      </c>
      <c r="C234">
        <f>MATCH(A234,mapPRC!A$2:A$1154,0)</f>
        <v>432</v>
      </c>
      <c r="G234" t="s">
        <v>1195</v>
      </c>
      <c r="H234" t="s">
        <v>1194</v>
      </c>
      <c r="I234">
        <f>MATCH(G234,mapPRC!$A$2:$A$1154,0)</f>
        <v>416</v>
      </c>
    </row>
    <row r="235" spans="1:9" x14ac:dyDescent="0.25">
      <c r="A235" t="s">
        <v>3745</v>
      </c>
      <c r="B235" t="s">
        <v>3743</v>
      </c>
      <c r="C235">
        <f>MATCH(A235,mapPRC!A$2:A$1154,0)</f>
        <v>431</v>
      </c>
      <c r="G235" t="s">
        <v>3478</v>
      </c>
      <c r="H235" t="s">
        <v>3060</v>
      </c>
      <c r="I235" t="e">
        <f>MATCH(G235,mapPRC!$A$2:$A$1154,0)</f>
        <v>#N/A</v>
      </c>
    </row>
    <row r="236" spans="1:9" x14ac:dyDescent="0.25">
      <c r="A236" t="s">
        <v>1165</v>
      </c>
      <c r="B236" t="s">
        <v>5130</v>
      </c>
      <c r="C236">
        <f>MATCH(A236,mapPRC!A$2:A$1154,0)</f>
        <v>433</v>
      </c>
      <c r="G236" t="s">
        <v>1191</v>
      </c>
      <c r="H236" t="s">
        <v>1190</v>
      </c>
      <c r="I236">
        <f>MATCH(G236,mapPRC!$A$2:$A$1154,0)</f>
        <v>417</v>
      </c>
    </row>
    <row r="237" spans="1:9" x14ac:dyDescent="0.25">
      <c r="A237" t="s">
        <v>1163</v>
      </c>
      <c r="B237" t="s">
        <v>5130</v>
      </c>
      <c r="C237">
        <f>MATCH(A237,mapPRC!A$2:A$1154,0)</f>
        <v>434</v>
      </c>
      <c r="G237" t="s">
        <v>1189</v>
      </c>
      <c r="H237" t="s">
        <v>1188</v>
      </c>
      <c r="I237">
        <f>MATCH(G237,mapPRC!$A$2:$A$1154,0)</f>
        <v>418</v>
      </c>
    </row>
    <row r="238" spans="1:9" x14ac:dyDescent="0.25">
      <c r="A238" t="s">
        <v>1161</v>
      </c>
      <c r="B238" t="s">
        <v>5130</v>
      </c>
      <c r="C238">
        <f>MATCH(A238,mapPRC!A$2:A$1154,0)</f>
        <v>435</v>
      </c>
      <c r="G238" t="s">
        <v>1187</v>
      </c>
      <c r="H238" t="s">
        <v>1186</v>
      </c>
      <c r="I238">
        <f>MATCH(G238,mapPRC!$A$2:$A$1154,0)</f>
        <v>419</v>
      </c>
    </row>
    <row r="239" spans="1:9" x14ac:dyDescent="0.25">
      <c r="A239" t="s">
        <v>1158</v>
      </c>
      <c r="B239" t="s">
        <v>5132</v>
      </c>
      <c r="C239">
        <f>MATCH(A239,mapPRC!A$2:A$1154,0)</f>
        <v>436</v>
      </c>
      <c r="G239" t="s">
        <v>1185</v>
      </c>
      <c r="H239" t="s">
        <v>1184</v>
      </c>
      <c r="I239">
        <f>MATCH(G239,mapPRC!$A$2:$A$1154,0)</f>
        <v>420</v>
      </c>
    </row>
    <row r="240" spans="1:9" x14ac:dyDescent="0.25">
      <c r="A240" t="s">
        <v>1156</v>
      </c>
      <c r="B240" t="s">
        <v>5133</v>
      </c>
      <c r="C240">
        <f>MATCH(A240,mapPRC!A$2:A$1154,0)</f>
        <v>437</v>
      </c>
      <c r="G240" t="s">
        <v>1183</v>
      </c>
      <c r="H240" t="s">
        <v>1182</v>
      </c>
      <c r="I240">
        <f>MATCH(G240,mapPRC!$A$2:$A$1154,0)</f>
        <v>421</v>
      </c>
    </row>
    <row r="241" spans="1:9" x14ac:dyDescent="0.25">
      <c r="A241" t="s">
        <v>1154</v>
      </c>
      <c r="B241" t="s">
        <v>5134</v>
      </c>
      <c r="C241">
        <f>MATCH(A241,mapPRC!A$2:A$1154,0)</f>
        <v>438</v>
      </c>
      <c r="G241" t="s">
        <v>1181</v>
      </c>
      <c r="H241" t="s">
        <v>1180</v>
      </c>
      <c r="I241">
        <f>MATCH(G241,mapPRC!$A$2:$A$1154,0)</f>
        <v>422</v>
      </c>
    </row>
    <row r="242" spans="1:9" x14ac:dyDescent="0.25">
      <c r="A242" t="s">
        <v>5135</v>
      </c>
      <c r="B242" t="s">
        <v>5136</v>
      </c>
      <c r="C242" t="e">
        <f>MATCH(A242,mapPRC!A$2:A$1154,0)</f>
        <v>#N/A</v>
      </c>
      <c r="G242" t="s">
        <v>1179</v>
      </c>
      <c r="H242" t="s">
        <v>1178</v>
      </c>
      <c r="I242">
        <f>MATCH(G242,mapPRC!$A$2:$A$1154,0)</f>
        <v>423</v>
      </c>
    </row>
    <row r="243" spans="1:9" x14ac:dyDescent="0.25">
      <c r="A243" t="s">
        <v>1152</v>
      </c>
      <c r="B243" t="s">
        <v>5137</v>
      </c>
      <c r="C243">
        <f>MATCH(A243,mapPRC!A$2:A$1154,0)</f>
        <v>440</v>
      </c>
      <c r="G243" t="s">
        <v>1177</v>
      </c>
      <c r="H243" t="s">
        <v>1176</v>
      </c>
      <c r="I243">
        <f>MATCH(G243,mapPRC!$A$2:$A$1154,0)</f>
        <v>424</v>
      </c>
    </row>
    <row r="244" spans="1:9" x14ac:dyDescent="0.25">
      <c r="A244" t="s">
        <v>1150</v>
      </c>
      <c r="B244" t="s">
        <v>5138</v>
      </c>
      <c r="C244">
        <f>MATCH(A244,mapPRC!A$2:A$1154,0)</f>
        <v>441</v>
      </c>
      <c r="G244" t="s">
        <v>1175</v>
      </c>
      <c r="H244" t="s">
        <v>1174</v>
      </c>
      <c r="I244">
        <f>MATCH(G244,mapPRC!$A$2:$A$1154,0)</f>
        <v>425</v>
      </c>
    </row>
    <row r="245" spans="1:9" x14ac:dyDescent="0.25">
      <c r="A245" t="s">
        <v>5139</v>
      </c>
      <c r="B245" t="s">
        <v>5140</v>
      </c>
      <c r="C245" t="e">
        <f>MATCH(A245,mapPRC!A$2:A$1154,0)</f>
        <v>#N/A</v>
      </c>
      <c r="G245" t="s">
        <v>3479</v>
      </c>
      <c r="H245" t="s">
        <v>3480</v>
      </c>
      <c r="I245">
        <f>MATCH(G245,mapPRC!$A$2:$A$1154,0)</f>
        <v>427</v>
      </c>
    </row>
    <row r="246" spans="1:9" x14ac:dyDescent="0.25">
      <c r="A246" t="s">
        <v>5141</v>
      </c>
      <c r="B246" t="s">
        <v>5142</v>
      </c>
      <c r="C246" t="e">
        <f>MATCH(A246,mapPRC!A$2:A$1154,0)</f>
        <v>#N/A</v>
      </c>
      <c r="G246" t="s">
        <v>1173</v>
      </c>
      <c r="H246" t="s">
        <v>1172</v>
      </c>
      <c r="I246">
        <f>MATCH(G246,mapPRC!$A$2:$A$1154,0)</f>
        <v>426</v>
      </c>
    </row>
    <row r="247" spans="1:9" x14ac:dyDescent="0.25">
      <c r="A247" t="s">
        <v>1148</v>
      </c>
      <c r="B247" t="s">
        <v>5143</v>
      </c>
      <c r="C247">
        <f>MATCH(A247,mapPRC!A$2:A$1154,0)</f>
        <v>443</v>
      </c>
      <c r="G247" t="s">
        <v>1171</v>
      </c>
      <c r="H247" t="s">
        <v>1170</v>
      </c>
      <c r="I247">
        <f>MATCH(G247,mapPRC!$A$2:$A$1154,0)</f>
        <v>428</v>
      </c>
    </row>
    <row r="248" spans="1:9" x14ac:dyDescent="0.25">
      <c r="A248" t="s">
        <v>1146</v>
      </c>
      <c r="B248" t="s">
        <v>5144</v>
      </c>
      <c r="C248">
        <f>MATCH(A248,mapPRC!A$2:A$1154,0)</f>
        <v>444</v>
      </c>
      <c r="G248" t="s">
        <v>1169</v>
      </c>
      <c r="H248" t="s">
        <v>1168</v>
      </c>
      <c r="I248">
        <f>MATCH(G248,mapPRC!$A$2:$A$1154,0)</f>
        <v>429</v>
      </c>
    </row>
    <row r="249" spans="1:9" x14ac:dyDescent="0.25">
      <c r="A249" t="s">
        <v>1144</v>
      </c>
      <c r="B249" t="s">
        <v>5145</v>
      </c>
      <c r="C249">
        <f>MATCH(A249,mapPRC!A$2:A$1154,0)</f>
        <v>445</v>
      </c>
      <c r="G249" t="s">
        <v>1167</v>
      </c>
      <c r="H249" t="s">
        <v>1166</v>
      </c>
      <c r="I249">
        <f>MATCH(G249,mapPRC!$A$2:$A$1154,0)</f>
        <v>432</v>
      </c>
    </row>
    <row r="250" spans="1:9" x14ac:dyDescent="0.25">
      <c r="A250" t="s">
        <v>1142</v>
      </c>
      <c r="B250" t="s">
        <v>5146</v>
      </c>
      <c r="C250">
        <f>MATCH(A250,mapPRC!A$2:A$1154,0)</f>
        <v>446</v>
      </c>
      <c r="G250" t="s">
        <v>1165</v>
      </c>
      <c r="H250" t="s">
        <v>1164</v>
      </c>
      <c r="I250">
        <f>MATCH(G250,mapPRC!$A$2:$A$1154,0)</f>
        <v>433</v>
      </c>
    </row>
    <row r="251" spans="1:9" x14ac:dyDescent="0.25">
      <c r="A251" t="s">
        <v>1140</v>
      </c>
      <c r="B251" t="s">
        <v>5147</v>
      </c>
      <c r="C251">
        <f>MATCH(A251,mapPRC!A$2:A$1154,0)</f>
        <v>447</v>
      </c>
      <c r="G251" t="s">
        <v>1163</v>
      </c>
      <c r="H251" t="s">
        <v>1162</v>
      </c>
      <c r="I251">
        <f>MATCH(G251,mapPRC!$A$2:$A$1154,0)</f>
        <v>434</v>
      </c>
    </row>
    <row r="252" spans="1:9" x14ac:dyDescent="0.25">
      <c r="A252" t="s">
        <v>1138</v>
      </c>
      <c r="B252" t="s">
        <v>5148</v>
      </c>
      <c r="C252">
        <f>MATCH(A252,mapPRC!A$2:A$1154,0)</f>
        <v>448</v>
      </c>
      <c r="G252" t="s">
        <v>1161</v>
      </c>
      <c r="H252" t="s">
        <v>1160</v>
      </c>
      <c r="I252">
        <f>MATCH(G252,mapPRC!$A$2:$A$1154,0)</f>
        <v>435</v>
      </c>
    </row>
    <row r="253" spans="1:9" x14ac:dyDescent="0.25">
      <c r="A253" t="s">
        <v>1136</v>
      </c>
      <c r="B253" t="s">
        <v>5149</v>
      </c>
      <c r="C253">
        <f>MATCH(A253,mapPRC!A$2:A$1154,0)</f>
        <v>449</v>
      </c>
      <c r="G253" t="s">
        <v>1158</v>
      </c>
      <c r="H253" t="s">
        <v>1157</v>
      </c>
      <c r="I253">
        <f>MATCH(G253,mapPRC!$A$2:$A$1154,0)</f>
        <v>436</v>
      </c>
    </row>
    <row r="254" spans="1:9" x14ac:dyDescent="0.25">
      <c r="A254" t="s">
        <v>1134</v>
      </c>
      <c r="B254" t="s">
        <v>5150</v>
      </c>
      <c r="C254">
        <f>MATCH(A254,mapPRC!A$2:A$1154,0)</f>
        <v>450</v>
      </c>
      <c r="G254" t="s">
        <v>1156</v>
      </c>
      <c r="H254" t="s">
        <v>1155</v>
      </c>
      <c r="I254">
        <f>MATCH(G254,mapPRC!$A$2:$A$1154,0)</f>
        <v>437</v>
      </c>
    </row>
    <row r="255" spans="1:9" x14ac:dyDescent="0.25">
      <c r="A255" t="s">
        <v>1132</v>
      </c>
      <c r="B255" t="s">
        <v>5151</v>
      </c>
      <c r="C255">
        <f>MATCH(A255,mapPRC!A$2:A$1154,0)</f>
        <v>454</v>
      </c>
      <c r="G255" t="s">
        <v>1154</v>
      </c>
      <c r="H255" t="s">
        <v>1153</v>
      </c>
      <c r="I255">
        <f>MATCH(G255,mapPRC!$A$2:$A$1154,0)</f>
        <v>438</v>
      </c>
    </row>
    <row r="256" spans="1:9" x14ac:dyDescent="0.25">
      <c r="A256" t="s">
        <v>1130</v>
      </c>
      <c r="B256" t="s">
        <v>5152</v>
      </c>
      <c r="C256">
        <f>MATCH(A256,mapPRC!A$2:A$1154,0)</f>
        <v>455</v>
      </c>
      <c r="G256" t="s">
        <v>1152</v>
      </c>
      <c r="H256" t="s">
        <v>1151</v>
      </c>
      <c r="I256">
        <f>MATCH(G256,mapPRC!$A$2:$A$1154,0)</f>
        <v>440</v>
      </c>
    </row>
    <row r="257" spans="1:9" x14ac:dyDescent="0.25">
      <c r="A257" t="s">
        <v>1128</v>
      </c>
      <c r="B257" t="s">
        <v>5153</v>
      </c>
      <c r="C257">
        <f>MATCH(A257,mapPRC!A$2:A$1154,0)</f>
        <v>456</v>
      </c>
      <c r="G257" t="s">
        <v>1150</v>
      </c>
      <c r="H257" t="s">
        <v>1149</v>
      </c>
      <c r="I257">
        <f>MATCH(G257,mapPRC!$A$2:$A$1154,0)</f>
        <v>441</v>
      </c>
    </row>
    <row r="258" spans="1:9" x14ac:dyDescent="0.25">
      <c r="A258" t="s">
        <v>1126</v>
      </c>
      <c r="B258" t="s">
        <v>5154</v>
      </c>
      <c r="C258">
        <f>MATCH(A258,mapPRC!A$2:A$1154,0)</f>
        <v>457</v>
      </c>
      <c r="G258" t="s">
        <v>1148</v>
      </c>
      <c r="H258" t="s">
        <v>1147</v>
      </c>
      <c r="I258">
        <f>MATCH(G258,mapPRC!$A$2:$A$1154,0)</f>
        <v>443</v>
      </c>
    </row>
    <row r="259" spans="1:9" x14ac:dyDescent="0.25">
      <c r="A259" t="s">
        <v>1124</v>
      </c>
      <c r="B259" t="s">
        <v>5155</v>
      </c>
      <c r="C259">
        <f>MATCH(A259,mapPRC!A$2:A$1154,0)</f>
        <v>458</v>
      </c>
      <c r="G259" t="s">
        <v>1146</v>
      </c>
      <c r="H259" t="s">
        <v>1145</v>
      </c>
      <c r="I259">
        <f>MATCH(G259,mapPRC!$A$2:$A$1154,0)</f>
        <v>444</v>
      </c>
    </row>
    <row r="260" spans="1:9" x14ac:dyDescent="0.25">
      <c r="A260" t="s">
        <v>1122</v>
      </c>
      <c r="B260" t="s">
        <v>5156</v>
      </c>
      <c r="C260">
        <f>MATCH(A260,mapPRC!A$2:A$1154,0)</f>
        <v>459</v>
      </c>
      <c r="G260" t="s">
        <v>1144</v>
      </c>
      <c r="H260" t="s">
        <v>1143</v>
      </c>
      <c r="I260">
        <f>MATCH(G260,mapPRC!$A$2:$A$1154,0)</f>
        <v>445</v>
      </c>
    </row>
    <row r="261" spans="1:9" x14ac:dyDescent="0.25">
      <c r="A261" t="s">
        <v>1120</v>
      </c>
      <c r="B261" t="s">
        <v>5157</v>
      </c>
      <c r="C261">
        <f>MATCH(A261,mapPRC!A$2:A$1154,0)</f>
        <v>460</v>
      </c>
      <c r="G261" t="s">
        <v>1142</v>
      </c>
      <c r="H261" t="s">
        <v>1141</v>
      </c>
      <c r="I261">
        <f>MATCH(G261,mapPRC!$A$2:$A$1154,0)</f>
        <v>446</v>
      </c>
    </row>
    <row r="262" spans="1:9" x14ac:dyDescent="0.25">
      <c r="A262" t="s">
        <v>1118</v>
      </c>
      <c r="B262" t="s">
        <v>5158</v>
      </c>
      <c r="C262">
        <f>MATCH(A262,mapPRC!A$2:A$1154,0)</f>
        <v>461</v>
      </c>
      <c r="G262" t="s">
        <v>1140</v>
      </c>
      <c r="H262" t="s">
        <v>1139</v>
      </c>
      <c r="I262">
        <f>MATCH(G262,mapPRC!$A$2:$A$1154,0)</f>
        <v>447</v>
      </c>
    </row>
    <row r="263" spans="1:9" x14ac:dyDescent="0.25">
      <c r="A263" t="s">
        <v>1116</v>
      </c>
      <c r="B263" t="s">
        <v>5159</v>
      </c>
      <c r="C263">
        <f>MATCH(A263,mapPRC!A$2:A$1154,0)</f>
        <v>462</v>
      </c>
      <c r="G263" t="s">
        <v>1138</v>
      </c>
      <c r="H263" t="s">
        <v>1137</v>
      </c>
      <c r="I263">
        <f>MATCH(G263,mapPRC!$A$2:$A$1154,0)</f>
        <v>448</v>
      </c>
    </row>
    <row r="264" spans="1:9" x14ac:dyDescent="0.25">
      <c r="A264" t="s">
        <v>1114</v>
      </c>
      <c r="B264" t="s">
        <v>5160</v>
      </c>
      <c r="C264">
        <f>MATCH(A264,mapPRC!A$2:A$1154,0)</f>
        <v>463</v>
      </c>
      <c r="G264" t="s">
        <v>1136</v>
      </c>
      <c r="H264" t="s">
        <v>1135</v>
      </c>
      <c r="I264">
        <f>MATCH(G264,mapPRC!$A$2:$A$1154,0)</f>
        <v>449</v>
      </c>
    </row>
    <row r="265" spans="1:9" x14ac:dyDescent="0.25">
      <c r="A265" t="s">
        <v>1113</v>
      </c>
      <c r="B265" t="s">
        <v>5160</v>
      </c>
      <c r="C265">
        <f>MATCH(A265,mapPRC!A$2:A$1154,0)</f>
        <v>464</v>
      </c>
      <c r="G265" t="s">
        <v>1134</v>
      </c>
      <c r="H265" t="s">
        <v>1133</v>
      </c>
      <c r="I265">
        <f>MATCH(G265,mapPRC!$A$2:$A$1154,0)</f>
        <v>450</v>
      </c>
    </row>
    <row r="266" spans="1:9" x14ac:dyDescent="0.25">
      <c r="A266" t="s">
        <v>1112</v>
      </c>
      <c r="B266" t="s">
        <v>5160</v>
      </c>
      <c r="C266">
        <f>MATCH(A266,mapPRC!A$2:A$1154,0)</f>
        <v>465</v>
      </c>
      <c r="G266" t="s">
        <v>1132</v>
      </c>
      <c r="H266" t="s">
        <v>1131</v>
      </c>
      <c r="I266">
        <f>MATCH(G266,mapPRC!$A$2:$A$1154,0)</f>
        <v>454</v>
      </c>
    </row>
    <row r="267" spans="1:9" x14ac:dyDescent="0.25">
      <c r="A267" t="s">
        <v>1111</v>
      </c>
      <c r="B267" t="s">
        <v>5160</v>
      </c>
      <c r="C267">
        <f>MATCH(A267,mapPRC!A$2:A$1154,0)</f>
        <v>466</v>
      </c>
      <c r="G267" t="s">
        <v>1130</v>
      </c>
      <c r="H267" t="s">
        <v>1129</v>
      </c>
      <c r="I267">
        <f>MATCH(G267,mapPRC!$A$2:$A$1154,0)</f>
        <v>455</v>
      </c>
    </row>
    <row r="268" spans="1:9" x14ac:dyDescent="0.25">
      <c r="A268" t="s">
        <v>1110</v>
      </c>
      <c r="B268" t="s">
        <v>5160</v>
      </c>
      <c r="C268">
        <f>MATCH(A268,mapPRC!A$2:A$1154,0)</f>
        <v>467</v>
      </c>
      <c r="G268" t="s">
        <v>1128</v>
      </c>
      <c r="H268" t="s">
        <v>1127</v>
      </c>
      <c r="I268">
        <f>MATCH(G268,mapPRC!$A$2:$A$1154,0)</f>
        <v>456</v>
      </c>
    </row>
    <row r="269" spans="1:9" x14ac:dyDescent="0.25">
      <c r="A269" t="s">
        <v>1109</v>
      </c>
      <c r="B269" t="s">
        <v>5160</v>
      </c>
      <c r="C269">
        <f>MATCH(A269,mapPRC!A$2:A$1154,0)</f>
        <v>468</v>
      </c>
      <c r="G269" t="s">
        <v>1126</v>
      </c>
      <c r="H269" t="s">
        <v>1125</v>
      </c>
      <c r="I269">
        <f>MATCH(G269,mapPRC!$A$2:$A$1154,0)</f>
        <v>457</v>
      </c>
    </row>
    <row r="270" spans="1:9" x14ac:dyDescent="0.25">
      <c r="A270" t="s">
        <v>1103</v>
      </c>
      <c r="B270" t="s">
        <v>5161</v>
      </c>
      <c r="C270">
        <f>MATCH(A270,mapPRC!A$2:A$1154,0)</f>
        <v>471</v>
      </c>
      <c r="G270" t="s">
        <v>1124</v>
      </c>
      <c r="H270" t="s">
        <v>1123</v>
      </c>
      <c r="I270">
        <f>MATCH(G270,mapPRC!$A$2:$A$1154,0)</f>
        <v>458</v>
      </c>
    </row>
    <row r="271" spans="1:9" x14ac:dyDescent="0.25">
      <c r="A271" t="s">
        <v>1100</v>
      </c>
      <c r="B271" t="s">
        <v>5162</v>
      </c>
      <c r="C271">
        <f>MATCH(A271,mapPRC!A$2:A$1154,0)</f>
        <v>472</v>
      </c>
      <c r="G271" t="s">
        <v>1122</v>
      </c>
      <c r="H271" t="s">
        <v>1121</v>
      </c>
      <c r="I271">
        <f>MATCH(G271,mapPRC!$A$2:$A$1154,0)</f>
        <v>459</v>
      </c>
    </row>
    <row r="272" spans="1:9" x14ac:dyDescent="0.25">
      <c r="A272" t="s">
        <v>1098</v>
      </c>
      <c r="B272" t="s">
        <v>5163</v>
      </c>
      <c r="C272">
        <f>MATCH(A272,mapPRC!A$2:A$1154,0)</f>
        <v>473</v>
      </c>
      <c r="G272" t="s">
        <v>1120</v>
      </c>
      <c r="H272" t="s">
        <v>1119</v>
      </c>
      <c r="I272">
        <f>MATCH(G272,mapPRC!$A$2:$A$1154,0)</f>
        <v>460</v>
      </c>
    </row>
    <row r="273" spans="1:9" x14ac:dyDescent="0.25">
      <c r="A273" t="s">
        <v>1097</v>
      </c>
      <c r="B273" t="s">
        <v>5164</v>
      </c>
      <c r="C273">
        <f>MATCH(A273,mapPRC!A$2:A$1154,0)</f>
        <v>474</v>
      </c>
      <c r="G273" t="s">
        <v>1118</v>
      </c>
      <c r="H273" t="s">
        <v>1117</v>
      </c>
      <c r="I273">
        <f>MATCH(G273,mapPRC!$A$2:$A$1154,0)</f>
        <v>461</v>
      </c>
    </row>
    <row r="274" spans="1:9" x14ac:dyDescent="0.25">
      <c r="A274" t="s">
        <v>1093</v>
      </c>
      <c r="B274" t="s">
        <v>5165</v>
      </c>
      <c r="C274">
        <f>MATCH(A274,mapPRC!A$2:A$1154,0)</f>
        <v>475</v>
      </c>
      <c r="G274" t="s">
        <v>1116</v>
      </c>
      <c r="H274" t="s">
        <v>1115</v>
      </c>
      <c r="I274">
        <f>MATCH(G274,mapPRC!$A$2:$A$1154,0)</f>
        <v>462</v>
      </c>
    </row>
    <row r="275" spans="1:9" x14ac:dyDescent="0.25">
      <c r="A275" t="s">
        <v>1089</v>
      </c>
      <c r="B275" t="s">
        <v>5166</v>
      </c>
      <c r="C275">
        <f>MATCH(A275,mapPRC!A$2:A$1154,0)</f>
        <v>478</v>
      </c>
      <c r="G275" t="s">
        <v>1114</v>
      </c>
      <c r="H275" t="s">
        <v>1108</v>
      </c>
      <c r="I275">
        <f>MATCH(G275,mapPRC!$A$2:$A$1154,0)</f>
        <v>463</v>
      </c>
    </row>
    <row r="276" spans="1:9" x14ac:dyDescent="0.25">
      <c r="A276" t="s">
        <v>1088</v>
      </c>
      <c r="B276" t="s">
        <v>5167</v>
      </c>
      <c r="C276">
        <f>MATCH(A276,mapPRC!A$2:A$1154,0)</f>
        <v>481</v>
      </c>
      <c r="G276" t="s">
        <v>1113</v>
      </c>
      <c r="H276" t="s">
        <v>1108</v>
      </c>
      <c r="I276">
        <f>MATCH(G276,mapPRC!$A$2:$A$1154,0)</f>
        <v>464</v>
      </c>
    </row>
    <row r="277" spans="1:9" x14ac:dyDescent="0.25">
      <c r="A277" t="s">
        <v>1084</v>
      </c>
      <c r="B277" t="s">
        <v>5168</v>
      </c>
      <c r="C277">
        <f>MATCH(A277,mapPRC!A$2:A$1154,0)</f>
        <v>482</v>
      </c>
      <c r="G277" t="s">
        <v>1112</v>
      </c>
      <c r="H277" t="s">
        <v>1108</v>
      </c>
      <c r="I277">
        <f>MATCH(G277,mapPRC!$A$2:$A$1154,0)</f>
        <v>465</v>
      </c>
    </row>
    <row r="278" spans="1:9" x14ac:dyDescent="0.25">
      <c r="A278" t="s">
        <v>1083</v>
      </c>
      <c r="B278" t="s">
        <v>5169</v>
      </c>
      <c r="C278">
        <f>MATCH(A278,mapPRC!A$2:A$1154,0)</f>
        <v>485</v>
      </c>
      <c r="G278" t="s">
        <v>1111</v>
      </c>
      <c r="H278" t="s">
        <v>1108</v>
      </c>
      <c r="I278">
        <f>MATCH(G278,mapPRC!$A$2:$A$1154,0)</f>
        <v>466</v>
      </c>
    </row>
    <row r="279" spans="1:9" x14ac:dyDescent="0.25">
      <c r="A279" t="s">
        <v>1081</v>
      </c>
      <c r="B279" t="s">
        <v>5170</v>
      </c>
      <c r="C279">
        <f>MATCH(A279,mapPRC!A$2:A$1154,0)</f>
        <v>486</v>
      </c>
      <c r="G279" t="s">
        <v>1110</v>
      </c>
      <c r="H279" t="s">
        <v>1108</v>
      </c>
      <c r="I279">
        <f>MATCH(G279,mapPRC!$A$2:$A$1154,0)</f>
        <v>467</v>
      </c>
    </row>
    <row r="280" spans="1:9" x14ac:dyDescent="0.25">
      <c r="A280" t="s">
        <v>1080</v>
      </c>
      <c r="B280" t="s">
        <v>5171</v>
      </c>
      <c r="C280">
        <f>MATCH(A280,mapPRC!A$2:A$1154,0)</f>
        <v>487</v>
      </c>
      <c r="G280" t="s">
        <v>1109</v>
      </c>
      <c r="H280" t="s">
        <v>1108</v>
      </c>
      <c r="I280">
        <f>MATCH(G280,mapPRC!$A$2:$A$1154,0)</f>
        <v>468</v>
      </c>
    </row>
    <row r="281" spans="1:9" x14ac:dyDescent="0.25">
      <c r="A281" t="s">
        <v>3494</v>
      </c>
      <c r="B281" t="s">
        <v>5172</v>
      </c>
      <c r="C281">
        <f>MATCH(A281,mapPRC!A$2:A$1154,0)</f>
        <v>488</v>
      </c>
      <c r="G281" t="s">
        <v>1106</v>
      </c>
      <c r="H281" t="s">
        <v>3481</v>
      </c>
      <c r="I281">
        <f>MATCH(G281,mapPRC!$A$2:$A$1154,0)</f>
        <v>469</v>
      </c>
    </row>
    <row r="282" spans="1:9" x14ac:dyDescent="0.25">
      <c r="A282" t="s">
        <v>3496</v>
      </c>
      <c r="B282" t="s">
        <v>5173</v>
      </c>
      <c r="C282">
        <f>MATCH(A282,mapPRC!A$2:A$1154,0)</f>
        <v>489</v>
      </c>
      <c r="G282" t="s">
        <v>1105</v>
      </c>
      <c r="H282" t="s">
        <v>3482</v>
      </c>
      <c r="I282">
        <f>MATCH(G282,mapPRC!$A$2:$A$1154,0)</f>
        <v>470</v>
      </c>
    </row>
    <row r="283" spans="1:9" x14ac:dyDescent="0.25">
      <c r="A283" t="s">
        <v>3498</v>
      </c>
      <c r="B283" t="s">
        <v>5174</v>
      </c>
      <c r="C283">
        <f>MATCH(A283,mapPRC!A$2:A$1154,0)</f>
        <v>490</v>
      </c>
      <c r="G283" t="s">
        <v>1103</v>
      </c>
      <c r="H283" t="s">
        <v>3483</v>
      </c>
      <c r="I283">
        <f>MATCH(G283,mapPRC!$A$2:$A$1154,0)</f>
        <v>471</v>
      </c>
    </row>
    <row r="284" spans="1:9" x14ac:dyDescent="0.25">
      <c r="A284" t="s">
        <v>3500</v>
      </c>
      <c r="B284" t="s">
        <v>5175</v>
      </c>
      <c r="C284">
        <f>MATCH(A284,mapPRC!A$2:A$1154,0)</f>
        <v>491</v>
      </c>
      <c r="G284" t="s">
        <v>1100</v>
      </c>
      <c r="H284" t="s">
        <v>3484</v>
      </c>
      <c r="I284">
        <f>MATCH(G284,mapPRC!$A$2:$A$1154,0)</f>
        <v>472</v>
      </c>
    </row>
    <row r="285" spans="1:9" x14ac:dyDescent="0.25">
      <c r="A285" t="s">
        <v>3502</v>
      </c>
      <c r="B285" t="s">
        <v>5176</v>
      </c>
      <c r="C285">
        <f>MATCH(A285,mapPRC!A$2:A$1154,0)</f>
        <v>492</v>
      </c>
      <c r="G285" t="s">
        <v>1098</v>
      </c>
      <c r="H285" t="s">
        <v>3485</v>
      </c>
      <c r="I285">
        <f>MATCH(G285,mapPRC!$A$2:$A$1154,0)</f>
        <v>473</v>
      </c>
    </row>
    <row r="286" spans="1:9" x14ac:dyDescent="0.25">
      <c r="A286" t="s">
        <v>1073</v>
      </c>
      <c r="B286" t="s">
        <v>5177</v>
      </c>
      <c r="C286">
        <f>MATCH(A286,mapPRC!A$2:A$1154,0)</f>
        <v>495</v>
      </c>
      <c r="G286" t="s">
        <v>1097</v>
      </c>
      <c r="H286" t="s">
        <v>3486</v>
      </c>
      <c r="I286">
        <f>MATCH(G286,mapPRC!$A$2:$A$1154,0)</f>
        <v>474</v>
      </c>
    </row>
    <row r="287" spans="1:9" x14ac:dyDescent="0.25">
      <c r="A287" t="s">
        <v>1066</v>
      </c>
      <c r="B287" t="s">
        <v>5178</v>
      </c>
      <c r="C287">
        <f>MATCH(A287,mapPRC!A$2:A$1154,0)</f>
        <v>498</v>
      </c>
      <c r="G287" t="s">
        <v>1093</v>
      </c>
      <c r="H287" t="s">
        <v>3487</v>
      </c>
      <c r="I287">
        <f>MATCH(G287,mapPRC!$A$2:$A$1154,0)</f>
        <v>475</v>
      </c>
    </row>
    <row r="288" spans="1:9" x14ac:dyDescent="0.25">
      <c r="A288" t="s">
        <v>1062</v>
      </c>
      <c r="B288" t="s">
        <v>5179</v>
      </c>
      <c r="C288">
        <f>MATCH(A288,mapPRC!A$2:A$1154,0)</f>
        <v>499</v>
      </c>
      <c r="G288" t="s">
        <v>1095</v>
      </c>
      <c r="H288" t="s">
        <v>3487</v>
      </c>
      <c r="I288">
        <f>MATCH(G288,mapPRC!$A$2:$A$1154,0)</f>
        <v>476</v>
      </c>
    </row>
    <row r="289" spans="1:9" x14ac:dyDescent="0.25">
      <c r="A289" t="s">
        <v>1059</v>
      </c>
      <c r="B289" t="s">
        <v>5180</v>
      </c>
      <c r="C289">
        <f>MATCH(A289,mapPRC!A$2:A$1154,0)</f>
        <v>500</v>
      </c>
      <c r="G289" t="s">
        <v>1094</v>
      </c>
      <c r="H289" t="s">
        <v>3487</v>
      </c>
      <c r="I289">
        <f>MATCH(G289,mapPRC!$A$2:$A$1154,0)</f>
        <v>477</v>
      </c>
    </row>
    <row r="290" spans="1:9" x14ac:dyDescent="0.25">
      <c r="A290" t="s">
        <v>1056</v>
      </c>
      <c r="B290" t="s">
        <v>5181</v>
      </c>
      <c r="C290">
        <f>MATCH(A290,mapPRC!A$2:A$1154,0)</f>
        <v>501</v>
      </c>
      <c r="G290" t="s">
        <v>1089</v>
      </c>
      <c r="H290" t="s">
        <v>3488</v>
      </c>
      <c r="I290">
        <f>MATCH(G290,mapPRC!$A$2:$A$1154,0)</f>
        <v>478</v>
      </c>
    </row>
    <row r="291" spans="1:9" x14ac:dyDescent="0.25">
      <c r="A291" t="s">
        <v>1053</v>
      </c>
      <c r="B291" t="s">
        <v>5182</v>
      </c>
      <c r="C291">
        <f>MATCH(A291,mapPRC!A$2:A$1154,0)</f>
        <v>502</v>
      </c>
      <c r="G291" t="s">
        <v>1091</v>
      </c>
      <c r="H291" t="s">
        <v>3489</v>
      </c>
      <c r="I291">
        <f>MATCH(G291,mapPRC!$A$2:$A$1154,0)</f>
        <v>479</v>
      </c>
    </row>
    <row r="292" spans="1:9" x14ac:dyDescent="0.25">
      <c r="A292" t="s">
        <v>1050</v>
      </c>
      <c r="B292" t="s">
        <v>5183</v>
      </c>
      <c r="C292">
        <f>MATCH(A292,mapPRC!A$2:A$1154,0)</f>
        <v>503</v>
      </c>
      <c r="G292" t="s">
        <v>1090</v>
      </c>
      <c r="H292" t="s">
        <v>3489</v>
      </c>
      <c r="I292">
        <f>MATCH(G292,mapPRC!$A$2:$A$1154,0)</f>
        <v>480</v>
      </c>
    </row>
    <row r="293" spans="1:9" x14ac:dyDescent="0.25">
      <c r="A293" t="s">
        <v>1047</v>
      </c>
      <c r="B293" t="s">
        <v>5184</v>
      </c>
      <c r="C293">
        <f>MATCH(A293,mapPRC!A$2:A$1154,0)</f>
        <v>504</v>
      </c>
      <c r="G293" t="s">
        <v>1088</v>
      </c>
      <c r="H293" t="s">
        <v>3488</v>
      </c>
      <c r="I293">
        <f>MATCH(G293,mapPRC!$A$2:$A$1154,0)</f>
        <v>481</v>
      </c>
    </row>
    <row r="294" spans="1:9" x14ac:dyDescent="0.25">
      <c r="A294" t="s">
        <v>1044</v>
      </c>
      <c r="B294" t="s">
        <v>5185</v>
      </c>
      <c r="C294">
        <f>MATCH(A294,mapPRC!A$2:A$1154,0)</f>
        <v>505</v>
      </c>
      <c r="G294" t="s">
        <v>1084</v>
      </c>
      <c r="H294" t="s">
        <v>3490</v>
      </c>
      <c r="I294">
        <f>MATCH(G294,mapPRC!$A$2:$A$1154,0)</f>
        <v>482</v>
      </c>
    </row>
    <row r="295" spans="1:9" x14ac:dyDescent="0.25">
      <c r="A295" t="s">
        <v>1042</v>
      </c>
      <c r="B295" t="s">
        <v>5186</v>
      </c>
      <c r="C295">
        <f>MATCH(A295,mapPRC!A$2:A$1154,0)</f>
        <v>506</v>
      </c>
      <c r="G295" t="s">
        <v>1087</v>
      </c>
      <c r="H295" t="s">
        <v>3491</v>
      </c>
      <c r="I295">
        <f>MATCH(G295,mapPRC!$A$2:$A$1154,0)</f>
        <v>483</v>
      </c>
    </row>
    <row r="296" spans="1:9" x14ac:dyDescent="0.25">
      <c r="A296" t="s">
        <v>1039</v>
      </c>
      <c r="B296" t="s">
        <v>5187</v>
      </c>
      <c r="C296">
        <f>MATCH(A296,mapPRC!A$2:A$1154,0)</f>
        <v>507</v>
      </c>
      <c r="G296" t="s">
        <v>1086</v>
      </c>
      <c r="H296" t="s">
        <v>3491</v>
      </c>
      <c r="I296">
        <f>MATCH(G296,mapPRC!$A$2:$A$1154,0)</f>
        <v>484</v>
      </c>
    </row>
    <row r="297" spans="1:9" x14ac:dyDescent="0.25">
      <c r="A297" t="s">
        <v>3510</v>
      </c>
      <c r="B297" t="s">
        <v>5188</v>
      </c>
      <c r="C297">
        <f>MATCH(A297,mapPRC!A$2:A$1154,0)</f>
        <v>509</v>
      </c>
      <c r="G297" t="s">
        <v>1083</v>
      </c>
      <c r="H297" t="s">
        <v>3490</v>
      </c>
      <c r="I297">
        <f>MATCH(G297,mapPRC!$A$2:$A$1154,0)</f>
        <v>485</v>
      </c>
    </row>
    <row r="298" spans="1:9" x14ac:dyDescent="0.25">
      <c r="A298" t="s">
        <v>1036</v>
      </c>
      <c r="B298" t="s">
        <v>5189</v>
      </c>
      <c r="C298">
        <f>MATCH(A298,mapPRC!A$2:A$1154,0)</f>
        <v>508</v>
      </c>
      <c r="G298" t="s">
        <v>1081</v>
      </c>
      <c r="H298" t="s">
        <v>3492</v>
      </c>
      <c r="I298">
        <f>MATCH(G298,mapPRC!$A$2:$A$1154,0)</f>
        <v>486</v>
      </c>
    </row>
    <row r="299" spans="1:9" x14ac:dyDescent="0.25">
      <c r="A299" t="s">
        <v>1034</v>
      </c>
      <c r="B299" t="s">
        <v>5190</v>
      </c>
      <c r="C299">
        <f>MATCH(A299,mapPRC!A$2:A$1154,0)</f>
        <v>510</v>
      </c>
      <c r="G299" t="s">
        <v>1080</v>
      </c>
      <c r="H299" t="s">
        <v>3493</v>
      </c>
      <c r="I299">
        <f>MATCH(G299,mapPRC!$A$2:$A$1154,0)</f>
        <v>487</v>
      </c>
    </row>
    <row r="300" spans="1:9" x14ac:dyDescent="0.25">
      <c r="A300" t="s">
        <v>1032</v>
      </c>
      <c r="B300" t="s">
        <v>5190</v>
      </c>
      <c r="C300">
        <f>MATCH(A300,mapPRC!A$2:A$1154,0)</f>
        <v>511</v>
      </c>
      <c r="G300" t="s">
        <v>3494</v>
      </c>
      <c r="H300" t="s">
        <v>3495</v>
      </c>
      <c r="I300">
        <f>MATCH(G300,mapPRC!$A$2:$A$1154,0)</f>
        <v>488</v>
      </c>
    </row>
    <row r="301" spans="1:9" x14ac:dyDescent="0.25">
      <c r="A301" t="s">
        <v>3757</v>
      </c>
      <c r="B301" t="s">
        <v>5191</v>
      </c>
      <c r="C301">
        <f>MATCH(A301,mapPRC!A$2:A$1154,0)</f>
        <v>512</v>
      </c>
      <c r="G301" t="s">
        <v>3496</v>
      </c>
      <c r="H301" t="s">
        <v>3497</v>
      </c>
      <c r="I301">
        <f>MATCH(G301,mapPRC!$A$2:$A$1154,0)</f>
        <v>489</v>
      </c>
    </row>
    <row r="302" spans="1:9" x14ac:dyDescent="0.25">
      <c r="A302" t="s">
        <v>1030</v>
      </c>
      <c r="B302" t="s">
        <v>5190</v>
      </c>
      <c r="C302">
        <f>MATCH(A302,mapPRC!A$2:A$1154,0)</f>
        <v>514</v>
      </c>
      <c r="G302" t="s">
        <v>3498</v>
      </c>
      <c r="H302" t="s">
        <v>3499</v>
      </c>
      <c r="I302">
        <f>MATCH(G302,mapPRC!$A$2:$A$1154,0)</f>
        <v>490</v>
      </c>
    </row>
    <row r="303" spans="1:9" x14ac:dyDescent="0.25">
      <c r="A303" t="s">
        <v>3756</v>
      </c>
      <c r="B303" t="s">
        <v>3755</v>
      </c>
      <c r="C303">
        <f>MATCH(A303,mapPRC!A$2:A$1154,0)</f>
        <v>513</v>
      </c>
      <c r="G303" t="s">
        <v>3500</v>
      </c>
      <c r="H303" t="s">
        <v>3501</v>
      </c>
      <c r="I303">
        <f>MATCH(G303,mapPRC!$A$2:$A$1154,0)</f>
        <v>491</v>
      </c>
    </row>
    <row r="304" spans="1:9" x14ac:dyDescent="0.25">
      <c r="A304" t="s">
        <v>1028</v>
      </c>
      <c r="B304" t="s">
        <v>5190</v>
      </c>
      <c r="C304">
        <f>MATCH(A304,mapPRC!A$2:A$1154,0)</f>
        <v>515</v>
      </c>
      <c r="G304" t="s">
        <v>3502</v>
      </c>
      <c r="H304" t="s">
        <v>3503</v>
      </c>
      <c r="I304">
        <f>MATCH(G304,mapPRC!$A$2:$A$1154,0)</f>
        <v>492</v>
      </c>
    </row>
    <row r="305" spans="1:9" x14ac:dyDescent="0.25">
      <c r="A305" t="s">
        <v>1026</v>
      </c>
      <c r="B305" t="s">
        <v>5190</v>
      </c>
      <c r="C305">
        <f>MATCH(A305,mapPRC!A$2:A$1154,0)</f>
        <v>516</v>
      </c>
      <c r="G305" t="s">
        <v>1077</v>
      </c>
      <c r="H305" t="s">
        <v>3504</v>
      </c>
      <c r="I305">
        <f>MATCH(G305,mapPRC!$A$2:$A$1154,0)</f>
        <v>493</v>
      </c>
    </row>
    <row r="306" spans="1:9" x14ac:dyDescent="0.25">
      <c r="A306" t="s">
        <v>1024</v>
      </c>
      <c r="B306" t="s">
        <v>5190</v>
      </c>
      <c r="C306">
        <f>MATCH(A306,mapPRC!A$2:A$1154,0)</f>
        <v>517</v>
      </c>
      <c r="G306" t="s">
        <v>1075</v>
      </c>
      <c r="H306" t="s">
        <v>3505</v>
      </c>
      <c r="I306">
        <f>MATCH(G306,mapPRC!$A$2:$A$1154,0)</f>
        <v>494</v>
      </c>
    </row>
    <row r="307" spans="1:9" x14ac:dyDescent="0.25">
      <c r="A307" t="s">
        <v>3796</v>
      </c>
      <c r="B307" t="s">
        <v>3799</v>
      </c>
      <c r="C307">
        <f>MATCH(A307,mapPRC!A$2:A$1154,0)</f>
        <v>518</v>
      </c>
      <c r="G307" t="s">
        <v>1073</v>
      </c>
      <c r="H307" t="s">
        <v>3506</v>
      </c>
      <c r="I307">
        <f>MATCH(G307,mapPRC!$A$2:$A$1154,0)</f>
        <v>495</v>
      </c>
    </row>
    <row r="308" spans="1:9" x14ac:dyDescent="0.25">
      <c r="A308" t="s">
        <v>3798</v>
      </c>
      <c r="B308" t="s">
        <v>3800</v>
      </c>
      <c r="C308">
        <f>MATCH(A308,mapPRC!A$2:A$1154,0)</f>
        <v>519</v>
      </c>
      <c r="G308" t="s">
        <v>1070</v>
      </c>
      <c r="H308" t="s">
        <v>3507</v>
      </c>
      <c r="I308">
        <f>MATCH(G308,mapPRC!$A$2:$A$1154,0)</f>
        <v>496</v>
      </c>
    </row>
    <row r="309" spans="1:9" x14ac:dyDescent="0.25">
      <c r="A309" t="s">
        <v>1018</v>
      </c>
      <c r="B309" t="s">
        <v>5192</v>
      </c>
      <c r="C309">
        <f>MATCH(A309,mapPRC!A$2:A$1154,0)</f>
        <v>520</v>
      </c>
      <c r="G309" t="s">
        <v>1068</v>
      </c>
      <c r="H309" t="s">
        <v>3508</v>
      </c>
      <c r="I309">
        <f>MATCH(G309,mapPRC!$A$2:$A$1154,0)</f>
        <v>497</v>
      </c>
    </row>
    <row r="310" spans="1:9" x14ac:dyDescent="0.25">
      <c r="A310" t="s">
        <v>1020</v>
      </c>
      <c r="B310" t="s">
        <v>5193</v>
      </c>
      <c r="C310">
        <f>MATCH(A310,mapPRC!A$2:A$1154,0)</f>
        <v>521</v>
      </c>
      <c r="G310" t="s">
        <v>1066</v>
      </c>
      <c r="H310" t="s">
        <v>3509</v>
      </c>
      <c r="I310">
        <f>MATCH(G310,mapPRC!$A$2:$A$1154,0)</f>
        <v>498</v>
      </c>
    </row>
    <row r="311" spans="1:9" x14ac:dyDescent="0.25">
      <c r="A311" t="s">
        <v>1019</v>
      </c>
      <c r="B311" t="s">
        <v>5194</v>
      </c>
      <c r="C311">
        <f>MATCH(A311,mapPRC!A$2:A$1154,0)</f>
        <v>522</v>
      </c>
      <c r="G311" t="s">
        <v>1062</v>
      </c>
      <c r="H311" t="s">
        <v>1061</v>
      </c>
      <c r="I311">
        <f>MATCH(G311,mapPRC!$A$2:$A$1154,0)</f>
        <v>499</v>
      </c>
    </row>
    <row r="312" spans="1:9" x14ac:dyDescent="0.25">
      <c r="A312" t="s">
        <v>1016</v>
      </c>
      <c r="B312" t="s">
        <v>5195</v>
      </c>
      <c r="C312">
        <f>MATCH(A312,mapPRC!A$2:A$1154,0)</f>
        <v>523</v>
      </c>
      <c r="G312" t="s">
        <v>1059</v>
      </c>
      <c r="H312" t="s">
        <v>1058</v>
      </c>
      <c r="I312">
        <f>MATCH(G312,mapPRC!$A$2:$A$1154,0)</f>
        <v>500</v>
      </c>
    </row>
    <row r="313" spans="1:9" x14ac:dyDescent="0.25">
      <c r="A313" t="s">
        <v>3758</v>
      </c>
      <c r="B313" t="s">
        <v>3759</v>
      </c>
      <c r="C313">
        <f>MATCH(A313,mapPRC!A$2:A$1154,0)</f>
        <v>524</v>
      </c>
      <c r="G313" t="s">
        <v>1056</v>
      </c>
      <c r="H313" t="s">
        <v>1055</v>
      </c>
      <c r="I313">
        <f>MATCH(G313,mapPRC!$A$2:$A$1154,0)</f>
        <v>501</v>
      </c>
    </row>
    <row r="314" spans="1:9" x14ac:dyDescent="0.25">
      <c r="A314" t="s">
        <v>1004</v>
      </c>
      <c r="B314" t="s">
        <v>5196</v>
      </c>
      <c r="C314">
        <f>MATCH(A314,mapPRC!A$2:A$1154,0)</f>
        <v>527</v>
      </c>
      <c r="G314" t="s">
        <v>1053</v>
      </c>
      <c r="H314" t="s">
        <v>1052</v>
      </c>
      <c r="I314">
        <f>MATCH(G314,mapPRC!$A$2:$A$1154,0)</f>
        <v>502</v>
      </c>
    </row>
    <row r="315" spans="1:9" x14ac:dyDescent="0.25">
      <c r="A315" t="s">
        <v>1006</v>
      </c>
      <c r="B315" t="s">
        <v>5197</v>
      </c>
      <c r="C315">
        <f>MATCH(A315,mapPRC!A$2:A$1154,0)</f>
        <v>528</v>
      </c>
      <c r="G315" t="s">
        <v>1050</v>
      </c>
      <c r="H315" t="s">
        <v>1049</v>
      </c>
      <c r="I315">
        <f>MATCH(G315,mapPRC!$A$2:$A$1154,0)</f>
        <v>503</v>
      </c>
    </row>
    <row r="316" spans="1:9" x14ac:dyDescent="0.25">
      <c r="A316" t="s">
        <v>1005</v>
      </c>
      <c r="B316" t="s">
        <v>5198</v>
      </c>
      <c r="C316">
        <f>MATCH(A316,mapPRC!A$2:A$1154,0)</f>
        <v>529</v>
      </c>
      <c r="G316" t="s">
        <v>1047</v>
      </c>
      <c r="H316" t="s">
        <v>1046</v>
      </c>
      <c r="I316">
        <f>MATCH(G316,mapPRC!$A$2:$A$1154,0)</f>
        <v>504</v>
      </c>
    </row>
    <row r="317" spans="1:9" x14ac:dyDescent="0.25">
      <c r="A317" t="s">
        <v>1002</v>
      </c>
      <c r="B317" t="s">
        <v>5199</v>
      </c>
      <c r="C317">
        <f>MATCH(A317,mapPRC!A$2:A$1154,0)</f>
        <v>530</v>
      </c>
      <c r="G317" t="s">
        <v>1044</v>
      </c>
      <c r="H317" t="s">
        <v>1043</v>
      </c>
      <c r="I317">
        <f>MATCH(G317,mapPRC!$A$2:$A$1154,0)</f>
        <v>505</v>
      </c>
    </row>
    <row r="318" spans="1:9" x14ac:dyDescent="0.25">
      <c r="A318" t="s">
        <v>999</v>
      </c>
      <c r="B318" t="s">
        <v>5200</v>
      </c>
      <c r="C318">
        <f>MATCH(A318,mapPRC!A$2:A$1154,0)</f>
        <v>531</v>
      </c>
      <c r="G318" t="s">
        <v>1042</v>
      </c>
      <c r="H318" t="s">
        <v>1041</v>
      </c>
      <c r="I318">
        <f>MATCH(G318,mapPRC!$A$2:$A$1154,0)</f>
        <v>506</v>
      </c>
    </row>
    <row r="319" spans="1:9" x14ac:dyDescent="0.25">
      <c r="A319" t="s">
        <v>3854</v>
      </c>
      <c r="B319" t="s">
        <v>5201</v>
      </c>
      <c r="C319">
        <f>MATCH(A319,mapPRC!A$2:A$1154,0)</f>
        <v>532</v>
      </c>
      <c r="G319" t="s">
        <v>1039</v>
      </c>
      <c r="H319" t="s">
        <v>1038</v>
      </c>
      <c r="I319">
        <f>MATCH(G319,mapPRC!$A$2:$A$1154,0)</f>
        <v>507</v>
      </c>
    </row>
    <row r="320" spans="1:9" x14ac:dyDescent="0.25">
      <c r="A320" t="s">
        <v>995</v>
      </c>
      <c r="B320" t="s">
        <v>5202</v>
      </c>
      <c r="C320">
        <f>MATCH(A320,mapPRC!A$2:A$1154,0)</f>
        <v>533</v>
      </c>
      <c r="G320" t="s">
        <v>3510</v>
      </c>
      <c r="H320" t="s">
        <v>3511</v>
      </c>
      <c r="I320">
        <f>MATCH(G320,mapPRC!$A$2:$A$1154,0)</f>
        <v>509</v>
      </c>
    </row>
    <row r="321" spans="1:9" x14ac:dyDescent="0.25">
      <c r="A321" t="s">
        <v>997</v>
      </c>
      <c r="B321" t="s">
        <v>5203</v>
      </c>
      <c r="C321">
        <f>MATCH(A321,mapPRC!A$2:A$1154,0)</f>
        <v>534</v>
      </c>
      <c r="G321" t="s">
        <v>1036</v>
      </c>
      <c r="H321" t="s">
        <v>1035</v>
      </c>
      <c r="I321">
        <f>MATCH(G321,mapPRC!$A$2:$A$1154,0)</f>
        <v>508</v>
      </c>
    </row>
    <row r="322" spans="1:9" x14ac:dyDescent="0.25">
      <c r="A322" t="s">
        <v>996</v>
      </c>
      <c r="B322" t="s">
        <v>5204</v>
      </c>
      <c r="C322">
        <f>MATCH(A322,mapPRC!A$2:A$1154,0)</f>
        <v>535</v>
      </c>
      <c r="G322" t="s">
        <v>1034</v>
      </c>
      <c r="H322" t="s">
        <v>1033</v>
      </c>
      <c r="I322">
        <f>MATCH(G322,mapPRC!$A$2:$A$1154,0)</f>
        <v>510</v>
      </c>
    </row>
    <row r="323" spans="1:9" x14ac:dyDescent="0.25">
      <c r="A323" t="s">
        <v>993</v>
      </c>
      <c r="B323" t="s">
        <v>5205</v>
      </c>
      <c r="C323">
        <f>MATCH(A323,mapPRC!A$2:A$1154,0)</f>
        <v>536</v>
      </c>
      <c r="G323" t="s">
        <v>1032</v>
      </c>
      <c r="H323" t="s">
        <v>1031</v>
      </c>
      <c r="I323">
        <f>MATCH(G323,mapPRC!$A$2:$A$1154,0)</f>
        <v>511</v>
      </c>
    </row>
    <row r="324" spans="1:9" x14ac:dyDescent="0.25">
      <c r="A324" t="s">
        <v>987</v>
      </c>
      <c r="B324" t="s">
        <v>5206</v>
      </c>
      <c r="C324">
        <f>MATCH(A324,mapPRC!A$2:A$1154,0)</f>
        <v>537</v>
      </c>
      <c r="G324" t="s">
        <v>1030</v>
      </c>
      <c r="H324" t="s">
        <v>1029</v>
      </c>
      <c r="I324">
        <f>MATCH(G324,mapPRC!$A$2:$A$1154,0)</f>
        <v>514</v>
      </c>
    </row>
    <row r="325" spans="1:9" x14ac:dyDescent="0.25">
      <c r="A325" t="s">
        <v>990</v>
      </c>
      <c r="B325" t="s">
        <v>5207</v>
      </c>
      <c r="C325">
        <f>MATCH(A325,mapPRC!A$2:A$1154,0)</f>
        <v>538</v>
      </c>
      <c r="G325" t="s">
        <v>1028</v>
      </c>
      <c r="H325" t="s">
        <v>1027</v>
      </c>
      <c r="I325">
        <f>MATCH(G325,mapPRC!$A$2:$A$1154,0)</f>
        <v>515</v>
      </c>
    </row>
    <row r="326" spans="1:9" x14ac:dyDescent="0.25">
      <c r="A326" t="s">
        <v>989</v>
      </c>
      <c r="B326" t="s">
        <v>5208</v>
      </c>
      <c r="C326">
        <f>MATCH(A326,mapPRC!A$2:A$1154,0)</f>
        <v>539</v>
      </c>
      <c r="G326" t="s">
        <v>1026</v>
      </c>
      <c r="H326" t="s">
        <v>1025</v>
      </c>
      <c r="I326">
        <f>MATCH(G326,mapPRC!$A$2:$A$1154,0)</f>
        <v>516</v>
      </c>
    </row>
    <row r="327" spans="1:9" x14ac:dyDescent="0.25">
      <c r="A327" t="s">
        <v>985</v>
      </c>
      <c r="B327" t="s">
        <v>5209</v>
      </c>
      <c r="C327">
        <f>MATCH(A327,mapPRC!A$2:A$1154,0)</f>
        <v>540</v>
      </c>
      <c r="G327" t="s">
        <v>1024</v>
      </c>
      <c r="H327" t="s">
        <v>1023</v>
      </c>
      <c r="I327">
        <f>MATCH(G327,mapPRC!$A$2:$A$1154,0)</f>
        <v>517</v>
      </c>
    </row>
    <row r="328" spans="1:9" x14ac:dyDescent="0.25">
      <c r="A328" t="s">
        <v>980</v>
      </c>
      <c r="B328" t="s">
        <v>5210</v>
      </c>
      <c r="C328">
        <f>MATCH(A328,mapPRC!A$2:A$1154,0)</f>
        <v>541</v>
      </c>
      <c r="G328" t="s">
        <v>1018</v>
      </c>
      <c r="H328" t="s">
        <v>1017</v>
      </c>
      <c r="I328">
        <f>MATCH(G328,mapPRC!$A$2:$A$1154,0)</f>
        <v>520</v>
      </c>
    </row>
    <row r="329" spans="1:9" x14ac:dyDescent="0.25">
      <c r="A329" t="s">
        <v>982</v>
      </c>
      <c r="B329" t="s">
        <v>5211</v>
      </c>
      <c r="C329">
        <f>MATCH(A329,mapPRC!A$2:A$1154,0)</f>
        <v>542</v>
      </c>
      <c r="G329" t="s">
        <v>1020</v>
      </c>
      <c r="H329" t="s">
        <v>1017</v>
      </c>
      <c r="I329">
        <f>MATCH(G329,mapPRC!$A$2:$A$1154,0)</f>
        <v>521</v>
      </c>
    </row>
    <row r="330" spans="1:9" x14ac:dyDescent="0.25">
      <c r="A330" t="s">
        <v>981</v>
      </c>
      <c r="B330" t="s">
        <v>5212</v>
      </c>
      <c r="C330">
        <f>MATCH(A330,mapPRC!A$2:A$1154,0)</f>
        <v>543</v>
      </c>
      <c r="G330" t="s">
        <v>1019</v>
      </c>
      <c r="H330" t="s">
        <v>1017</v>
      </c>
      <c r="I330">
        <f>MATCH(G330,mapPRC!$A$2:$A$1154,0)</f>
        <v>522</v>
      </c>
    </row>
    <row r="331" spans="1:9" x14ac:dyDescent="0.25">
      <c r="A331" t="s">
        <v>979</v>
      </c>
      <c r="B331" t="s">
        <v>5213</v>
      </c>
      <c r="C331">
        <f>MATCH(A331,mapPRC!A$2:A$1154,0)</f>
        <v>544</v>
      </c>
      <c r="G331" t="s">
        <v>1016</v>
      </c>
      <c r="H331" t="s">
        <v>1015</v>
      </c>
      <c r="I331">
        <f>MATCH(G331,mapPRC!$A$2:$A$1154,0)</f>
        <v>523</v>
      </c>
    </row>
    <row r="332" spans="1:9" x14ac:dyDescent="0.25">
      <c r="A332" t="s">
        <v>977</v>
      </c>
      <c r="B332" t="s">
        <v>5214</v>
      </c>
      <c r="C332">
        <f>MATCH(A332,mapPRC!A$2:A$1154,0)</f>
        <v>545</v>
      </c>
      <c r="G332" t="s">
        <v>1013</v>
      </c>
      <c r="H332" t="s">
        <v>1012</v>
      </c>
      <c r="I332" t="e">
        <f>MATCH(G332,mapPRC!$A$2:$A$1154,0)</f>
        <v>#N/A</v>
      </c>
    </row>
    <row r="333" spans="1:9" x14ac:dyDescent="0.25">
      <c r="A333" t="s">
        <v>976</v>
      </c>
      <c r="B333" t="s">
        <v>5215</v>
      </c>
      <c r="C333">
        <f>MATCH(A333,mapPRC!A$2:A$1154,0)</f>
        <v>546</v>
      </c>
      <c r="G333" t="s">
        <v>1011</v>
      </c>
      <c r="H333" t="s">
        <v>1010</v>
      </c>
      <c r="I333">
        <f>MATCH(G333,mapPRC!$A$2:$A$1154,0)</f>
        <v>525</v>
      </c>
    </row>
    <row r="334" spans="1:9" x14ac:dyDescent="0.25">
      <c r="A334" t="s">
        <v>974</v>
      </c>
      <c r="B334" t="s">
        <v>5216</v>
      </c>
      <c r="C334">
        <f>MATCH(A334,mapPRC!A$2:A$1154,0)</f>
        <v>547</v>
      </c>
      <c r="G334" t="s">
        <v>1009</v>
      </c>
      <c r="H334" t="s">
        <v>1008</v>
      </c>
      <c r="I334" t="e">
        <f>MATCH(G334,mapPRC!$A$2:$A$1154,0)</f>
        <v>#N/A</v>
      </c>
    </row>
    <row r="335" spans="1:9" x14ac:dyDescent="0.25">
      <c r="A335" t="s">
        <v>973</v>
      </c>
      <c r="B335" t="s">
        <v>5217</v>
      </c>
      <c r="C335">
        <f>MATCH(A335,mapPRC!A$2:A$1154,0)</f>
        <v>548</v>
      </c>
      <c r="G335" t="s">
        <v>1004</v>
      </c>
      <c r="H335" t="s">
        <v>1003</v>
      </c>
      <c r="I335">
        <f>MATCH(G335,mapPRC!$A$2:$A$1154,0)</f>
        <v>527</v>
      </c>
    </row>
    <row r="336" spans="1:9" x14ac:dyDescent="0.25">
      <c r="A336" t="s">
        <v>971</v>
      </c>
      <c r="B336" t="s">
        <v>5218</v>
      </c>
      <c r="C336">
        <f>MATCH(A336,mapPRC!A$2:A$1154,0)</f>
        <v>549</v>
      </c>
      <c r="G336" t="s">
        <v>1006</v>
      </c>
      <c r="H336" t="s">
        <v>1003</v>
      </c>
      <c r="I336">
        <f>MATCH(G336,mapPRC!$A$2:$A$1154,0)</f>
        <v>528</v>
      </c>
    </row>
    <row r="337" spans="1:9" x14ac:dyDescent="0.25">
      <c r="A337" t="s">
        <v>970</v>
      </c>
      <c r="B337" t="s">
        <v>5219</v>
      </c>
      <c r="C337">
        <f>MATCH(A337,mapPRC!A$2:A$1154,0)</f>
        <v>550</v>
      </c>
      <c r="G337" t="s">
        <v>1005</v>
      </c>
      <c r="H337" t="s">
        <v>1003</v>
      </c>
      <c r="I337">
        <f>MATCH(G337,mapPRC!$A$2:$A$1154,0)</f>
        <v>529</v>
      </c>
    </row>
    <row r="338" spans="1:9" x14ac:dyDescent="0.25">
      <c r="A338" t="s">
        <v>968</v>
      </c>
      <c r="B338" t="s">
        <v>5220</v>
      </c>
      <c r="C338">
        <f>MATCH(A338,mapPRC!A$2:A$1154,0)</f>
        <v>551</v>
      </c>
      <c r="G338" t="s">
        <v>1002</v>
      </c>
      <c r="H338" t="s">
        <v>1001</v>
      </c>
      <c r="I338">
        <f>MATCH(G338,mapPRC!$A$2:$A$1154,0)</f>
        <v>530</v>
      </c>
    </row>
    <row r="339" spans="1:9" x14ac:dyDescent="0.25">
      <c r="A339" t="s">
        <v>966</v>
      </c>
      <c r="B339" t="s">
        <v>5221</v>
      </c>
      <c r="C339">
        <f>MATCH(A339,mapPRC!A$2:A$1154,0)</f>
        <v>552</v>
      </c>
      <c r="G339" t="s">
        <v>999</v>
      </c>
      <c r="H339" t="s">
        <v>998</v>
      </c>
      <c r="I339">
        <f>MATCH(G339,mapPRC!$A$2:$A$1154,0)</f>
        <v>531</v>
      </c>
    </row>
    <row r="340" spans="1:9" x14ac:dyDescent="0.25">
      <c r="A340" t="s">
        <v>964</v>
      </c>
      <c r="B340" t="s">
        <v>5222</v>
      </c>
      <c r="C340">
        <f>MATCH(A340,mapPRC!A$2:A$1154,0)</f>
        <v>553</v>
      </c>
      <c r="G340" t="s">
        <v>995</v>
      </c>
      <c r="H340" t="s">
        <v>994</v>
      </c>
      <c r="I340">
        <f>MATCH(G340,mapPRC!$A$2:$A$1154,0)</f>
        <v>533</v>
      </c>
    </row>
    <row r="341" spans="1:9" x14ac:dyDescent="0.25">
      <c r="A341" t="s">
        <v>951</v>
      </c>
      <c r="B341" t="s">
        <v>5223</v>
      </c>
      <c r="C341">
        <f>MATCH(A341,mapPRC!A$2:A$1154,0)</f>
        <v>563</v>
      </c>
      <c r="G341" t="s">
        <v>997</v>
      </c>
      <c r="H341" t="s">
        <v>994</v>
      </c>
      <c r="I341">
        <f>MATCH(G341,mapPRC!$A$2:$A$1154,0)</f>
        <v>534</v>
      </c>
    </row>
    <row r="342" spans="1:9" x14ac:dyDescent="0.25">
      <c r="A342" t="s">
        <v>949</v>
      </c>
      <c r="B342" t="s">
        <v>5224</v>
      </c>
      <c r="C342">
        <f>MATCH(A342,mapPRC!A$2:A$1154,0)</f>
        <v>564</v>
      </c>
      <c r="G342" t="s">
        <v>996</v>
      </c>
      <c r="H342" t="s">
        <v>994</v>
      </c>
      <c r="I342">
        <f>MATCH(G342,mapPRC!$A$2:$A$1154,0)</f>
        <v>535</v>
      </c>
    </row>
    <row r="343" spans="1:9" x14ac:dyDescent="0.25">
      <c r="A343" t="s">
        <v>947</v>
      </c>
      <c r="B343" t="s">
        <v>5225</v>
      </c>
      <c r="C343">
        <f>MATCH(A343,mapPRC!A$2:A$1154,0)</f>
        <v>565</v>
      </c>
      <c r="G343" t="s">
        <v>993</v>
      </c>
      <c r="H343" t="s">
        <v>992</v>
      </c>
      <c r="I343">
        <f>MATCH(G343,mapPRC!$A$2:$A$1154,0)</f>
        <v>536</v>
      </c>
    </row>
    <row r="344" spans="1:9" x14ac:dyDescent="0.25">
      <c r="A344" t="s">
        <v>945</v>
      </c>
      <c r="B344" t="s">
        <v>5226</v>
      </c>
      <c r="C344">
        <f>MATCH(A344,mapPRC!A$2:A$1154,0)</f>
        <v>567</v>
      </c>
      <c r="G344" t="s">
        <v>987</v>
      </c>
      <c r="H344" t="s">
        <v>986</v>
      </c>
      <c r="I344">
        <f>MATCH(G344,mapPRC!$A$2:$A$1154,0)</f>
        <v>537</v>
      </c>
    </row>
    <row r="345" spans="1:9" x14ac:dyDescent="0.25">
      <c r="A345" t="s">
        <v>937</v>
      </c>
      <c r="B345" t="s">
        <v>5227</v>
      </c>
      <c r="C345">
        <f>MATCH(A345,mapPRC!A$2:A$1154,0)</f>
        <v>571</v>
      </c>
      <c r="G345" t="s">
        <v>990</v>
      </c>
      <c r="H345" t="s">
        <v>988</v>
      </c>
      <c r="I345">
        <f>MATCH(G345,mapPRC!$A$2:$A$1154,0)</f>
        <v>538</v>
      </c>
    </row>
    <row r="346" spans="1:9" x14ac:dyDescent="0.25">
      <c r="A346" t="s">
        <v>934</v>
      </c>
      <c r="B346" t="s">
        <v>5228</v>
      </c>
      <c r="C346">
        <f>MATCH(A346,mapPRC!A$2:A$1154,0)</f>
        <v>572</v>
      </c>
      <c r="G346" t="s">
        <v>989</v>
      </c>
      <c r="H346" t="s">
        <v>988</v>
      </c>
      <c r="I346">
        <f>MATCH(G346,mapPRC!$A$2:$A$1154,0)</f>
        <v>539</v>
      </c>
    </row>
    <row r="347" spans="1:9" x14ac:dyDescent="0.25">
      <c r="A347" t="s">
        <v>918</v>
      </c>
      <c r="B347" t="s">
        <v>5229</v>
      </c>
      <c r="C347">
        <f>MATCH(A347,mapPRC!A$2:A$1154,0)</f>
        <v>582</v>
      </c>
      <c r="G347" t="s">
        <v>985</v>
      </c>
      <c r="H347" t="s">
        <v>984</v>
      </c>
      <c r="I347">
        <f>MATCH(G347,mapPRC!$A$2:$A$1154,0)</f>
        <v>540</v>
      </c>
    </row>
    <row r="348" spans="1:9" x14ac:dyDescent="0.25">
      <c r="A348" t="s">
        <v>2860</v>
      </c>
      <c r="B348" t="s">
        <v>2861</v>
      </c>
      <c r="C348">
        <f>MATCH(A348,mapPRC!A$2:A$1154,0)</f>
        <v>583</v>
      </c>
      <c r="G348" t="s">
        <v>980</v>
      </c>
      <c r="H348" t="s">
        <v>978</v>
      </c>
      <c r="I348">
        <f>MATCH(G348,mapPRC!$A$2:$A$1154,0)</f>
        <v>541</v>
      </c>
    </row>
    <row r="349" spans="1:9" x14ac:dyDescent="0.25">
      <c r="A349" t="s">
        <v>2862</v>
      </c>
      <c r="B349" t="s">
        <v>2863</v>
      </c>
      <c r="C349">
        <f>MATCH(A349,mapPRC!A$2:A$1154,0)</f>
        <v>584</v>
      </c>
      <c r="G349" t="s">
        <v>982</v>
      </c>
      <c r="H349" t="s">
        <v>978</v>
      </c>
      <c r="I349">
        <f>MATCH(G349,mapPRC!$A$2:$A$1154,0)</f>
        <v>542</v>
      </c>
    </row>
    <row r="350" spans="1:9" x14ac:dyDescent="0.25">
      <c r="A350" t="s">
        <v>3734</v>
      </c>
      <c r="B350" t="s">
        <v>3735</v>
      </c>
      <c r="C350">
        <f>MATCH(A350,mapPRC!A$2:A$1154,0)</f>
        <v>585</v>
      </c>
      <c r="G350" t="s">
        <v>981</v>
      </c>
      <c r="H350" t="s">
        <v>978</v>
      </c>
      <c r="I350">
        <f>MATCH(G350,mapPRC!$A$2:$A$1154,0)</f>
        <v>543</v>
      </c>
    </row>
    <row r="351" spans="1:9" x14ac:dyDescent="0.25">
      <c r="A351" t="s">
        <v>2865</v>
      </c>
      <c r="B351" t="s">
        <v>2866</v>
      </c>
      <c r="C351">
        <f>MATCH(A351,mapPRC!A$2:A$1154,0)</f>
        <v>587</v>
      </c>
      <c r="G351" t="s">
        <v>979</v>
      </c>
      <c r="H351" t="s">
        <v>978</v>
      </c>
      <c r="I351">
        <f>MATCH(G351,mapPRC!$A$2:$A$1154,0)</f>
        <v>544</v>
      </c>
    </row>
    <row r="352" spans="1:9" x14ac:dyDescent="0.25">
      <c r="A352" t="s">
        <v>2867</v>
      </c>
      <c r="B352" t="s">
        <v>2868</v>
      </c>
      <c r="C352">
        <f>MATCH(A352,mapPRC!A$2:A$1154,0)</f>
        <v>588</v>
      </c>
      <c r="G352" t="s">
        <v>977</v>
      </c>
      <c r="H352" t="s">
        <v>975</v>
      </c>
      <c r="I352">
        <f>MATCH(G352,mapPRC!$A$2:$A$1154,0)</f>
        <v>545</v>
      </c>
    </row>
    <row r="353" spans="1:9" x14ac:dyDescent="0.25">
      <c r="A353" t="s">
        <v>2869</v>
      </c>
      <c r="B353" t="s">
        <v>2870</v>
      </c>
      <c r="C353">
        <f>MATCH(A353,mapPRC!A$2:A$1154,0)</f>
        <v>589</v>
      </c>
      <c r="G353" t="s">
        <v>976</v>
      </c>
      <c r="H353" t="s">
        <v>975</v>
      </c>
      <c r="I353">
        <f>MATCH(G353,mapPRC!$A$2:$A$1154,0)</f>
        <v>546</v>
      </c>
    </row>
    <row r="354" spans="1:9" x14ac:dyDescent="0.25">
      <c r="A354" t="s">
        <v>2871</v>
      </c>
      <c r="B354" t="s">
        <v>2872</v>
      </c>
      <c r="C354">
        <f>MATCH(A354,mapPRC!A$2:A$1154,0)</f>
        <v>590</v>
      </c>
      <c r="G354" t="s">
        <v>974</v>
      </c>
      <c r="H354" t="s">
        <v>972</v>
      </c>
      <c r="I354">
        <f>MATCH(G354,mapPRC!$A$2:$A$1154,0)</f>
        <v>547</v>
      </c>
    </row>
    <row r="355" spans="1:9" x14ac:dyDescent="0.25">
      <c r="A355" t="s">
        <v>2873</v>
      </c>
      <c r="B355" t="s">
        <v>2874</v>
      </c>
      <c r="C355">
        <f>MATCH(A355,mapPRC!A$2:A$1154,0)</f>
        <v>591</v>
      </c>
      <c r="G355" t="s">
        <v>973</v>
      </c>
      <c r="H355" t="s">
        <v>972</v>
      </c>
      <c r="I355">
        <f>MATCH(G355,mapPRC!$A$2:$A$1154,0)</f>
        <v>548</v>
      </c>
    </row>
    <row r="356" spans="1:9" x14ac:dyDescent="0.25">
      <c r="A356" t="s">
        <v>2875</v>
      </c>
      <c r="B356" t="s">
        <v>2876</v>
      </c>
      <c r="C356">
        <f>MATCH(A356,mapPRC!A$2:A$1154,0)</f>
        <v>592</v>
      </c>
      <c r="G356" t="s">
        <v>971</v>
      </c>
      <c r="H356" t="s">
        <v>969</v>
      </c>
      <c r="I356">
        <f>MATCH(G356,mapPRC!$A$2:$A$1154,0)</f>
        <v>549</v>
      </c>
    </row>
    <row r="357" spans="1:9" x14ac:dyDescent="0.25">
      <c r="A357" t="s">
        <v>2877</v>
      </c>
      <c r="B357" t="s">
        <v>5230</v>
      </c>
      <c r="C357">
        <f>MATCH(A357,mapPRC!A$2:A$1154,0)</f>
        <v>593</v>
      </c>
      <c r="G357" t="s">
        <v>970</v>
      </c>
      <c r="H357" t="s">
        <v>969</v>
      </c>
      <c r="I357">
        <f>MATCH(G357,mapPRC!$A$2:$A$1154,0)</f>
        <v>550</v>
      </c>
    </row>
    <row r="358" spans="1:9" x14ac:dyDescent="0.25">
      <c r="A358" t="s">
        <v>2879</v>
      </c>
      <c r="B358" t="s">
        <v>2880</v>
      </c>
      <c r="C358">
        <f>MATCH(A358,mapPRC!A$2:A$1154,0)</f>
        <v>594</v>
      </c>
      <c r="G358" t="s">
        <v>968</v>
      </c>
      <c r="H358" t="s">
        <v>967</v>
      </c>
      <c r="I358">
        <f>MATCH(G358,mapPRC!$A$2:$A$1154,0)</f>
        <v>551</v>
      </c>
    </row>
    <row r="359" spans="1:9" x14ac:dyDescent="0.25">
      <c r="A359" t="s">
        <v>2881</v>
      </c>
      <c r="B359" t="s">
        <v>2882</v>
      </c>
      <c r="C359">
        <f>MATCH(A359,mapPRC!A$2:A$1154,0)</f>
        <v>595</v>
      </c>
      <c r="G359" t="s">
        <v>3512</v>
      </c>
      <c r="H359" t="s">
        <v>3513</v>
      </c>
      <c r="I359">
        <f>MATCH(G359,mapPRC!$A$2:$A$1154,0)</f>
        <v>555</v>
      </c>
    </row>
    <row r="360" spans="1:9" x14ac:dyDescent="0.25">
      <c r="A360" t="s">
        <v>2883</v>
      </c>
      <c r="B360" t="s">
        <v>2884</v>
      </c>
      <c r="C360">
        <f>MATCH(A360,mapPRC!A$2:A$1154,0)</f>
        <v>596</v>
      </c>
      <c r="G360" t="s">
        <v>966</v>
      </c>
      <c r="H360" t="s">
        <v>965</v>
      </c>
      <c r="I360">
        <f>MATCH(G360,mapPRC!$A$2:$A$1154,0)</f>
        <v>552</v>
      </c>
    </row>
    <row r="361" spans="1:9" x14ac:dyDescent="0.25">
      <c r="A361" t="s">
        <v>2885</v>
      </c>
      <c r="B361" t="s">
        <v>2886</v>
      </c>
      <c r="C361">
        <f>MATCH(A361,mapPRC!A$2:A$1154,0)</f>
        <v>597</v>
      </c>
      <c r="G361" t="s">
        <v>964</v>
      </c>
      <c r="H361" t="s">
        <v>963</v>
      </c>
      <c r="I361">
        <f>MATCH(G361,mapPRC!$A$2:$A$1154,0)</f>
        <v>553</v>
      </c>
    </row>
    <row r="362" spans="1:9" x14ac:dyDescent="0.25">
      <c r="A362" t="s">
        <v>2887</v>
      </c>
      <c r="B362" t="s">
        <v>2888</v>
      </c>
      <c r="C362">
        <f>MATCH(A362,mapPRC!A$2:A$1154,0)</f>
        <v>598</v>
      </c>
      <c r="G362" t="s">
        <v>962</v>
      </c>
      <c r="H362" t="s">
        <v>961</v>
      </c>
      <c r="I362">
        <f>MATCH(G362,mapPRC!$A$2:$A$1154,0)</f>
        <v>554</v>
      </c>
    </row>
    <row r="363" spans="1:9" x14ac:dyDescent="0.25">
      <c r="A363" t="s">
        <v>2889</v>
      </c>
      <c r="B363" t="s">
        <v>5231</v>
      </c>
      <c r="C363">
        <f>MATCH(A363,mapPRC!A$2:A$1154,0)</f>
        <v>599</v>
      </c>
      <c r="G363" t="s">
        <v>8</v>
      </c>
      <c r="H363" t="s">
        <v>7</v>
      </c>
      <c r="I363">
        <f>MATCH(G363,mapPRC!$A$2:$A$1154,0)</f>
        <v>556</v>
      </c>
    </row>
    <row r="364" spans="1:9" x14ac:dyDescent="0.25">
      <c r="A364" t="s">
        <v>2891</v>
      </c>
      <c r="B364" t="s">
        <v>2892</v>
      </c>
      <c r="C364">
        <f>MATCH(A364,mapPRC!A$2:A$1154,0)</f>
        <v>600</v>
      </c>
      <c r="G364" t="s">
        <v>6</v>
      </c>
      <c r="H364" t="s">
        <v>5</v>
      </c>
      <c r="I364">
        <f>MATCH(G364,mapPRC!$A$2:$A$1154,0)</f>
        <v>557</v>
      </c>
    </row>
    <row r="365" spans="1:9" x14ac:dyDescent="0.25">
      <c r="A365" t="s">
        <v>2893</v>
      </c>
      <c r="B365" t="s">
        <v>2894</v>
      </c>
      <c r="C365">
        <f>MATCH(A365,mapPRC!A$2:A$1154,0)</f>
        <v>601</v>
      </c>
      <c r="G365" t="s">
        <v>4</v>
      </c>
      <c r="H365" t="s">
        <v>3</v>
      </c>
      <c r="I365">
        <f>MATCH(G365,mapPRC!$A$2:$A$1154,0)</f>
        <v>558</v>
      </c>
    </row>
    <row r="366" spans="1:9" x14ac:dyDescent="0.25">
      <c r="A366" t="s">
        <v>2895</v>
      </c>
      <c r="B366" t="s">
        <v>2896</v>
      </c>
      <c r="C366">
        <f>MATCH(A366,mapPRC!A$2:A$1154,0)</f>
        <v>602</v>
      </c>
      <c r="G366" t="s">
        <v>2</v>
      </c>
      <c r="H366" t="s">
        <v>1</v>
      </c>
      <c r="I366">
        <f>MATCH(G366,mapPRC!$A$2:$A$1154,0)</f>
        <v>559</v>
      </c>
    </row>
    <row r="367" spans="1:9" x14ac:dyDescent="0.25">
      <c r="A367" t="s">
        <v>2897</v>
      </c>
      <c r="B367" t="s">
        <v>2898</v>
      </c>
      <c r="C367">
        <f>MATCH(A367,mapPRC!A$2:A$1154,0)</f>
        <v>603</v>
      </c>
      <c r="G367" t="s">
        <v>957</v>
      </c>
      <c r="H367" t="s">
        <v>956</v>
      </c>
      <c r="I367">
        <f>MATCH(G367,mapPRC!$A$2:$A$1154,0)</f>
        <v>560</v>
      </c>
    </row>
    <row r="368" spans="1:9" x14ac:dyDescent="0.25">
      <c r="A368" t="s">
        <v>2899</v>
      </c>
      <c r="B368" t="s">
        <v>2900</v>
      </c>
      <c r="C368">
        <f>MATCH(A368,mapPRC!A$2:A$1154,0)</f>
        <v>604</v>
      </c>
      <c r="G368" t="s">
        <v>955</v>
      </c>
      <c r="H368" t="s">
        <v>954</v>
      </c>
      <c r="I368">
        <f>MATCH(G368,mapPRC!$A$2:$A$1154,0)</f>
        <v>561</v>
      </c>
    </row>
    <row r="369" spans="1:9" x14ac:dyDescent="0.25">
      <c r="A369" t="s">
        <v>2901</v>
      </c>
      <c r="B369" t="s">
        <v>2902</v>
      </c>
      <c r="C369">
        <f>MATCH(A369,mapPRC!A$2:A$1154,0)</f>
        <v>605</v>
      </c>
      <c r="G369" t="s">
        <v>953</v>
      </c>
      <c r="H369" t="s">
        <v>952</v>
      </c>
      <c r="I369">
        <f>MATCH(G369,mapPRC!$A$2:$A$1154,0)</f>
        <v>562</v>
      </c>
    </row>
    <row r="370" spans="1:9" x14ac:dyDescent="0.25">
      <c r="A370" t="s">
        <v>3061</v>
      </c>
      <c r="B370" t="s">
        <v>5232</v>
      </c>
      <c r="C370">
        <f>MATCH(A370,mapPRC!A$2:A$1154,0)</f>
        <v>606</v>
      </c>
      <c r="G370" t="s">
        <v>951</v>
      </c>
      <c r="H370" t="s">
        <v>950</v>
      </c>
      <c r="I370">
        <f>MATCH(G370,mapPRC!$A$2:$A$1154,0)</f>
        <v>563</v>
      </c>
    </row>
    <row r="371" spans="1:9" x14ac:dyDescent="0.25">
      <c r="A371" t="s">
        <v>8</v>
      </c>
      <c r="B371" t="s">
        <v>5244</v>
      </c>
      <c r="C371">
        <f>MATCH(A371,mapPRC!A$2:A$1154,0)</f>
        <v>556</v>
      </c>
      <c r="G371" t="s">
        <v>949</v>
      </c>
      <c r="H371" t="s">
        <v>948</v>
      </c>
      <c r="I371">
        <f>MATCH(G371,mapPRC!$A$2:$A$1154,0)</f>
        <v>564</v>
      </c>
    </row>
    <row r="372" spans="1:9" x14ac:dyDescent="0.25">
      <c r="A372" t="s">
        <v>6</v>
      </c>
      <c r="B372" t="s">
        <v>5245</v>
      </c>
      <c r="C372">
        <f>MATCH(A372,mapPRC!A$2:A$1154,0)</f>
        <v>557</v>
      </c>
      <c r="G372" t="s">
        <v>947</v>
      </c>
      <c r="H372" t="s">
        <v>946</v>
      </c>
      <c r="I372">
        <f>MATCH(G372,mapPRC!$A$2:$A$1154,0)</f>
        <v>565</v>
      </c>
    </row>
    <row r="373" spans="1:9" x14ac:dyDescent="0.25">
      <c r="A373" t="s">
        <v>4</v>
      </c>
      <c r="B373" t="s">
        <v>5246</v>
      </c>
      <c r="C373">
        <f>MATCH(A373,mapPRC!A$2:A$1154,0)</f>
        <v>558</v>
      </c>
      <c r="G373" t="s">
        <v>945</v>
      </c>
      <c r="H373" t="s">
        <v>944</v>
      </c>
      <c r="I373">
        <f>MATCH(G373,mapPRC!$A$2:$A$1154,0)</f>
        <v>567</v>
      </c>
    </row>
    <row r="374" spans="1:9" x14ac:dyDescent="0.25">
      <c r="A374" t="s">
        <v>2</v>
      </c>
      <c r="B374" t="s">
        <v>5247</v>
      </c>
      <c r="C374">
        <f>MATCH(A374,mapPRC!A$2:A$1154,0)</f>
        <v>559</v>
      </c>
      <c r="G374" t="s">
        <v>943</v>
      </c>
      <c r="H374" t="s">
        <v>942</v>
      </c>
      <c r="I374">
        <f>MATCH(G374,mapPRC!$A$2:$A$1154,0)</f>
        <v>568</v>
      </c>
    </row>
    <row r="375" spans="1:9" x14ac:dyDescent="0.25">
      <c r="A375" t="s">
        <v>915</v>
      </c>
      <c r="B375" t="s">
        <v>5233</v>
      </c>
      <c r="C375">
        <f>MATCH(A375,mapPRC!A$2:A$1154,0)</f>
        <v>607</v>
      </c>
      <c r="G375" t="s">
        <v>941</v>
      </c>
      <c r="H375" t="s">
        <v>940</v>
      </c>
      <c r="I375">
        <f>MATCH(G375,mapPRC!$A$2:$A$1154,0)</f>
        <v>569</v>
      </c>
    </row>
    <row r="376" spans="1:9" x14ac:dyDescent="0.25">
      <c r="A376" t="s">
        <v>913</v>
      </c>
      <c r="B376" t="s">
        <v>5234</v>
      </c>
      <c r="C376">
        <f>MATCH(A376,mapPRC!A$2:A$1154,0)</f>
        <v>608</v>
      </c>
      <c r="G376" t="s">
        <v>939</v>
      </c>
      <c r="H376" t="s">
        <v>938</v>
      </c>
      <c r="I376">
        <f>MATCH(G376,mapPRC!$A$2:$A$1154,0)</f>
        <v>570</v>
      </c>
    </row>
    <row r="377" spans="1:9" x14ac:dyDescent="0.25">
      <c r="A377" t="s">
        <v>911</v>
      </c>
      <c r="B377" t="s">
        <v>5235</v>
      </c>
      <c r="C377">
        <f>MATCH(A377,mapPRC!A$2:A$1154,0)</f>
        <v>609</v>
      </c>
      <c r="G377" t="s">
        <v>937</v>
      </c>
      <c r="H377" t="s">
        <v>936</v>
      </c>
      <c r="I377">
        <f>MATCH(G377,mapPRC!$A$2:$A$1154,0)</f>
        <v>571</v>
      </c>
    </row>
    <row r="378" spans="1:9" x14ac:dyDescent="0.25">
      <c r="A378" t="s">
        <v>908</v>
      </c>
      <c r="B378" t="s">
        <v>5236</v>
      </c>
      <c r="C378">
        <f>MATCH(A378,mapPRC!A$2:A$1154,0)</f>
        <v>610</v>
      </c>
      <c r="G378" t="s">
        <v>934</v>
      </c>
      <c r="H378" t="s">
        <v>933</v>
      </c>
      <c r="I378">
        <f>MATCH(G378,mapPRC!$A$2:$A$1154,0)</f>
        <v>572</v>
      </c>
    </row>
    <row r="379" spans="1:9" x14ac:dyDescent="0.25">
      <c r="A379" t="s">
        <v>905</v>
      </c>
      <c r="B379" t="s">
        <v>5237</v>
      </c>
      <c r="C379">
        <f>MATCH(A379,mapPRC!A$2:A$1154,0)</f>
        <v>611</v>
      </c>
      <c r="G379" t="s">
        <v>918</v>
      </c>
      <c r="H379" t="s">
        <v>917</v>
      </c>
      <c r="I379">
        <f>MATCH(G379,mapPRC!$A$2:$A$1154,0)</f>
        <v>582</v>
      </c>
    </row>
    <row r="380" spans="1:9" x14ac:dyDescent="0.25">
      <c r="A380" t="s">
        <v>901</v>
      </c>
      <c r="B380" t="s">
        <v>5238</v>
      </c>
      <c r="C380">
        <f>MATCH(A380,mapPRC!A$2:A$1154,0)</f>
        <v>613</v>
      </c>
      <c r="G380" t="s">
        <v>2860</v>
      </c>
      <c r="H380" t="s">
        <v>3542</v>
      </c>
      <c r="I380">
        <f>MATCH(G380,mapPRC!$A$2:$A$1154,0)</f>
        <v>583</v>
      </c>
    </row>
    <row r="381" spans="1:9" x14ac:dyDescent="0.25">
      <c r="A381" t="s">
        <v>5239</v>
      </c>
      <c r="B381" t="s">
        <v>5240</v>
      </c>
      <c r="C381" t="e">
        <f>MATCH(A381,mapPRC!A$2:A$1154,0)</f>
        <v>#N/A</v>
      </c>
      <c r="G381" t="s">
        <v>2862</v>
      </c>
      <c r="H381" t="s">
        <v>3543</v>
      </c>
      <c r="I381">
        <f>MATCH(G381,mapPRC!$A$2:$A$1154,0)</f>
        <v>584</v>
      </c>
    </row>
    <row r="382" spans="1:9" x14ac:dyDescent="0.25">
      <c r="A382" t="s">
        <v>899</v>
      </c>
      <c r="B382" t="s">
        <v>5241</v>
      </c>
      <c r="C382">
        <f>MATCH(A382,mapPRC!A$2:A$1154,0)</f>
        <v>614</v>
      </c>
      <c r="G382" t="s">
        <v>2864</v>
      </c>
      <c r="H382" t="s">
        <v>3544</v>
      </c>
      <c r="I382">
        <f>MATCH(G382,mapPRC!$A$2:$A$1154,0)</f>
        <v>586</v>
      </c>
    </row>
    <row r="383" spans="1:9" x14ac:dyDescent="0.25">
      <c r="A383" t="s">
        <v>895</v>
      </c>
      <c r="B383" t="s">
        <v>5242</v>
      </c>
      <c r="C383">
        <f>MATCH(A383,mapPRC!A$2:A$1154,0)</f>
        <v>616</v>
      </c>
      <c r="G383" t="s">
        <v>2865</v>
      </c>
      <c r="H383" t="s">
        <v>3545</v>
      </c>
      <c r="I383">
        <f>MATCH(G383,mapPRC!$A$2:$A$1154,0)</f>
        <v>587</v>
      </c>
    </row>
    <row r="384" spans="1:9" x14ac:dyDescent="0.25">
      <c r="A384" t="s">
        <v>5816</v>
      </c>
      <c r="B384" t="s">
        <v>5817</v>
      </c>
      <c r="C384" t="e">
        <f>MATCH(A384,mapPRC!A$2:A$1154,0)</f>
        <v>#N/A</v>
      </c>
      <c r="G384" t="s">
        <v>2867</v>
      </c>
      <c r="H384" t="s">
        <v>3546</v>
      </c>
      <c r="I384">
        <f>MATCH(G384,mapPRC!$A$2:$A$1154,0)</f>
        <v>588</v>
      </c>
    </row>
    <row r="385" spans="1:9" x14ac:dyDescent="0.25">
      <c r="A385" t="s">
        <v>893</v>
      </c>
      <c r="B385" t="s">
        <v>5243</v>
      </c>
      <c r="C385">
        <f>MATCH(A385,mapPRC!A$2:A$1154,0)</f>
        <v>617</v>
      </c>
      <c r="G385" t="s">
        <v>2869</v>
      </c>
      <c r="H385" t="s">
        <v>3547</v>
      </c>
      <c r="I385">
        <f>MATCH(G385,mapPRC!$A$2:$A$1154,0)</f>
        <v>589</v>
      </c>
    </row>
    <row r="386" spans="1:9" x14ac:dyDescent="0.25">
      <c r="A386" t="s">
        <v>889</v>
      </c>
      <c r="B386" t="s">
        <v>5248</v>
      </c>
      <c r="C386">
        <f>MATCH(A386,mapPRC!A$2:A$1154,0)</f>
        <v>620</v>
      </c>
      <c r="G386" t="s">
        <v>2871</v>
      </c>
      <c r="H386" t="s">
        <v>3548</v>
      </c>
      <c r="I386">
        <f>MATCH(G386,mapPRC!$A$2:$A$1154,0)</f>
        <v>590</v>
      </c>
    </row>
    <row r="387" spans="1:9" x14ac:dyDescent="0.25">
      <c r="A387" t="s">
        <v>885</v>
      </c>
      <c r="B387" t="s">
        <v>5249</v>
      </c>
      <c r="C387">
        <f>MATCH(A387,mapPRC!A$2:A$1154,0)</f>
        <v>622</v>
      </c>
      <c r="G387" t="s">
        <v>2873</v>
      </c>
      <c r="H387" t="s">
        <v>3549</v>
      </c>
      <c r="I387">
        <f>MATCH(G387,mapPRC!$A$2:$A$1154,0)</f>
        <v>591</v>
      </c>
    </row>
    <row r="388" spans="1:9" x14ac:dyDescent="0.25">
      <c r="A388" t="s">
        <v>883</v>
      </c>
      <c r="B388" t="s">
        <v>5250</v>
      </c>
      <c r="C388">
        <f>MATCH(A388,mapPRC!A$2:A$1154,0)</f>
        <v>624</v>
      </c>
      <c r="G388" t="s">
        <v>2875</v>
      </c>
      <c r="H388" t="s">
        <v>3550</v>
      </c>
      <c r="I388">
        <f>MATCH(G388,mapPRC!$A$2:$A$1154,0)</f>
        <v>592</v>
      </c>
    </row>
    <row r="389" spans="1:9" x14ac:dyDescent="0.25">
      <c r="A389" t="s">
        <v>879</v>
      </c>
      <c r="B389" t="s">
        <v>5251</v>
      </c>
      <c r="C389">
        <f>MATCH(A389,mapPRC!A$2:A$1154,0)</f>
        <v>630</v>
      </c>
      <c r="G389" t="s">
        <v>2877</v>
      </c>
      <c r="H389" t="s">
        <v>3551</v>
      </c>
      <c r="I389">
        <f>MATCH(G389,mapPRC!$A$2:$A$1154,0)</f>
        <v>593</v>
      </c>
    </row>
    <row r="390" spans="1:9" x14ac:dyDescent="0.25">
      <c r="A390" t="s">
        <v>877</v>
      </c>
      <c r="B390" t="s">
        <v>5252</v>
      </c>
      <c r="C390">
        <f>MATCH(A390,mapPRC!A$2:A$1154,0)</f>
        <v>631</v>
      </c>
      <c r="G390" t="s">
        <v>2879</v>
      </c>
      <c r="H390" t="s">
        <v>3552</v>
      </c>
      <c r="I390">
        <f>MATCH(G390,mapPRC!$A$2:$A$1154,0)</f>
        <v>594</v>
      </c>
    </row>
    <row r="391" spans="1:9" x14ac:dyDescent="0.25">
      <c r="A391" t="s">
        <v>875</v>
      </c>
      <c r="B391" t="s">
        <v>5253</v>
      </c>
      <c r="C391">
        <f>MATCH(A391,mapPRC!A$2:A$1154,0)</f>
        <v>632</v>
      </c>
      <c r="G391" t="s">
        <v>2881</v>
      </c>
      <c r="H391" t="s">
        <v>3553</v>
      </c>
      <c r="I391">
        <f>MATCH(G391,mapPRC!$A$2:$A$1154,0)</f>
        <v>595</v>
      </c>
    </row>
    <row r="392" spans="1:9" x14ac:dyDescent="0.25">
      <c r="A392" t="s">
        <v>3806</v>
      </c>
      <c r="B392" t="s">
        <v>5254</v>
      </c>
      <c r="C392">
        <f>MATCH(A392,mapPRC!A$2:A$1154,0)</f>
        <v>634</v>
      </c>
      <c r="G392" t="s">
        <v>2883</v>
      </c>
      <c r="H392" t="s">
        <v>3554</v>
      </c>
      <c r="I392">
        <f>MATCH(G392,mapPRC!$A$2:$A$1154,0)</f>
        <v>596</v>
      </c>
    </row>
    <row r="393" spans="1:9" x14ac:dyDescent="0.25">
      <c r="A393" t="s">
        <v>871</v>
      </c>
      <c r="B393" t="s">
        <v>5255</v>
      </c>
      <c r="C393">
        <f>MATCH(A393,mapPRC!A$2:A$1154,0)</f>
        <v>640</v>
      </c>
      <c r="G393" t="s">
        <v>2885</v>
      </c>
      <c r="H393" t="s">
        <v>3555</v>
      </c>
      <c r="I393">
        <f>MATCH(G393,mapPRC!$A$2:$A$1154,0)</f>
        <v>597</v>
      </c>
    </row>
    <row r="394" spans="1:9" x14ac:dyDescent="0.25">
      <c r="A394" t="s">
        <v>869</v>
      </c>
      <c r="B394" t="s">
        <v>5256</v>
      </c>
      <c r="C394">
        <f>MATCH(A394,mapPRC!A$2:A$1154,0)</f>
        <v>641</v>
      </c>
      <c r="G394" t="s">
        <v>2887</v>
      </c>
      <c r="H394" t="s">
        <v>3556</v>
      </c>
      <c r="I394">
        <f>MATCH(G394,mapPRC!$A$2:$A$1154,0)</f>
        <v>598</v>
      </c>
    </row>
    <row r="395" spans="1:9" x14ac:dyDescent="0.25">
      <c r="A395" t="s">
        <v>867</v>
      </c>
      <c r="B395" t="s">
        <v>5257</v>
      </c>
      <c r="C395">
        <f>MATCH(A395,mapPRC!A$2:A$1154,0)</f>
        <v>642</v>
      </c>
      <c r="G395" t="s">
        <v>2889</v>
      </c>
      <c r="H395" t="s">
        <v>3557</v>
      </c>
      <c r="I395">
        <f>MATCH(G395,mapPRC!$A$2:$A$1154,0)</f>
        <v>599</v>
      </c>
    </row>
    <row r="396" spans="1:9" x14ac:dyDescent="0.25">
      <c r="A396" t="s">
        <v>865</v>
      </c>
      <c r="B396" t="s">
        <v>5258</v>
      </c>
      <c r="C396">
        <f>MATCH(A396,mapPRC!A$2:A$1154,0)</f>
        <v>643</v>
      </c>
      <c r="G396" t="s">
        <v>2891</v>
      </c>
      <c r="H396" t="s">
        <v>3558</v>
      </c>
      <c r="I396">
        <f>MATCH(G396,mapPRC!$A$2:$A$1154,0)</f>
        <v>600</v>
      </c>
    </row>
    <row r="397" spans="1:9" x14ac:dyDescent="0.25">
      <c r="A397" t="s">
        <v>863</v>
      </c>
      <c r="B397" t="s">
        <v>5259</v>
      </c>
      <c r="C397">
        <f>MATCH(A397,mapPRC!A$2:A$1154,0)</f>
        <v>644</v>
      </c>
      <c r="G397" t="s">
        <v>2893</v>
      </c>
      <c r="H397" t="s">
        <v>3559</v>
      </c>
      <c r="I397">
        <f>MATCH(G397,mapPRC!$A$2:$A$1154,0)</f>
        <v>601</v>
      </c>
    </row>
    <row r="398" spans="1:9" x14ac:dyDescent="0.25">
      <c r="A398" t="s">
        <v>861</v>
      </c>
      <c r="B398" t="s">
        <v>5260</v>
      </c>
      <c r="C398">
        <f>MATCH(A398,mapPRC!A$2:A$1154,0)</f>
        <v>645</v>
      </c>
      <c r="G398" t="s">
        <v>2895</v>
      </c>
      <c r="H398" t="s">
        <v>3560</v>
      </c>
      <c r="I398">
        <f>MATCH(G398,mapPRC!$A$2:$A$1154,0)</f>
        <v>602</v>
      </c>
    </row>
    <row r="399" spans="1:9" x14ac:dyDescent="0.25">
      <c r="A399" t="s">
        <v>3802</v>
      </c>
      <c r="B399" t="s">
        <v>3804</v>
      </c>
      <c r="C399">
        <f>MATCH(A399,mapPRC!A$2:A$1154,0)</f>
        <v>648</v>
      </c>
      <c r="G399" t="s">
        <v>2897</v>
      </c>
      <c r="H399" t="s">
        <v>3561</v>
      </c>
      <c r="I399">
        <f>MATCH(G399,mapPRC!$A$2:$A$1154,0)</f>
        <v>603</v>
      </c>
    </row>
    <row r="400" spans="1:9" x14ac:dyDescent="0.25">
      <c r="A400" t="s">
        <v>3803</v>
      </c>
      <c r="B400" t="s">
        <v>3805</v>
      </c>
      <c r="C400">
        <f>MATCH(A400,mapPRC!A$2:A$1154,0)</f>
        <v>649</v>
      </c>
      <c r="G400" t="s">
        <v>2899</v>
      </c>
      <c r="H400" t="s">
        <v>3562</v>
      </c>
      <c r="I400">
        <f>MATCH(G400,mapPRC!$A$2:$A$1154,0)</f>
        <v>604</v>
      </c>
    </row>
    <row r="401" spans="1:9" x14ac:dyDescent="0.25">
      <c r="A401" t="s">
        <v>858</v>
      </c>
      <c r="B401" t="s">
        <v>5261</v>
      </c>
      <c r="C401">
        <f>MATCH(A401,mapPRC!A$2:A$1154,0)</f>
        <v>650</v>
      </c>
      <c r="G401" t="s">
        <v>2901</v>
      </c>
      <c r="H401" t="s">
        <v>3563</v>
      </c>
      <c r="I401">
        <f>MATCH(G401,mapPRC!$A$2:$A$1154,0)</f>
        <v>605</v>
      </c>
    </row>
    <row r="402" spans="1:9" x14ac:dyDescent="0.25">
      <c r="A402" t="s">
        <v>857</v>
      </c>
      <c r="B402" t="s">
        <v>5262</v>
      </c>
      <c r="C402">
        <f>MATCH(A402,mapPRC!A$2:A$1154,0)</f>
        <v>651</v>
      </c>
      <c r="G402" t="s">
        <v>3061</v>
      </c>
      <c r="H402" t="s">
        <v>3062</v>
      </c>
      <c r="I402">
        <f>MATCH(G402,mapPRC!$A$2:$A$1154,0)</f>
        <v>606</v>
      </c>
    </row>
    <row r="403" spans="1:9" x14ac:dyDescent="0.25">
      <c r="A403" t="s">
        <v>856</v>
      </c>
      <c r="B403" t="s">
        <v>5263</v>
      </c>
      <c r="C403">
        <f>MATCH(A403,mapPRC!A$2:A$1154,0)</f>
        <v>652</v>
      </c>
      <c r="G403" t="s">
        <v>915</v>
      </c>
      <c r="H403" t="s">
        <v>914</v>
      </c>
      <c r="I403">
        <f>MATCH(G403,mapPRC!$A$2:$A$1154,0)</f>
        <v>607</v>
      </c>
    </row>
    <row r="404" spans="1:9" x14ac:dyDescent="0.25">
      <c r="A404" t="s">
        <v>855</v>
      </c>
      <c r="B404" t="s">
        <v>5264</v>
      </c>
      <c r="C404">
        <f>MATCH(A404,mapPRC!A$2:A$1154,0)</f>
        <v>653</v>
      </c>
      <c r="G404" t="s">
        <v>913</v>
      </c>
      <c r="H404" t="s">
        <v>912</v>
      </c>
      <c r="I404">
        <f>MATCH(G404,mapPRC!$A$2:$A$1154,0)</f>
        <v>608</v>
      </c>
    </row>
    <row r="405" spans="1:9" x14ac:dyDescent="0.25">
      <c r="A405" t="s">
        <v>854</v>
      </c>
      <c r="B405" t="s">
        <v>5265</v>
      </c>
      <c r="C405">
        <f>MATCH(A405,mapPRC!A$2:A$1154,0)</f>
        <v>654</v>
      </c>
      <c r="G405" t="s">
        <v>911</v>
      </c>
      <c r="H405" t="s">
        <v>910</v>
      </c>
      <c r="I405">
        <f>MATCH(G405,mapPRC!$A$2:$A$1154,0)</f>
        <v>609</v>
      </c>
    </row>
    <row r="406" spans="1:9" x14ac:dyDescent="0.25">
      <c r="A406" t="s">
        <v>853</v>
      </c>
      <c r="B406" t="s">
        <v>5266</v>
      </c>
      <c r="C406">
        <f>MATCH(A406,mapPRC!A$2:A$1154,0)</f>
        <v>655</v>
      </c>
      <c r="G406" t="s">
        <v>908</v>
      </c>
      <c r="H406" t="s">
        <v>907</v>
      </c>
      <c r="I406">
        <f>MATCH(G406,mapPRC!$A$2:$A$1154,0)</f>
        <v>610</v>
      </c>
    </row>
    <row r="407" spans="1:9" x14ac:dyDescent="0.25">
      <c r="A407" t="s">
        <v>851</v>
      </c>
      <c r="B407" t="s">
        <v>5267</v>
      </c>
      <c r="C407">
        <f>MATCH(A407,mapPRC!A$2:A$1154,0)</f>
        <v>656</v>
      </c>
      <c r="G407" t="s">
        <v>905</v>
      </c>
      <c r="H407" t="s">
        <v>904</v>
      </c>
      <c r="I407">
        <f>MATCH(G407,mapPRC!$A$2:$A$1154,0)</f>
        <v>611</v>
      </c>
    </row>
    <row r="408" spans="1:9" x14ac:dyDescent="0.25">
      <c r="A408" t="s">
        <v>850</v>
      </c>
      <c r="B408" t="s">
        <v>5268</v>
      </c>
      <c r="C408">
        <f>MATCH(A408,mapPRC!A$2:A$1154,0)</f>
        <v>657</v>
      </c>
      <c r="G408" t="s">
        <v>903</v>
      </c>
      <c r="H408" t="s">
        <v>902</v>
      </c>
      <c r="I408">
        <f>MATCH(G408,mapPRC!$A$2:$A$1154,0)</f>
        <v>612</v>
      </c>
    </row>
    <row r="409" spans="1:9" x14ac:dyDescent="0.25">
      <c r="A409" t="s">
        <v>849</v>
      </c>
      <c r="B409" t="s">
        <v>5269</v>
      </c>
      <c r="C409">
        <f>MATCH(A409,mapPRC!A$2:A$1154,0)</f>
        <v>658</v>
      </c>
      <c r="G409" t="s">
        <v>901</v>
      </c>
      <c r="H409" t="s">
        <v>900</v>
      </c>
      <c r="I409">
        <f>MATCH(G409,mapPRC!$A$2:$A$1154,0)</f>
        <v>613</v>
      </c>
    </row>
    <row r="410" spans="1:9" x14ac:dyDescent="0.25">
      <c r="A410" t="s">
        <v>848</v>
      </c>
      <c r="B410" t="s">
        <v>5270</v>
      </c>
      <c r="C410">
        <f>MATCH(A410,mapPRC!A$2:A$1154,0)</f>
        <v>659</v>
      </c>
      <c r="G410" t="s">
        <v>899</v>
      </c>
      <c r="H410" t="s">
        <v>898</v>
      </c>
      <c r="I410">
        <f>MATCH(G410,mapPRC!$A$2:$A$1154,0)</f>
        <v>614</v>
      </c>
    </row>
    <row r="411" spans="1:9" x14ac:dyDescent="0.25">
      <c r="A411" t="s">
        <v>847</v>
      </c>
      <c r="B411" t="s">
        <v>5271</v>
      </c>
      <c r="C411">
        <f>MATCH(A411,mapPRC!A$2:A$1154,0)</f>
        <v>660</v>
      </c>
      <c r="G411" t="s">
        <v>897</v>
      </c>
      <c r="H411" t="s">
        <v>896</v>
      </c>
      <c r="I411">
        <f>MATCH(G411,mapPRC!$A$2:$A$1154,0)</f>
        <v>615</v>
      </c>
    </row>
    <row r="412" spans="1:9" x14ac:dyDescent="0.25">
      <c r="A412" t="s">
        <v>845</v>
      </c>
      <c r="B412" t="s">
        <v>5272</v>
      </c>
      <c r="C412">
        <f>MATCH(A412,mapPRC!A$2:A$1154,0)</f>
        <v>661</v>
      </c>
      <c r="G412" t="s">
        <v>895</v>
      </c>
      <c r="H412" t="s">
        <v>894</v>
      </c>
      <c r="I412">
        <f>MATCH(G412,mapPRC!$A$2:$A$1154,0)</f>
        <v>616</v>
      </c>
    </row>
    <row r="413" spans="1:9" x14ac:dyDescent="0.25">
      <c r="A413" t="s">
        <v>841</v>
      </c>
      <c r="B413" t="s">
        <v>5273</v>
      </c>
      <c r="C413">
        <f>MATCH(A413,mapPRC!A$2:A$1154,0)</f>
        <v>663</v>
      </c>
      <c r="G413" t="s">
        <v>893</v>
      </c>
      <c r="H413" t="s">
        <v>892</v>
      </c>
      <c r="I413">
        <f>MATCH(G413,mapPRC!$A$2:$A$1154,0)</f>
        <v>617</v>
      </c>
    </row>
    <row r="414" spans="1:9" x14ac:dyDescent="0.25">
      <c r="A414" t="s">
        <v>839</v>
      </c>
      <c r="B414" t="s">
        <v>5274</v>
      </c>
      <c r="C414">
        <f>MATCH(A414,mapPRC!A$2:A$1154,0)</f>
        <v>664</v>
      </c>
      <c r="G414" t="s">
        <v>891</v>
      </c>
      <c r="H414" t="s">
        <v>890</v>
      </c>
      <c r="I414">
        <f>MATCH(G414,mapPRC!$A$2:$A$1154,0)</f>
        <v>619</v>
      </c>
    </row>
    <row r="415" spans="1:9" x14ac:dyDescent="0.25">
      <c r="A415" t="s">
        <v>837</v>
      </c>
      <c r="B415" t="s">
        <v>5275</v>
      </c>
      <c r="C415">
        <f>MATCH(A415,mapPRC!A$2:A$1154,0)</f>
        <v>665</v>
      </c>
      <c r="G415" t="s">
        <v>889</v>
      </c>
      <c r="H415" t="s">
        <v>888</v>
      </c>
      <c r="I415">
        <f>MATCH(G415,mapPRC!$A$2:$A$1154,0)</f>
        <v>620</v>
      </c>
    </row>
    <row r="416" spans="1:9" x14ac:dyDescent="0.25">
      <c r="A416" t="s">
        <v>836</v>
      </c>
      <c r="B416" t="s">
        <v>5276</v>
      </c>
      <c r="C416">
        <f>MATCH(A416,mapPRC!A$2:A$1154,0)</f>
        <v>666</v>
      </c>
      <c r="G416" t="s">
        <v>887</v>
      </c>
      <c r="H416" t="s">
        <v>886</v>
      </c>
      <c r="I416">
        <f>MATCH(G416,mapPRC!$A$2:$A$1154,0)</f>
        <v>621</v>
      </c>
    </row>
    <row r="417" spans="1:9" x14ac:dyDescent="0.25">
      <c r="A417" t="s">
        <v>835</v>
      </c>
      <c r="B417" t="s">
        <v>5277</v>
      </c>
      <c r="C417">
        <f>MATCH(A417,mapPRC!A$2:A$1154,0)</f>
        <v>667</v>
      </c>
      <c r="G417" t="s">
        <v>885</v>
      </c>
      <c r="H417" t="s">
        <v>884</v>
      </c>
      <c r="I417">
        <f>MATCH(G417,mapPRC!$A$2:$A$1154,0)</f>
        <v>622</v>
      </c>
    </row>
    <row r="418" spans="1:9" x14ac:dyDescent="0.25">
      <c r="A418" t="s">
        <v>829</v>
      </c>
      <c r="B418" t="s">
        <v>5278</v>
      </c>
      <c r="C418">
        <f>MATCH(A418,mapPRC!A$2:A$1154,0)</f>
        <v>671</v>
      </c>
      <c r="G418" t="s">
        <v>883</v>
      </c>
      <c r="H418" t="s">
        <v>882</v>
      </c>
      <c r="I418">
        <f>MATCH(G418,mapPRC!$A$2:$A$1154,0)</f>
        <v>624</v>
      </c>
    </row>
    <row r="419" spans="1:9" x14ac:dyDescent="0.25">
      <c r="A419" t="s">
        <v>828</v>
      </c>
      <c r="B419" t="s">
        <v>5279</v>
      </c>
      <c r="C419">
        <f>MATCH(A419,mapPRC!A$2:A$1154,0)</f>
        <v>672</v>
      </c>
      <c r="G419" t="s">
        <v>879</v>
      </c>
      <c r="H419" t="s">
        <v>878</v>
      </c>
      <c r="I419">
        <f>MATCH(G419,mapPRC!$A$2:$A$1154,0)</f>
        <v>630</v>
      </c>
    </row>
    <row r="420" spans="1:9" x14ac:dyDescent="0.25">
      <c r="A420" t="s">
        <v>827</v>
      </c>
      <c r="B420" t="s">
        <v>5280</v>
      </c>
      <c r="C420">
        <f>MATCH(A420,mapPRC!A$2:A$1154,0)</f>
        <v>673</v>
      </c>
      <c r="G420" t="s">
        <v>877</v>
      </c>
      <c r="H420" t="s">
        <v>876</v>
      </c>
      <c r="I420">
        <f>MATCH(G420,mapPRC!$A$2:$A$1154,0)</f>
        <v>631</v>
      </c>
    </row>
    <row r="421" spans="1:9" x14ac:dyDescent="0.25">
      <c r="A421" t="s">
        <v>826</v>
      </c>
      <c r="B421" t="s">
        <v>5281</v>
      </c>
      <c r="C421">
        <f>MATCH(A421,mapPRC!A$2:A$1154,0)</f>
        <v>674</v>
      </c>
      <c r="G421" t="s">
        <v>875</v>
      </c>
      <c r="H421" t="s">
        <v>874</v>
      </c>
      <c r="I421">
        <f>MATCH(G421,mapPRC!$A$2:$A$1154,0)</f>
        <v>632</v>
      </c>
    </row>
    <row r="422" spans="1:9" x14ac:dyDescent="0.25">
      <c r="A422" t="s">
        <v>825</v>
      </c>
      <c r="B422" t="s">
        <v>5282</v>
      </c>
      <c r="C422">
        <f>MATCH(A422,mapPRC!A$2:A$1154,0)</f>
        <v>675</v>
      </c>
      <c r="G422" t="s">
        <v>3572</v>
      </c>
      <c r="H422" t="s">
        <v>3573</v>
      </c>
      <c r="I422">
        <f>MATCH(G422,mapPRC!$A$2:$A$1154,0)</f>
        <v>638</v>
      </c>
    </row>
    <row r="423" spans="1:9" x14ac:dyDescent="0.25">
      <c r="A423" t="s">
        <v>823</v>
      </c>
      <c r="B423" t="s">
        <v>5283</v>
      </c>
      <c r="C423">
        <f>MATCH(A423,mapPRC!A$2:A$1154,0)</f>
        <v>676</v>
      </c>
      <c r="G423" t="s">
        <v>871</v>
      </c>
      <c r="H423" t="s">
        <v>870</v>
      </c>
      <c r="I423">
        <f>MATCH(G423,mapPRC!$A$2:$A$1154,0)</f>
        <v>640</v>
      </c>
    </row>
    <row r="424" spans="1:9" x14ac:dyDescent="0.25">
      <c r="A424" t="s">
        <v>821</v>
      </c>
      <c r="B424" t="s">
        <v>5284</v>
      </c>
      <c r="C424">
        <f>MATCH(A424,mapPRC!A$2:A$1154,0)</f>
        <v>677</v>
      </c>
      <c r="G424" t="s">
        <v>869</v>
      </c>
      <c r="H424" t="s">
        <v>868</v>
      </c>
      <c r="I424">
        <f>MATCH(G424,mapPRC!$A$2:$A$1154,0)</f>
        <v>641</v>
      </c>
    </row>
    <row r="425" spans="1:9" x14ac:dyDescent="0.25">
      <c r="A425" t="s">
        <v>819</v>
      </c>
      <c r="B425" t="s">
        <v>5285</v>
      </c>
      <c r="C425">
        <f>MATCH(A425,mapPRC!A$2:A$1154,0)</f>
        <v>678</v>
      </c>
      <c r="G425" t="s">
        <v>867</v>
      </c>
      <c r="H425" t="s">
        <v>866</v>
      </c>
      <c r="I425">
        <f>MATCH(G425,mapPRC!$A$2:$A$1154,0)</f>
        <v>642</v>
      </c>
    </row>
    <row r="426" spans="1:9" x14ac:dyDescent="0.25">
      <c r="A426" t="s">
        <v>816</v>
      </c>
      <c r="B426" t="s">
        <v>5286</v>
      </c>
      <c r="C426">
        <f>MATCH(A426,mapPRC!A$2:A$1154,0)</f>
        <v>680</v>
      </c>
      <c r="G426" t="s">
        <v>865</v>
      </c>
      <c r="H426" t="s">
        <v>864</v>
      </c>
      <c r="I426">
        <f>MATCH(G426,mapPRC!$A$2:$A$1154,0)</f>
        <v>643</v>
      </c>
    </row>
    <row r="427" spans="1:9" x14ac:dyDescent="0.25">
      <c r="A427" t="s">
        <v>815</v>
      </c>
      <c r="B427" t="s">
        <v>5287</v>
      </c>
      <c r="C427">
        <f>MATCH(A427,mapPRC!A$2:A$1154,0)</f>
        <v>681</v>
      </c>
      <c r="D427">
        <v>1</v>
      </c>
      <c r="G427" t="s">
        <v>863</v>
      </c>
      <c r="H427" t="s">
        <v>862</v>
      </c>
      <c r="I427">
        <f>MATCH(G427,mapPRC!$A$2:$A$1154,0)</f>
        <v>644</v>
      </c>
    </row>
    <row r="428" spans="1:9" x14ac:dyDescent="0.25">
      <c r="A428" t="s">
        <v>813</v>
      </c>
      <c r="B428" t="s">
        <v>5288</v>
      </c>
      <c r="C428">
        <f>MATCH(A428,mapPRC!A$2:A$1154,0)</f>
        <v>682</v>
      </c>
      <c r="G428" t="s">
        <v>861</v>
      </c>
      <c r="H428" t="s">
        <v>860</v>
      </c>
      <c r="I428">
        <f>MATCH(G428,mapPRC!$A$2:$A$1154,0)</f>
        <v>645</v>
      </c>
    </row>
    <row r="429" spans="1:9" x14ac:dyDescent="0.25">
      <c r="A429" t="s">
        <v>5289</v>
      </c>
      <c r="B429" t="s">
        <v>5290</v>
      </c>
      <c r="C429">
        <f>MATCH(A429,mapPRC!A$2:A$1154,0)</f>
        <v>683</v>
      </c>
      <c r="G429" t="s">
        <v>858</v>
      </c>
      <c r="H429" t="s">
        <v>852</v>
      </c>
      <c r="I429">
        <f>MATCH(G429,mapPRC!$A$2:$A$1154,0)</f>
        <v>650</v>
      </c>
    </row>
    <row r="430" spans="1:9" x14ac:dyDescent="0.25">
      <c r="A430" t="s">
        <v>809</v>
      </c>
      <c r="B430" t="s">
        <v>5291</v>
      </c>
      <c r="C430">
        <f>MATCH(A430,mapPRC!A$2:A$1154,0)</f>
        <v>685</v>
      </c>
      <c r="G430" t="s">
        <v>857</v>
      </c>
      <c r="H430" t="s">
        <v>852</v>
      </c>
      <c r="I430">
        <f>MATCH(G430,mapPRC!$A$2:$A$1154,0)</f>
        <v>651</v>
      </c>
    </row>
    <row r="431" spans="1:9" x14ac:dyDescent="0.25">
      <c r="A431" t="s">
        <v>807</v>
      </c>
      <c r="B431" t="s">
        <v>5292</v>
      </c>
      <c r="C431">
        <f>MATCH(A431,mapPRC!A$2:A$1154,0)</f>
        <v>686</v>
      </c>
      <c r="G431" t="s">
        <v>856</v>
      </c>
      <c r="H431" t="s">
        <v>852</v>
      </c>
      <c r="I431">
        <f>MATCH(G431,mapPRC!$A$2:$A$1154,0)</f>
        <v>652</v>
      </c>
    </row>
    <row r="432" spans="1:9" x14ac:dyDescent="0.25">
      <c r="A432" t="s">
        <v>805</v>
      </c>
      <c r="B432" t="s">
        <v>5293</v>
      </c>
      <c r="C432">
        <f>MATCH(A432,mapPRC!A$2:A$1154,0)</f>
        <v>687</v>
      </c>
      <c r="G432" t="s">
        <v>855</v>
      </c>
      <c r="H432" t="s">
        <v>852</v>
      </c>
      <c r="I432">
        <f>MATCH(G432,mapPRC!$A$2:$A$1154,0)</f>
        <v>653</v>
      </c>
    </row>
    <row r="433" spans="1:9" x14ac:dyDescent="0.25">
      <c r="A433" t="s">
        <v>804</v>
      </c>
      <c r="B433" t="s">
        <v>5294</v>
      </c>
      <c r="C433">
        <f>MATCH(A433,mapPRC!A$2:A$1154,0)</f>
        <v>688</v>
      </c>
      <c r="G433" t="s">
        <v>854</v>
      </c>
      <c r="H433" t="s">
        <v>852</v>
      </c>
      <c r="I433">
        <f>MATCH(G433,mapPRC!$A$2:$A$1154,0)</f>
        <v>654</v>
      </c>
    </row>
    <row r="434" spans="1:9" x14ac:dyDescent="0.25">
      <c r="A434" t="s">
        <v>802</v>
      </c>
      <c r="B434" t="s">
        <v>5295</v>
      </c>
      <c r="C434">
        <f>MATCH(A434,mapPRC!A$2:A$1154,0)</f>
        <v>690</v>
      </c>
      <c r="G434" t="s">
        <v>853</v>
      </c>
      <c r="H434" t="s">
        <v>852</v>
      </c>
      <c r="I434">
        <f>MATCH(G434,mapPRC!$A$2:$A$1154,0)</f>
        <v>655</v>
      </c>
    </row>
    <row r="435" spans="1:9" x14ac:dyDescent="0.25">
      <c r="A435" t="s">
        <v>800</v>
      </c>
      <c r="B435" t="s">
        <v>5296</v>
      </c>
      <c r="C435">
        <f>MATCH(A435,mapPRC!A$2:A$1154,0)</f>
        <v>692</v>
      </c>
      <c r="G435" t="s">
        <v>851</v>
      </c>
      <c r="H435" t="s">
        <v>846</v>
      </c>
      <c r="I435">
        <f>MATCH(G435,mapPRC!$A$2:$A$1154,0)</f>
        <v>656</v>
      </c>
    </row>
    <row r="436" spans="1:9" x14ac:dyDescent="0.25">
      <c r="A436" t="s">
        <v>799</v>
      </c>
      <c r="B436" t="s">
        <v>5297</v>
      </c>
      <c r="C436">
        <f>MATCH(A436,mapPRC!A$2:A$1154,0)</f>
        <v>693</v>
      </c>
      <c r="G436" t="s">
        <v>850</v>
      </c>
      <c r="H436" t="s">
        <v>846</v>
      </c>
      <c r="I436">
        <f>MATCH(G436,mapPRC!$A$2:$A$1154,0)</f>
        <v>657</v>
      </c>
    </row>
    <row r="437" spans="1:9" x14ac:dyDescent="0.25">
      <c r="A437" t="s">
        <v>777</v>
      </c>
      <c r="B437" t="s">
        <v>5298</v>
      </c>
      <c r="C437">
        <f>MATCH(A437,mapPRC!A$2:A$1154,0)</f>
        <v>708</v>
      </c>
      <c r="G437" t="s">
        <v>849</v>
      </c>
      <c r="H437" t="s">
        <v>846</v>
      </c>
      <c r="I437">
        <f>MATCH(G437,mapPRC!$A$2:$A$1154,0)</f>
        <v>658</v>
      </c>
    </row>
    <row r="438" spans="1:9" x14ac:dyDescent="0.25">
      <c r="A438" t="s">
        <v>776</v>
      </c>
      <c r="B438" t="s">
        <v>5299</v>
      </c>
      <c r="C438">
        <f>MATCH(A438,mapPRC!A$2:A$1154,0)</f>
        <v>709</v>
      </c>
      <c r="G438" t="s">
        <v>848</v>
      </c>
      <c r="H438" t="s">
        <v>846</v>
      </c>
      <c r="I438">
        <f>MATCH(G438,mapPRC!$A$2:$A$1154,0)</f>
        <v>659</v>
      </c>
    </row>
    <row r="439" spans="1:9" x14ac:dyDescent="0.25">
      <c r="A439" t="s">
        <v>775</v>
      </c>
      <c r="B439" t="s">
        <v>5300</v>
      </c>
      <c r="C439">
        <f>MATCH(A439,mapPRC!A$2:A$1154,0)</f>
        <v>710</v>
      </c>
      <c r="G439" t="s">
        <v>847</v>
      </c>
      <c r="H439" t="s">
        <v>846</v>
      </c>
      <c r="I439">
        <f>MATCH(G439,mapPRC!$A$2:$A$1154,0)</f>
        <v>660</v>
      </c>
    </row>
    <row r="440" spans="1:9" x14ac:dyDescent="0.25">
      <c r="A440" t="s">
        <v>774</v>
      </c>
      <c r="B440" t="s">
        <v>5301</v>
      </c>
      <c r="C440">
        <f>MATCH(A440,mapPRC!A$2:A$1154,0)</f>
        <v>711</v>
      </c>
      <c r="G440" t="s">
        <v>845</v>
      </c>
      <c r="H440" t="s">
        <v>844</v>
      </c>
      <c r="I440">
        <f>MATCH(G440,mapPRC!$A$2:$A$1154,0)</f>
        <v>661</v>
      </c>
    </row>
    <row r="441" spans="1:9" x14ac:dyDescent="0.25">
      <c r="A441" t="s">
        <v>773</v>
      </c>
      <c r="B441" t="s">
        <v>5302</v>
      </c>
      <c r="C441">
        <f>MATCH(A441,mapPRC!A$2:A$1154,0)</f>
        <v>712</v>
      </c>
      <c r="G441" t="s">
        <v>841</v>
      </c>
      <c r="H441" t="s">
        <v>840</v>
      </c>
      <c r="I441">
        <f>MATCH(G441,mapPRC!$A$2:$A$1154,0)</f>
        <v>663</v>
      </c>
    </row>
    <row r="442" spans="1:9" x14ac:dyDescent="0.25">
      <c r="A442" t="s">
        <v>772</v>
      </c>
      <c r="B442" t="s">
        <v>5303</v>
      </c>
      <c r="C442">
        <f>MATCH(A442,mapPRC!A$2:A$1154,0)</f>
        <v>713</v>
      </c>
      <c r="G442" t="s">
        <v>839</v>
      </c>
      <c r="H442" t="s">
        <v>838</v>
      </c>
      <c r="I442">
        <f>MATCH(G442,mapPRC!$A$2:$A$1154,0)</f>
        <v>664</v>
      </c>
    </row>
    <row r="443" spans="1:9" x14ac:dyDescent="0.25">
      <c r="A443" t="s">
        <v>770</v>
      </c>
      <c r="B443" t="s">
        <v>5304</v>
      </c>
      <c r="C443">
        <f>MATCH(A443,mapPRC!A$2:A$1154,0)</f>
        <v>714</v>
      </c>
      <c r="G443" t="s">
        <v>837</v>
      </c>
      <c r="H443" t="s">
        <v>831</v>
      </c>
      <c r="I443">
        <f>MATCH(G443,mapPRC!$A$2:$A$1154,0)</f>
        <v>665</v>
      </c>
    </row>
    <row r="444" spans="1:9" x14ac:dyDescent="0.25">
      <c r="A444" t="s">
        <v>769</v>
      </c>
      <c r="B444" t="s">
        <v>5305</v>
      </c>
      <c r="C444">
        <f>MATCH(A444,mapPRC!A$2:A$1154,0)</f>
        <v>715</v>
      </c>
      <c r="G444" t="s">
        <v>836</v>
      </c>
      <c r="H444" t="s">
        <v>831</v>
      </c>
      <c r="I444">
        <f>MATCH(G444,mapPRC!$A$2:$A$1154,0)</f>
        <v>666</v>
      </c>
    </row>
    <row r="445" spans="1:9" x14ac:dyDescent="0.25">
      <c r="A445" t="s">
        <v>768</v>
      </c>
      <c r="B445" t="s">
        <v>5306</v>
      </c>
      <c r="C445">
        <f>MATCH(A445,mapPRC!A$2:A$1154,0)</f>
        <v>716</v>
      </c>
      <c r="G445" t="s">
        <v>835</v>
      </c>
      <c r="H445" t="s">
        <v>831</v>
      </c>
      <c r="I445">
        <f>MATCH(G445,mapPRC!$A$2:$A$1154,0)</f>
        <v>667</v>
      </c>
    </row>
    <row r="446" spans="1:9" x14ac:dyDescent="0.25">
      <c r="A446" t="s">
        <v>767</v>
      </c>
      <c r="B446" t="s">
        <v>5307</v>
      </c>
      <c r="C446">
        <f>MATCH(A446,mapPRC!A$2:A$1154,0)</f>
        <v>717</v>
      </c>
      <c r="G446" t="s">
        <v>834</v>
      </c>
      <c r="H446" t="s">
        <v>831</v>
      </c>
      <c r="I446">
        <f>MATCH(G446,mapPRC!$A$2:$A$1154,0)</f>
        <v>668</v>
      </c>
    </row>
    <row r="447" spans="1:9" x14ac:dyDescent="0.25">
      <c r="A447" t="s">
        <v>766</v>
      </c>
      <c r="B447" t="s">
        <v>5308</v>
      </c>
      <c r="C447">
        <f>MATCH(A447,mapPRC!A$2:A$1154,0)</f>
        <v>718</v>
      </c>
      <c r="G447" t="s">
        <v>833</v>
      </c>
      <c r="H447" t="s">
        <v>831</v>
      </c>
      <c r="I447">
        <f>MATCH(G447,mapPRC!$A$2:$A$1154,0)</f>
        <v>669</v>
      </c>
    </row>
    <row r="448" spans="1:9" x14ac:dyDescent="0.25">
      <c r="A448" t="s">
        <v>765</v>
      </c>
      <c r="B448" t="s">
        <v>5309</v>
      </c>
      <c r="C448">
        <f>MATCH(A448,mapPRC!A$2:A$1154,0)</f>
        <v>719</v>
      </c>
      <c r="D448">
        <v>1</v>
      </c>
      <c r="G448" t="s">
        <v>832</v>
      </c>
      <c r="H448" t="s">
        <v>831</v>
      </c>
      <c r="I448">
        <f>MATCH(G448,mapPRC!$A$2:$A$1154,0)</f>
        <v>670</v>
      </c>
    </row>
    <row r="449" spans="1:9" x14ac:dyDescent="0.25">
      <c r="A449" t="s">
        <v>763</v>
      </c>
      <c r="B449" t="s">
        <v>5310</v>
      </c>
      <c r="C449">
        <f>MATCH(A449,mapPRC!A$2:A$1154,0)</f>
        <v>720</v>
      </c>
      <c r="G449" t="s">
        <v>829</v>
      </c>
      <c r="H449" t="s">
        <v>824</v>
      </c>
      <c r="I449">
        <f>MATCH(G449,mapPRC!$A$2:$A$1154,0)</f>
        <v>671</v>
      </c>
    </row>
    <row r="450" spans="1:9" x14ac:dyDescent="0.25">
      <c r="A450" t="s">
        <v>5311</v>
      </c>
      <c r="B450" t="s">
        <v>5312</v>
      </c>
      <c r="C450">
        <f>MATCH(A450,mapPRC!A$2:A$1154,0)</f>
        <v>721</v>
      </c>
      <c r="G450" t="s">
        <v>828</v>
      </c>
      <c r="H450" t="s">
        <v>824</v>
      </c>
      <c r="I450">
        <f>MATCH(G450,mapPRC!$A$2:$A$1154,0)</f>
        <v>672</v>
      </c>
    </row>
    <row r="451" spans="1:9" x14ac:dyDescent="0.25">
      <c r="A451" t="s">
        <v>760</v>
      </c>
      <c r="B451" t="s">
        <v>5313</v>
      </c>
      <c r="C451">
        <f>MATCH(A451,mapPRC!A$2:A$1154,0)</f>
        <v>723</v>
      </c>
      <c r="G451" t="s">
        <v>827</v>
      </c>
      <c r="H451" t="s">
        <v>824</v>
      </c>
      <c r="I451">
        <f>MATCH(G451,mapPRC!$A$2:$A$1154,0)</f>
        <v>673</v>
      </c>
    </row>
    <row r="452" spans="1:9" x14ac:dyDescent="0.25">
      <c r="A452" t="s">
        <v>758</v>
      </c>
      <c r="B452" t="s">
        <v>5314</v>
      </c>
      <c r="C452">
        <f>MATCH(A452,mapPRC!A$2:A$1154,0)</f>
        <v>724</v>
      </c>
      <c r="G452" t="s">
        <v>826</v>
      </c>
      <c r="H452" t="s">
        <v>824</v>
      </c>
      <c r="I452">
        <f>MATCH(G452,mapPRC!$A$2:$A$1154,0)</f>
        <v>674</v>
      </c>
    </row>
    <row r="453" spans="1:9" x14ac:dyDescent="0.25">
      <c r="A453" t="s">
        <v>755</v>
      </c>
      <c r="B453" t="s">
        <v>5315</v>
      </c>
      <c r="C453">
        <f>MATCH(A453,mapPRC!A$2:A$1154,0)</f>
        <v>725</v>
      </c>
      <c r="G453" t="s">
        <v>825</v>
      </c>
      <c r="H453" t="s">
        <v>824</v>
      </c>
      <c r="I453">
        <f>MATCH(G453,mapPRC!$A$2:$A$1154,0)</f>
        <v>675</v>
      </c>
    </row>
    <row r="454" spans="1:9" x14ac:dyDescent="0.25">
      <c r="A454" t="s">
        <v>754</v>
      </c>
      <c r="B454" t="s">
        <v>5316</v>
      </c>
      <c r="C454">
        <f>MATCH(A454,mapPRC!A$2:A$1154,0)</f>
        <v>726</v>
      </c>
      <c r="G454" t="s">
        <v>823</v>
      </c>
      <c r="H454" t="s">
        <v>822</v>
      </c>
      <c r="I454">
        <f>MATCH(G454,mapPRC!$A$2:$A$1154,0)</f>
        <v>676</v>
      </c>
    </row>
    <row r="455" spans="1:9" x14ac:dyDescent="0.25">
      <c r="A455" t="s">
        <v>752</v>
      </c>
      <c r="B455" t="s">
        <v>5317</v>
      </c>
      <c r="C455">
        <f>MATCH(A455,mapPRC!A$2:A$1154,0)</f>
        <v>728</v>
      </c>
      <c r="G455" t="s">
        <v>821</v>
      </c>
      <c r="H455" t="s">
        <v>820</v>
      </c>
      <c r="I455">
        <f>MATCH(G455,mapPRC!$A$2:$A$1154,0)</f>
        <v>677</v>
      </c>
    </row>
    <row r="456" spans="1:9" x14ac:dyDescent="0.25">
      <c r="A456" t="s">
        <v>751</v>
      </c>
      <c r="B456" t="s">
        <v>5318</v>
      </c>
      <c r="C456">
        <f>MATCH(A456,mapPRC!A$2:A$1154,0)</f>
        <v>729</v>
      </c>
      <c r="G456" t="s">
        <v>819</v>
      </c>
      <c r="H456" t="s">
        <v>817</v>
      </c>
      <c r="I456">
        <f>MATCH(G456,mapPRC!$A$2:$A$1154,0)</f>
        <v>678</v>
      </c>
    </row>
    <row r="457" spans="1:9" x14ac:dyDescent="0.25">
      <c r="A457" t="s">
        <v>750</v>
      </c>
      <c r="B457" t="s">
        <v>5319</v>
      </c>
      <c r="C457">
        <f>MATCH(A457,mapPRC!A$2:A$1154,0)</f>
        <v>730</v>
      </c>
      <c r="G457" t="s">
        <v>818</v>
      </c>
      <c r="H457" t="s">
        <v>817</v>
      </c>
      <c r="I457">
        <f>MATCH(G457,mapPRC!$A$2:$A$1154,0)</f>
        <v>679</v>
      </c>
    </row>
    <row r="458" spans="1:9" x14ac:dyDescent="0.25">
      <c r="A458" t="s">
        <v>749</v>
      </c>
      <c r="B458" t="s">
        <v>5320</v>
      </c>
      <c r="C458">
        <f>MATCH(A458,mapPRC!A$2:A$1154,0)</f>
        <v>731</v>
      </c>
      <c r="G458" t="s">
        <v>816</v>
      </c>
      <c r="H458" t="s">
        <v>814</v>
      </c>
      <c r="I458">
        <f>MATCH(G458,mapPRC!$A$2:$A$1154,0)</f>
        <v>680</v>
      </c>
    </row>
    <row r="459" spans="1:9" x14ac:dyDescent="0.25">
      <c r="A459" t="s">
        <v>748</v>
      </c>
      <c r="B459" t="s">
        <v>5321</v>
      </c>
      <c r="C459">
        <f>MATCH(A459,mapPRC!A$2:A$1154,0)</f>
        <v>732</v>
      </c>
      <c r="G459" t="s">
        <v>815</v>
      </c>
      <c r="H459" t="s">
        <v>814</v>
      </c>
      <c r="I459">
        <f>MATCH(G459,mapPRC!$A$2:$A$1154,0)</f>
        <v>681</v>
      </c>
    </row>
    <row r="460" spans="1:9" x14ac:dyDescent="0.25">
      <c r="A460" t="s">
        <v>747</v>
      </c>
      <c r="B460" t="s">
        <v>5322</v>
      </c>
      <c r="C460">
        <f>MATCH(A460,mapPRC!A$2:A$1154,0)</f>
        <v>733</v>
      </c>
      <c r="G460" t="s">
        <v>813</v>
      </c>
      <c r="H460" t="s">
        <v>812</v>
      </c>
      <c r="I460">
        <f>MATCH(G460,mapPRC!$A$2:$A$1154,0)</f>
        <v>682</v>
      </c>
    </row>
    <row r="461" spans="1:9" x14ac:dyDescent="0.25">
      <c r="A461" t="s">
        <v>3068</v>
      </c>
      <c r="B461" t="s">
        <v>5323</v>
      </c>
      <c r="C461">
        <f>MATCH(A461,mapPRC!A$2:A$1154,0)</f>
        <v>751</v>
      </c>
      <c r="G461" t="s">
        <v>809</v>
      </c>
      <c r="H461" t="s">
        <v>808</v>
      </c>
      <c r="I461">
        <f>MATCH(G461,mapPRC!$A$2:$A$1154,0)</f>
        <v>685</v>
      </c>
    </row>
    <row r="462" spans="1:9" x14ac:dyDescent="0.25">
      <c r="A462" t="s">
        <v>3070</v>
      </c>
      <c r="B462" t="s">
        <v>5324</v>
      </c>
      <c r="C462">
        <f>MATCH(A462,mapPRC!A$2:A$1154,0)</f>
        <v>752</v>
      </c>
      <c r="G462" t="s">
        <v>807</v>
      </c>
      <c r="H462" t="s">
        <v>806</v>
      </c>
      <c r="I462">
        <f>MATCH(G462,mapPRC!$A$2:$A$1154,0)</f>
        <v>686</v>
      </c>
    </row>
    <row r="463" spans="1:9" x14ac:dyDescent="0.25">
      <c r="A463" t="s">
        <v>3072</v>
      </c>
      <c r="B463" t="s">
        <v>5325</v>
      </c>
      <c r="C463">
        <f>MATCH(A463,mapPRC!A$2:A$1154,0)</f>
        <v>753</v>
      </c>
      <c r="G463" t="s">
        <v>805</v>
      </c>
      <c r="H463" t="s">
        <v>798</v>
      </c>
      <c r="I463">
        <f>MATCH(G463,mapPRC!$A$2:$A$1154,0)</f>
        <v>687</v>
      </c>
    </row>
    <row r="464" spans="1:9" x14ac:dyDescent="0.25">
      <c r="A464" t="s">
        <v>3074</v>
      </c>
      <c r="B464" t="s">
        <v>5326</v>
      </c>
      <c r="C464">
        <f>MATCH(A464,mapPRC!A$2:A$1154,0)</f>
        <v>754</v>
      </c>
      <c r="G464" t="s">
        <v>804</v>
      </c>
      <c r="H464" t="s">
        <v>798</v>
      </c>
      <c r="I464">
        <f>MATCH(G464,mapPRC!$A$2:$A$1154,0)</f>
        <v>688</v>
      </c>
    </row>
    <row r="465" spans="1:9" x14ac:dyDescent="0.25">
      <c r="A465" t="s">
        <v>712</v>
      </c>
      <c r="B465" t="s">
        <v>5327</v>
      </c>
      <c r="C465">
        <f>MATCH(A465,mapPRC!A$2:A$1154,0)</f>
        <v>757</v>
      </c>
      <c r="G465" t="s">
        <v>802</v>
      </c>
      <c r="H465" t="s">
        <v>798</v>
      </c>
      <c r="I465">
        <f>MATCH(G465,mapPRC!$A$2:$A$1154,0)</f>
        <v>690</v>
      </c>
    </row>
    <row r="466" spans="1:9" x14ac:dyDescent="0.25">
      <c r="A466" t="s">
        <v>710</v>
      </c>
      <c r="B466" t="s">
        <v>5328</v>
      </c>
      <c r="C466">
        <f>MATCH(A466,mapPRC!A$2:A$1154,0)</f>
        <v>758</v>
      </c>
      <c r="G466" t="s">
        <v>800</v>
      </c>
      <c r="H466" t="s">
        <v>798</v>
      </c>
      <c r="I466">
        <f>MATCH(G466,mapPRC!$A$2:$A$1154,0)</f>
        <v>692</v>
      </c>
    </row>
    <row r="467" spans="1:9" x14ac:dyDescent="0.25">
      <c r="A467" t="s">
        <v>707</v>
      </c>
      <c r="B467" t="s">
        <v>5329</v>
      </c>
      <c r="C467">
        <f>MATCH(A467,mapPRC!A$2:A$1154,0)</f>
        <v>759</v>
      </c>
      <c r="G467" t="s">
        <v>799</v>
      </c>
      <c r="H467" t="s">
        <v>798</v>
      </c>
      <c r="I467">
        <f>MATCH(G467,mapPRC!$A$2:$A$1154,0)</f>
        <v>693</v>
      </c>
    </row>
    <row r="468" spans="1:9" x14ac:dyDescent="0.25">
      <c r="A468" t="s">
        <v>704</v>
      </c>
      <c r="B468" t="s">
        <v>5330</v>
      </c>
      <c r="C468">
        <f>MATCH(A468,mapPRC!A$2:A$1154,0)</f>
        <v>760</v>
      </c>
      <c r="G468" t="s">
        <v>777</v>
      </c>
      <c r="H468" t="s">
        <v>771</v>
      </c>
      <c r="I468">
        <f>MATCH(G468,mapPRC!$A$2:$A$1154,0)</f>
        <v>708</v>
      </c>
    </row>
    <row r="469" spans="1:9" x14ac:dyDescent="0.25">
      <c r="A469" t="s">
        <v>701</v>
      </c>
      <c r="B469" t="s">
        <v>5331</v>
      </c>
      <c r="C469">
        <f>MATCH(A469,mapPRC!A$2:A$1154,0)</f>
        <v>761</v>
      </c>
      <c r="G469" t="s">
        <v>776</v>
      </c>
      <c r="H469" t="s">
        <v>771</v>
      </c>
      <c r="I469">
        <f>MATCH(G469,mapPRC!$A$2:$A$1154,0)</f>
        <v>709</v>
      </c>
    </row>
    <row r="470" spans="1:9" x14ac:dyDescent="0.25">
      <c r="A470" t="s">
        <v>699</v>
      </c>
      <c r="B470" t="s">
        <v>5332</v>
      </c>
      <c r="C470">
        <f>MATCH(A470,mapPRC!A$2:A$1154,0)</f>
        <v>762</v>
      </c>
      <c r="G470" t="s">
        <v>775</v>
      </c>
      <c r="H470" t="s">
        <v>771</v>
      </c>
      <c r="I470">
        <f>MATCH(G470,mapPRC!$A$2:$A$1154,0)</f>
        <v>710</v>
      </c>
    </row>
    <row r="471" spans="1:9" x14ac:dyDescent="0.25">
      <c r="A471" t="s">
        <v>697</v>
      </c>
      <c r="B471" t="s">
        <v>5333</v>
      </c>
      <c r="C471">
        <f>MATCH(A471,mapPRC!A$2:A$1154,0)</f>
        <v>763</v>
      </c>
      <c r="G471" t="s">
        <v>774</v>
      </c>
      <c r="H471" t="s">
        <v>771</v>
      </c>
      <c r="I471">
        <f>MATCH(G471,mapPRC!$A$2:$A$1154,0)</f>
        <v>711</v>
      </c>
    </row>
    <row r="472" spans="1:9" x14ac:dyDescent="0.25">
      <c r="A472" t="s">
        <v>695</v>
      </c>
      <c r="B472" t="s">
        <v>5334</v>
      </c>
      <c r="C472">
        <f>MATCH(A472,mapPRC!A$2:A$1154,0)</f>
        <v>764</v>
      </c>
      <c r="G472" t="s">
        <v>773</v>
      </c>
      <c r="H472" t="s">
        <v>771</v>
      </c>
      <c r="I472">
        <f>MATCH(G472,mapPRC!$A$2:$A$1154,0)</f>
        <v>712</v>
      </c>
    </row>
    <row r="473" spans="1:9" x14ac:dyDescent="0.25">
      <c r="A473" t="s">
        <v>692</v>
      </c>
      <c r="B473" t="s">
        <v>5335</v>
      </c>
      <c r="C473">
        <f>MATCH(A473,mapPRC!A$2:A$1154,0)</f>
        <v>765</v>
      </c>
      <c r="G473" t="s">
        <v>772</v>
      </c>
      <c r="H473" t="s">
        <v>771</v>
      </c>
      <c r="I473">
        <f>MATCH(G473,mapPRC!$A$2:$A$1154,0)</f>
        <v>713</v>
      </c>
    </row>
    <row r="474" spans="1:9" x14ac:dyDescent="0.25">
      <c r="A474" t="s">
        <v>690</v>
      </c>
      <c r="B474" t="s">
        <v>5336</v>
      </c>
      <c r="C474">
        <f>MATCH(A474,mapPRC!A$2:A$1154,0)</f>
        <v>766</v>
      </c>
      <c r="G474" t="s">
        <v>770</v>
      </c>
      <c r="H474" t="s">
        <v>764</v>
      </c>
      <c r="I474">
        <f>MATCH(G474,mapPRC!$A$2:$A$1154,0)</f>
        <v>714</v>
      </c>
    </row>
    <row r="475" spans="1:9" x14ac:dyDescent="0.25">
      <c r="A475" t="s">
        <v>688</v>
      </c>
      <c r="B475" t="s">
        <v>5337</v>
      </c>
      <c r="C475">
        <f>MATCH(A475,mapPRC!A$2:A$1154,0)</f>
        <v>767</v>
      </c>
      <c r="G475" t="s">
        <v>769</v>
      </c>
      <c r="H475" t="s">
        <v>764</v>
      </c>
      <c r="I475">
        <f>MATCH(G475,mapPRC!$A$2:$A$1154,0)</f>
        <v>715</v>
      </c>
    </row>
    <row r="476" spans="1:9" x14ac:dyDescent="0.25">
      <c r="A476" t="s">
        <v>686</v>
      </c>
      <c r="B476" t="s">
        <v>5338</v>
      </c>
      <c r="C476">
        <f>MATCH(A476,mapPRC!A$2:A$1154,0)</f>
        <v>768</v>
      </c>
      <c r="G476" t="s">
        <v>768</v>
      </c>
      <c r="H476" t="s">
        <v>764</v>
      </c>
      <c r="I476">
        <f>MATCH(G476,mapPRC!$A$2:$A$1154,0)</f>
        <v>716</v>
      </c>
    </row>
    <row r="477" spans="1:9" x14ac:dyDescent="0.25">
      <c r="A477" t="s">
        <v>684</v>
      </c>
      <c r="B477" t="s">
        <v>5339</v>
      </c>
      <c r="C477">
        <f>MATCH(A477,mapPRC!A$2:A$1154,0)</f>
        <v>769</v>
      </c>
      <c r="G477" t="s">
        <v>767</v>
      </c>
      <c r="H477" t="s">
        <v>764</v>
      </c>
      <c r="I477">
        <f>MATCH(G477,mapPRC!$A$2:$A$1154,0)</f>
        <v>717</v>
      </c>
    </row>
    <row r="478" spans="1:9" x14ac:dyDescent="0.25">
      <c r="A478" t="s">
        <v>682</v>
      </c>
      <c r="B478" t="s">
        <v>5340</v>
      </c>
      <c r="C478">
        <f>MATCH(A478,mapPRC!A$2:A$1154,0)</f>
        <v>770</v>
      </c>
      <c r="G478" t="s">
        <v>766</v>
      </c>
      <c r="H478" t="s">
        <v>764</v>
      </c>
      <c r="I478">
        <f>MATCH(G478,mapPRC!$A$2:$A$1154,0)</f>
        <v>718</v>
      </c>
    </row>
    <row r="479" spans="1:9" x14ac:dyDescent="0.25">
      <c r="A479" t="s">
        <v>679</v>
      </c>
      <c r="B479" t="s">
        <v>5341</v>
      </c>
      <c r="C479">
        <f>MATCH(A479,mapPRC!A$2:A$1154,0)</f>
        <v>771</v>
      </c>
      <c r="G479" t="s">
        <v>765</v>
      </c>
      <c r="H479" t="s">
        <v>764</v>
      </c>
      <c r="I479">
        <f>MATCH(G479,mapPRC!$A$2:$A$1154,0)</f>
        <v>719</v>
      </c>
    </row>
    <row r="480" spans="1:9" x14ac:dyDescent="0.25">
      <c r="A480" t="s">
        <v>677</v>
      </c>
      <c r="B480" t="s">
        <v>5342</v>
      </c>
      <c r="C480">
        <f>MATCH(A480,mapPRC!A$2:A$1154,0)</f>
        <v>772</v>
      </c>
      <c r="G480" t="s">
        <v>763</v>
      </c>
      <c r="H480" t="s">
        <v>762</v>
      </c>
      <c r="I480">
        <f>MATCH(G480,mapPRC!$A$2:$A$1154,0)</f>
        <v>720</v>
      </c>
    </row>
    <row r="481" spans="1:9" x14ac:dyDescent="0.25">
      <c r="A481" t="s">
        <v>675</v>
      </c>
      <c r="B481" t="s">
        <v>5343</v>
      </c>
      <c r="C481">
        <f>MATCH(A481,mapPRC!A$2:A$1154,0)</f>
        <v>773</v>
      </c>
      <c r="G481" t="s">
        <v>760</v>
      </c>
      <c r="H481" t="s">
        <v>759</v>
      </c>
      <c r="I481">
        <f>MATCH(G481,mapPRC!$A$2:$A$1154,0)</f>
        <v>723</v>
      </c>
    </row>
    <row r="482" spans="1:9" x14ac:dyDescent="0.25">
      <c r="A482" t="s">
        <v>673</v>
      </c>
      <c r="B482" t="s">
        <v>5344</v>
      </c>
      <c r="C482">
        <f>MATCH(A482,mapPRC!A$2:A$1154,0)</f>
        <v>774</v>
      </c>
      <c r="G482" t="s">
        <v>758</v>
      </c>
      <c r="H482" t="s">
        <v>757</v>
      </c>
      <c r="I482">
        <f>MATCH(G482,mapPRC!$A$2:$A$1154,0)</f>
        <v>724</v>
      </c>
    </row>
    <row r="483" spans="1:9" x14ac:dyDescent="0.25">
      <c r="A483" t="s">
        <v>5818</v>
      </c>
      <c r="B483" t="s">
        <v>5819</v>
      </c>
      <c r="C483">
        <f>MATCH(A483,mapPRC!A$2:A$1154,0)</f>
        <v>775</v>
      </c>
      <c r="D483">
        <v>1</v>
      </c>
      <c r="G483" t="s">
        <v>755</v>
      </c>
      <c r="H483" t="s">
        <v>746</v>
      </c>
      <c r="I483">
        <f>MATCH(G483,mapPRC!$A$2:$A$1154,0)</f>
        <v>725</v>
      </c>
    </row>
    <row r="484" spans="1:9" x14ac:dyDescent="0.25">
      <c r="A484" t="s">
        <v>671</v>
      </c>
      <c r="B484" t="s">
        <v>5345</v>
      </c>
      <c r="C484">
        <f>MATCH(A484,mapPRC!A$2:A$1154,0)</f>
        <v>776</v>
      </c>
      <c r="G484" t="s">
        <v>754</v>
      </c>
      <c r="H484" t="s">
        <v>746</v>
      </c>
      <c r="I484">
        <f>MATCH(G484,mapPRC!$A$2:$A$1154,0)</f>
        <v>726</v>
      </c>
    </row>
    <row r="485" spans="1:9" x14ac:dyDescent="0.25">
      <c r="A485" t="s">
        <v>669</v>
      </c>
      <c r="B485" t="s">
        <v>5346</v>
      </c>
      <c r="C485">
        <f>MATCH(A485,mapPRC!A$2:A$1154,0)</f>
        <v>777</v>
      </c>
      <c r="G485" t="s">
        <v>753</v>
      </c>
      <c r="H485" t="s">
        <v>746</v>
      </c>
      <c r="I485">
        <f>MATCH(G485,mapPRC!$A$2:$A$1154,0)</f>
        <v>727</v>
      </c>
    </row>
    <row r="486" spans="1:9" x14ac:dyDescent="0.25">
      <c r="A486" t="s">
        <v>667</v>
      </c>
      <c r="B486" t="s">
        <v>5347</v>
      </c>
      <c r="C486">
        <f>MATCH(A486,mapPRC!A$2:A$1154,0)</f>
        <v>778</v>
      </c>
      <c r="G486" t="s">
        <v>752</v>
      </c>
      <c r="H486" t="s">
        <v>746</v>
      </c>
      <c r="I486">
        <f>MATCH(G486,mapPRC!$A$2:$A$1154,0)</f>
        <v>728</v>
      </c>
    </row>
    <row r="487" spans="1:9" x14ac:dyDescent="0.25">
      <c r="A487" t="s">
        <v>665</v>
      </c>
      <c r="B487" t="s">
        <v>5348</v>
      </c>
      <c r="C487">
        <f>MATCH(A487,mapPRC!A$2:A$1154,0)</f>
        <v>779</v>
      </c>
      <c r="G487" t="s">
        <v>751</v>
      </c>
      <c r="H487" t="s">
        <v>746</v>
      </c>
      <c r="I487">
        <f>MATCH(G487,mapPRC!$A$2:$A$1154,0)</f>
        <v>729</v>
      </c>
    </row>
    <row r="488" spans="1:9" x14ac:dyDescent="0.25">
      <c r="A488" t="s">
        <v>5820</v>
      </c>
      <c r="B488" t="s">
        <v>5821</v>
      </c>
      <c r="C488">
        <f>MATCH(A488,mapPRC!A$2:A$1154,0)</f>
        <v>780</v>
      </c>
      <c r="D488">
        <v>1</v>
      </c>
      <c r="G488" t="s">
        <v>750</v>
      </c>
      <c r="H488" t="s">
        <v>746</v>
      </c>
      <c r="I488">
        <f>MATCH(G488,mapPRC!$A$2:$A$1154,0)</f>
        <v>730</v>
      </c>
    </row>
    <row r="489" spans="1:9" x14ac:dyDescent="0.25">
      <c r="A489" t="s">
        <v>663</v>
      </c>
      <c r="B489" t="s">
        <v>5349</v>
      </c>
      <c r="C489">
        <f>MATCH(A489,mapPRC!A$2:A$1154,0)</f>
        <v>781</v>
      </c>
      <c r="G489" t="s">
        <v>749</v>
      </c>
      <c r="H489" t="s">
        <v>746</v>
      </c>
      <c r="I489">
        <f>MATCH(G489,mapPRC!$A$2:$A$1154,0)</f>
        <v>731</v>
      </c>
    </row>
    <row r="490" spans="1:9" x14ac:dyDescent="0.25">
      <c r="A490" t="s">
        <v>660</v>
      </c>
      <c r="B490" t="s">
        <v>5350</v>
      </c>
      <c r="C490">
        <f>MATCH(A490,mapPRC!A$2:A$1154,0)</f>
        <v>782</v>
      </c>
      <c r="G490" t="s">
        <v>748</v>
      </c>
      <c r="H490" t="s">
        <v>746</v>
      </c>
      <c r="I490">
        <f>MATCH(G490,mapPRC!$A$2:$A$1154,0)</f>
        <v>732</v>
      </c>
    </row>
    <row r="491" spans="1:9" x14ac:dyDescent="0.25">
      <c r="A491" t="s">
        <v>657</v>
      </c>
      <c r="B491" t="s">
        <v>5351</v>
      </c>
      <c r="C491">
        <f>MATCH(A491,mapPRC!A$2:A$1154,0)</f>
        <v>783</v>
      </c>
      <c r="G491" t="s">
        <v>747</v>
      </c>
      <c r="H491" t="s">
        <v>746</v>
      </c>
      <c r="I491">
        <f>MATCH(G491,mapPRC!$A$2:$A$1154,0)</f>
        <v>733</v>
      </c>
    </row>
    <row r="492" spans="1:9" x14ac:dyDescent="0.25">
      <c r="A492" t="s">
        <v>655</v>
      </c>
      <c r="B492" t="s">
        <v>5352</v>
      </c>
      <c r="C492">
        <f>MATCH(A492,mapPRC!A$2:A$1154,0)</f>
        <v>784</v>
      </c>
      <c r="G492" t="s">
        <v>3068</v>
      </c>
      <c r="H492" t="s">
        <v>3069</v>
      </c>
      <c r="I492">
        <f>MATCH(G492,mapPRC!$A$2:$A$1154,0)</f>
        <v>751</v>
      </c>
    </row>
    <row r="493" spans="1:9" x14ac:dyDescent="0.25">
      <c r="A493" t="s">
        <v>5822</v>
      </c>
      <c r="B493" t="s">
        <v>5823</v>
      </c>
      <c r="C493">
        <f>MATCH(A493,mapPRC!A$2:A$1154,0)</f>
        <v>785</v>
      </c>
      <c r="D493">
        <v>1</v>
      </c>
      <c r="G493" t="s">
        <v>3070</v>
      </c>
      <c r="H493" t="s">
        <v>3071</v>
      </c>
      <c r="I493">
        <f>MATCH(G493,mapPRC!$A$2:$A$1154,0)</f>
        <v>752</v>
      </c>
    </row>
    <row r="494" spans="1:9" x14ac:dyDescent="0.25">
      <c r="A494" t="s">
        <v>652</v>
      </c>
      <c r="B494" t="s">
        <v>5353</v>
      </c>
      <c r="C494">
        <f>MATCH(A494,mapPRC!A$2:A$1154,0)</f>
        <v>786</v>
      </c>
      <c r="G494" t="s">
        <v>3072</v>
      </c>
      <c r="H494" t="s">
        <v>3073</v>
      </c>
      <c r="I494">
        <f>MATCH(G494,mapPRC!$A$2:$A$1154,0)</f>
        <v>753</v>
      </c>
    </row>
    <row r="495" spans="1:9" x14ac:dyDescent="0.25">
      <c r="A495" t="s">
        <v>650</v>
      </c>
      <c r="B495" t="s">
        <v>5354</v>
      </c>
      <c r="C495">
        <f>MATCH(A495,mapPRC!A$2:A$1154,0)</f>
        <v>787</v>
      </c>
      <c r="G495" t="s">
        <v>3074</v>
      </c>
      <c r="H495" t="s">
        <v>3075</v>
      </c>
      <c r="I495">
        <f>MATCH(G495,mapPRC!$A$2:$A$1154,0)</f>
        <v>754</v>
      </c>
    </row>
    <row r="496" spans="1:9" x14ac:dyDescent="0.25">
      <c r="A496" t="s">
        <v>648</v>
      </c>
      <c r="B496" t="s">
        <v>5355</v>
      </c>
      <c r="C496">
        <f>MATCH(A496,mapPRC!A$2:A$1154,0)</f>
        <v>788</v>
      </c>
      <c r="G496" t="s">
        <v>712</v>
      </c>
      <c r="H496" t="s">
        <v>711</v>
      </c>
      <c r="I496">
        <f>MATCH(G496,mapPRC!$A$2:$A$1154,0)</f>
        <v>757</v>
      </c>
    </row>
    <row r="497" spans="1:9" x14ac:dyDescent="0.25">
      <c r="A497" t="s">
        <v>646</v>
      </c>
      <c r="B497" t="s">
        <v>5356</v>
      </c>
      <c r="C497">
        <f>MATCH(A497,mapPRC!A$2:A$1154,0)</f>
        <v>789</v>
      </c>
      <c r="G497" t="s">
        <v>710</v>
      </c>
      <c r="H497" t="s">
        <v>709</v>
      </c>
      <c r="I497">
        <f>MATCH(G497,mapPRC!$A$2:$A$1154,0)</f>
        <v>758</v>
      </c>
    </row>
    <row r="498" spans="1:9" x14ac:dyDescent="0.25">
      <c r="A498" t="s">
        <v>5824</v>
      </c>
      <c r="B498" t="s">
        <v>5825</v>
      </c>
      <c r="C498">
        <f>MATCH(A498,mapPRC!A$2:A$1154,0)</f>
        <v>790</v>
      </c>
      <c r="D498">
        <v>1</v>
      </c>
      <c r="G498" t="s">
        <v>707</v>
      </c>
      <c r="H498" t="s">
        <v>706</v>
      </c>
      <c r="I498">
        <f>MATCH(G498,mapPRC!$A$2:$A$1154,0)</f>
        <v>759</v>
      </c>
    </row>
    <row r="499" spans="1:9" x14ac:dyDescent="0.25">
      <c r="A499" t="s">
        <v>644</v>
      </c>
      <c r="B499" t="s">
        <v>5357</v>
      </c>
      <c r="C499">
        <f>MATCH(A499,mapPRC!A$2:A$1154,0)</f>
        <v>791</v>
      </c>
      <c r="G499" t="s">
        <v>704</v>
      </c>
      <c r="H499" t="s">
        <v>703</v>
      </c>
      <c r="I499">
        <f>MATCH(G499,mapPRC!$A$2:$A$1154,0)</f>
        <v>760</v>
      </c>
    </row>
    <row r="500" spans="1:9" x14ac:dyDescent="0.25">
      <c r="A500" t="s">
        <v>642</v>
      </c>
      <c r="B500" t="s">
        <v>5358</v>
      </c>
      <c r="C500">
        <f>MATCH(A500,mapPRC!A$2:A$1154,0)</f>
        <v>792</v>
      </c>
      <c r="G500" t="s">
        <v>701</v>
      </c>
      <c r="H500" t="s">
        <v>700</v>
      </c>
      <c r="I500">
        <f>MATCH(G500,mapPRC!$A$2:$A$1154,0)</f>
        <v>761</v>
      </c>
    </row>
    <row r="501" spans="1:9" x14ac:dyDescent="0.25">
      <c r="A501" t="s">
        <v>640</v>
      </c>
      <c r="B501" t="s">
        <v>5359</v>
      </c>
      <c r="C501">
        <f>MATCH(A501,mapPRC!A$2:A$1154,0)</f>
        <v>793</v>
      </c>
      <c r="G501" t="s">
        <v>699</v>
      </c>
      <c r="H501" t="s">
        <v>698</v>
      </c>
      <c r="I501">
        <f>MATCH(G501,mapPRC!$A$2:$A$1154,0)</f>
        <v>762</v>
      </c>
    </row>
    <row r="502" spans="1:9" x14ac:dyDescent="0.25">
      <c r="A502" t="s">
        <v>638</v>
      </c>
      <c r="B502" t="s">
        <v>5360</v>
      </c>
      <c r="C502">
        <f>MATCH(A502,mapPRC!A$2:A$1154,0)</f>
        <v>794</v>
      </c>
      <c r="G502" t="s">
        <v>697</v>
      </c>
      <c r="H502" t="s">
        <v>696</v>
      </c>
      <c r="I502">
        <f>MATCH(G502,mapPRC!$A$2:$A$1154,0)</f>
        <v>763</v>
      </c>
    </row>
    <row r="503" spans="1:9" x14ac:dyDescent="0.25">
      <c r="A503" t="s">
        <v>5826</v>
      </c>
      <c r="B503" t="s">
        <v>5827</v>
      </c>
      <c r="C503">
        <f>MATCH(A503,mapPRC!A$2:A$1154,0)</f>
        <v>795</v>
      </c>
      <c r="D503">
        <v>1</v>
      </c>
      <c r="G503" t="s">
        <v>695</v>
      </c>
      <c r="H503" t="s">
        <v>694</v>
      </c>
      <c r="I503">
        <f>MATCH(G503,mapPRC!$A$2:$A$1154,0)</f>
        <v>764</v>
      </c>
    </row>
    <row r="504" spans="1:9" x14ac:dyDescent="0.25">
      <c r="A504" t="s">
        <v>636</v>
      </c>
      <c r="B504" t="s">
        <v>5361</v>
      </c>
      <c r="C504">
        <f>MATCH(A504,mapPRC!A$2:A$1154,0)</f>
        <v>796</v>
      </c>
      <c r="G504" t="s">
        <v>692</v>
      </c>
      <c r="H504" t="s">
        <v>691</v>
      </c>
      <c r="I504">
        <f>MATCH(G504,mapPRC!$A$2:$A$1154,0)</f>
        <v>765</v>
      </c>
    </row>
    <row r="505" spans="1:9" x14ac:dyDescent="0.25">
      <c r="A505" t="s">
        <v>634</v>
      </c>
      <c r="B505" t="s">
        <v>5362</v>
      </c>
      <c r="C505">
        <f>MATCH(A505,mapPRC!A$2:A$1154,0)</f>
        <v>797</v>
      </c>
      <c r="G505" t="s">
        <v>690</v>
      </c>
      <c r="H505" t="s">
        <v>689</v>
      </c>
      <c r="I505">
        <f>MATCH(G505,mapPRC!$A$2:$A$1154,0)</f>
        <v>766</v>
      </c>
    </row>
    <row r="506" spans="1:9" x14ac:dyDescent="0.25">
      <c r="A506" t="s">
        <v>632</v>
      </c>
      <c r="B506" t="s">
        <v>5363</v>
      </c>
      <c r="C506">
        <f>MATCH(A506,mapPRC!A$2:A$1154,0)</f>
        <v>798</v>
      </c>
      <c r="G506" t="s">
        <v>688</v>
      </c>
      <c r="H506" t="s">
        <v>687</v>
      </c>
      <c r="I506">
        <f>MATCH(G506,mapPRC!$A$2:$A$1154,0)</f>
        <v>767</v>
      </c>
    </row>
    <row r="507" spans="1:9" x14ac:dyDescent="0.25">
      <c r="A507" t="s">
        <v>630</v>
      </c>
      <c r="B507" t="s">
        <v>5364</v>
      </c>
      <c r="C507">
        <f>MATCH(A507,mapPRC!A$2:A$1154,0)</f>
        <v>799</v>
      </c>
      <c r="G507" t="s">
        <v>686</v>
      </c>
      <c r="H507" t="s">
        <v>685</v>
      </c>
      <c r="I507">
        <f>MATCH(G507,mapPRC!$A$2:$A$1154,0)</f>
        <v>768</v>
      </c>
    </row>
    <row r="508" spans="1:9" x14ac:dyDescent="0.25">
      <c r="A508" t="s">
        <v>5828</v>
      </c>
      <c r="B508" t="s">
        <v>5829</v>
      </c>
      <c r="C508">
        <f>MATCH(A508,mapPRC!A$2:A$1154,0)</f>
        <v>800</v>
      </c>
      <c r="D508">
        <v>1</v>
      </c>
      <c r="G508" t="s">
        <v>684</v>
      </c>
      <c r="H508" t="s">
        <v>683</v>
      </c>
      <c r="I508">
        <f>MATCH(G508,mapPRC!$A$2:$A$1154,0)</f>
        <v>769</v>
      </c>
    </row>
    <row r="509" spans="1:9" x14ac:dyDescent="0.25">
      <c r="A509" t="s">
        <v>628</v>
      </c>
      <c r="B509" t="s">
        <v>5365</v>
      </c>
      <c r="C509">
        <f>MATCH(A509,mapPRC!A$2:A$1154,0)</f>
        <v>801</v>
      </c>
      <c r="G509" t="s">
        <v>682</v>
      </c>
      <c r="H509" t="s">
        <v>681</v>
      </c>
      <c r="I509">
        <f>MATCH(G509,mapPRC!$A$2:$A$1154,0)</f>
        <v>770</v>
      </c>
    </row>
    <row r="510" spans="1:9" x14ac:dyDescent="0.25">
      <c r="A510" t="s">
        <v>625</v>
      </c>
      <c r="B510" t="s">
        <v>5366</v>
      </c>
      <c r="C510">
        <f>MATCH(A510,mapPRC!A$2:A$1154,0)</f>
        <v>802</v>
      </c>
      <c r="G510" t="s">
        <v>679</v>
      </c>
      <c r="H510" t="s">
        <v>678</v>
      </c>
      <c r="I510">
        <f>MATCH(G510,mapPRC!$A$2:$A$1154,0)</f>
        <v>771</v>
      </c>
    </row>
    <row r="511" spans="1:9" x14ac:dyDescent="0.25">
      <c r="A511" t="s">
        <v>622</v>
      </c>
      <c r="B511" t="s">
        <v>5367</v>
      </c>
      <c r="C511">
        <f>MATCH(A511,mapPRC!A$2:A$1154,0)</f>
        <v>803</v>
      </c>
      <c r="G511" t="s">
        <v>677</v>
      </c>
      <c r="H511" t="s">
        <v>676</v>
      </c>
      <c r="I511">
        <f>MATCH(G511,mapPRC!$A$2:$A$1154,0)</f>
        <v>772</v>
      </c>
    </row>
    <row r="512" spans="1:9" x14ac:dyDescent="0.25">
      <c r="A512" t="s">
        <v>620</v>
      </c>
      <c r="B512" t="s">
        <v>5368</v>
      </c>
      <c r="C512">
        <f>MATCH(A512,mapPRC!A$2:A$1154,0)</f>
        <v>804</v>
      </c>
      <c r="G512" t="s">
        <v>675</v>
      </c>
      <c r="H512" t="s">
        <v>674</v>
      </c>
      <c r="I512">
        <f>MATCH(G512,mapPRC!$A$2:$A$1154,0)</f>
        <v>773</v>
      </c>
    </row>
    <row r="513" spans="1:9" x14ac:dyDescent="0.25">
      <c r="A513" t="s">
        <v>617</v>
      </c>
      <c r="B513" t="s">
        <v>5369</v>
      </c>
      <c r="C513">
        <f>MATCH(A513,mapPRC!A$2:A$1154,0)</f>
        <v>805</v>
      </c>
      <c r="G513" t="s">
        <v>673</v>
      </c>
      <c r="H513" t="s">
        <v>672</v>
      </c>
      <c r="I513">
        <f>MATCH(G513,mapPRC!$A$2:$A$1154,0)</f>
        <v>774</v>
      </c>
    </row>
    <row r="514" spans="1:9" x14ac:dyDescent="0.25">
      <c r="A514" t="s">
        <v>614</v>
      </c>
      <c r="B514" t="s">
        <v>5370</v>
      </c>
      <c r="C514">
        <f>MATCH(A514,mapPRC!A$2:A$1154,0)</f>
        <v>806</v>
      </c>
      <c r="G514" t="s">
        <v>671</v>
      </c>
      <c r="H514" t="s">
        <v>670</v>
      </c>
      <c r="I514">
        <f>MATCH(G514,mapPRC!$A$2:$A$1154,0)</f>
        <v>776</v>
      </c>
    </row>
    <row r="515" spans="1:9" x14ac:dyDescent="0.25">
      <c r="A515" t="s">
        <v>611</v>
      </c>
      <c r="B515" t="s">
        <v>5371</v>
      </c>
      <c r="C515">
        <f>MATCH(A515,mapPRC!A$2:A$1154,0)</f>
        <v>807</v>
      </c>
      <c r="G515" t="s">
        <v>669</v>
      </c>
      <c r="H515" t="s">
        <v>668</v>
      </c>
      <c r="I515">
        <f>MATCH(G515,mapPRC!$A$2:$A$1154,0)</f>
        <v>777</v>
      </c>
    </row>
    <row r="516" spans="1:9" x14ac:dyDescent="0.25">
      <c r="A516" t="s">
        <v>41</v>
      </c>
      <c r="B516" t="s">
        <v>5373</v>
      </c>
      <c r="C516">
        <f>MATCH(A516,mapPRC!A$2:A$1154,0)</f>
        <v>808</v>
      </c>
      <c r="G516" t="s">
        <v>667</v>
      </c>
      <c r="H516" t="s">
        <v>666</v>
      </c>
      <c r="I516">
        <f>MATCH(G516,mapPRC!$A$2:$A$1154,0)</f>
        <v>778</v>
      </c>
    </row>
    <row r="517" spans="1:9" x14ac:dyDescent="0.25">
      <c r="A517" t="s">
        <v>609</v>
      </c>
      <c r="B517" t="s">
        <v>5372</v>
      </c>
      <c r="C517">
        <f>MATCH(A517,mapPRC!A$2:A$1154,0)</f>
        <v>809</v>
      </c>
      <c r="G517" t="s">
        <v>665</v>
      </c>
      <c r="H517" t="s">
        <v>664</v>
      </c>
      <c r="I517">
        <f>MATCH(G517,mapPRC!$A$2:$A$1154,0)</f>
        <v>779</v>
      </c>
    </row>
    <row r="518" spans="1:9" x14ac:dyDescent="0.25">
      <c r="A518" t="s">
        <v>607</v>
      </c>
      <c r="B518" t="s">
        <v>5374</v>
      </c>
      <c r="C518">
        <f>MATCH(A518,mapPRC!A$2:A$1154,0)</f>
        <v>810</v>
      </c>
      <c r="G518" t="s">
        <v>663</v>
      </c>
      <c r="H518" t="s">
        <v>662</v>
      </c>
      <c r="I518">
        <f>MATCH(G518,mapPRC!$A$2:$A$1154,0)</f>
        <v>781</v>
      </c>
    </row>
    <row r="519" spans="1:9" x14ac:dyDescent="0.25">
      <c r="A519" t="s">
        <v>39</v>
      </c>
      <c r="B519" t="s">
        <v>5376</v>
      </c>
      <c r="C519">
        <f>MATCH(A519,mapPRC!A$2:A$1154,0)</f>
        <v>811</v>
      </c>
      <c r="G519" t="s">
        <v>660</v>
      </c>
      <c r="H519" t="s">
        <v>659</v>
      </c>
      <c r="I519">
        <f>MATCH(G519,mapPRC!$A$2:$A$1154,0)</f>
        <v>782</v>
      </c>
    </row>
    <row r="520" spans="1:9" x14ac:dyDescent="0.25">
      <c r="A520" t="s">
        <v>605</v>
      </c>
      <c r="B520" t="s">
        <v>5375</v>
      </c>
      <c r="C520">
        <f>MATCH(A520,mapPRC!A$2:A$1154,0)</f>
        <v>812</v>
      </c>
      <c r="G520" t="s">
        <v>657</v>
      </c>
      <c r="H520" t="s">
        <v>656</v>
      </c>
      <c r="I520">
        <f>MATCH(G520,mapPRC!$A$2:$A$1154,0)</f>
        <v>783</v>
      </c>
    </row>
    <row r="521" spans="1:9" x14ac:dyDescent="0.25">
      <c r="A521" t="s">
        <v>602</v>
      </c>
      <c r="B521" t="s">
        <v>5377</v>
      </c>
      <c r="C521">
        <f>MATCH(A521,mapPRC!A$2:A$1154,0)</f>
        <v>813</v>
      </c>
      <c r="G521" t="s">
        <v>655</v>
      </c>
      <c r="H521" t="s">
        <v>654</v>
      </c>
      <c r="I521">
        <f>MATCH(G521,mapPRC!$A$2:$A$1154,0)</f>
        <v>784</v>
      </c>
    </row>
    <row r="522" spans="1:9" x14ac:dyDescent="0.25">
      <c r="A522" t="s">
        <v>600</v>
      </c>
      <c r="B522" t="s">
        <v>5378</v>
      </c>
      <c r="C522">
        <f>MATCH(A522,mapPRC!A$2:A$1154,0)</f>
        <v>814</v>
      </c>
      <c r="G522" t="s">
        <v>652</v>
      </c>
      <c r="H522" t="s">
        <v>651</v>
      </c>
      <c r="I522">
        <f>MATCH(G522,mapPRC!$A$2:$A$1154,0)</f>
        <v>786</v>
      </c>
    </row>
    <row r="523" spans="1:9" x14ac:dyDescent="0.25">
      <c r="A523" t="s">
        <v>597</v>
      </c>
      <c r="B523" t="s">
        <v>5379</v>
      </c>
      <c r="C523">
        <f>MATCH(A523,mapPRC!A$2:A$1154,0)</f>
        <v>815</v>
      </c>
      <c r="G523" t="s">
        <v>650</v>
      </c>
      <c r="H523" t="s">
        <v>649</v>
      </c>
      <c r="I523">
        <f>MATCH(G523,mapPRC!$A$2:$A$1154,0)</f>
        <v>787</v>
      </c>
    </row>
    <row r="524" spans="1:9" x14ac:dyDescent="0.25">
      <c r="A524" t="s">
        <v>595</v>
      </c>
      <c r="B524" t="s">
        <v>5380</v>
      </c>
      <c r="C524">
        <f>MATCH(A524,mapPRC!A$2:A$1154,0)</f>
        <v>816</v>
      </c>
      <c r="G524" t="s">
        <v>648</v>
      </c>
      <c r="H524" t="s">
        <v>647</v>
      </c>
      <c r="I524">
        <f>MATCH(G524,mapPRC!$A$2:$A$1154,0)</f>
        <v>788</v>
      </c>
    </row>
    <row r="525" spans="1:9" x14ac:dyDescent="0.25">
      <c r="A525" t="s">
        <v>591</v>
      </c>
      <c r="B525" t="s">
        <v>5381</v>
      </c>
      <c r="C525">
        <f>MATCH(A525,mapPRC!A$2:A$1154,0)</f>
        <v>818</v>
      </c>
      <c r="G525" t="s">
        <v>646</v>
      </c>
      <c r="H525" t="s">
        <v>645</v>
      </c>
      <c r="I525">
        <f>MATCH(G525,mapPRC!$A$2:$A$1154,0)</f>
        <v>789</v>
      </c>
    </row>
    <row r="526" spans="1:9" x14ac:dyDescent="0.25">
      <c r="A526" t="s">
        <v>589</v>
      </c>
      <c r="B526" t="s">
        <v>5382</v>
      </c>
      <c r="C526">
        <f>MATCH(A526,mapPRC!A$2:A$1154,0)</f>
        <v>819</v>
      </c>
      <c r="G526" t="s">
        <v>644</v>
      </c>
      <c r="H526" t="s">
        <v>643</v>
      </c>
      <c r="I526">
        <f>MATCH(G526,mapPRC!$A$2:$A$1154,0)</f>
        <v>791</v>
      </c>
    </row>
    <row r="527" spans="1:9" x14ac:dyDescent="0.25">
      <c r="A527" t="s">
        <v>588</v>
      </c>
      <c r="B527" t="s">
        <v>5383</v>
      </c>
      <c r="C527">
        <f>MATCH(A527,mapPRC!A$2:A$1154,0)</f>
        <v>820</v>
      </c>
      <c r="G527" t="s">
        <v>642</v>
      </c>
      <c r="H527" t="s">
        <v>641</v>
      </c>
      <c r="I527">
        <f>MATCH(G527,mapPRC!$A$2:$A$1154,0)</f>
        <v>792</v>
      </c>
    </row>
    <row r="528" spans="1:9" x14ac:dyDescent="0.25">
      <c r="A528" t="s">
        <v>586</v>
      </c>
      <c r="B528" t="s">
        <v>5384</v>
      </c>
      <c r="C528">
        <f>MATCH(A528,mapPRC!A$2:A$1154,0)</f>
        <v>821</v>
      </c>
      <c r="G528" t="s">
        <v>640</v>
      </c>
      <c r="H528" t="s">
        <v>639</v>
      </c>
      <c r="I528">
        <f>MATCH(G528,mapPRC!$A$2:$A$1154,0)</f>
        <v>793</v>
      </c>
    </row>
    <row r="529" spans="1:9" x14ac:dyDescent="0.25">
      <c r="A529" t="s">
        <v>584</v>
      </c>
      <c r="B529" t="s">
        <v>5385</v>
      </c>
      <c r="C529">
        <f>MATCH(A529,mapPRC!A$2:A$1154,0)</f>
        <v>822</v>
      </c>
      <c r="G529" t="s">
        <v>638</v>
      </c>
      <c r="H529" t="s">
        <v>637</v>
      </c>
      <c r="I529">
        <f>MATCH(G529,mapPRC!$A$2:$A$1154,0)</f>
        <v>794</v>
      </c>
    </row>
    <row r="530" spans="1:9" x14ac:dyDescent="0.25">
      <c r="A530" t="s">
        <v>582</v>
      </c>
      <c r="B530" t="s">
        <v>5386</v>
      </c>
      <c r="C530">
        <f>MATCH(A530,mapPRC!A$2:A$1154,0)</f>
        <v>823</v>
      </c>
      <c r="G530" t="s">
        <v>636</v>
      </c>
      <c r="H530" t="s">
        <v>635</v>
      </c>
      <c r="I530">
        <f>MATCH(G530,mapPRC!$A$2:$A$1154,0)</f>
        <v>796</v>
      </c>
    </row>
    <row r="531" spans="1:9" x14ac:dyDescent="0.25">
      <c r="A531" t="s">
        <v>580</v>
      </c>
      <c r="B531" t="s">
        <v>5387</v>
      </c>
      <c r="C531">
        <f>MATCH(A531,mapPRC!A$2:A$1154,0)</f>
        <v>824</v>
      </c>
      <c r="G531" t="s">
        <v>634</v>
      </c>
      <c r="H531" t="s">
        <v>633</v>
      </c>
      <c r="I531">
        <f>MATCH(G531,mapPRC!$A$2:$A$1154,0)</f>
        <v>797</v>
      </c>
    </row>
    <row r="532" spans="1:9" x14ac:dyDescent="0.25">
      <c r="A532" t="s">
        <v>577</v>
      </c>
      <c r="B532" t="s">
        <v>5388</v>
      </c>
      <c r="C532">
        <f>MATCH(A532,mapPRC!A$2:A$1154,0)</f>
        <v>825</v>
      </c>
      <c r="G532" t="s">
        <v>632</v>
      </c>
      <c r="H532" t="s">
        <v>631</v>
      </c>
      <c r="I532">
        <f>MATCH(G532,mapPRC!$A$2:$A$1154,0)</f>
        <v>798</v>
      </c>
    </row>
    <row r="533" spans="1:9" x14ac:dyDescent="0.25">
      <c r="A533" t="s">
        <v>574</v>
      </c>
      <c r="B533" t="s">
        <v>5389</v>
      </c>
      <c r="C533">
        <f>MATCH(A533,mapPRC!A$2:A$1154,0)</f>
        <v>826</v>
      </c>
      <c r="G533" t="s">
        <v>630</v>
      </c>
      <c r="H533" t="s">
        <v>629</v>
      </c>
      <c r="I533">
        <f>MATCH(G533,mapPRC!$A$2:$A$1154,0)</f>
        <v>799</v>
      </c>
    </row>
    <row r="534" spans="1:9" x14ac:dyDescent="0.25">
      <c r="A534" t="s">
        <v>571</v>
      </c>
      <c r="B534" t="s">
        <v>5390</v>
      </c>
      <c r="C534">
        <f>MATCH(A534,mapPRC!A$2:A$1154,0)</f>
        <v>827</v>
      </c>
      <c r="G534" t="s">
        <v>628</v>
      </c>
      <c r="H534" t="s">
        <v>627</v>
      </c>
      <c r="I534">
        <f>MATCH(G534,mapPRC!$A$2:$A$1154,0)</f>
        <v>801</v>
      </c>
    </row>
    <row r="535" spans="1:9" x14ac:dyDescent="0.25">
      <c r="A535" t="s">
        <v>568</v>
      </c>
      <c r="B535" t="s">
        <v>5391</v>
      </c>
      <c r="C535">
        <f>MATCH(A535,mapPRC!A$2:A$1154,0)</f>
        <v>828</v>
      </c>
      <c r="G535" t="s">
        <v>625</v>
      </c>
      <c r="H535" t="s">
        <v>624</v>
      </c>
      <c r="I535">
        <f>MATCH(G535,mapPRC!$A$2:$A$1154,0)</f>
        <v>802</v>
      </c>
    </row>
    <row r="536" spans="1:9" x14ac:dyDescent="0.25">
      <c r="A536" t="s">
        <v>565</v>
      </c>
      <c r="B536" t="s">
        <v>5392</v>
      </c>
      <c r="C536">
        <f>MATCH(A536,mapPRC!A$2:A$1154,0)</f>
        <v>829</v>
      </c>
      <c r="G536" t="s">
        <v>622</v>
      </c>
      <c r="H536" t="s">
        <v>621</v>
      </c>
      <c r="I536">
        <f>MATCH(G536,mapPRC!$A$2:$A$1154,0)</f>
        <v>803</v>
      </c>
    </row>
    <row r="537" spans="1:9" x14ac:dyDescent="0.25">
      <c r="A537" t="s">
        <v>561</v>
      </c>
      <c r="B537" t="s">
        <v>5394</v>
      </c>
      <c r="C537">
        <f>MATCH(A537,mapPRC!A$2:A$1154,0)</f>
        <v>830</v>
      </c>
      <c r="G537" t="s">
        <v>620</v>
      </c>
      <c r="H537" t="s">
        <v>619</v>
      </c>
      <c r="I537">
        <f>MATCH(G537,mapPRC!$A$2:$A$1154,0)</f>
        <v>804</v>
      </c>
    </row>
    <row r="538" spans="1:9" x14ac:dyDescent="0.25">
      <c r="A538" t="s">
        <v>563</v>
      </c>
      <c r="B538" t="s">
        <v>5393</v>
      </c>
      <c r="C538">
        <f>MATCH(A538,mapPRC!A$2:A$1154,0)</f>
        <v>831</v>
      </c>
      <c r="G538" t="s">
        <v>617</v>
      </c>
      <c r="H538" t="s">
        <v>616</v>
      </c>
      <c r="I538">
        <f>MATCH(G538,mapPRC!$A$2:$A$1154,0)</f>
        <v>805</v>
      </c>
    </row>
    <row r="539" spans="1:9" x14ac:dyDescent="0.25">
      <c r="A539" t="s">
        <v>559</v>
      </c>
      <c r="B539" t="s">
        <v>5395</v>
      </c>
      <c r="C539">
        <f>MATCH(A539,mapPRC!A$2:A$1154,0)</f>
        <v>832</v>
      </c>
      <c r="G539" t="s">
        <v>614</v>
      </c>
      <c r="H539" t="s">
        <v>613</v>
      </c>
      <c r="I539">
        <f>MATCH(G539,mapPRC!$A$2:$A$1154,0)</f>
        <v>806</v>
      </c>
    </row>
    <row r="540" spans="1:9" x14ac:dyDescent="0.25">
      <c r="A540" t="s">
        <v>555</v>
      </c>
      <c r="B540" t="s">
        <v>5397</v>
      </c>
      <c r="C540">
        <f>MATCH(A540,mapPRC!A$2:A$1154,0)</f>
        <v>833</v>
      </c>
      <c r="G540" t="s">
        <v>611</v>
      </c>
      <c r="H540" t="s">
        <v>610</v>
      </c>
      <c r="I540">
        <f>MATCH(G540,mapPRC!$A$2:$A$1154,0)</f>
        <v>807</v>
      </c>
    </row>
    <row r="541" spans="1:9" x14ac:dyDescent="0.25">
      <c r="A541" t="s">
        <v>552</v>
      </c>
      <c r="B541" t="s">
        <v>5398</v>
      </c>
      <c r="C541">
        <f>MATCH(A541,mapPRC!A$2:A$1154,0)</f>
        <v>834</v>
      </c>
      <c r="G541" t="s">
        <v>41</v>
      </c>
      <c r="H541" t="s">
        <v>40</v>
      </c>
      <c r="I541">
        <f>MATCH(G541,mapPRC!$A$2:$A$1154,0)</f>
        <v>808</v>
      </c>
    </row>
    <row r="542" spans="1:9" x14ac:dyDescent="0.25">
      <c r="A542" t="s">
        <v>557</v>
      </c>
      <c r="B542" t="s">
        <v>5396</v>
      </c>
      <c r="C542">
        <f>MATCH(A542,mapPRC!A$2:A$1154,0)</f>
        <v>835</v>
      </c>
      <c r="G542" t="s">
        <v>609</v>
      </c>
      <c r="H542" t="s">
        <v>608</v>
      </c>
      <c r="I542">
        <f>MATCH(G542,mapPRC!$A$2:$A$1154,0)</f>
        <v>809</v>
      </c>
    </row>
    <row r="543" spans="1:9" x14ac:dyDescent="0.25">
      <c r="A543" t="s">
        <v>35</v>
      </c>
      <c r="B543" t="s">
        <v>5399</v>
      </c>
      <c r="C543">
        <f>MATCH(A543,mapPRC!A$2:A$1154,0)</f>
        <v>836</v>
      </c>
      <c r="G543" t="s">
        <v>607</v>
      </c>
      <c r="H543" t="s">
        <v>606</v>
      </c>
      <c r="I543">
        <f>MATCH(G543,mapPRC!$A$2:$A$1154,0)</f>
        <v>810</v>
      </c>
    </row>
    <row r="544" spans="1:9" x14ac:dyDescent="0.25">
      <c r="A544" t="s">
        <v>549</v>
      </c>
      <c r="B544" t="s">
        <v>5400</v>
      </c>
      <c r="C544">
        <f>MATCH(A544,mapPRC!A$2:A$1154,0)</f>
        <v>837</v>
      </c>
      <c r="G544" t="s">
        <v>39</v>
      </c>
      <c r="H544" t="s">
        <v>38</v>
      </c>
      <c r="I544">
        <f>MATCH(G544,mapPRC!$A$2:$A$1154,0)</f>
        <v>811</v>
      </c>
    </row>
    <row r="545" spans="1:9" x14ac:dyDescent="0.25">
      <c r="A545" t="s">
        <v>547</v>
      </c>
      <c r="B545" t="s">
        <v>5401</v>
      </c>
      <c r="C545">
        <f>MATCH(A545,mapPRC!A$2:A$1154,0)</f>
        <v>838</v>
      </c>
      <c r="G545" t="s">
        <v>605</v>
      </c>
      <c r="H545" t="s">
        <v>604</v>
      </c>
      <c r="I545">
        <f>MATCH(G545,mapPRC!$A$2:$A$1154,0)</f>
        <v>812</v>
      </c>
    </row>
    <row r="546" spans="1:9" x14ac:dyDescent="0.25">
      <c r="A546" t="s">
        <v>544</v>
      </c>
      <c r="B546" t="s">
        <v>5402</v>
      </c>
      <c r="C546">
        <f>MATCH(A546,mapPRC!A$2:A$1154,0)</f>
        <v>839</v>
      </c>
      <c r="G546" t="s">
        <v>602</v>
      </c>
      <c r="H546" t="s">
        <v>601</v>
      </c>
      <c r="I546">
        <f>MATCH(G546,mapPRC!$A$2:$A$1154,0)</f>
        <v>813</v>
      </c>
    </row>
    <row r="547" spans="1:9" x14ac:dyDescent="0.25">
      <c r="A547" t="s">
        <v>3078</v>
      </c>
      <c r="B547" t="s">
        <v>5403</v>
      </c>
      <c r="C547">
        <f>MATCH(A547,mapPRC!A$2:A$1154,0)</f>
        <v>840</v>
      </c>
      <c r="G547" t="s">
        <v>600</v>
      </c>
      <c r="H547" t="s">
        <v>599</v>
      </c>
      <c r="I547">
        <f>MATCH(G547,mapPRC!$A$2:$A$1154,0)</f>
        <v>814</v>
      </c>
    </row>
    <row r="548" spans="1:9" x14ac:dyDescent="0.25">
      <c r="A548" t="s">
        <v>32</v>
      </c>
      <c r="B548" t="s">
        <v>5404</v>
      </c>
      <c r="C548">
        <f>MATCH(A548,mapPRC!A$2:A$1154,0)</f>
        <v>841</v>
      </c>
      <c r="G548" t="s">
        <v>597</v>
      </c>
      <c r="H548" t="s">
        <v>596</v>
      </c>
      <c r="I548">
        <f>MATCH(G548,mapPRC!$A$2:$A$1154,0)</f>
        <v>815</v>
      </c>
    </row>
    <row r="549" spans="1:9" x14ac:dyDescent="0.25">
      <c r="A549" t="s">
        <v>541</v>
      </c>
      <c r="B549" t="s">
        <v>5405</v>
      </c>
      <c r="C549">
        <f>MATCH(A549,mapPRC!A$2:A$1154,0)</f>
        <v>842</v>
      </c>
      <c r="G549" t="s">
        <v>595</v>
      </c>
      <c r="H549" t="s">
        <v>594</v>
      </c>
      <c r="I549">
        <f>MATCH(G549,mapPRC!$A$2:$A$1154,0)</f>
        <v>816</v>
      </c>
    </row>
    <row r="550" spans="1:9" x14ac:dyDescent="0.25">
      <c r="A550" t="s">
        <v>538</v>
      </c>
      <c r="B550" t="s">
        <v>5406</v>
      </c>
      <c r="C550">
        <f>MATCH(A550,mapPRC!A$2:A$1154,0)</f>
        <v>843</v>
      </c>
      <c r="G550" t="s">
        <v>593</v>
      </c>
      <c r="H550" t="s">
        <v>592</v>
      </c>
      <c r="I550">
        <f>MATCH(G550,mapPRC!$A$2:$A$1154,0)</f>
        <v>817</v>
      </c>
    </row>
    <row r="551" spans="1:9" x14ac:dyDescent="0.25">
      <c r="A551" t="s">
        <v>535</v>
      </c>
      <c r="B551" t="s">
        <v>5407</v>
      </c>
      <c r="C551">
        <f>MATCH(A551,mapPRC!A$2:A$1154,0)</f>
        <v>844</v>
      </c>
      <c r="G551" t="s">
        <v>591</v>
      </c>
      <c r="H551" t="s">
        <v>590</v>
      </c>
      <c r="I551">
        <f>MATCH(G551,mapPRC!$A$2:$A$1154,0)</f>
        <v>818</v>
      </c>
    </row>
    <row r="552" spans="1:9" x14ac:dyDescent="0.25">
      <c r="A552" t="s">
        <v>531</v>
      </c>
      <c r="B552" t="s">
        <v>5409</v>
      </c>
      <c r="C552">
        <f>MATCH(A552,mapPRC!A$2:A$1154,0)</f>
        <v>845</v>
      </c>
      <c r="G552" t="s">
        <v>589</v>
      </c>
      <c r="H552" t="s">
        <v>587</v>
      </c>
      <c r="I552">
        <f>MATCH(G552,mapPRC!$A$2:$A$1154,0)</f>
        <v>819</v>
      </c>
    </row>
    <row r="553" spans="1:9" x14ac:dyDescent="0.25">
      <c r="A553" t="s">
        <v>533</v>
      </c>
      <c r="B553" t="s">
        <v>5408</v>
      </c>
      <c r="C553">
        <f>MATCH(A553,mapPRC!A$2:A$1154,0)</f>
        <v>846</v>
      </c>
      <c r="G553" t="s">
        <v>588</v>
      </c>
      <c r="H553" t="s">
        <v>587</v>
      </c>
      <c r="I553">
        <f>MATCH(G553,mapPRC!$A$2:$A$1154,0)</f>
        <v>820</v>
      </c>
    </row>
    <row r="554" spans="1:9" x14ac:dyDescent="0.25">
      <c r="A554" t="s">
        <v>529</v>
      </c>
      <c r="B554" t="s">
        <v>5410</v>
      </c>
      <c r="C554">
        <f>MATCH(A554,mapPRC!A$2:A$1154,0)</f>
        <v>847</v>
      </c>
      <c r="G554" t="s">
        <v>586</v>
      </c>
      <c r="H554" t="s">
        <v>585</v>
      </c>
      <c r="I554">
        <f>MATCH(G554,mapPRC!$A$2:$A$1154,0)</f>
        <v>821</v>
      </c>
    </row>
    <row r="555" spans="1:9" x14ac:dyDescent="0.25">
      <c r="A555" t="s">
        <v>3080</v>
      </c>
      <c r="B555" t="s">
        <v>5412</v>
      </c>
      <c r="C555">
        <f>MATCH(A555,mapPRC!A$2:A$1154,0)</f>
        <v>848</v>
      </c>
      <c r="G555" t="s">
        <v>584</v>
      </c>
      <c r="H555" t="s">
        <v>583</v>
      </c>
      <c r="I555">
        <f>MATCH(G555,mapPRC!$A$2:$A$1154,0)</f>
        <v>822</v>
      </c>
    </row>
    <row r="556" spans="1:9" x14ac:dyDescent="0.25">
      <c r="A556" t="s">
        <v>524</v>
      </c>
      <c r="B556" t="s">
        <v>5413</v>
      </c>
      <c r="C556">
        <f>MATCH(A556,mapPRC!A$2:A$1154,0)</f>
        <v>849</v>
      </c>
      <c r="G556" t="s">
        <v>582</v>
      </c>
      <c r="H556" t="s">
        <v>581</v>
      </c>
      <c r="I556">
        <f>MATCH(G556,mapPRC!$A$2:$A$1154,0)</f>
        <v>823</v>
      </c>
    </row>
    <row r="557" spans="1:9" x14ac:dyDescent="0.25">
      <c r="A557" t="s">
        <v>527</v>
      </c>
      <c r="B557" t="s">
        <v>5411</v>
      </c>
      <c r="C557">
        <f>MATCH(A557,mapPRC!A$2:A$1154,0)</f>
        <v>850</v>
      </c>
      <c r="G557" t="s">
        <v>580</v>
      </c>
      <c r="H557" t="s">
        <v>579</v>
      </c>
      <c r="I557">
        <f>MATCH(G557,mapPRC!$A$2:$A$1154,0)</f>
        <v>824</v>
      </c>
    </row>
    <row r="558" spans="1:9" x14ac:dyDescent="0.25">
      <c r="A558" t="s">
        <v>521</v>
      </c>
      <c r="B558" t="s">
        <v>5414</v>
      </c>
      <c r="C558">
        <f>MATCH(A558,mapPRC!A$2:A$1154,0)</f>
        <v>851</v>
      </c>
      <c r="G558" t="s">
        <v>577</v>
      </c>
      <c r="H558" t="s">
        <v>576</v>
      </c>
      <c r="I558">
        <f>MATCH(G558,mapPRC!$A$2:$A$1154,0)</f>
        <v>825</v>
      </c>
    </row>
    <row r="559" spans="1:9" x14ac:dyDescent="0.25">
      <c r="A559" t="s">
        <v>518</v>
      </c>
      <c r="B559" t="s">
        <v>5415</v>
      </c>
      <c r="C559">
        <f>MATCH(A559,mapPRC!A$2:A$1154,0)</f>
        <v>852</v>
      </c>
      <c r="G559" t="s">
        <v>574</v>
      </c>
      <c r="H559" t="s">
        <v>573</v>
      </c>
      <c r="I559">
        <f>MATCH(G559,mapPRC!$A$2:$A$1154,0)</f>
        <v>826</v>
      </c>
    </row>
    <row r="560" spans="1:9" x14ac:dyDescent="0.25">
      <c r="A560" t="s">
        <v>515</v>
      </c>
      <c r="B560" t="s">
        <v>5416</v>
      </c>
      <c r="C560">
        <f>MATCH(A560,mapPRC!A$2:A$1154,0)</f>
        <v>853</v>
      </c>
      <c r="G560" t="s">
        <v>571</v>
      </c>
      <c r="H560" t="s">
        <v>570</v>
      </c>
      <c r="I560">
        <f>MATCH(G560,mapPRC!$A$2:$A$1154,0)</f>
        <v>827</v>
      </c>
    </row>
    <row r="561" spans="1:9" x14ac:dyDescent="0.25">
      <c r="A561" t="s">
        <v>512</v>
      </c>
      <c r="B561" t="s">
        <v>5417</v>
      </c>
      <c r="C561">
        <f>MATCH(A561,mapPRC!A$2:A$1154,0)</f>
        <v>854</v>
      </c>
      <c r="G561" t="s">
        <v>568</v>
      </c>
      <c r="H561" t="s">
        <v>567</v>
      </c>
      <c r="I561">
        <f>MATCH(G561,mapPRC!$A$2:$A$1154,0)</f>
        <v>828</v>
      </c>
    </row>
    <row r="562" spans="1:9" x14ac:dyDescent="0.25">
      <c r="A562" t="s">
        <v>509</v>
      </c>
      <c r="B562" t="s">
        <v>5418</v>
      </c>
      <c r="C562">
        <f>MATCH(A562,mapPRC!A$2:A$1154,0)</f>
        <v>855</v>
      </c>
      <c r="G562" t="s">
        <v>565</v>
      </c>
      <c r="H562" t="s">
        <v>564</v>
      </c>
      <c r="I562">
        <f>MATCH(G562,mapPRC!$A$2:$A$1154,0)</f>
        <v>829</v>
      </c>
    </row>
    <row r="563" spans="1:9" x14ac:dyDescent="0.25">
      <c r="A563" t="s">
        <v>506</v>
      </c>
      <c r="B563" t="s">
        <v>5419</v>
      </c>
      <c r="C563">
        <f>MATCH(A563,mapPRC!A$2:A$1154,0)</f>
        <v>856</v>
      </c>
      <c r="G563" t="s">
        <v>561</v>
      </c>
      <c r="H563" t="s">
        <v>560</v>
      </c>
      <c r="I563">
        <f>MATCH(G563,mapPRC!$A$2:$A$1154,0)</f>
        <v>830</v>
      </c>
    </row>
    <row r="564" spans="1:9" x14ac:dyDescent="0.25">
      <c r="A564" t="s">
        <v>503</v>
      </c>
      <c r="B564" t="s">
        <v>5420</v>
      </c>
      <c r="C564">
        <f>MATCH(A564,mapPRC!A$2:A$1154,0)</f>
        <v>857</v>
      </c>
      <c r="G564" t="s">
        <v>563</v>
      </c>
      <c r="H564" t="s">
        <v>562</v>
      </c>
      <c r="I564">
        <f>MATCH(G564,mapPRC!$A$2:$A$1154,0)</f>
        <v>831</v>
      </c>
    </row>
    <row r="565" spans="1:9" x14ac:dyDescent="0.25">
      <c r="A565" t="s">
        <v>500</v>
      </c>
      <c r="B565" t="s">
        <v>5421</v>
      </c>
      <c r="C565">
        <f>MATCH(A565,mapPRC!A$2:A$1154,0)</f>
        <v>858</v>
      </c>
      <c r="G565" t="s">
        <v>559</v>
      </c>
      <c r="H565" t="s">
        <v>558</v>
      </c>
      <c r="I565">
        <f>MATCH(G565,mapPRC!$A$2:$A$1154,0)</f>
        <v>832</v>
      </c>
    </row>
    <row r="566" spans="1:9" x14ac:dyDescent="0.25">
      <c r="A566" t="s">
        <v>497</v>
      </c>
      <c r="B566" t="s">
        <v>5422</v>
      </c>
      <c r="C566">
        <f>MATCH(A566,mapPRC!A$2:A$1154,0)</f>
        <v>859</v>
      </c>
      <c r="G566" t="s">
        <v>555</v>
      </c>
      <c r="H566" t="s">
        <v>554</v>
      </c>
      <c r="I566">
        <f>MATCH(G566,mapPRC!$A$2:$A$1154,0)</f>
        <v>833</v>
      </c>
    </row>
    <row r="567" spans="1:9" x14ac:dyDescent="0.25">
      <c r="A567" t="s">
        <v>494</v>
      </c>
      <c r="B567" t="s">
        <v>5423</v>
      </c>
      <c r="C567">
        <f>MATCH(A567,mapPRC!A$2:A$1154,0)</f>
        <v>860</v>
      </c>
      <c r="G567" t="s">
        <v>552</v>
      </c>
      <c r="H567" t="s">
        <v>551</v>
      </c>
      <c r="I567">
        <f>MATCH(G567,mapPRC!$A$2:$A$1154,0)</f>
        <v>834</v>
      </c>
    </row>
    <row r="568" spans="1:9" x14ac:dyDescent="0.25">
      <c r="A568" t="s">
        <v>492</v>
      </c>
      <c r="B568" t="s">
        <v>5424</v>
      </c>
      <c r="C568">
        <f>MATCH(A568,mapPRC!A$2:A$1154,0)</f>
        <v>861</v>
      </c>
      <c r="G568" t="s">
        <v>557</v>
      </c>
      <c r="H568" t="s">
        <v>556</v>
      </c>
      <c r="I568">
        <f>MATCH(G568,mapPRC!$A$2:$A$1154,0)</f>
        <v>835</v>
      </c>
    </row>
    <row r="569" spans="1:9" x14ac:dyDescent="0.25">
      <c r="A569" t="s">
        <v>489</v>
      </c>
      <c r="B569" t="s">
        <v>5425</v>
      </c>
      <c r="C569">
        <f>MATCH(A569,mapPRC!A$2:A$1154,0)</f>
        <v>862</v>
      </c>
      <c r="G569" t="s">
        <v>35</v>
      </c>
      <c r="H569" t="s">
        <v>34</v>
      </c>
      <c r="I569">
        <f>MATCH(G569,mapPRC!$A$2:$A$1154,0)</f>
        <v>836</v>
      </c>
    </row>
    <row r="570" spans="1:9" x14ac:dyDescent="0.25">
      <c r="A570" t="s">
        <v>487</v>
      </c>
      <c r="B570" t="s">
        <v>5426</v>
      </c>
      <c r="C570">
        <f>MATCH(A570,mapPRC!A$2:A$1154,0)</f>
        <v>863</v>
      </c>
      <c r="G570" t="s">
        <v>549</v>
      </c>
      <c r="H570" t="s">
        <v>548</v>
      </c>
      <c r="I570">
        <f>MATCH(G570,mapPRC!$A$2:$A$1154,0)</f>
        <v>837</v>
      </c>
    </row>
    <row r="571" spans="1:9" x14ac:dyDescent="0.25">
      <c r="A571" t="s">
        <v>28</v>
      </c>
      <c r="B571" t="s">
        <v>5427</v>
      </c>
      <c r="C571">
        <f>MATCH(A571,mapPRC!A$2:A$1154,0)</f>
        <v>864</v>
      </c>
      <c r="G571" t="s">
        <v>547</v>
      </c>
      <c r="H571" t="s">
        <v>546</v>
      </c>
      <c r="I571">
        <f>MATCH(G571,mapPRC!$A$2:$A$1154,0)</f>
        <v>838</v>
      </c>
    </row>
    <row r="572" spans="1:9" x14ac:dyDescent="0.25">
      <c r="A572" t="s">
        <v>484</v>
      </c>
      <c r="B572" t="s">
        <v>5428</v>
      </c>
      <c r="C572">
        <f>MATCH(A572,mapPRC!A$2:A$1154,0)</f>
        <v>865</v>
      </c>
      <c r="G572" t="s">
        <v>544</v>
      </c>
      <c r="H572" t="s">
        <v>543</v>
      </c>
      <c r="I572">
        <f>MATCH(G572,mapPRC!$A$2:$A$1154,0)</f>
        <v>839</v>
      </c>
    </row>
    <row r="573" spans="1:9" x14ac:dyDescent="0.25">
      <c r="A573" t="s">
        <v>481</v>
      </c>
      <c r="B573" t="s">
        <v>5429</v>
      </c>
      <c r="C573">
        <f>MATCH(A573,mapPRC!A$2:A$1154,0)</f>
        <v>866</v>
      </c>
      <c r="G573" t="s">
        <v>3078</v>
      </c>
      <c r="H573" t="s">
        <v>3079</v>
      </c>
      <c r="I573">
        <f>MATCH(G573,mapPRC!$A$2:$A$1154,0)</f>
        <v>840</v>
      </c>
    </row>
    <row r="574" spans="1:9" x14ac:dyDescent="0.25">
      <c r="A574" t="s">
        <v>478</v>
      </c>
      <c r="B574" t="s">
        <v>5430</v>
      </c>
      <c r="C574">
        <f>MATCH(A574,mapPRC!A$2:A$1154,0)</f>
        <v>867</v>
      </c>
      <c r="G574" t="s">
        <v>32</v>
      </c>
      <c r="H574" t="s">
        <v>31</v>
      </c>
      <c r="I574">
        <f>MATCH(G574,mapPRC!$A$2:$A$1154,0)</f>
        <v>841</v>
      </c>
    </row>
    <row r="575" spans="1:9" x14ac:dyDescent="0.25">
      <c r="A575" t="s">
        <v>474</v>
      </c>
      <c r="B575" t="s">
        <v>5432</v>
      </c>
      <c r="C575">
        <f>MATCH(A575,mapPRC!A$2:A$1154,0)</f>
        <v>868</v>
      </c>
      <c r="G575" t="s">
        <v>541</v>
      </c>
      <c r="H575" t="s">
        <v>540</v>
      </c>
      <c r="I575">
        <f>MATCH(G575,mapPRC!$A$2:$A$1154,0)</f>
        <v>842</v>
      </c>
    </row>
    <row r="576" spans="1:9" x14ac:dyDescent="0.25">
      <c r="A576" t="s">
        <v>476</v>
      </c>
      <c r="B576" t="s">
        <v>5431</v>
      </c>
      <c r="C576">
        <f>MATCH(A576,mapPRC!A$2:A$1154,0)</f>
        <v>869</v>
      </c>
      <c r="G576" t="s">
        <v>538</v>
      </c>
      <c r="H576" t="s">
        <v>537</v>
      </c>
      <c r="I576">
        <f>MATCH(G576,mapPRC!$A$2:$A$1154,0)</f>
        <v>843</v>
      </c>
    </row>
    <row r="577" spans="1:9" x14ac:dyDescent="0.25">
      <c r="A577" t="s">
        <v>471</v>
      </c>
      <c r="B577" t="s">
        <v>5433</v>
      </c>
      <c r="C577">
        <f>MATCH(A577,mapPRC!A$2:A$1154,0)</f>
        <v>870</v>
      </c>
      <c r="G577" t="s">
        <v>535</v>
      </c>
      <c r="H577" t="s">
        <v>534</v>
      </c>
      <c r="I577">
        <f>MATCH(G577,mapPRC!$A$2:$A$1154,0)</f>
        <v>844</v>
      </c>
    </row>
    <row r="578" spans="1:9" x14ac:dyDescent="0.25">
      <c r="A578" t="s">
        <v>469</v>
      </c>
      <c r="B578" t="s">
        <v>5434</v>
      </c>
      <c r="C578">
        <f>MATCH(A578,mapPRC!A$2:A$1154,0)</f>
        <v>871</v>
      </c>
      <c r="G578" t="s">
        <v>531</v>
      </c>
      <c r="H578" t="s">
        <v>530</v>
      </c>
      <c r="I578">
        <f>MATCH(G578,mapPRC!$A$2:$A$1154,0)</f>
        <v>845</v>
      </c>
    </row>
    <row r="579" spans="1:9" x14ac:dyDescent="0.25">
      <c r="A579" t="s">
        <v>466</v>
      </c>
      <c r="B579" t="s">
        <v>5435</v>
      </c>
      <c r="C579">
        <f>MATCH(A579,mapPRC!A$2:A$1154,0)</f>
        <v>872</v>
      </c>
      <c r="G579" t="s">
        <v>533</v>
      </c>
      <c r="H579" t="s">
        <v>532</v>
      </c>
      <c r="I579">
        <f>MATCH(G579,mapPRC!$A$2:$A$1154,0)</f>
        <v>846</v>
      </c>
    </row>
    <row r="580" spans="1:9" x14ac:dyDescent="0.25">
      <c r="A580" t="s">
        <v>464</v>
      </c>
      <c r="B580" t="s">
        <v>5436</v>
      </c>
      <c r="C580">
        <f>MATCH(A580,mapPRC!A$2:A$1154,0)</f>
        <v>873</v>
      </c>
      <c r="G580" t="s">
        <v>529</v>
      </c>
      <c r="H580" t="s">
        <v>528</v>
      </c>
      <c r="I580">
        <f>MATCH(G580,mapPRC!$A$2:$A$1154,0)</f>
        <v>847</v>
      </c>
    </row>
    <row r="581" spans="1:9" x14ac:dyDescent="0.25">
      <c r="A581" t="s">
        <v>461</v>
      </c>
      <c r="B581" t="s">
        <v>5437</v>
      </c>
      <c r="C581">
        <f>MATCH(A581,mapPRC!A$2:A$1154,0)</f>
        <v>874</v>
      </c>
      <c r="G581" t="s">
        <v>3080</v>
      </c>
      <c r="H581" t="s">
        <v>3081</v>
      </c>
      <c r="I581">
        <f>MATCH(G581,mapPRC!$A$2:$A$1154,0)</f>
        <v>848</v>
      </c>
    </row>
    <row r="582" spans="1:9" x14ac:dyDescent="0.25">
      <c r="A582" t="s">
        <v>459</v>
      </c>
      <c r="B582" t="s">
        <v>5438</v>
      </c>
      <c r="C582">
        <f>MATCH(A582,mapPRC!A$2:A$1154,0)</f>
        <v>875</v>
      </c>
      <c r="G582" t="s">
        <v>524</v>
      </c>
      <c r="H582" t="s">
        <v>523</v>
      </c>
      <c r="I582">
        <f>MATCH(G582,mapPRC!$A$2:$A$1154,0)</f>
        <v>849</v>
      </c>
    </row>
    <row r="583" spans="1:9" x14ac:dyDescent="0.25">
      <c r="A583" t="s">
        <v>441</v>
      </c>
      <c r="B583" t="s">
        <v>5439</v>
      </c>
      <c r="C583">
        <f>MATCH(A583,mapPRC!A$2:A$1154,0)</f>
        <v>891</v>
      </c>
      <c r="G583" t="s">
        <v>527</v>
      </c>
      <c r="H583" t="s">
        <v>526</v>
      </c>
      <c r="I583">
        <f>MATCH(G583,mapPRC!$A$2:$A$1154,0)</f>
        <v>850</v>
      </c>
    </row>
    <row r="584" spans="1:9" x14ac:dyDescent="0.25">
      <c r="A584" t="s">
        <v>437</v>
      </c>
      <c r="B584" t="s">
        <v>5440</v>
      </c>
      <c r="C584">
        <f>MATCH(A584,mapPRC!A$2:A$1154,0)</f>
        <v>892</v>
      </c>
      <c r="G584" t="s">
        <v>521</v>
      </c>
      <c r="H584" t="s">
        <v>520</v>
      </c>
      <c r="I584">
        <f>MATCH(G584,mapPRC!$A$2:$A$1154,0)</f>
        <v>851</v>
      </c>
    </row>
    <row r="585" spans="1:9" x14ac:dyDescent="0.25">
      <c r="A585" t="s">
        <v>435</v>
      </c>
      <c r="B585" t="s">
        <v>5441</v>
      </c>
      <c r="C585">
        <f>MATCH(A585,mapPRC!A$2:A$1154,0)</f>
        <v>900</v>
      </c>
      <c r="G585" t="s">
        <v>518</v>
      </c>
      <c r="H585" t="s">
        <v>517</v>
      </c>
      <c r="I585">
        <f>MATCH(G585,mapPRC!$A$2:$A$1154,0)</f>
        <v>852</v>
      </c>
    </row>
    <row r="586" spans="1:9" x14ac:dyDescent="0.25">
      <c r="A586" t="s">
        <v>433</v>
      </c>
      <c r="B586" t="s">
        <v>5442</v>
      </c>
      <c r="C586">
        <f>MATCH(A586,mapPRC!A$2:A$1154,0)</f>
        <v>901</v>
      </c>
      <c r="G586" t="s">
        <v>515</v>
      </c>
      <c r="H586" t="s">
        <v>514</v>
      </c>
      <c r="I586">
        <f>MATCH(G586,mapPRC!$A$2:$A$1154,0)</f>
        <v>853</v>
      </c>
    </row>
    <row r="587" spans="1:9" x14ac:dyDescent="0.25">
      <c r="A587" t="s">
        <v>431</v>
      </c>
      <c r="B587" t="s">
        <v>5443</v>
      </c>
      <c r="C587">
        <f>MATCH(A587,mapPRC!A$2:A$1154,0)</f>
        <v>903</v>
      </c>
      <c r="G587" t="s">
        <v>512</v>
      </c>
      <c r="H587" t="s">
        <v>511</v>
      </c>
      <c r="I587">
        <f>MATCH(G587,mapPRC!$A$2:$A$1154,0)</f>
        <v>854</v>
      </c>
    </row>
    <row r="588" spans="1:9" x14ac:dyDescent="0.25">
      <c r="A588" t="s">
        <v>427</v>
      </c>
      <c r="B588" t="s">
        <v>5444</v>
      </c>
      <c r="C588">
        <f>MATCH(A588,mapPRC!A$2:A$1154,0)</f>
        <v>904</v>
      </c>
      <c r="G588" t="s">
        <v>509</v>
      </c>
      <c r="H588" t="s">
        <v>508</v>
      </c>
      <c r="I588">
        <f>MATCH(G588,mapPRC!$A$2:$A$1154,0)</f>
        <v>855</v>
      </c>
    </row>
    <row r="589" spans="1:9" x14ac:dyDescent="0.25">
      <c r="A589" t="s">
        <v>425</v>
      </c>
      <c r="B589" t="s">
        <v>5445</v>
      </c>
      <c r="C589">
        <f>MATCH(A589,mapPRC!A$2:A$1154,0)</f>
        <v>905</v>
      </c>
      <c r="D589">
        <v>1</v>
      </c>
      <c r="G589" t="s">
        <v>506</v>
      </c>
      <c r="H589" t="s">
        <v>505</v>
      </c>
      <c r="I589">
        <f>MATCH(G589,mapPRC!$A$2:$A$1154,0)</f>
        <v>856</v>
      </c>
    </row>
    <row r="590" spans="1:9" x14ac:dyDescent="0.25">
      <c r="A590" t="s">
        <v>422</v>
      </c>
      <c r="B590" t="s">
        <v>5446</v>
      </c>
      <c r="C590">
        <f>MATCH(A590,mapPRC!A$2:A$1154,0)</f>
        <v>906</v>
      </c>
      <c r="G590" t="s">
        <v>503</v>
      </c>
      <c r="H590" t="s">
        <v>502</v>
      </c>
      <c r="I590">
        <f>MATCH(G590,mapPRC!$A$2:$A$1154,0)</f>
        <v>857</v>
      </c>
    </row>
    <row r="591" spans="1:9" x14ac:dyDescent="0.25">
      <c r="A591" t="s">
        <v>420</v>
      </c>
      <c r="B591" t="s">
        <v>5447</v>
      </c>
      <c r="C591">
        <f>MATCH(A591,mapPRC!A$2:A$1154,0)</f>
        <v>907</v>
      </c>
      <c r="G591" t="s">
        <v>500</v>
      </c>
      <c r="H591" t="s">
        <v>499</v>
      </c>
      <c r="I591">
        <f>MATCH(G591,mapPRC!$A$2:$A$1154,0)</f>
        <v>858</v>
      </c>
    </row>
    <row r="592" spans="1:9" x14ac:dyDescent="0.25">
      <c r="A592" t="s">
        <v>418</v>
      </c>
      <c r="B592" t="s">
        <v>5448</v>
      </c>
      <c r="C592">
        <f>MATCH(A592,mapPRC!A$2:A$1154,0)</f>
        <v>908</v>
      </c>
      <c r="G592" t="s">
        <v>497</v>
      </c>
      <c r="H592" t="s">
        <v>496</v>
      </c>
      <c r="I592">
        <f>MATCH(G592,mapPRC!$A$2:$A$1154,0)</f>
        <v>859</v>
      </c>
    </row>
    <row r="593" spans="1:9" x14ac:dyDescent="0.25">
      <c r="A593" t="s">
        <v>415</v>
      </c>
      <c r="B593" t="s">
        <v>5449</v>
      </c>
      <c r="C593">
        <f>MATCH(A593,mapPRC!A$2:A$1154,0)</f>
        <v>909</v>
      </c>
      <c r="G593" t="s">
        <v>494</v>
      </c>
      <c r="H593" t="s">
        <v>493</v>
      </c>
      <c r="I593">
        <f>MATCH(G593,mapPRC!$A$2:$A$1154,0)</f>
        <v>860</v>
      </c>
    </row>
    <row r="594" spans="1:9" x14ac:dyDescent="0.25">
      <c r="A594" t="s">
        <v>413</v>
      </c>
      <c r="B594" t="s">
        <v>5450</v>
      </c>
      <c r="C594">
        <f>MATCH(A594,mapPRC!A$2:A$1154,0)</f>
        <v>910</v>
      </c>
      <c r="G594" t="s">
        <v>492</v>
      </c>
      <c r="H594" t="s">
        <v>491</v>
      </c>
      <c r="I594">
        <f>MATCH(G594,mapPRC!$A$2:$A$1154,0)</f>
        <v>861</v>
      </c>
    </row>
    <row r="595" spans="1:9" x14ac:dyDescent="0.25">
      <c r="A595" t="s">
        <v>402</v>
      </c>
      <c r="B595" t="s">
        <v>5452</v>
      </c>
      <c r="C595">
        <f>MATCH(A595,mapPRC!A$2:A$1154,0)</f>
        <v>913</v>
      </c>
      <c r="G595" t="s">
        <v>489</v>
      </c>
      <c r="H595" t="s">
        <v>488</v>
      </c>
      <c r="I595">
        <f>MATCH(G595,mapPRC!$A$2:$A$1154,0)</f>
        <v>862</v>
      </c>
    </row>
    <row r="596" spans="1:9" x14ac:dyDescent="0.25">
      <c r="A596" t="s">
        <v>405</v>
      </c>
      <c r="B596" t="s">
        <v>5451</v>
      </c>
      <c r="C596">
        <f>MATCH(A596,mapPRC!A$2:A$1154,0)</f>
        <v>914</v>
      </c>
      <c r="G596" t="s">
        <v>487</v>
      </c>
      <c r="H596" t="s">
        <v>486</v>
      </c>
      <c r="I596">
        <f>MATCH(G596,mapPRC!$A$2:$A$1154,0)</f>
        <v>863</v>
      </c>
    </row>
    <row r="597" spans="1:9" x14ac:dyDescent="0.25">
      <c r="A597" t="s">
        <v>5453</v>
      </c>
      <c r="B597" t="s">
        <v>5454</v>
      </c>
      <c r="C597">
        <f>MATCH(A597,mapPRC!A$2:A$1154,0)</f>
        <v>915</v>
      </c>
      <c r="G597" t="s">
        <v>28</v>
      </c>
      <c r="H597" t="s">
        <v>27</v>
      </c>
      <c r="I597">
        <f>MATCH(G597,mapPRC!$A$2:$A$1154,0)</f>
        <v>864</v>
      </c>
    </row>
    <row r="598" spans="1:9" x14ac:dyDescent="0.25">
      <c r="A598" t="s">
        <v>398</v>
      </c>
      <c r="B598" t="s">
        <v>5455</v>
      </c>
      <c r="C598">
        <f>MATCH(A598,mapPRC!A$2:A$1154,0)</f>
        <v>916</v>
      </c>
      <c r="G598" t="s">
        <v>484</v>
      </c>
      <c r="H598" t="s">
        <v>483</v>
      </c>
      <c r="I598">
        <f>MATCH(G598,mapPRC!$A$2:$A$1154,0)</f>
        <v>865</v>
      </c>
    </row>
    <row r="599" spans="1:9" x14ac:dyDescent="0.25">
      <c r="A599" t="s">
        <v>396</v>
      </c>
      <c r="B599" t="s">
        <v>5456</v>
      </c>
      <c r="C599">
        <f>MATCH(A599,mapPRC!A$2:A$1154,0)</f>
        <v>917</v>
      </c>
      <c r="G599" t="s">
        <v>481</v>
      </c>
      <c r="H599" t="s">
        <v>480</v>
      </c>
      <c r="I599">
        <f>MATCH(G599,mapPRC!$A$2:$A$1154,0)</f>
        <v>866</v>
      </c>
    </row>
    <row r="600" spans="1:9" x14ac:dyDescent="0.25">
      <c r="A600" t="s">
        <v>394</v>
      </c>
      <c r="B600" t="s">
        <v>5457</v>
      </c>
      <c r="C600">
        <f>MATCH(A600,mapPRC!A$2:A$1154,0)</f>
        <v>918</v>
      </c>
      <c r="G600" t="s">
        <v>478</v>
      </c>
      <c r="H600" t="s">
        <v>477</v>
      </c>
      <c r="I600">
        <f>MATCH(G600,mapPRC!$A$2:$A$1154,0)</f>
        <v>867</v>
      </c>
    </row>
    <row r="601" spans="1:9" x14ac:dyDescent="0.25">
      <c r="A601" t="s">
        <v>385</v>
      </c>
      <c r="B601" t="s">
        <v>5458</v>
      </c>
      <c r="C601">
        <f>MATCH(A601,mapPRC!A$2:A$1154,0)</f>
        <v>921</v>
      </c>
      <c r="G601" t="s">
        <v>474</v>
      </c>
      <c r="H601" t="s">
        <v>473</v>
      </c>
      <c r="I601">
        <f>MATCH(G601,mapPRC!$A$2:$A$1154,0)</f>
        <v>868</v>
      </c>
    </row>
    <row r="602" spans="1:9" x14ac:dyDescent="0.25">
      <c r="A602" t="s">
        <v>370</v>
      </c>
      <c r="B602" t="s">
        <v>5459</v>
      </c>
      <c r="C602">
        <f>MATCH(A602,mapPRC!A$2:A$1154,0)</f>
        <v>928</v>
      </c>
      <c r="G602" t="s">
        <v>476</v>
      </c>
      <c r="H602" t="s">
        <v>475</v>
      </c>
      <c r="I602">
        <f>MATCH(G602,mapPRC!$A$2:$A$1154,0)</f>
        <v>869</v>
      </c>
    </row>
    <row r="603" spans="1:9" x14ac:dyDescent="0.25">
      <c r="A603" t="s">
        <v>368</v>
      </c>
      <c r="B603" t="s">
        <v>5460</v>
      </c>
      <c r="C603">
        <f>MATCH(A603,mapPRC!A$2:A$1154,0)</f>
        <v>929</v>
      </c>
      <c r="G603" t="s">
        <v>471</v>
      </c>
      <c r="H603" t="s">
        <v>470</v>
      </c>
      <c r="I603">
        <f>MATCH(G603,mapPRC!$A$2:$A$1154,0)</f>
        <v>870</v>
      </c>
    </row>
    <row r="604" spans="1:9" x14ac:dyDescent="0.25">
      <c r="A604" t="s">
        <v>365</v>
      </c>
      <c r="B604" t="s">
        <v>5461</v>
      </c>
      <c r="C604">
        <f>MATCH(A604,mapPRC!A$2:A$1154,0)</f>
        <v>930</v>
      </c>
      <c r="G604" t="s">
        <v>469</v>
      </c>
      <c r="H604" t="s">
        <v>468</v>
      </c>
      <c r="I604">
        <f>MATCH(G604,mapPRC!$A$2:$A$1154,0)</f>
        <v>871</v>
      </c>
    </row>
    <row r="605" spans="1:9" x14ac:dyDescent="0.25">
      <c r="A605" t="s">
        <v>363</v>
      </c>
      <c r="B605" t="s">
        <v>5462</v>
      </c>
      <c r="C605">
        <f>MATCH(A605,mapPRC!A$2:A$1154,0)</f>
        <v>931</v>
      </c>
      <c r="G605" t="s">
        <v>466</v>
      </c>
      <c r="H605" t="s">
        <v>465</v>
      </c>
      <c r="I605">
        <f>MATCH(G605,mapPRC!$A$2:$A$1154,0)</f>
        <v>872</v>
      </c>
    </row>
    <row r="606" spans="1:9" x14ac:dyDescent="0.25">
      <c r="A606" t="s">
        <v>361</v>
      </c>
      <c r="B606" t="s">
        <v>5463</v>
      </c>
      <c r="C606">
        <f>MATCH(A606,mapPRC!A$2:A$1154,0)</f>
        <v>932</v>
      </c>
      <c r="G606" t="s">
        <v>464</v>
      </c>
      <c r="H606" t="s">
        <v>463</v>
      </c>
      <c r="I606">
        <f>MATCH(G606,mapPRC!$A$2:$A$1154,0)</f>
        <v>873</v>
      </c>
    </row>
    <row r="607" spans="1:9" x14ac:dyDescent="0.25">
      <c r="A607" t="s">
        <v>359</v>
      </c>
      <c r="B607" t="s">
        <v>5464</v>
      </c>
      <c r="C607">
        <f>MATCH(A607,mapPRC!A$2:A$1154,0)</f>
        <v>933</v>
      </c>
      <c r="G607" t="s">
        <v>461</v>
      </c>
      <c r="H607" t="s">
        <v>460</v>
      </c>
      <c r="I607">
        <f>MATCH(G607,mapPRC!$A$2:$A$1154,0)</f>
        <v>874</v>
      </c>
    </row>
    <row r="608" spans="1:9" x14ac:dyDescent="0.25">
      <c r="A608" t="s">
        <v>357</v>
      </c>
      <c r="B608" t="s">
        <v>5465</v>
      </c>
      <c r="C608">
        <f>MATCH(A608,mapPRC!A$2:A$1154,0)</f>
        <v>934</v>
      </c>
      <c r="G608" t="s">
        <v>459</v>
      </c>
      <c r="H608" t="s">
        <v>458</v>
      </c>
      <c r="I608">
        <f>MATCH(G608,mapPRC!$A$2:$A$1154,0)</f>
        <v>875</v>
      </c>
    </row>
    <row r="609" spans="1:10" x14ac:dyDescent="0.25">
      <c r="A609" t="s">
        <v>355</v>
      </c>
      <c r="B609" t="s">
        <v>5466</v>
      </c>
      <c r="C609">
        <f>MATCH(A609,mapPRC!A$2:A$1154,0)</f>
        <v>937</v>
      </c>
      <c r="G609" t="s">
        <v>456</v>
      </c>
      <c r="H609" t="s">
        <v>455</v>
      </c>
      <c r="I609">
        <f>MATCH(G609,mapPRC!$A$2:$A$1154,0)</f>
        <v>876</v>
      </c>
    </row>
    <row r="610" spans="1:10" x14ac:dyDescent="0.25">
      <c r="A610" t="s">
        <v>353</v>
      </c>
      <c r="B610" t="s">
        <v>5467</v>
      </c>
      <c r="C610">
        <f>MATCH(A610,mapPRC!A$2:A$1154,0)</f>
        <v>938</v>
      </c>
      <c r="G610" t="s">
        <v>454</v>
      </c>
      <c r="H610" t="s">
        <v>453</v>
      </c>
      <c r="I610">
        <f>MATCH(G610,mapPRC!$A$2:$A$1154,0)</f>
        <v>877</v>
      </c>
    </row>
    <row r="611" spans="1:10" x14ac:dyDescent="0.25">
      <c r="A611" t="s">
        <v>350</v>
      </c>
      <c r="B611" t="s">
        <v>5468</v>
      </c>
      <c r="C611">
        <f>MATCH(A611,mapPRC!A$2:A$1154,0)</f>
        <v>939</v>
      </c>
      <c r="G611" t="s">
        <v>452</v>
      </c>
      <c r="H611" t="s">
        <v>451</v>
      </c>
      <c r="I611">
        <f>MATCH(G611,mapPRC!$A$2:$A$1154,0)</f>
        <v>878</v>
      </c>
    </row>
    <row r="612" spans="1:10" x14ac:dyDescent="0.25">
      <c r="A612" t="s">
        <v>348</v>
      </c>
      <c r="B612" t="s">
        <v>5469</v>
      </c>
      <c r="C612">
        <f>MATCH(A612,mapPRC!A$2:A$1154,0)</f>
        <v>940</v>
      </c>
      <c r="G612" t="s">
        <v>450</v>
      </c>
      <c r="H612" t="s">
        <v>449</v>
      </c>
      <c r="I612">
        <f>MATCH(G612,mapPRC!$A$2:$A$1154,0)</f>
        <v>879</v>
      </c>
    </row>
    <row r="613" spans="1:10" x14ac:dyDescent="0.25">
      <c r="A613" t="s">
        <v>346</v>
      </c>
      <c r="B613" t="s">
        <v>5470</v>
      </c>
      <c r="C613">
        <f>MATCH(A613,mapPRC!A$2:A$1154,0)</f>
        <v>941</v>
      </c>
      <c r="G613" t="s">
        <v>447</v>
      </c>
      <c r="H613" t="s">
        <v>446</v>
      </c>
      <c r="I613">
        <f>MATCH(G613,mapPRC!$A$2:$A$1154,0)</f>
        <v>880</v>
      </c>
    </row>
    <row r="614" spans="1:10" x14ac:dyDescent="0.25">
      <c r="A614" t="s">
        <v>344</v>
      </c>
      <c r="B614" t="s">
        <v>5471</v>
      </c>
      <c r="C614">
        <f>MATCH(A614,mapPRC!A$2:A$1154,0)</f>
        <v>942</v>
      </c>
      <c r="G614" t="s">
        <v>3702</v>
      </c>
      <c r="H614" t="s">
        <v>3703</v>
      </c>
      <c r="I614">
        <f>MATCH(G614,mapPRC!$A$2:$A$1154,0)</f>
        <v>881</v>
      </c>
      <c r="J614">
        <v>1</v>
      </c>
    </row>
    <row r="615" spans="1:10" x14ac:dyDescent="0.25">
      <c r="A615" t="s">
        <v>342</v>
      </c>
      <c r="B615" t="s">
        <v>5472</v>
      </c>
      <c r="C615">
        <f>MATCH(A615,mapPRC!A$2:A$1154,0)</f>
        <v>943</v>
      </c>
      <c r="G615" t="s">
        <v>3704</v>
      </c>
      <c r="H615" t="s">
        <v>3705</v>
      </c>
      <c r="I615">
        <f>MATCH(G615,mapPRC!$A$2:$A$1154,0)</f>
        <v>884</v>
      </c>
      <c r="J615">
        <v>1</v>
      </c>
    </row>
    <row r="616" spans="1:10" x14ac:dyDescent="0.25">
      <c r="A616" t="s">
        <v>340</v>
      </c>
      <c r="B616" t="s">
        <v>5473</v>
      </c>
      <c r="C616">
        <f>MATCH(A616,mapPRC!A$2:A$1154,0)</f>
        <v>944</v>
      </c>
      <c r="G616" t="s">
        <v>3706</v>
      </c>
      <c r="H616" t="s">
        <v>3707</v>
      </c>
      <c r="I616">
        <f>MATCH(G616,mapPRC!$A$2:$A$1154,0)</f>
        <v>885</v>
      </c>
      <c r="J616">
        <v>1</v>
      </c>
    </row>
    <row r="617" spans="1:10" x14ac:dyDescent="0.25">
      <c r="A617" t="s">
        <v>338</v>
      </c>
      <c r="B617" t="s">
        <v>5474</v>
      </c>
      <c r="C617">
        <f>MATCH(A617,mapPRC!A$2:A$1154,0)</f>
        <v>945</v>
      </c>
      <c r="G617" t="s">
        <v>3708</v>
      </c>
      <c r="H617" t="s">
        <v>3709</v>
      </c>
      <c r="I617">
        <f>MATCH(G617,mapPRC!$A$2:$A$1154,0)</f>
        <v>886</v>
      </c>
      <c r="J617">
        <v>1</v>
      </c>
    </row>
    <row r="618" spans="1:10" x14ac:dyDescent="0.25">
      <c r="A618" t="s">
        <v>333</v>
      </c>
      <c r="B618" t="s">
        <v>5475</v>
      </c>
      <c r="C618">
        <f>MATCH(A618,mapPRC!A$2:A$1154,0)</f>
        <v>947</v>
      </c>
      <c r="G618" t="s">
        <v>443</v>
      </c>
      <c r="H618" t="s">
        <v>442</v>
      </c>
      <c r="I618">
        <f>MATCH(G618,mapPRC!$A$2:$A$1154,0)</f>
        <v>890</v>
      </c>
    </row>
    <row r="619" spans="1:10" x14ac:dyDescent="0.25">
      <c r="A619" t="s">
        <v>328</v>
      </c>
      <c r="B619" t="s">
        <v>5476</v>
      </c>
      <c r="C619">
        <f>MATCH(A619,mapPRC!A$2:A$1154,0)</f>
        <v>949</v>
      </c>
      <c r="G619" t="s">
        <v>441</v>
      </c>
      <c r="H619" t="s">
        <v>440</v>
      </c>
      <c r="I619">
        <f>MATCH(G619,mapPRC!$A$2:$A$1154,0)</f>
        <v>891</v>
      </c>
    </row>
    <row r="620" spans="1:10" x14ac:dyDescent="0.25">
      <c r="A620" t="s">
        <v>318</v>
      </c>
      <c r="B620" t="s">
        <v>5477</v>
      </c>
      <c r="C620">
        <f>MATCH(A620,mapPRC!A$2:A$1154,0)</f>
        <v>954</v>
      </c>
      <c r="G620" t="s">
        <v>437</v>
      </c>
      <c r="H620" t="s">
        <v>436</v>
      </c>
      <c r="I620">
        <f>MATCH(G620,mapPRC!$A$2:$A$1154,0)</f>
        <v>892</v>
      </c>
    </row>
    <row r="621" spans="1:10" x14ac:dyDescent="0.25">
      <c r="A621" t="s">
        <v>305</v>
      </c>
      <c r="B621" t="s">
        <v>5478</v>
      </c>
      <c r="C621">
        <f>MATCH(A621,mapPRC!A$2:A$1154,0)</f>
        <v>961</v>
      </c>
      <c r="G621" t="s">
        <v>3578</v>
      </c>
      <c r="H621" t="s">
        <v>3579</v>
      </c>
      <c r="I621">
        <f>MATCH(G621,mapPRC!$A$2:$A$1154,0)</f>
        <v>897</v>
      </c>
    </row>
    <row r="622" spans="1:10" x14ac:dyDescent="0.25">
      <c r="A622" t="s">
        <v>301</v>
      </c>
      <c r="B622" t="s">
        <v>5479</v>
      </c>
      <c r="C622">
        <f>MATCH(A622,mapPRC!A$2:A$1154,0)</f>
        <v>963</v>
      </c>
      <c r="G622" t="s">
        <v>3455</v>
      </c>
      <c r="H622" t="s">
        <v>3456</v>
      </c>
      <c r="I622">
        <f>MATCH(G622,mapPRC!$A$2:$A$1154,0)</f>
        <v>895</v>
      </c>
    </row>
    <row r="623" spans="1:10" x14ac:dyDescent="0.25">
      <c r="A623" t="s">
        <v>3514</v>
      </c>
      <c r="B623" t="s">
        <v>5480</v>
      </c>
      <c r="C623">
        <f>MATCH(A623,mapPRC!A$2:A$1154,0)</f>
        <v>964</v>
      </c>
      <c r="G623" t="s">
        <v>3457</v>
      </c>
      <c r="H623" t="s">
        <v>3458</v>
      </c>
      <c r="I623">
        <f>MATCH(G623,mapPRC!$A$2:$A$1154,0)</f>
        <v>896</v>
      </c>
    </row>
    <row r="624" spans="1:10" x14ac:dyDescent="0.25">
      <c r="A624" t="s">
        <v>299</v>
      </c>
      <c r="B624" t="s">
        <v>5481</v>
      </c>
      <c r="C624">
        <f>MATCH(A624,mapPRC!A$2:A$1154,0)</f>
        <v>965</v>
      </c>
      <c r="G624" t="s">
        <v>3459</v>
      </c>
      <c r="H624" t="s">
        <v>3460</v>
      </c>
      <c r="I624">
        <f>MATCH(G624,mapPRC!$A$2:$A$1154,0)</f>
        <v>899</v>
      </c>
    </row>
    <row r="625" spans="1:10" x14ac:dyDescent="0.25">
      <c r="A625" t="s">
        <v>23</v>
      </c>
      <c r="B625" t="s">
        <v>5482</v>
      </c>
      <c r="C625">
        <f>MATCH(A625,mapPRC!A$2:A$1154,0)</f>
        <v>966</v>
      </c>
      <c r="G625" t="s">
        <v>435</v>
      </c>
      <c r="H625" t="s">
        <v>434</v>
      </c>
      <c r="I625">
        <f>MATCH(G625,mapPRC!$A$2:$A$1154,0)</f>
        <v>900</v>
      </c>
    </row>
    <row r="626" spans="1:10" x14ac:dyDescent="0.25">
      <c r="A626" t="s">
        <v>5483</v>
      </c>
      <c r="B626" t="s">
        <v>5484</v>
      </c>
      <c r="C626">
        <f>MATCH(A626,mapPRC!A$2:A$1154,0)</f>
        <v>967</v>
      </c>
      <c r="D626">
        <v>1</v>
      </c>
      <c r="G626" t="s">
        <v>433</v>
      </c>
      <c r="H626" t="s">
        <v>432</v>
      </c>
      <c r="I626">
        <f>MATCH(G626,mapPRC!$A$2:$A$1154,0)</f>
        <v>901</v>
      </c>
    </row>
    <row r="627" spans="1:10" x14ac:dyDescent="0.25">
      <c r="A627" t="s">
        <v>297</v>
      </c>
      <c r="B627" t="s">
        <v>5485</v>
      </c>
      <c r="C627">
        <f>MATCH(A627,mapPRC!A$2:A$1154,0)</f>
        <v>968</v>
      </c>
      <c r="G627" t="s">
        <v>431</v>
      </c>
      <c r="H627" t="s">
        <v>430</v>
      </c>
      <c r="I627">
        <f>MATCH(G627,mapPRC!$A$2:$A$1154,0)</f>
        <v>903</v>
      </c>
    </row>
    <row r="628" spans="1:10" x14ac:dyDescent="0.25">
      <c r="A628" t="s">
        <v>295</v>
      </c>
      <c r="B628" t="s">
        <v>5486</v>
      </c>
      <c r="C628">
        <f>MATCH(A628,mapPRC!A$2:A$1154,0)</f>
        <v>969</v>
      </c>
      <c r="G628" t="s">
        <v>427</v>
      </c>
      <c r="H628" t="s">
        <v>426</v>
      </c>
      <c r="I628">
        <f>MATCH(G628,mapPRC!$A$2:$A$1154,0)</f>
        <v>904</v>
      </c>
    </row>
    <row r="629" spans="1:10" x14ac:dyDescent="0.25">
      <c r="A629" t="s">
        <v>293</v>
      </c>
      <c r="B629" t="s">
        <v>5487</v>
      </c>
      <c r="C629">
        <f>MATCH(A629,mapPRC!A$2:A$1154,0)</f>
        <v>970</v>
      </c>
      <c r="G629" t="s">
        <v>425</v>
      </c>
      <c r="H629" t="s">
        <v>424</v>
      </c>
      <c r="I629">
        <f>MATCH(G629,mapPRC!$A$2:$A$1154,0)</f>
        <v>905</v>
      </c>
    </row>
    <row r="630" spans="1:10" x14ac:dyDescent="0.25">
      <c r="A630" t="s">
        <v>289</v>
      </c>
      <c r="B630" t="s">
        <v>5488</v>
      </c>
      <c r="C630">
        <f>MATCH(A630,mapPRC!A$2:A$1154,0)</f>
        <v>972</v>
      </c>
      <c r="G630" t="s">
        <v>422</v>
      </c>
      <c r="H630" t="s">
        <v>421</v>
      </c>
      <c r="I630">
        <f>MATCH(G630,mapPRC!$A$2:$A$1154,0)</f>
        <v>906</v>
      </c>
    </row>
    <row r="631" spans="1:10" x14ac:dyDescent="0.25">
      <c r="A631" t="s">
        <v>5489</v>
      </c>
      <c r="B631" t="s">
        <v>5490</v>
      </c>
      <c r="C631">
        <f>MATCH(A631,mapPRC!A$2:A$1154,0)</f>
        <v>973</v>
      </c>
      <c r="D631">
        <v>1</v>
      </c>
      <c r="G631" t="s">
        <v>420</v>
      </c>
      <c r="H631" t="s">
        <v>419</v>
      </c>
      <c r="I631">
        <f>MATCH(G631,mapPRC!$A$2:$A$1154,0)</f>
        <v>907</v>
      </c>
    </row>
    <row r="632" spans="1:10" x14ac:dyDescent="0.25">
      <c r="A632" t="s">
        <v>3574</v>
      </c>
      <c r="B632" t="s">
        <v>5830</v>
      </c>
      <c r="C632">
        <f>MATCH(A632,mapPRC!A$2:A$1154,0)</f>
        <v>974</v>
      </c>
      <c r="G632" t="s">
        <v>418</v>
      </c>
      <c r="H632" t="s">
        <v>417</v>
      </c>
      <c r="I632">
        <f>MATCH(G632,mapPRC!$A$2:$A$1154,0)</f>
        <v>908</v>
      </c>
    </row>
    <row r="633" spans="1:10" x14ac:dyDescent="0.25">
      <c r="A633" t="s">
        <v>287</v>
      </c>
      <c r="B633" t="s">
        <v>5491</v>
      </c>
      <c r="C633">
        <f>MATCH(A633,mapPRC!A$2:A$1154,0)</f>
        <v>976</v>
      </c>
      <c r="G633" t="s">
        <v>415</v>
      </c>
      <c r="H633" t="s">
        <v>414</v>
      </c>
      <c r="I633">
        <f>MATCH(G633,mapPRC!$A$2:$A$1154,0)</f>
        <v>909</v>
      </c>
    </row>
    <row r="634" spans="1:10" x14ac:dyDescent="0.25">
      <c r="A634" t="s">
        <v>285</v>
      </c>
      <c r="B634" t="s">
        <v>5492</v>
      </c>
      <c r="C634">
        <f>MATCH(A634,mapPRC!A$2:A$1154,0)</f>
        <v>977</v>
      </c>
      <c r="G634" t="s">
        <v>413</v>
      </c>
      <c r="H634" t="s">
        <v>412</v>
      </c>
      <c r="I634">
        <f>MATCH(G634,mapPRC!$A$2:$A$1154,0)</f>
        <v>910</v>
      </c>
    </row>
    <row r="635" spans="1:10" x14ac:dyDescent="0.25">
      <c r="A635" t="s">
        <v>283</v>
      </c>
      <c r="B635" t="s">
        <v>5493</v>
      </c>
      <c r="C635">
        <f>MATCH(A635,mapPRC!A$2:A$1154,0)</f>
        <v>978</v>
      </c>
      <c r="G635" t="s">
        <v>410</v>
      </c>
      <c r="H635" t="s">
        <v>409</v>
      </c>
      <c r="I635">
        <f>MATCH(G635,mapPRC!$A$2:$A$1154,0)</f>
        <v>911</v>
      </c>
    </row>
    <row r="636" spans="1:10" x14ac:dyDescent="0.25">
      <c r="A636" t="s">
        <v>281</v>
      </c>
      <c r="B636" t="s">
        <v>5494</v>
      </c>
      <c r="C636">
        <f>MATCH(A636,mapPRC!A$2:A$1154,0)</f>
        <v>979</v>
      </c>
      <c r="G636" t="s">
        <v>408</v>
      </c>
      <c r="H636" t="s">
        <v>407</v>
      </c>
      <c r="I636">
        <f>MATCH(G636,mapPRC!$A$2:$A$1154,0)</f>
        <v>912</v>
      </c>
    </row>
    <row r="637" spans="1:10" x14ac:dyDescent="0.25">
      <c r="A637" t="s">
        <v>5831</v>
      </c>
      <c r="B637" t="s">
        <v>5809</v>
      </c>
      <c r="C637">
        <f>MATCH(A637,mapPRC!A$2:A$1154,0)</f>
        <v>975</v>
      </c>
      <c r="D637">
        <v>1</v>
      </c>
      <c r="G637" t="s">
        <v>402</v>
      </c>
      <c r="H637" t="s">
        <v>401</v>
      </c>
      <c r="I637">
        <f>MATCH(G637,mapPRC!$A$2:$A$1154,0)</f>
        <v>913</v>
      </c>
    </row>
    <row r="638" spans="1:10" x14ac:dyDescent="0.25">
      <c r="A638" t="s">
        <v>279</v>
      </c>
      <c r="B638" t="s">
        <v>5495</v>
      </c>
      <c r="C638">
        <f>MATCH(A638,mapPRC!A$2:A$1154,0)</f>
        <v>980</v>
      </c>
      <c r="G638" t="s">
        <v>405</v>
      </c>
      <c r="H638" t="s">
        <v>404</v>
      </c>
      <c r="I638">
        <f>MATCH(G638,mapPRC!$A$2:$A$1154,0)</f>
        <v>914</v>
      </c>
    </row>
    <row r="639" spans="1:10" x14ac:dyDescent="0.25">
      <c r="A639" t="s">
        <v>5832</v>
      </c>
      <c r="B639" t="s">
        <v>5833</v>
      </c>
      <c r="C639">
        <f>MATCH(A639,mapPRC!A$2:A$1154,0)</f>
        <v>981</v>
      </c>
      <c r="D639">
        <v>1</v>
      </c>
      <c r="G639" t="s">
        <v>3710</v>
      </c>
      <c r="H639" t="s">
        <v>3711</v>
      </c>
      <c r="I639" t="e">
        <f>MATCH(G639,mapPRC!$A$2:$A$1154,0)</f>
        <v>#N/A</v>
      </c>
      <c r="J639">
        <v>1</v>
      </c>
    </row>
    <row r="640" spans="1:10" x14ac:dyDescent="0.25">
      <c r="A640" t="s">
        <v>277</v>
      </c>
      <c r="B640" t="s">
        <v>5496</v>
      </c>
      <c r="C640">
        <f>MATCH(A640,mapPRC!A$2:A$1154,0)</f>
        <v>982</v>
      </c>
      <c r="G640" t="s">
        <v>398</v>
      </c>
      <c r="H640" t="s">
        <v>397</v>
      </c>
      <c r="I640">
        <f>MATCH(G640,mapPRC!$A$2:$A$1154,0)</f>
        <v>916</v>
      </c>
    </row>
    <row r="641" spans="1:10" x14ac:dyDescent="0.25">
      <c r="A641" t="s">
        <v>268</v>
      </c>
      <c r="B641" t="s">
        <v>5497</v>
      </c>
      <c r="C641">
        <f>MATCH(A641,mapPRC!A$2:A$1154,0)</f>
        <v>986</v>
      </c>
      <c r="G641" t="s">
        <v>396</v>
      </c>
      <c r="H641" t="s">
        <v>395</v>
      </c>
      <c r="I641">
        <f>MATCH(G641,mapPRC!$A$2:$A$1154,0)</f>
        <v>917</v>
      </c>
    </row>
    <row r="642" spans="1:10" x14ac:dyDescent="0.25">
      <c r="A642" t="s">
        <v>261</v>
      </c>
      <c r="B642" t="s">
        <v>5498</v>
      </c>
      <c r="C642">
        <f>MATCH(A642,mapPRC!A$2:A$1154,0)</f>
        <v>992</v>
      </c>
      <c r="G642" t="s">
        <v>394</v>
      </c>
      <c r="H642" t="s">
        <v>393</v>
      </c>
      <c r="I642">
        <f>MATCH(G642,mapPRC!$A$2:$A$1154,0)</f>
        <v>918</v>
      </c>
    </row>
    <row r="643" spans="1:10" x14ac:dyDescent="0.25">
      <c r="A643" t="s">
        <v>3797</v>
      </c>
      <c r="B643" t="s">
        <v>5499</v>
      </c>
      <c r="C643">
        <f>MATCH(A643,mapPRC!A$2:A$1154,0)</f>
        <v>994</v>
      </c>
      <c r="G643" t="s">
        <v>391</v>
      </c>
      <c r="H643" t="s">
        <v>390</v>
      </c>
      <c r="I643">
        <f>MATCH(G643,mapPRC!$A$2:$A$1154,0)</f>
        <v>919</v>
      </c>
    </row>
    <row r="644" spans="1:10" x14ac:dyDescent="0.25">
      <c r="A644" t="s">
        <v>3761</v>
      </c>
      <c r="B644" t="s">
        <v>5500</v>
      </c>
      <c r="C644">
        <f>MATCH(A644,mapPRC!A$2:A$1154,0)</f>
        <v>996</v>
      </c>
      <c r="G644" t="s">
        <v>389</v>
      </c>
      <c r="H644" t="s">
        <v>388</v>
      </c>
      <c r="I644">
        <f>MATCH(G644,mapPRC!$A$2:$A$1154,0)</f>
        <v>920</v>
      </c>
    </row>
    <row r="645" spans="1:10" x14ac:dyDescent="0.25">
      <c r="A645" t="s">
        <v>254</v>
      </c>
      <c r="B645" t="s">
        <v>5501</v>
      </c>
      <c r="C645">
        <f>MATCH(A645,mapPRC!A$2:A$1154,0)</f>
        <v>997</v>
      </c>
      <c r="G645" t="s">
        <v>385</v>
      </c>
      <c r="H645" t="s">
        <v>384</v>
      </c>
      <c r="I645">
        <f>MATCH(G645,mapPRC!$A$2:$A$1154,0)</f>
        <v>921</v>
      </c>
    </row>
    <row r="646" spans="1:10" x14ac:dyDescent="0.25">
      <c r="A646" t="s">
        <v>252</v>
      </c>
      <c r="B646" t="s">
        <v>5502</v>
      </c>
      <c r="C646">
        <f>MATCH(A646,mapPRC!A$2:A$1154,0)</f>
        <v>998</v>
      </c>
      <c r="G646" t="s">
        <v>372</v>
      </c>
      <c r="H646" t="s">
        <v>371</v>
      </c>
      <c r="I646">
        <f>MATCH(G646,mapPRC!$A$2:$A$1154,0)</f>
        <v>927</v>
      </c>
    </row>
    <row r="647" spans="1:10" x14ac:dyDescent="0.25">
      <c r="A647" t="s">
        <v>250</v>
      </c>
      <c r="B647" t="s">
        <v>5503</v>
      </c>
      <c r="C647">
        <f>MATCH(A647,mapPRC!A$2:A$1154,0)</f>
        <v>999</v>
      </c>
      <c r="G647" t="s">
        <v>370</v>
      </c>
      <c r="H647" t="s">
        <v>2390</v>
      </c>
      <c r="I647">
        <f>MATCH(G647,mapPRC!$A$2:$A$1154,0)</f>
        <v>928</v>
      </c>
    </row>
    <row r="648" spans="1:10" x14ac:dyDescent="0.25">
      <c r="A648" t="s">
        <v>3762</v>
      </c>
      <c r="B648" t="s">
        <v>5504</v>
      </c>
      <c r="C648">
        <f>MATCH(A648,mapPRC!A$2:A$1154,0)</f>
        <v>1004</v>
      </c>
      <c r="G648" t="s">
        <v>368</v>
      </c>
      <c r="H648" t="s">
        <v>2388</v>
      </c>
      <c r="I648">
        <f>MATCH(G648,mapPRC!$A$2:$A$1154,0)</f>
        <v>929</v>
      </c>
    </row>
    <row r="649" spans="1:10" x14ac:dyDescent="0.25">
      <c r="A649" t="s">
        <v>3763</v>
      </c>
      <c r="B649" t="s">
        <v>5505</v>
      </c>
      <c r="C649">
        <f>MATCH(A649,mapPRC!A$2:A$1154,0)</f>
        <v>1005</v>
      </c>
      <c r="G649" t="s">
        <v>365</v>
      </c>
      <c r="H649" t="s">
        <v>2380</v>
      </c>
      <c r="I649">
        <f>MATCH(G649,mapPRC!$A$2:$A$1154,0)</f>
        <v>930</v>
      </c>
    </row>
    <row r="650" spans="1:10" x14ac:dyDescent="0.25">
      <c r="A650" t="s">
        <v>234</v>
      </c>
      <c r="B650" t="s">
        <v>5506</v>
      </c>
      <c r="C650">
        <f>MATCH(A650,mapPRC!A$2:A$1154,0)</f>
        <v>1009</v>
      </c>
      <c r="G650" t="s">
        <v>363</v>
      </c>
      <c r="H650" t="s">
        <v>2378</v>
      </c>
      <c r="I650">
        <f>MATCH(G650,mapPRC!$A$2:$A$1154,0)</f>
        <v>931</v>
      </c>
    </row>
    <row r="651" spans="1:10" x14ac:dyDescent="0.25">
      <c r="A651" t="s">
        <v>230</v>
      </c>
      <c r="B651" t="s">
        <v>5834</v>
      </c>
      <c r="C651">
        <f>MATCH(A651,mapPRC!A$2:A$1154,0)</f>
        <v>1011</v>
      </c>
      <c r="G651" t="s">
        <v>361</v>
      </c>
      <c r="H651" t="s">
        <v>2376</v>
      </c>
      <c r="I651">
        <f>MATCH(G651,mapPRC!$A$2:$A$1154,0)</f>
        <v>932</v>
      </c>
    </row>
    <row r="652" spans="1:10" x14ac:dyDescent="0.25">
      <c r="A652" t="s">
        <v>226</v>
      </c>
      <c r="B652" t="s">
        <v>5835</v>
      </c>
      <c r="C652">
        <f>MATCH(A652,mapPRC!A$2:A$1154,0)</f>
        <v>1012</v>
      </c>
      <c r="G652" t="s">
        <v>359</v>
      </c>
      <c r="H652" t="s">
        <v>2374</v>
      </c>
      <c r="I652">
        <f>MATCH(G652,mapPRC!$A$2:$A$1154,0)</f>
        <v>933</v>
      </c>
    </row>
    <row r="653" spans="1:10" x14ac:dyDescent="0.25">
      <c r="A653" t="s">
        <v>218</v>
      </c>
      <c r="B653" t="s">
        <v>5836</v>
      </c>
      <c r="C653">
        <f>MATCH(A653,mapPRC!A$2:A$1154,0)</f>
        <v>1018</v>
      </c>
      <c r="G653" t="s">
        <v>357</v>
      </c>
      <c r="H653" t="s">
        <v>2372</v>
      </c>
      <c r="I653">
        <f>MATCH(G653,mapPRC!$A$2:$A$1154,0)</f>
        <v>934</v>
      </c>
    </row>
    <row r="654" spans="1:10" x14ac:dyDescent="0.25">
      <c r="A654" t="s">
        <v>216</v>
      </c>
      <c r="B654" t="s">
        <v>5507</v>
      </c>
      <c r="C654">
        <f>MATCH(A654,mapPRC!A$2:A$1154,0)</f>
        <v>1019</v>
      </c>
      <c r="G654" t="s">
        <v>3712</v>
      </c>
      <c r="H654" t="s">
        <v>3713</v>
      </c>
      <c r="I654">
        <f>MATCH(G654,mapPRC!$A$2:$A$1154,0)</f>
        <v>936</v>
      </c>
      <c r="J654">
        <v>1</v>
      </c>
    </row>
    <row r="655" spans="1:10" x14ac:dyDescent="0.25">
      <c r="A655" t="s">
        <v>206</v>
      </c>
      <c r="B655" t="s">
        <v>5508</v>
      </c>
      <c r="C655">
        <f>MATCH(A655,mapPRC!A$2:A$1154,0)</f>
        <v>1024</v>
      </c>
      <c r="G655" t="s">
        <v>355</v>
      </c>
      <c r="H655" t="s">
        <v>354</v>
      </c>
      <c r="I655">
        <f>MATCH(G655,mapPRC!$A$2:$A$1154,0)</f>
        <v>937</v>
      </c>
    </row>
    <row r="656" spans="1:10" x14ac:dyDescent="0.25">
      <c r="A656" t="s">
        <v>204</v>
      </c>
      <c r="B656" t="s">
        <v>5509</v>
      </c>
      <c r="C656">
        <f>MATCH(A656,mapPRC!A$2:A$1154,0)</f>
        <v>1025</v>
      </c>
      <c r="G656" t="s">
        <v>353</v>
      </c>
      <c r="H656" t="s">
        <v>352</v>
      </c>
      <c r="I656">
        <f>MATCH(G656,mapPRC!$A$2:$A$1154,0)</f>
        <v>938</v>
      </c>
    </row>
    <row r="657" spans="1:9" x14ac:dyDescent="0.25">
      <c r="A657" t="s">
        <v>202</v>
      </c>
      <c r="B657" t="s">
        <v>5510</v>
      </c>
      <c r="C657">
        <f>MATCH(A657,mapPRC!A$2:A$1154,0)</f>
        <v>1026</v>
      </c>
      <c r="G657" t="s">
        <v>350</v>
      </c>
      <c r="H657" t="s">
        <v>349</v>
      </c>
      <c r="I657">
        <f>MATCH(G657,mapPRC!$A$2:$A$1154,0)</f>
        <v>939</v>
      </c>
    </row>
    <row r="658" spans="1:9" x14ac:dyDescent="0.25">
      <c r="A658" t="s">
        <v>3430</v>
      </c>
      <c r="B658" t="s">
        <v>5511</v>
      </c>
      <c r="C658">
        <f>MATCH(A658,mapPRC!A$2:A$1154,0)</f>
        <v>1027</v>
      </c>
      <c r="G658" t="s">
        <v>348</v>
      </c>
      <c r="H658" t="s">
        <v>347</v>
      </c>
      <c r="I658">
        <f>MATCH(G658,mapPRC!$A$2:$A$1154,0)</f>
        <v>940</v>
      </c>
    </row>
    <row r="659" spans="1:9" x14ac:dyDescent="0.25">
      <c r="A659" t="s">
        <v>3431</v>
      </c>
      <c r="B659" t="s">
        <v>5512</v>
      </c>
      <c r="C659">
        <f>MATCH(A659,mapPRC!A$2:A$1154,0)</f>
        <v>1028</v>
      </c>
      <c r="G659" t="s">
        <v>346</v>
      </c>
      <c r="H659" t="s">
        <v>345</v>
      </c>
      <c r="I659">
        <f>MATCH(G659,mapPRC!$A$2:$A$1154,0)</f>
        <v>941</v>
      </c>
    </row>
    <row r="660" spans="1:9" x14ac:dyDescent="0.25">
      <c r="A660" t="s">
        <v>200</v>
      </c>
      <c r="B660" t="s">
        <v>5513</v>
      </c>
      <c r="C660">
        <f>MATCH(A660,mapPRC!A$2:A$1154,0)</f>
        <v>1029</v>
      </c>
      <c r="G660" t="s">
        <v>344</v>
      </c>
      <c r="H660" t="s">
        <v>343</v>
      </c>
      <c r="I660">
        <f>MATCH(G660,mapPRC!$A$2:$A$1154,0)</f>
        <v>942</v>
      </c>
    </row>
    <row r="661" spans="1:9" x14ac:dyDescent="0.25">
      <c r="A661" t="s">
        <v>198</v>
      </c>
      <c r="B661" t="s">
        <v>5514</v>
      </c>
      <c r="C661">
        <f>MATCH(A661,mapPRC!A$2:A$1154,0)</f>
        <v>1030</v>
      </c>
      <c r="G661" t="s">
        <v>342</v>
      </c>
      <c r="H661" t="s">
        <v>341</v>
      </c>
      <c r="I661">
        <f>MATCH(G661,mapPRC!$A$2:$A$1154,0)</f>
        <v>943</v>
      </c>
    </row>
    <row r="662" spans="1:9" x14ac:dyDescent="0.25">
      <c r="A662" t="s">
        <v>196</v>
      </c>
      <c r="B662" t="s">
        <v>5515</v>
      </c>
      <c r="C662">
        <f>MATCH(A662,mapPRC!A$2:A$1154,0)</f>
        <v>1031</v>
      </c>
      <c r="G662" t="s">
        <v>340</v>
      </c>
      <c r="H662" t="s">
        <v>339</v>
      </c>
      <c r="I662">
        <f>MATCH(G662,mapPRC!$A$2:$A$1154,0)</f>
        <v>944</v>
      </c>
    </row>
    <row r="663" spans="1:9" x14ac:dyDescent="0.25">
      <c r="A663" t="s">
        <v>194</v>
      </c>
      <c r="B663" t="s">
        <v>5516</v>
      </c>
      <c r="C663">
        <f>MATCH(A663,mapPRC!A$2:A$1154,0)</f>
        <v>1032</v>
      </c>
      <c r="G663" t="s">
        <v>338</v>
      </c>
      <c r="H663" t="s">
        <v>337</v>
      </c>
      <c r="I663">
        <f>MATCH(G663,mapPRC!$A$2:$A$1154,0)</f>
        <v>945</v>
      </c>
    </row>
    <row r="664" spans="1:9" x14ac:dyDescent="0.25">
      <c r="A664" t="s">
        <v>192</v>
      </c>
      <c r="B664" t="s">
        <v>5517</v>
      </c>
      <c r="C664">
        <f>MATCH(A664,mapPRC!A$2:A$1154,0)</f>
        <v>1033</v>
      </c>
      <c r="G664" t="s">
        <v>336</v>
      </c>
      <c r="H664" t="s">
        <v>335</v>
      </c>
      <c r="I664">
        <f>MATCH(G664,mapPRC!$A$2:$A$1154,0)</f>
        <v>946</v>
      </c>
    </row>
    <row r="665" spans="1:9" x14ac:dyDescent="0.25">
      <c r="A665" t="s">
        <v>189</v>
      </c>
      <c r="B665" t="s">
        <v>5518</v>
      </c>
      <c r="C665">
        <f>MATCH(A665,mapPRC!A$2:A$1154,0)</f>
        <v>1034</v>
      </c>
      <c r="G665" t="s">
        <v>333</v>
      </c>
      <c r="H665" t="s">
        <v>332</v>
      </c>
      <c r="I665">
        <f>MATCH(G665,mapPRC!$A$2:$A$1154,0)</f>
        <v>947</v>
      </c>
    </row>
    <row r="666" spans="1:9" x14ac:dyDescent="0.25">
      <c r="A666" t="s">
        <v>187</v>
      </c>
      <c r="B666" t="s">
        <v>5519</v>
      </c>
      <c r="C666">
        <f>MATCH(A666,mapPRC!A$2:A$1154,0)</f>
        <v>1035</v>
      </c>
      <c r="G666" t="s">
        <v>331</v>
      </c>
      <c r="H666" t="s">
        <v>330</v>
      </c>
      <c r="I666">
        <f>MATCH(G666,mapPRC!$A$2:$A$1154,0)</f>
        <v>948</v>
      </c>
    </row>
    <row r="667" spans="1:9" x14ac:dyDescent="0.25">
      <c r="A667" t="s">
        <v>185</v>
      </c>
      <c r="B667" t="s">
        <v>5520</v>
      </c>
      <c r="C667">
        <f>MATCH(A667,mapPRC!A$2:A$1154,0)</f>
        <v>1036</v>
      </c>
      <c r="G667" t="s">
        <v>328</v>
      </c>
      <c r="H667" t="s">
        <v>327</v>
      </c>
      <c r="I667">
        <f>MATCH(G667,mapPRC!$A$2:$A$1154,0)</f>
        <v>949</v>
      </c>
    </row>
    <row r="668" spans="1:9" x14ac:dyDescent="0.25">
      <c r="A668" t="s">
        <v>177</v>
      </c>
      <c r="B668" t="s">
        <v>5521</v>
      </c>
      <c r="C668">
        <f>MATCH(A668,mapPRC!A$2:A$1154,0)</f>
        <v>1040</v>
      </c>
      <c r="G668" t="s">
        <v>326</v>
      </c>
      <c r="H668" t="s">
        <v>325</v>
      </c>
      <c r="I668">
        <f>MATCH(G668,mapPRC!$A$2:$A$1154,0)</f>
        <v>950</v>
      </c>
    </row>
    <row r="669" spans="1:9" x14ac:dyDescent="0.25">
      <c r="A669" t="s">
        <v>170</v>
      </c>
      <c r="B669" t="s">
        <v>5522</v>
      </c>
      <c r="C669">
        <f>MATCH(A669,mapPRC!A$2:A$1154,0)</f>
        <v>1043</v>
      </c>
      <c r="G669" t="s">
        <v>324</v>
      </c>
      <c r="H669" t="s">
        <v>323</v>
      </c>
      <c r="I669">
        <f>MATCH(G669,mapPRC!$A$2:$A$1154,0)</f>
        <v>951</v>
      </c>
    </row>
    <row r="670" spans="1:9" x14ac:dyDescent="0.25">
      <c r="A670" t="s">
        <v>168</v>
      </c>
      <c r="B670" t="s">
        <v>5523</v>
      </c>
      <c r="C670">
        <f>MATCH(A670,mapPRC!A$2:A$1154,0)</f>
        <v>1044</v>
      </c>
      <c r="G670" t="s">
        <v>322</v>
      </c>
      <c r="H670" t="s">
        <v>321</v>
      </c>
      <c r="I670">
        <f>MATCH(G670,mapPRC!$A$2:$A$1154,0)</f>
        <v>952</v>
      </c>
    </row>
    <row r="671" spans="1:9" x14ac:dyDescent="0.25">
      <c r="A671" t="s">
        <v>166</v>
      </c>
      <c r="B671" t="s">
        <v>5524</v>
      </c>
      <c r="C671">
        <f>MATCH(A671,mapPRC!A$2:A$1154,0)</f>
        <v>1046</v>
      </c>
      <c r="G671" t="s">
        <v>320</v>
      </c>
      <c r="H671" t="s">
        <v>319</v>
      </c>
      <c r="I671">
        <f>MATCH(G671,mapPRC!$A$2:$A$1154,0)</f>
        <v>953</v>
      </c>
    </row>
    <row r="672" spans="1:9" x14ac:dyDescent="0.25">
      <c r="A672" t="s">
        <v>164</v>
      </c>
      <c r="B672" t="s">
        <v>5525</v>
      </c>
      <c r="C672">
        <f>MATCH(A672,mapPRC!A$2:A$1154,0)</f>
        <v>1047</v>
      </c>
      <c r="G672" t="s">
        <v>318</v>
      </c>
      <c r="H672" t="s">
        <v>317</v>
      </c>
      <c r="I672">
        <f>MATCH(G672,mapPRC!$A$2:$A$1154,0)</f>
        <v>954</v>
      </c>
    </row>
    <row r="673" spans="1:9" x14ac:dyDescent="0.25">
      <c r="A673" t="s">
        <v>162</v>
      </c>
      <c r="B673" t="s">
        <v>5526</v>
      </c>
      <c r="C673">
        <f>MATCH(A673,mapPRC!A$2:A$1154,0)</f>
        <v>1048</v>
      </c>
      <c r="G673" t="s">
        <v>3082</v>
      </c>
      <c r="H673" t="s">
        <v>3083</v>
      </c>
      <c r="I673">
        <f>MATCH(G673,mapPRC!$A$2:$A$1154,0)</f>
        <v>955</v>
      </c>
    </row>
    <row r="674" spans="1:9" x14ac:dyDescent="0.25">
      <c r="A674" t="s">
        <v>160</v>
      </c>
      <c r="B674" t="s">
        <v>5527</v>
      </c>
      <c r="C674">
        <f>MATCH(A674,mapPRC!A$2:A$1154,0)</f>
        <v>1049</v>
      </c>
      <c r="G674" t="s">
        <v>316</v>
      </c>
      <c r="H674" t="s">
        <v>315</v>
      </c>
      <c r="I674">
        <f>MATCH(G674,mapPRC!$A$2:$A$1154,0)</f>
        <v>956</v>
      </c>
    </row>
    <row r="675" spans="1:9" x14ac:dyDescent="0.25">
      <c r="A675" t="s">
        <v>158</v>
      </c>
      <c r="B675" t="s">
        <v>5528</v>
      </c>
      <c r="C675">
        <f>MATCH(A675,mapPRC!A$2:A$1154,0)</f>
        <v>1050</v>
      </c>
      <c r="G675" t="s">
        <v>313</v>
      </c>
      <c r="H675" t="s">
        <v>312</v>
      </c>
      <c r="I675">
        <f>MATCH(G675,mapPRC!$A$2:$A$1154,0)</f>
        <v>957</v>
      </c>
    </row>
    <row r="676" spans="1:9" x14ac:dyDescent="0.25">
      <c r="A676" t="s">
        <v>156</v>
      </c>
      <c r="B676" t="s">
        <v>5529</v>
      </c>
      <c r="C676">
        <f>MATCH(A676,mapPRC!A$2:A$1154,0)</f>
        <v>1051</v>
      </c>
      <c r="G676" t="s">
        <v>311</v>
      </c>
      <c r="H676" t="s">
        <v>310</v>
      </c>
      <c r="I676">
        <f>MATCH(G676,mapPRC!$A$2:$A$1154,0)</f>
        <v>958</v>
      </c>
    </row>
    <row r="677" spans="1:9" x14ac:dyDescent="0.25">
      <c r="A677" t="s">
        <v>154</v>
      </c>
      <c r="B677" t="s">
        <v>5530</v>
      </c>
      <c r="C677">
        <f>MATCH(A677,mapPRC!A$2:A$1154,0)</f>
        <v>1052</v>
      </c>
      <c r="G677" t="s">
        <v>309</v>
      </c>
      <c r="H677" t="s">
        <v>308</v>
      </c>
      <c r="I677">
        <f>MATCH(G677,mapPRC!$A$2:$A$1154,0)</f>
        <v>959</v>
      </c>
    </row>
    <row r="678" spans="1:9" x14ac:dyDescent="0.25">
      <c r="A678" t="s">
        <v>150</v>
      </c>
      <c r="B678" t="s">
        <v>5531</v>
      </c>
      <c r="C678">
        <f>MATCH(A678,mapPRC!A$2:A$1154,0)</f>
        <v>1053</v>
      </c>
      <c r="G678" t="s">
        <v>307</v>
      </c>
      <c r="H678" t="s">
        <v>306</v>
      </c>
      <c r="I678">
        <f>MATCH(G678,mapPRC!$A$2:$A$1154,0)</f>
        <v>960</v>
      </c>
    </row>
    <row r="679" spans="1:9" x14ac:dyDescent="0.25">
      <c r="A679" t="s">
        <v>5532</v>
      </c>
      <c r="B679" t="s">
        <v>5533</v>
      </c>
      <c r="C679">
        <f>MATCH(A679,mapPRC!A$2:A$1154,0)</f>
        <v>1054</v>
      </c>
      <c r="D679">
        <v>1</v>
      </c>
      <c r="G679" t="s">
        <v>305</v>
      </c>
      <c r="H679" t="s">
        <v>304</v>
      </c>
      <c r="I679">
        <f>MATCH(G679,mapPRC!$A$2:$A$1154,0)</f>
        <v>961</v>
      </c>
    </row>
    <row r="680" spans="1:9" x14ac:dyDescent="0.25">
      <c r="A680" t="s">
        <v>147</v>
      </c>
      <c r="B680" t="s">
        <v>5534</v>
      </c>
      <c r="C680">
        <f>MATCH(A680,mapPRC!A$2:A$1154,0)</f>
        <v>1056</v>
      </c>
      <c r="G680" t="s">
        <v>303</v>
      </c>
      <c r="H680" t="s">
        <v>302</v>
      </c>
      <c r="I680">
        <f>MATCH(G680,mapPRC!$A$2:$A$1154,0)</f>
        <v>962</v>
      </c>
    </row>
    <row r="681" spans="1:9" x14ac:dyDescent="0.25">
      <c r="A681" t="s">
        <v>142</v>
      </c>
      <c r="B681" t="s">
        <v>5535</v>
      </c>
      <c r="C681">
        <f>MATCH(A681,mapPRC!A$2:A$1154,0)</f>
        <v>1057</v>
      </c>
      <c r="G681" t="s">
        <v>301</v>
      </c>
      <c r="H681" t="s">
        <v>300</v>
      </c>
      <c r="I681">
        <f>MATCH(G681,mapPRC!$A$2:$A$1154,0)</f>
        <v>963</v>
      </c>
    </row>
    <row r="682" spans="1:9" x14ac:dyDescent="0.25">
      <c r="A682" t="s">
        <v>139</v>
      </c>
      <c r="B682" t="s">
        <v>5536</v>
      </c>
      <c r="C682">
        <f>MATCH(A682,mapPRC!A$2:A$1154,0)</f>
        <v>1058</v>
      </c>
      <c r="G682" t="s">
        <v>3514</v>
      </c>
      <c r="H682" t="s">
        <v>3515</v>
      </c>
      <c r="I682">
        <f>MATCH(G682,mapPRC!$A$2:$A$1154,0)</f>
        <v>964</v>
      </c>
    </row>
    <row r="683" spans="1:9" x14ac:dyDescent="0.25">
      <c r="A683" t="s">
        <v>5537</v>
      </c>
      <c r="B683" t="s">
        <v>5538</v>
      </c>
      <c r="C683">
        <f>MATCH(A683,mapPRC!A$2:A$1154,0)</f>
        <v>1059</v>
      </c>
      <c r="D683">
        <v>1</v>
      </c>
      <c r="G683" t="s">
        <v>299</v>
      </c>
      <c r="H683" t="s">
        <v>298</v>
      </c>
      <c r="I683">
        <f>MATCH(G683,mapPRC!$A$2:$A$1154,0)</f>
        <v>965</v>
      </c>
    </row>
    <row r="684" spans="1:9" x14ac:dyDescent="0.25">
      <c r="A684" t="s">
        <v>136</v>
      </c>
      <c r="B684" t="s">
        <v>5539</v>
      </c>
      <c r="C684">
        <f>MATCH(A684,mapPRC!A$2:A$1154,0)</f>
        <v>1060</v>
      </c>
      <c r="G684" t="s">
        <v>23</v>
      </c>
      <c r="H684" t="s">
        <v>3461</v>
      </c>
      <c r="I684">
        <f>MATCH(G684,mapPRC!$A$2:$A$1154,0)</f>
        <v>966</v>
      </c>
    </row>
    <row r="685" spans="1:9" x14ac:dyDescent="0.25">
      <c r="A685" t="s">
        <v>134</v>
      </c>
      <c r="B685" t="s">
        <v>5540</v>
      </c>
      <c r="C685">
        <f>MATCH(A685,mapPRC!A$2:A$1154,0)</f>
        <v>1061</v>
      </c>
      <c r="G685" t="s">
        <v>297</v>
      </c>
      <c r="H685" t="s">
        <v>296</v>
      </c>
      <c r="I685">
        <f>MATCH(G685,mapPRC!$A$2:$A$1154,0)</f>
        <v>968</v>
      </c>
    </row>
    <row r="686" spans="1:9" x14ac:dyDescent="0.25">
      <c r="A686" t="s">
        <v>3464</v>
      </c>
      <c r="B686" t="s">
        <v>5541</v>
      </c>
      <c r="C686">
        <f>MATCH(A686,mapPRC!A$2:A$1154,0)</f>
        <v>1062</v>
      </c>
      <c r="G686" t="s">
        <v>295</v>
      </c>
      <c r="H686" t="s">
        <v>294</v>
      </c>
      <c r="I686">
        <f>MATCH(G686,mapPRC!$A$2:$A$1154,0)</f>
        <v>969</v>
      </c>
    </row>
    <row r="687" spans="1:9" x14ac:dyDescent="0.25">
      <c r="A687" t="s">
        <v>132</v>
      </c>
      <c r="B687" t="s">
        <v>5542</v>
      </c>
      <c r="C687">
        <f>MATCH(A687,mapPRC!A$2:A$1154,0)</f>
        <v>1063</v>
      </c>
      <c r="G687" t="s">
        <v>293</v>
      </c>
      <c r="H687" t="s">
        <v>292</v>
      </c>
      <c r="I687">
        <f>MATCH(G687,mapPRC!$A$2:$A$1154,0)</f>
        <v>970</v>
      </c>
    </row>
    <row r="688" spans="1:9" x14ac:dyDescent="0.25">
      <c r="A688" t="s">
        <v>128</v>
      </c>
      <c r="B688" t="s">
        <v>5543</v>
      </c>
      <c r="C688">
        <f>MATCH(A688,mapPRC!A$2:A$1154,0)</f>
        <v>1065</v>
      </c>
      <c r="G688" t="s">
        <v>291</v>
      </c>
      <c r="H688" t="s">
        <v>290</v>
      </c>
      <c r="I688">
        <f>MATCH(G688,mapPRC!$A$2:$A$1154,0)</f>
        <v>971</v>
      </c>
    </row>
    <row r="689" spans="1:9" x14ac:dyDescent="0.25">
      <c r="A689" t="s">
        <v>126</v>
      </c>
      <c r="B689" t="s">
        <v>5544</v>
      </c>
      <c r="C689">
        <f>MATCH(A689,mapPRC!A$2:A$1154,0)</f>
        <v>1066</v>
      </c>
      <c r="G689" t="s">
        <v>289</v>
      </c>
      <c r="H689" t="s">
        <v>288</v>
      </c>
      <c r="I689">
        <f>MATCH(G689,mapPRC!$A$2:$A$1154,0)</f>
        <v>972</v>
      </c>
    </row>
    <row r="690" spans="1:9" x14ac:dyDescent="0.25">
      <c r="A690" t="s">
        <v>5837</v>
      </c>
      <c r="B690" t="s">
        <v>5838</v>
      </c>
      <c r="C690" t="e">
        <f>MATCH(A690,mapPRC!A$2:A$1154,0)</f>
        <v>#N/A</v>
      </c>
      <c r="G690" t="s">
        <v>3574</v>
      </c>
      <c r="H690" t="s">
        <v>3575</v>
      </c>
      <c r="I690">
        <f>MATCH(G690,mapPRC!$A$2:$A$1154,0)</f>
        <v>974</v>
      </c>
    </row>
    <row r="691" spans="1:9" x14ac:dyDescent="0.25">
      <c r="A691" t="s">
        <v>5839</v>
      </c>
      <c r="B691" t="s">
        <v>5838</v>
      </c>
      <c r="C691" t="e">
        <f>MATCH(A691,mapPRC!A$2:A$1154,0)</f>
        <v>#N/A</v>
      </c>
      <c r="G691" t="s">
        <v>287</v>
      </c>
      <c r="H691" t="s">
        <v>286</v>
      </c>
      <c r="I691">
        <f>MATCH(G691,mapPRC!$A$2:$A$1154,0)</f>
        <v>976</v>
      </c>
    </row>
    <row r="692" spans="1:9" x14ac:dyDescent="0.25">
      <c r="A692" t="s">
        <v>5840</v>
      </c>
      <c r="B692" t="s">
        <v>5838</v>
      </c>
      <c r="C692" t="e">
        <f>MATCH(A692,mapPRC!A$2:A$1154,0)</f>
        <v>#N/A</v>
      </c>
      <c r="G692" t="s">
        <v>285</v>
      </c>
      <c r="H692" t="s">
        <v>284</v>
      </c>
      <c r="I692">
        <f>MATCH(G692,mapPRC!$A$2:$A$1154,0)</f>
        <v>977</v>
      </c>
    </row>
    <row r="693" spans="1:9" x14ac:dyDescent="0.25">
      <c r="A693" t="s">
        <v>5841</v>
      </c>
      <c r="B693" t="s">
        <v>5838</v>
      </c>
      <c r="C693" t="e">
        <f>MATCH(A693,mapPRC!A$2:A$1154,0)</f>
        <v>#N/A</v>
      </c>
      <c r="G693" t="s">
        <v>283</v>
      </c>
      <c r="H693" t="s">
        <v>282</v>
      </c>
      <c r="I693">
        <f>MATCH(G693,mapPRC!$A$2:$A$1154,0)</f>
        <v>978</v>
      </c>
    </row>
    <row r="694" spans="1:9" x14ac:dyDescent="0.25">
      <c r="A694" t="s">
        <v>5842</v>
      </c>
      <c r="B694" t="s">
        <v>5838</v>
      </c>
      <c r="C694" t="e">
        <f>MATCH(A694,mapPRC!A$2:A$1154,0)</f>
        <v>#N/A</v>
      </c>
      <c r="G694" t="s">
        <v>281</v>
      </c>
      <c r="H694" t="s">
        <v>280</v>
      </c>
      <c r="I694">
        <f>MATCH(G694,mapPRC!$A$2:$A$1154,0)</f>
        <v>979</v>
      </c>
    </row>
    <row r="695" spans="1:9" x14ac:dyDescent="0.25">
      <c r="A695" t="s">
        <v>5843</v>
      </c>
      <c r="B695" t="s">
        <v>5838</v>
      </c>
      <c r="C695" t="e">
        <f>MATCH(A695,mapPRC!A$2:A$1154,0)</f>
        <v>#N/A</v>
      </c>
      <c r="G695" t="s">
        <v>279</v>
      </c>
      <c r="H695" t="s">
        <v>278</v>
      </c>
      <c r="I695">
        <f>MATCH(G695,mapPRC!$A$2:$A$1154,0)</f>
        <v>980</v>
      </c>
    </row>
    <row r="696" spans="1:9" x14ac:dyDescent="0.25">
      <c r="A696" t="s">
        <v>5844</v>
      </c>
      <c r="B696" t="s">
        <v>5838</v>
      </c>
      <c r="C696" t="e">
        <f>MATCH(A696,mapPRC!A$2:A$1154,0)</f>
        <v>#N/A</v>
      </c>
      <c r="G696" t="s">
        <v>277</v>
      </c>
      <c r="H696" t="s">
        <v>276</v>
      </c>
      <c r="I696">
        <f>MATCH(G696,mapPRC!$A$2:$A$1154,0)</f>
        <v>982</v>
      </c>
    </row>
    <row r="697" spans="1:9" x14ac:dyDescent="0.25">
      <c r="A697" t="s">
        <v>5845</v>
      </c>
      <c r="B697" t="s">
        <v>5838</v>
      </c>
      <c r="C697" t="e">
        <f>MATCH(A697,mapPRC!A$2:A$1154,0)</f>
        <v>#N/A</v>
      </c>
      <c r="G697" t="s">
        <v>275</v>
      </c>
      <c r="H697" t="s">
        <v>274</v>
      </c>
      <c r="I697">
        <f>MATCH(G697,mapPRC!$A$2:$A$1154,0)</f>
        <v>983</v>
      </c>
    </row>
    <row r="698" spans="1:9" x14ac:dyDescent="0.25">
      <c r="A698" t="s">
        <v>5846</v>
      </c>
      <c r="B698" t="s">
        <v>5838</v>
      </c>
      <c r="C698" t="e">
        <f>MATCH(A698,mapPRC!A$2:A$1154,0)</f>
        <v>#N/A</v>
      </c>
      <c r="G698" t="s">
        <v>272</v>
      </c>
      <c r="H698" t="s">
        <v>3516</v>
      </c>
      <c r="I698">
        <f>MATCH(G698,mapPRC!$A$2:$A$1154,0)</f>
        <v>984</v>
      </c>
    </row>
    <row r="699" spans="1:9" x14ac:dyDescent="0.25">
      <c r="A699" t="s">
        <v>5847</v>
      </c>
      <c r="B699" t="s">
        <v>5838</v>
      </c>
      <c r="C699" t="e">
        <f>MATCH(A699,mapPRC!A$2:A$1154,0)</f>
        <v>#N/A</v>
      </c>
      <c r="G699" t="s">
        <v>270</v>
      </c>
      <c r="H699" t="s">
        <v>3517</v>
      </c>
      <c r="I699">
        <f>MATCH(G699,mapPRC!$A$2:$A$1154,0)</f>
        <v>985</v>
      </c>
    </row>
    <row r="700" spans="1:9" x14ac:dyDescent="0.25">
      <c r="A700" t="s">
        <v>5848</v>
      </c>
      <c r="B700" t="s">
        <v>5838</v>
      </c>
      <c r="C700" t="e">
        <f>MATCH(A700,mapPRC!A$2:A$1154,0)</f>
        <v>#N/A</v>
      </c>
      <c r="G700" t="s">
        <v>268</v>
      </c>
      <c r="H700" t="s">
        <v>267</v>
      </c>
      <c r="I700">
        <f>MATCH(G700,mapPRC!$A$2:$A$1154,0)</f>
        <v>986</v>
      </c>
    </row>
    <row r="701" spans="1:9" x14ac:dyDescent="0.25">
      <c r="A701" t="s">
        <v>5849</v>
      </c>
      <c r="B701" t="s">
        <v>5838</v>
      </c>
      <c r="C701" t="e">
        <f>MATCH(A701,mapPRC!A$2:A$1154,0)</f>
        <v>#N/A</v>
      </c>
      <c r="G701" t="s">
        <v>266</v>
      </c>
      <c r="H701" t="s">
        <v>3518</v>
      </c>
      <c r="I701">
        <f>MATCH(G701,mapPRC!$A$2:$A$1154,0)</f>
        <v>987</v>
      </c>
    </row>
    <row r="702" spans="1:9" x14ac:dyDescent="0.25">
      <c r="A702" t="s">
        <v>5850</v>
      </c>
      <c r="B702" t="s">
        <v>5838</v>
      </c>
      <c r="C702" t="e">
        <f>MATCH(A702,mapPRC!A$2:A$1154,0)</f>
        <v>#N/A</v>
      </c>
      <c r="G702" t="s">
        <v>263</v>
      </c>
      <c r="H702" t="s">
        <v>3519</v>
      </c>
      <c r="I702">
        <f>MATCH(G702,mapPRC!$A$2:$A$1154,0)</f>
        <v>988</v>
      </c>
    </row>
    <row r="703" spans="1:9" x14ac:dyDescent="0.25">
      <c r="A703" t="s">
        <v>5851</v>
      </c>
      <c r="B703" t="s">
        <v>5838</v>
      </c>
      <c r="C703" t="e">
        <f>MATCH(A703,mapPRC!A$2:A$1154,0)</f>
        <v>#N/A</v>
      </c>
      <c r="G703" t="s">
        <v>261</v>
      </c>
      <c r="H703" t="s">
        <v>260</v>
      </c>
      <c r="I703">
        <f>MATCH(G703,mapPRC!$A$2:$A$1154,0)</f>
        <v>992</v>
      </c>
    </row>
    <row r="704" spans="1:9" x14ac:dyDescent="0.25">
      <c r="A704" t="s">
        <v>3702</v>
      </c>
      <c r="B704" t="s">
        <v>5852</v>
      </c>
      <c r="C704">
        <f>MATCH(A704,mapPRC!A$2:A$1154,0)</f>
        <v>881</v>
      </c>
      <c r="G704" t="s">
        <v>259</v>
      </c>
      <c r="H704" t="s">
        <v>258</v>
      </c>
      <c r="I704">
        <f>MATCH(G704,mapPRC!$A$2:$A$1154,0)</f>
        <v>993</v>
      </c>
    </row>
    <row r="705" spans="1:9" x14ac:dyDescent="0.25">
      <c r="A705" t="s">
        <v>3704</v>
      </c>
      <c r="B705" t="s">
        <v>5853</v>
      </c>
      <c r="C705">
        <f>MATCH(A705,mapPRC!A$2:A$1154,0)</f>
        <v>884</v>
      </c>
      <c r="G705" t="s">
        <v>256</v>
      </c>
      <c r="H705" t="s">
        <v>255</v>
      </c>
      <c r="I705">
        <f>MATCH(G705,mapPRC!$A$2:$A$1154,0)</f>
        <v>995</v>
      </c>
    </row>
    <row r="706" spans="1:9" x14ac:dyDescent="0.25">
      <c r="A706" t="s">
        <v>3706</v>
      </c>
      <c r="B706" t="s">
        <v>5854</v>
      </c>
      <c r="C706">
        <f>MATCH(A706,mapPRC!A$2:A$1154,0)</f>
        <v>885</v>
      </c>
      <c r="G706" t="s">
        <v>254</v>
      </c>
      <c r="H706" t="s">
        <v>253</v>
      </c>
      <c r="I706">
        <f>MATCH(G706,mapPRC!$A$2:$A$1154,0)</f>
        <v>997</v>
      </c>
    </row>
    <row r="707" spans="1:9" x14ac:dyDescent="0.25">
      <c r="A707" t="s">
        <v>3782</v>
      </c>
      <c r="B707" t="s">
        <v>5855</v>
      </c>
      <c r="C707">
        <f>MATCH(A707,mapPRC!A$2:A$1154,0)</f>
        <v>883</v>
      </c>
      <c r="G707" t="s">
        <v>252</v>
      </c>
      <c r="H707" t="s">
        <v>251</v>
      </c>
      <c r="I707">
        <f>MATCH(G707,mapPRC!$A$2:$A$1154,0)</f>
        <v>998</v>
      </c>
    </row>
    <row r="708" spans="1:9" x14ac:dyDescent="0.25">
      <c r="A708" t="s">
        <v>3708</v>
      </c>
      <c r="B708" t="s">
        <v>5856</v>
      </c>
      <c r="C708">
        <f>MATCH(A708,mapPRC!A$2:A$1154,0)</f>
        <v>886</v>
      </c>
      <c r="G708" t="s">
        <v>250</v>
      </c>
      <c r="H708" t="s">
        <v>249</v>
      </c>
      <c r="I708">
        <f>MATCH(G708,mapPRC!$A$2:$A$1154,0)</f>
        <v>999</v>
      </c>
    </row>
    <row r="709" spans="1:9" x14ac:dyDescent="0.25">
      <c r="A709" t="s">
        <v>3856</v>
      </c>
      <c r="B709" t="s">
        <v>5857</v>
      </c>
      <c r="C709">
        <f>MATCH(A709,mapPRC!A$2:A$1154,0)</f>
        <v>898</v>
      </c>
      <c r="G709" t="s">
        <v>248</v>
      </c>
      <c r="H709" t="s">
        <v>247</v>
      </c>
      <c r="I709">
        <f>MATCH(G709,mapPRC!$A$2:$A$1154,0)</f>
        <v>1000</v>
      </c>
    </row>
    <row r="710" spans="1:9" x14ac:dyDescent="0.25">
      <c r="A710" t="s">
        <v>3779</v>
      </c>
      <c r="B710" t="s">
        <v>5858</v>
      </c>
      <c r="C710">
        <f>MATCH(A710,mapPRC!A$2:A$1154,0)</f>
        <v>889</v>
      </c>
      <c r="G710" t="s">
        <v>246</v>
      </c>
      <c r="H710" t="s">
        <v>245</v>
      </c>
      <c r="I710">
        <f>MATCH(G710,mapPRC!$A$2:$A$1154,0)</f>
        <v>1001</v>
      </c>
    </row>
    <row r="711" spans="1:9" x14ac:dyDescent="0.25">
      <c r="A711" t="s">
        <v>5859</v>
      </c>
      <c r="B711" t="s">
        <v>5860</v>
      </c>
      <c r="C711" t="e">
        <f>MATCH(A711,mapPRC!A$2:A$1154,0)</f>
        <v>#N/A</v>
      </c>
      <c r="G711" t="s">
        <v>244</v>
      </c>
      <c r="H711" t="s">
        <v>243</v>
      </c>
      <c r="I711">
        <f>MATCH(G711,mapPRC!$A$2:$A$1154,0)</f>
        <v>1002</v>
      </c>
    </row>
    <row r="712" spans="1:9" x14ac:dyDescent="0.25">
      <c r="A712" t="s">
        <v>3899</v>
      </c>
      <c r="B712" t="s">
        <v>3900</v>
      </c>
      <c r="C712">
        <f>MATCH(A712,mapPRC!A$2:A$1154,0)</f>
        <v>887</v>
      </c>
      <c r="G712" t="s">
        <v>242</v>
      </c>
      <c r="H712" t="s">
        <v>241</v>
      </c>
      <c r="I712">
        <f>MATCH(G712,mapPRC!$A$2:$A$1154,0)</f>
        <v>1003</v>
      </c>
    </row>
    <row r="713" spans="1:9" x14ac:dyDescent="0.25">
      <c r="A713" t="s">
        <v>3901</v>
      </c>
      <c r="B713" t="s">
        <v>3902</v>
      </c>
      <c r="C713">
        <f>MATCH(A713,mapPRC!A$2:A$1154,0)</f>
        <v>888</v>
      </c>
      <c r="G713" t="s">
        <v>240</v>
      </c>
      <c r="H713" t="s">
        <v>239</v>
      </c>
      <c r="I713" t="e">
        <f>MATCH(G713,mapPRC!$A$2:$A$1154,0)</f>
        <v>#N/A</v>
      </c>
    </row>
    <row r="714" spans="1:9" x14ac:dyDescent="0.25">
      <c r="A714" t="s">
        <v>5861</v>
      </c>
      <c r="B714" t="s">
        <v>5862</v>
      </c>
      <c r="C714">
        <f>MATCH(A714,mapPRC!A$2:A$1154,0)</f>
        <v>936</v>
      </c>
      <c r="G714" t="s">
        <v>238</v>
      </c>
      <c r="H714" t="s">
        <v>237</v>
      </c>
      <c r="I714">
        <f>MATCH(G714,mapPRC!$A$2:$A$1154,0)</f>
        <v>1007</v>
      </c>
    </row>
    <row r="715" spans="1:9" x14ac:dyDescent="0.25">
      <c r="A715" t="s">
        <v>5863</v>
      </c>
      <c r="B715" t="s">
        <v>5864</v>
      </c>
      <c r="C715" t="e">
        <f>MATCH(A715,mapPRC!A$2:A$1154,0)</f>
        <v>#N/A</v>
      </c>
      <c r="G715" t="s">
        <v>236</v>
      </c>
      <c r="H715" t="s">
        <v>235</v>
      </c>
      <c r="I715">
        <f>MATCH(G715,mapPRC!$A$2:$A$1154,0)</f>
        <v>1008</v>
      </c>
    </row>
    <row r="716" spans="1:9" x14ac:dyDescent="0.25">
      <c r="A716" t="s">
        <v>5865</v>
      </c>
      <c r="B716" t="s">
        <v>5866</v>
      </c>
      <c r="C716" t="e">
        <f>MATCH(A716,mapPRC!A$2:A$1154,0)</f>
        <v>#N/A</v>
      </c>
      <c r="G716" t="s">
        <v>234</v>
      </c>
      <c r="H716" t="s">
        <v>233</v>
      </c>
      <c r="I716">
        <f>MATCH(G716,mapPRC!$A$2:$A$1154,0)</f>
        <v>1009</v>
      </c>
    </row>
    <row r="717" spans="1:9" x14ac:dyDescent="0.25">
      <c r="A717" t="s">
        <v>5867</v>
      </c>
      <c r="B717" t="s">
        <v>5868</v>
      </c>
      <c r="C717" t="e">
        <f>MATCH(A717,mapPRC!A$2:A$1154,0)</f>
        <v>#N/A</v>
      </c>
      <c r="G717" t="s">
        <v>232</v>
      </c>
      <c r="H717" t="s">
        <v>231</v>
      </c>
      <c r="I717">
        <f>MATCH(G717,mapPRC!$A$2:$A$1154,0)</f>
        <v>1010</v>
      </c>
    </row>
    <row r="718" spans="1:9" x14ac:dyDescent="0.25">
      <c r="A718" t="s">
        <v>5869</v>
      </c>
      <c r="B718" t="s">
        <v>5870</v>
      </c>
      <c r="C718" t="e">
        <f>MATCH(A718,mapPRC!A$2:A$1154,0)</f>
        <v>#N/A</v>
      </c>
      <c r="G718" t="s">
        <v>230</v>
      </c>
      <c r="H718" t="s">
        <v>229</v>
      </c>
      <c r="I718">
        <f>MATCH(G718,mapPRC!$A$2:$A$1154,0)</f>
        <v>1011</v>
      </c>
    </row>
    <row r="719" spans="1:9" x14ac:dyDescent="0.25">
      <c r="A719" t="s">
        <v>443</v>
      </c>
      <c r="B719" t="s">
        <v>5871</v>
      </c>
      <c r="C719">
        <f>MATCH(A719,mapPRC!A$2:A$1154,0)</f>
        <v>890</v>
      </c>
      <c r="G719" t="s">
        <v>226</v>
      </c>
      <c r="H719" t="s">
        <v>225</v>
      </c>
      <c r="I719">
        <f>MATCH(G719,mapPRC!$A$2:$A$1154,0)</f>
        <v>1012</v>
      </c>
    </row>
    <row r="720" spans="1:9" x14ac:dyDescent="0.25">
      <c r="A720" t="s">
        <v>3455</v>
      </c>
      <c r="B720" t="s">
        <v>5872</v>
      </c>
      <c r="C720">
        <f>MATCH(A720,mapPRC!A$2:A$1154,0)</f>
        <v>895</v>
      </c>
      <c r="G720" t="s">
        <v>220</v>
      </c>
      <c r="H720" t="s">
        <v>219</v>
      </c>
      <c r="I720">
        <f>MATCH(G720,mapPRC!$A$2:$A$1154,0)</f>
        <v>1016</v>
      </c>
    </row>
    <row r="721" spans="1:9" x14ac:dyDescent="0.25">
      <c r="A721" t="s">
        <v>3457</v>
      </c>
      <c r="B721" t="s">
        <v>5873</v>
      </c>
      <c r="C721">
        <f>MATCH(A721,mapPRC!A$2:A$1154,0)</f>
        <v>896</v>
      </c>
      <c r="G721" t="s">
        <v>218</v>
      </c>
      <c r="H721" t="s">
        <v>217</v>
      </c>
      <c r="I721">
        <f>MATCH(G721,mapPRC!$A$2:$A$1154,0)</f>
        <v>1018</v>
      </c>
    </row>
    <row r="722" spans="1:9" x14ac:dyDescent="0.25">
      <c r="A722" t="s">
        <v>391</v>
      </c>
      <c r="B722" t="s">
        <v>5874</v>
      </c>
      <c r="C722">
        <f>MATCH(A722,mapPRC!A$2:A$1154,0)</f>
        <v>919</v>
      </c>
      <c r="G722" t="s">
        <v>216</v>
      </c>
      <c r="H722" t="s">
        <v>215</v>
      </c>
      <c r="I722">
        <f>MATCH(G722,mapPRC!$A$2:$A$1154,0)</f>
        <v>1019</v>
      </c>
    </row>
    <row r="723" spans="1:9" x14ac:dyDescent="0.25">
      <c r="A723" t="s">
        <v>389</v>
      </c>
      <c r="B723" t="s">
        <v>5875</v>
      </c>
      <c r="C723">
        <f>MATCH(A723,mapPRC!A$2:A$1154,0)</f>
        <v>920</v>
      </c>
      <c r="G723" t="s">
        <v>214</v>
      </c>
      <c r="H723" t="s">
        <v>213</v>
      </c>
      <c r="I723">
        <f>MATCH(G723,mapPRC!$A$2:$A$1154,0)</f>
        <v>1020</v>
      </c>
    </row>
    <row r="724" spans="1:9" x14ac:dyDescent="0.25">
      <c r="A724" t="s">
        <v>5876</v>
      </c>
      <c r="B724" t="s">
        <v>5877</v>
      </c>
      <c r="C724" t="e">
        <f>MATCH(A724,mapPRC!A$2:A$1154,0)</f>
        <v>#N/A</v>
      </c>
      <c r="G724" t="s">
        <v>212</v>
      </c>
      <c r="H724" t="s">
        <v>211</v>
      </c>
      <c r="I724">
        <f>MATCH(G724,mapPRC!$A$2:$A$1154,0)</f>
        <v>1021</v>
      </c>
    </row>
    <row r="725" spans="1:9" x14ac:dyDescent="0.25">
      <c r="A725" t="s">
        <v>3459</v>
      </c>
      <c r="B725" t="s">
        <v>5878</v>
      </c>
      <c r="C725">
        <f>MATCH(A725,mapPRC!A$2:A$1154,0)</f>
        <v>899</v>
      </c>
      <c r="G725" t="s">
        <v>210</v>
      </c>
      <c r="H725" t="s">
        <v>209</v>
      </c>
      <c r="I725">
        <f>MATCH(G725,mapPRC!$A$2:$A$1154,0)</f>
        <v>1022</v>
      </c>
    </row>
    <row r="726" spans="1:9" x14ac:dyDescent="0.25">
      <c r="A726" t="s">
        <v>5879</v>
      </c>
      <c r="B726" t="s">
        <v>5880</v>
      </c>
      <c r="C726" t="e">
        <f>MATCH(A726,mapPRC!A$2:A$1154,0)</f>
        <v>#N/A</v>
      </c>
      <c r="G726" t="s">
        <v>208</v>
      </c>
      <c r="H726" t="s">
        <v>207</v>
      </c>
      <c r="I726">
        <f>MATCH(G726,mapPRC!$A$2:$A$1154,0)</f>
        <v>1023</v>
      </c>
    </row>
    <row r="727" spans="1:9" x14ac:dyDescent="0.25">
      <c r="A727" t="s">
        <v>194</v>
      </c>
      <c r="B727" t="s">
        <v>193</v>
      </c>
      <c r="C727">
        <f>MATCH(A727,mapPRC!A$2:A$1154,0)</f>
        <v>1032</v>
      </c>
      <c r="G727" t="s">
        <v>3462</v>
      </c>
      <c r="H727" t="s">
        <v>3463</v>
      </c>
      <c r="I727">
        <f>MATCH(G727,mapPRC!$A$2:$A$1154,0)</f>
        <v>1017</v>
      </c>
    </row>
    <row r="728" spans="1:9" x14ac:dyDescent="0.25">
      <c r="A728" t="s">
        <v>192</v>
      </c>
      <c r="B728" t="s">
        <v>191</v>
      </c>
      <c r="C728">
        <f>MATCH(A728,mapPRC!A$2:A$1154,0)</f>
        <v>1033</v>
      </c>
      <c r="G728" t="s">
        <v>206</v>
      </c>
      <c r="H728" t="s">
        <v>205</v>
      </c>
      <c r="I728">
        <f>MATCH(G728,mapPRC!$A$2:$A$1154,0)</f>
        <v>1024</v>
      </c>
    </row>
    <row r="729" spans="1:9" x14ac:dyDescent="0.25">
      <c r="A729" t="s">
        <v>189</v>
      </c>
      <c r="B729" t="s">
        <v>188</v>
      </c>
      <c r="C729">
        <f>MATCH(A729,mapPRC!A$2:A$1154,0)</f>
        <v>1034</v>
      </c>
      <c r="G729" t="s">
        <v>204</v>
      </c>
      <c r="H729" t="s">
        <v>203</v>
      </c>
      <c r="I729">
        <f>MATCH(G729,mapPRC!$A$2:$A$1154,0)</f>
        <v>1025</v>
      </c>
    </row>
    <row r="730" spans="1:9" x14ac:dyDescent="0.25">
      <c r="A730" t="s">
        <v>187</v>
      </c>
      <c r="B730" t="s">
        <v>186</v>
      </c>
      <c r="C730">
        <f>MATCH(A730,mapPRC!A$2:A$1154,0)</f>
        <v>1035</v>
      </c>
      <c r="G730" t="s">
        <v>202</v>
      </c>
      <c r="H730" t="s">
        <v>201</v>
      </c>
      <c r="I730">
        <f>MATCH(G730,mapPRC!$A$2:$A$1154,0)</f>
        <v>1026</v>
      </c>
    </row>
    <row r="731" spans="1:9" x14ac:dyDescent="0.25">
      <c r="A731" t="s">
        <v>185</v>
      </c>
      <c r="B731" t="s">
        <v>184</v>
      </c>
      <c r="C731">
        <f>MATCH(A731,mapPRC!A$2:A$1154,0)</f>
        <v>1036</v>
      </c>
      <c r="G731" t="s">
        <v>3430</v>
      </c>
      <c r="H731" t="s">
        <v>3564</v>
      </c>
      <c r="I731">
        <f>MATCH(G731,mapPRC!$A$2:$A$1154,0)</f>
        <v>1027</v>
      </c>
    </row>
    <row r="732" spans="1:9" x14ac:dyDescent="0.25">
      <c r="A732" t="s">
        <v>183</v>
      </c>
      <c r="B732" t="s">
        <v>182</v>
      </c>
      <c r="C732">
        <f>MATCH(A732,mapPRC!A$2:A$1154,0)</f>
        <v>1037</v>
      </c>
      <c r="G732" t="s">
        <v>3431</v>
      </c>
      <c r="H732" t="s">
        <v>3565</v>
      </c>
      <c r="I732">
        <f>MATCH(G732,mapPRC!$A$2:$A$1154,0)</f>
        <v>1028</v>
      </c>
    </row>
    <row r="733" spans="1:9" x14ac:dyDescent="0.25">
      <c r="A733" t="s">
        <v>181</v>
      </c>
      <c r="B733" t="s">
        <v>180</v>
      </c>
      <c r="C733">
        <f>MATCH(A733,mapPRC!A$2:A$1154,0)</f>
        <v>1038</v>
      </c>
      <c r="G733" t="s">
        <v>200</v>
      </c>
      <c r="H733" t="s">
        <v>199</v>
      </c>
      <c r="I733">
        <f>MATCH(G733,mapPRC!$A$2:$A$1154,0)</f>
        <v>1029</v>
      </c>
    </row>
    <row r="734" spans="1:9" x14ac:dyDescent="0.25">
      <c r="A734" t="s">
        <v>179</v>
      </c>
      <c r="B734" t="s">
        <v>178</v>
      </c>
      <c r="C734">
        <f>MATCH(A734,mapPRC!A$2:A$1154,0)</f>
        <v>1039</v>
      </c>
      <c r="G734" t="s">
        <v>198</v>
      </c>
      <c r="H734" t="s">
        <v>197</v>
      </c>
      <c r="I734">
        <f>MATCH(G734,mapPRC!$A$2:$A$1154,0)</f>
        <v>1030</v>
      </c>
    </row>
    <row r="735" spans="1:9" x14ac:dyDescent="0.25">
      <c r="A735" t="s">
        <v>177</v>
      </c>
      <c r="B735" t="s">
        <v>176</v>
      </c>
      <c r="C735">
        <f>MATCH(A735,mapPRC!A$2:A$1154,0)</f>
        <v>1040</v>
      </c>
      <c r="G735" t="s">
        <v>196</v>
      </c>
      <c r="H735" t="s">
        <v>195</v>
      </c>
      <c r="I735">
        <f>MATCH(G735,mapPRC!$A$2:$A$1154,0)</f>
        <v>1031</v>
      </c>
    </row>
    <row r="736" spans="1:9" x14ac:dyDescent="0.25">
      <c r="A736" t="s">
        <v>170</v>
      </c>
      <c r="B736" t="s">
        <v>169</v>
      </c>
      <c r="C736">
        <f>MATCH(A736,mapPRC!A$2:A$1154,0)</f>
        <v>1043</v>
      </c>
      <c r="G736" t="s">
        <v>194</v>
      </c>
      <c r="H736" t="s">
        <v>193</v>
      </c>
      <c r="I736">
        <f>MATCH(G736,mapPRC!$A$2:$A$1154,0)</f>
        <v>1032</v>
      </c>
    </row>
    <row r="737" spans="1:9" x14ac:dyDescent="0.25">
      <c r="A737" t="s">
        <v>168</v>
      </c>
      <c r="B737" t="s">
        <v>167</v>
      </c>
      <c r="C737">
        <f>MATCH(A737,mapPRC!A$2:A$1154,0)</f>
        <v>1044</v>
      </c>
      <c r="G737" t="s">
        <v>192</v>
      </c>
      <c r="H737" t="s">
        <v>191</v>
      </c>
      <c r="I737">
        <f>MATCH(G737,mapPRC!$A$2:$A$1154,0)</f>
        <v>1033</v>
      </c>
    </row>
    <row r="738" spans="1:9" x14ac:dyDescent="0.25">
      <c r="A738" t="s">
        <v>3576</v>
      </c>
      <c r="B738" t="s">
        <v>3577</v>
      </c>
      <c r="C738">
        <f>MATCH(A738,mapPRC!A$2:A$1154,0)</f>
        <v>1045</v>
      </c>
      <c r="G738" t="s">
        <v>189</v>
      </c>
      <c r="H738" t="s">
        <v>188</v>
      </c>
      <c r="I738">
        <f>MATCH(G738,mapPRC!$A$2:$A$1154,0)</f>
        <v>1034</v>
      </c>
    </row>
    <row r="739" spans="1:9" x14ac:dyDescent="0.25">
      <c r="A739" t="s">
        <v>166</v>
      </c>
      <c r="B739" t="s">
        <v>165</v>
      </c>
      <c r="C739">
        <f>MATCH(A739,mapPRC!A$2:A$1154,0)</f>
        <v>1046</v>
      </c>
      <c r="G739" t="s">
        <v>187</v>
      </c>
      <c r="H739" t="s">
        <v>186</v>
      </c>
      <c r="I739">
        <f>MATCH(G739,mapPRC!$A$2:$A$1154,0)</f>
        <v>1035</v>
      </c>
    </row>
    <row r="740" spans="1:9" x14ac:dyDescent="0.25">
      <c r="A740" t="s">
        <v>164</v>
      </c>
      <c r="B740" t="s">
        <v>163</v>
      </c>
      <c r="C740">
        <f>MATCH(A740,mapPRC!A$2:A$1154,0)</f>
        <v>1047</v>
      </c>
      <c r="G740" t="s">
        <v>185</v>
      </c>
      <c r="H740" t="s">
        <v>184</v>
      </c>
      <c r="I740">
        <f>MATCH(G740,mapPRC!$A$2:$A$1154,0)</f>
        <v>1036</v>
      </c>
    </row>
    <row r="741" spans="1:9" x14ac:dyDescent="0.25">
      <c r="A741" t="s">
        <v>162</v>
      </c>
      <c r="B741" t="s">
        <v>161</v>
      </c>
      <c r="C741">
        <f>MATCH(A741,mapPRC!A$2:A$1154,0)</f>
        <v>1048</v>
      </c>
      <c r="G741" t="s">
        <v>183</v>
      </c>
      <c r="H741" t="s">
        <v>182</v>
      </c>
      <c r="I741">
        <f>MATCH(G741,mapPRC!$A$2:$A$1154,0)</f>
        <v>1037</v>
      </c>
    </row>
    <row r="742" spans="1:9" x14ac:dyDescent="0.25">
      <c r="A742" t="s">
        <v>160</v>
      </c>
      <c r="B742" t="s">
        <v>159</v>
      </c>
      <c r="C742">
        <f>MATCH(A742,mapPRC!A$2:A$1154,0)</f>
        <v>1049</v>
      </c>
      <c r="G742" t="s">
        <v>181</v>
      </c>
      <c r="H742" t="s">
        <v>180</v>
      </c>
      <c r="I742">
        <f>MATCH(G742,mapPRC!$A$2:$A$1154,0)</f>
        <v>1038</v>
      </c>
    </row>
    <row r="743" spans="1:9" x14ac:dyDescent="0.25">
      <c r="A743" t="s">
        <v>158</v>
      </c>
      <c r="B743" t="s">
        <v>157</v>
      </c>
      <c r="C743">
        <f>MATCH(A743,mapPRC!A$2:A$1154,0)</f>
        <v>1050</v>
      </c>
      <c r="G743" t="s">
        <v>179</v>
      </c>
      <c r="H743" t="s">
        <v>178</v>
      </c>
      <c r="I743">
        <f>MATCH(G743,mapPRC!$A$2:$A$1154,0)</f>
        <v>1039</v>
      </c>
    </row>
    <row r="744" spans="1:9" x14ac:dyDescent="0.25">
      <c r="A744" t="s">
        <v>156</v>
      </c>
      <c r="B744" t="s">
        <v>155</v>
      </c>
      <c r="C744">
        <f>MATCH(A744,mapPRC!A$2:A$1154,0)</f>
        <v>1051</v>
      </c>
      <c r="G744" t="s">
        <v>177</v>
      </c>
      <c r="H744" t="s">
        <v>176</v>
      </c>
      <c r="I744">
        <f>MATCH(G744,mapPRC!$A$2:$A$1154,0)</f>
        <v>1040</v>
      </c>
    </row>
    <row r="745" spans="1:9" x14ac:dyDescent="0.25">
      <c r="A745" t="s">
        <v>154</v>
      </c>
      <c r="B745" t="s">
        <v>153</v>
      </c>
      <c r="C745">
        <f>MATCH(A745,mapPRC!A$2:A$1154,0)</f>
        <v>1052</v>
      </c>
      <c r="G745" t="s">
        <v>170</v>
      </c>
      <c r="H745" t="s">
        <v>169</v>
      </c>
      <c r="I745">
        <f>MATCH(G745,mapPRC!$A$2:$A$1154,0)</f>
        <v>1043</v>
      </c>
    </row>
    <row r="746" spans="1:9" x14ac:dyDescent="0.25">
      <c r="A746" t="s">
        <v>150</v>
      </c>
      <c r="B746" t="s">
        <v>149</v>
      </c>
      <c r="C746">
        <f>MATCH(A746,mapPRC!A$2:A$1154,0)</f>
        <v>1053</v>
      </c>
      <c r="G746" t="s">
        <v>168</v>
      </c>
      <c r="H746" t="s">
        <v>167</v>
      </c>
      <c r="I746">
        <f>MATCH(G746,mapPRC!$A$2:$A$1154,0)</f>
        <v>1044</v>
      </c>
    </row>
    <row r="747" spans="1:9" x14ac:dyDescent="0.25">
      <c r="A747" t="s">
        <v>147</v>
      </c>
      <c r="B747" t="s">
        <v>146</v>
      </c>
      <c r="C747">
        <f>MATCH(A747,mapPRC!A$2:A$1154,0)</f>
        <v>1056</v>
      </c>
      <c r="G747" t="s">
        <v>3576</v>
      </c>
      <c r="H747" t="s">
        <v>3577</v>
      </c>
      <c r="I747">
        <f>MATCH(G747,mapPRC!$A$2:$A$1154,0)</f>
        <v>1045</v>
      </c>
    </row>
    <row r="748" spans="1:9" x14ac:dyDescent="0.25">
      <c r="A748" t="s">
        <v>142</v>
      </c>
      <c r="B748" t="s">
        <v>141</v>
      </c>
      <c r="C748">
        <f>MATCH(A748,mapPRC!A$2:A$1154,0)</f>
        <v>1057</v>
      </c>
      <c r="G748" t="s">
        <v>166</v>
      </c>
      <c r="H748" t="s">
        <v>165</v>
      </c>
      <c r="I748">
        <f>MATCH(G748,mapPRC!$A$2:$A$1154,0)</f>
        <v>1046</v>
      </c>
    </row>
    <row r="749" spans="1:9" x14ac:dyDescent="0.25">
      <c r="A749" t="s">
        <v>139</v>
      </c>
      <c r="B749" t="s">
        <v>138</v>
      </c>
      <c r="C749">
        <f>MATCH(A749,mapPRC!A$2:A$1154,0)</f>
        <v>1058</v>
      </c>
      <c r="G749" t="s">
        <v>164</v>
      </c>
      <c r="H749" t="s">
        <v>163</v>
      </c>
      <c r="I749">
        <f>MATCH(G749,mapPRC!$A$2:$A$1154,0)</f>
        <v>1047</v>
      </c>
    </row>
    <row r="750" spans="1:9" x14ac:dyDescent="0.25">
      <c r="A750" t="s">
        <v>136</v>
      </c>
      <c r="B750" t="s">
        <v>135</v>
      </c>
      <c r="C750">
        <f>MATCH(A750,mapPRC!A$2:A$1154,0)</f>
        <v>1060</v>
      </c>
      <c r="G750" t="s">
        <v>162</v>
      </c>
      <c r="H750" t="s">
        <v>161</v>
      </c>
      <c r="I750">
        <f>MATCH(G750,mapPRC!$A$2:$A$1154,0)</f>
        <v>1048</v>
      </c>
    </row>
    <row r="751" spans="1:9" x14ac:dyDescent="0.25">
      <c r="A751" t="s">
        <v>134</v>
      </c>
      <c r="B751" t="s">
        <v>133</v>
      </c>
      <c r="C751">
        <f>MATCH(A751,mapPRC!A$2:A$1154,0)</f>
        <v>1061</v>
      </c>
      <c r="G751" t="s">
        <v>160</v>
      </c>
      <c r="H751" t="s">
        <v>159</v>
      </c>
      <c r="I751">
        <f>MATCH(G751,mapPRC!$A$2:$A$1154,0)</f>
        <v>1049</v>
      </c>
    </row>
    <row r="752" spans="1:9" x14ac:dyDescent="0.25">
      <c r="A752" t="s">
        <v>3464</v>
      </c>
      <c r="B752" t="s">
        <v>3465</v>
      </c>
      <c r="C752">
        <f>MATCH(A752,mapPRC!A$2:A$1154,0)</f>
        <v>1062</v>
      </c>
      <c r="G752" t="s">
        <v>158</v>
      </c>
      <c r="H752" t="s">
        <v>157</v>
      </c>
      <c r="I752">
        <f>MATCH(G752,mapPRC!$A$2:$A$1154,0)</f>
        <v>1050</v>
      </c>
    </row>
    <row r="753" spans="1:9" x14ac:dyDescent="0.25">
      <c r="A753" t="s">
        <v>132</v>
      </c>
      <c r="B753" t="s">
        <v>131</v>
      </c>
      <c r="C753">
        <f>MATCH(A753,mapPRC!A$2:A$1154,0)</f>
        <v>1063</v>
      </c>
      <c r="G753" t="s">
        <v>156</v>
      </c>
      <c r="H753" t="s">
        <v>155</v>
      </c>
      <c r="I753">
        <f>MATCH(G753,mapPRC!$A$2:$A$1154,0)</f>
        <v>1051</v>
      </c>
    </row>
    <row r="754" spans="1:9" x14ac:dyDescent="0.25">
      <c r="A754" t="s">
        <v>130</v>
      </c>
      <c r="B754" t="s">
        <v>129</v>
      </c>
      <c r="C754">
        <f>MATCH(A754,mapPRC!A$2:A$1154,0)</f>
        <v>1064</v>
      </c>
      <c r="G754" t="s">
        <v>154</v>
      </c>
      <c r="H754" t="s">
        <v>153</v>
      </c>
      <c r="I754">
        <f>MATCH(G754,mapPRC!$A$2:$A$1154,0)</f>
        <v>1052</v>
      </c>
    </row>
    <row r="755" spans="1:9" x14ac:dyDescent="0.25">
      <c r="A755" t="s">
        <v>128</v>
      </c>
      <c r="B755" t="s">
        <v>127</v>
      </c>
      <c r="C755">
        <f>MATCH(A755,mapPRC!A$2:A$1154,0)</f>
        <v>1065</v>
      </c>
      <c r="G755" t="s">
        <v>150</v>
      </c>
      <c r="H755" t="s">
        <v>149</v>
      </c>
      <c r="I755">
        <f>MATCH(G755,mapPRC!$A$2:$A$1154,0)</f>
        <v>1053</v>
      </c>
    </row>
    <row r="756" spans="1:9" x14ac:dyDescent="0.25">
      <c r="A756" t="s">
        <v>126</v>
      </c>
      <c r="B756" t="s">
        <v>125</v>
      </c>
      <c r="C756">
        <f>MATCH(A756,mapPRC!A$2:A$1154,0)</f>
        <v>1066</v>
      </c>
      <c r="G756" t="s">
        <v>147</v>
      </c>
      <c r="H756" t="s">
        <v>146</v>
      </c>
      <c r="I756">
        <f>MATCH(G756,mapPRC!$A$2:$A$1154,0)</f>
        <v>1056</v>
      </c>
    </row>
    <row r="757" spans="1:9" x14ac:dyDescent="0.25">
      <c r="A757" t="s">
        <v>124</v>
      </c>
      <c r="B757" t="s">
        <v>123</v>
      </c>
      <c r="C757">
        <f>MATCH(A757,mapPRC!A$2:A$1154,0)</f>
        <v>1067</v>
      </c>
      <c r="G757" t="s">
        <v>142</v>
      </c>
      <c r="H757" t="s">
        <v>141</v>
      </c>
      <c r="I757">
        <f>MATCH(G757,mapPRC!$A$2:$A$1154,0)</f>
        <v>1057</v>
      </c>
    </row>
    <row r="758" spans="1:9" x14ac:dyDescent="0.25">
      <c r="A758" t="s">
        <v>122</v>
      </c>
      <c r="B758" t="s">
        <v>121</v>
      </c>
      <c r="C758">
        <f>MATCH(A758,mapPRC!A$2:A$1154,0)</f>
        <v>1068</v>
      </c>
      <c r="G758" t="s">
        <v>139</v>
      </c>
      <c r="H758" t="s">
        <v>138</v>
      </c>
      <c r="I758">
        <f>MATCH(G758,mapPRC!$A$2:$A$1154,0)</f>
        <v>1058</v>
      </c>
    </row>
    <row r="759" spans="1:9" x14ac:dyDescent="0.25">
      <c r="A759" t="s">
        <v>120</v>
      </c>
      <c r="B759" t="s">
        <v>119</v>
      </c>
      <c r="C759">
        <f>MATCH(A759,mapPRC!A$2:A$1154,0)</f>
        <v>1069</v>
      </c>
      <c r="G759" t="s">
        <v>136</v>
      </c>
      <c r="H759" t="s">
        <v>135</v>
      </c>
      <c r="I759">
        <f>MATCH(G759,mapPRC!$A$2:$A$1154,0)</f>
        <v>1060</v>
      </c>
    </row>
    <row r="760" spans="1:9" x14ac:dyDescent="0.25">
      <c r="A760" t="s">
        <v>118</v>
      </c>
      <c r="B760" t="s">
        <v>117</v>
      </c>
      <c r="C760">
        <f>MATCH(A760,mapPRC!A$2:A$1154,0)</f>
        <v>1070</v>
      </c>
      <c r="G760" t="s">
        <v>134</v>
      </c>
      <c r="H760" t="s">
        <v>133</v>
      </c>
      <c r="I760">
        <f>MATCH(G760,mapPRC!$A$2:$A$1154,0)</f>
        <v>1061</v>
      </c>
    </row>
    <row r="761" spans="1:9" x14ac:dyDescent="0.25">
      <c r="A761" t="s">
        <v>116</v>
      </c>
      <c r="B761" t="s">
        <v>115</v>
      </c>
      <c r="C761">
        <f>MATCH(A761,mapPRC!A$2:A$1154,0)</f>
        <v>1071</v>
      </c>
      <c r="G761" t="s">
        <v>3464</v>
      </c>
      <c r="H761" t="s">
        <v>3465</v>
      </c>
      <c r="I761">
        <f>MATCH(G761,mapPRC!$A$2:$A$1154,0)</f>
        <v>1062</v>
      </c>
    </row>
    <row r="762" spans="1:9" x14ac:dyDescent="0.25">
      <c r="A762" t="s">
        <v>114</v>
      </c>
      <c r="B762" t="s">
        <v>113</v>
      </c>
      <c r="C762">
        <f>MATCH(A762,mapPRC!A$2:A$1154,0)</f>
        <v>1072</v>
      </c>
      <c r="G762" t="s">
        <v>132</v>
      </c>
      <c r="H762" t="s">
        <v>131</v>
      </c>
      <c r="I762">
        <f>MATCH(G762,mapPRC!$A$2:$A$1154,0)</f>
        <v>1063</v>
      </c>
    </row>
    <row r="763" spans="1:9" x14ac:dyDescent="0.25">
      <c r="A763" t="s">
        <v>112</v>
      </c>
      <c r="B763" t="s">
        <v>111</v>
      </c>
      <c r="C763">
        <f>MATCH(A763,mapPRC!A$2:A$1154,0)</f>
        <v>1073</v>
      </c>
      <c r="G763" t="s">
        <v>130</v>
      </c>
      <c r="H763" t="s">
        <v>129</v>
      </c>
      <c r="I763">
        <f>MATCH(G763,mapPRC!$A$2:$A$1154,0)</f>
        <v>1064</v>
      </c>
    </row>
    <row r="764" spans="1:9" x14ac:dyDescent="0.25">
      <c r="A764" t="s">
        <v>110</v>
      </c>
      <c r="B764" t="s">
        <v>109</v>
      </c>
      <c r="C764">
        <f>MATCH(A764,mapPRC!A$2:A$1154,0)</f>
        <v>1074</v>
      </c>
      <c r="G764" t="s">
        <v>128</v>
      </c>
      <c r="H764" t="s">
        <v>127</v>
      </c>
      <c r="I764">
        <f>MATCH(G764,mapPRC!$A$2:$A$1154,0)</f>
        <v>1065</v>
      </c>
    </row>
    <row r="765" spans="1:9" x14ac:dyDescent="0.25">
      <c r="A765" t="s">
        <v>108</v>
      </c>
      <c r="B765" t="s">
        <v>107</v>
      </c>
      <c r="C765">
        <f>MATCH(A765,mapPRC!A$2:A$1154,0)</f>
        <v>1075</v>
      </c>
      <c r="G765" t="s">
        <v>126</v>
      </c>
      <c r="H765" t="s">
        <v>125</v>
      </c>
      <c r="I765">
        <f>MATCH(G765,mapPRC!$A$2:$A$1154,0)</f>
        <v>1066</v>
      </c>
    </row>
    <row r="766" spans="1:9" x14ac:dyDescent="0.25">
      <c r="A766" t="s">
        <v>106</v>
      </c>
      <c r="B766" t="s">
        <v>105</v>
      </c>
      <c r="C766">
        <f>MATCH(A766,mapPRC!A$2:A$1154,0)</f>
        <v>1076</v>
      </c>
      <c r="G766" t="s">
        <v>124</v>
      </c>
      <c r="H766" t="s">
        <v>123</v>
      </c>
      <c r="I766">
        <f>MATCH(G766,mapPRC!$A$2:$A$1154,0)</f>
        <v>1067</v>
      </c>
    </row>
    <row r="767" spans="1:9" x14ac:dyDescent="0.25">
      <c r="A767" t="s">
        <v>104</v>
      </c>
      <c r="B767" t="s">
        <v>103</v>
      </c>
      <c r="C767">
        <f>MATCH(A767,mapPRC!A$2:A$1154,0)</f>
        <v>1077</v>
      </c>
      <c r="G767" t="s">
        <v>122</v>
      </c>
      <c r="H767" t="s">
        <v>121</v>
      </c>
      <c r="I767">
        <f>MATCH(G767,mapPRC!$A$2:$A$1154,0)</f>
        <v>1068</v>
      </c>
    </row>
    <row r="768" spans="1:9" x14ac:dyDescent="0.25">
      <c r="A768" t="s">
        <v>102</v>
      </c>
      <c r="B768" t="s">
        <v>101</v>
      </c>
      <c r="C768">
        <f>MATCH(A768,mapPRC!A$2:A$1154,0)</f>
        <v>1078</v>
      </c>
      <c r="G768" t="s">
        <v>120</v>
      </c>
      <c r="H768" t="s">
        <v>119</v>
      </c>
      <c r="I768">
        <f>MATCH(G768,mapPRC!$A$2:$A$1154,0)</f>
        <v>1069</v>
      </c>
    </row>
    <row r="769" spans="1:9" x14ac:dyDescent="0.25">
      <c r="A769" t="s">
        <v>98</v>
      </c>
      <c r="B769" t="s">
        <v>97</v>
      </c>
      <c r="C769">
        <f>MATCH(A769,mapPRC!A$2:A$1154,0)</f>
        <v>1080</v>
      </c>
      <c r="G769" t="s">
        <v>118</v>
      </c>
      <c r="H769" t="s">
        <v>117</v>
      </c>
      <c r="I769">
        <f>MATCH(G769,mapPRC!$A$2:$A$1154,0)</f>
        <v>1070</v>
      </c>
    </row>
    <row r="770" spans="1:9" x14ac:dyDescent="0.25">
      <c r="A770" t="s">
        <v>96</v>
      </c>
      <c r="B770" t="s">
        <v>95</v>
      </c>
      <c r="C770">
        <f>MATCH(A770,mapPRC!A$2:A$1154,0)</f>
        <v>1081</v>
      </c>
      <c r="G770" t="s">
        <v>116</v>
      </c>
      <c r="H770" t="s">
        <v>115</v>
      </c>
      <c r="I770">
        <f>MATCH(G770,mapPRC!$A$2:$A$1154,0)</f>
        <v>1071</v>
      </c>
    </row>
    <row r="771" spans="1:9" x14ac:dyDescent="0.25">
      <c r="A771" t="s">
        <v>3084</v>
      </c>
      <c r="B771" t="s">
        <v>3085</v>
      </c>
      <c r="C771">
        <f>MATCH(A771,mapPRC!A$2:A$1154,0)</f>
        <v>1082</v>
      </c>
      <c r="G771" t="s">
        <v>114</v>
      </c>
      <c r="H771" t="s">
        <v>113</v>
      </c>
      <c r="I771">
        <f>MATCH(G771,mapPRC!$A$2:$A$1154,0)</f>
        <v>1072</v>
      </c>
    </row>
    <row r="772" spans="1:9" x14ac:dyDescent="0.25">
      <c r="A772" t="s">
        <v>94</v>
      </c>
      <c r="B772" t="s">
        <v>93</v>
      </c>
      <c r="C772">
        <f>MATCH(A772,mapPRC!A$2:A$1154,0)</f>
        <v>1083</v>
      </c>
      <c r="G772" t="s">
        <v>112</v>
      </c>
      <c r="H772" t="s">
        <v>111</v>
      </c>
      <c r="I772">
        <f>MATCH(G772,mapPRC!$A$2:$A$1154,0)</f>
        <v>1073</v>
      </c>
    </row>
    <row r="773" spans="1:9" x14ac:dyDescent="0.25">
      <c r="A773" t="s">
        <v>92</v>
      </c>
      <c r="B773" t="s">
        <v>77</v>
      </c>
      <c r="C773">
        <f>MATCH(A773,mapPRC!A$2:A$1154,0)</f>
        <v>1084</v>
      </c>
      <c r="G773" t="s">
        <v>110</v>
      </c>
      <c r="H773" t="s">
        <v>109</v>
      </c>
      <c r="I773">
        <f>MATCH(G773,mapPRC!$A$2:$A$1154,0)</f>
        <v>1074</v>
      </c>
    </row>
    <row r="774" spans="1:9" x14ac:dyDescent="0.25">
      <c r="A774" t="s">
        <v>91</v>
      </c>
      <c r="B774" t="s">
        <v>90</v>
      </c>
      <c r="C774">
        <f>MATCH(A774,mapPRC!A$2:A$1154,0)</f>
        <v>1085</v>
      </c>
      <c r="G774" t="s">
        <v>108</v>
      </c>
      <c r="H774" t="s">
        <v>107</v>
      </c>
      <c r="I774">
        <f>MATCH(G774,mapPRC!$A$2:$A$1154,0)</f>
        <v>1075</v>
      </c>
    </row>
    <row r="775" spans="1:9" x14ac:dyDescent="0.25">
      <c r="A775" t="s">
        <v>89</v>
      </c>
      <c r="B775" t="s">
        <v>88</v>
      </c>
      <c r="C775">
        <f>MATCH(A775,mapPRC!A$2:A$1154,0)</f>
        <v>1086</v>
      </c>
      <c r="G775" t="s">
        <v>106</v>
      </c>
      <c r="H775" t="s">
        <v>105</v>
      </c>
      <c r="I775">
        <f>MATCH(G775,mapPRC!$A$2:$A$1154,0)</f>
        <v>1076</v>
      </c>
    </row>
    <row r="776" spans="1:9" x14ac:dyDescent="0.25">
      <c r="A776" t="s">
        <v>85</v>
      </c>
      <c r="B776" t="s">
        <v>84</v>
      </c>
      <c r="C776">
        <f>MATCH(A776,mapPRC!A$2:A$1154,0)</f>
        <v>1088</v>
      </c>
      <c r="G776" t="s">
        <v>104</v>
      </c>
      <c r="H776" t="s">
        <v>103</v>
      </c>
      <c r="I776">
        <f>MATCH(G776,mapPRC!$A$2:$A$1154,0)</f>
        <v>1077</v>
      </c>
    </row>
    <row r="777" spans="1:9" x14ac:dyDescent="0.25">
      <c r="A777" t="s">
        <v>83</v>
      </c>
      <c r="B777" t="s">
        <v>82</v>
      </c>
      <c r="C777">
        <f>MATCH(A777,mapPRC!A$2:A$1154,0)</f>
        <v>1089</v>
      </c>
      <c r="G777" t="s">
        <v>102</v>
      </c>
      <c r="H777" t="s">
        <v>101</v>
      </c>
      <c r="I777">
        <f>MATCH(G777,mapPRC!$A$2:$A$1154,0)</f>
        <v>1078</v>
      </c>
    </row>
    <row r="778" spans="1:9" x14ac:dyDescent="0.25">
      <c r="A778" t="s">
        <v>81</v>
      </c>
      <c r="B778" t="s">
        <v>80</v>
      </c>
      <c r="C778">
        <f>MATCH(A778,mapPRC!A$2:A$1154,0)</f>
        <v>1090</v>
      </c>
      <c r="G778" t="s">
        <v>98</v>
      </c>
      <c r="H778" t="s">
        <v>97</v>
      </c>
      <c r="I778">
        <f>MATCH(G778,mapPRC!$A$2:$A$1154,0)</f>
        <v>1080</v>
      </c>
    </row>
    <row r="779" spans="1:9" x14ac:dyDescent="0.25">
      <c r="A779" t="s">
        <v>79</v>
      </c>
      <c r="B779" t="s">
        <v>69</v>
      </c>
      <c r="C779">
        <f>MATCH(A779,mapPRC!A$2:A$1154,0)</f>
        <v>1091</v>
      </c>
      <c r="G779" t="s">
        <v>96</v>
      </c>
      <c r="H779" t="s">
        <v>95</v>
      </c>
      <c r="I779">
        <f>MATCH(G779,mapPRC!$A$2:$A$1154,0)</f>
        <v>1081</v>
      </c>
    </row>
    <row r="780" spans="1:9" x14ac:dyDescent="0.25">
      <c r="A780" t="s">
        <v>74</v>
      </c>
      <c r="B780" t="s">
        <v>88</v>
      </c>
      <c r="C780">
        <f>MATCH(A780,mapPRC!A$2:A$1154,0)</f>
        <v>1094</v>
      </c>
      <c r="G780" t="s">
        <v>3084</v>
      </c>
      <c r="H780" t="s">
        <v>3085</v>
      </c>
      <c r="I780">
        <f>MATCH(G780,mapPRC!$A$2:$A$1154,0)</f>
        <v>1082</v>
      </c>
    </row>
    <row r="781" spans="1:9" x14ac:dyDescent="0.25">
      <c r="A781" t="s">
        <v>68</v>
      </c>
      <c r="B781" t="s">
        <v>55</v>
      </c>
      <c r="C781">
        <f>MATCH(A781,mapPRC!A$2:A$1154,0)</f>
        <v>1097</v>
      </c>
      <c r="G781" t="s">
        <v>94</v>
      </c>
      <c r="H781" t="s">
        <v>93</v>
      </c>
      <c r="I781">
        <f>MATCH(G781,mapPRC!$A$2:$A$1154,0)</f>
        <v>1083</v>
      </c>
    </row>
    <row r="782" spans="1:9" x14ac:dyDescent="0.25">
      <c r="A782" t="s">
        <v>67</v>
      </c>
      <c r="B782" t="s">
        <v>66</v>
      </c>
      <c r="C782">
        <f>MATCH(A782,mapPRC!A$2:A$1154,0)</f>
        <v>1098</v>
      </c>
      <c r="G782" t="s">
        <v>92</v>
      </c>
      <c r="H782" t="s">
        <v>77</v>
      </c>
      <c r="I782">
        <f>MATCH(G782,mapPRC!$A$2:$A$1154,0)</f>
        <v>1084</v>
      </c>
    </row>
    <row r="783" spans="1:9" x14ac:dyDescent="0.25">
      <c r="A783" t="s">
        <v>65</v>
      </c>
      <c r="B783" t="s">
        <v>51</v>
      </c>
      <c r="C783">
        <f>MATCH(A783,mapPRC!A$2:A$1154,0)</f>
        <v>1099</v>
      </c>
      <c r="G783" t="s">
        <v>91</v>
      </c>
      <c r="H783" t="s">
        <v>90</v>
      </c>
      <c r="I783">
        <f>MATCH(G783,mapPRC!$A$2:$A$1154,0)</f>
        <v>1085</v>
      </c>
    </row>
    <row r="784" spans="1:9" x14ac:dyDescent="0.25">
      <c r="A784" t="s">
        <v>63</v>
      </c>
      <c r="B784" t="s">
        <v>62</v>
      </c>
      <c r="C784">
        <f>MATCH(A784,mapPRC!A$2:A$1154,0)</f>
        <v>1101</v>
      </c>
      <c r="G784" t="s">
        <v>89</v>
      </c>
      <c r="H784" t="s">
        <v>88</v>
      </c>
      <c r="I784">
        <f>MATCH(G784,mapPRC!$A$2:$A$1154,0)</f>
        <v>1086</v>
      </c>
    </row>
    <row r="785" spans="1:9" x14ac:dyDescent="0.25">
      <c r="A785" t="s">
        <v>61</v>
      </c>
      <c r="B785" t="s">
        <v>60</v>
      </c>
      <c r="C785">
        <f>MATCH(A785,mapPRC!A$2:A$1154,0)</f>
        <v>1102</v>
      </c>
      <c r="G785" t="s">
        <v>85</v>
      </c>
      <c r="H785" t="s">
        <v>84</v>
      </c>
      <c r="I785">
        <f>MATCH(G785,mapPRC!$A$2:$A$1154,0)</f>
        <v>1088</v>
      </c>
    </row>
    <row r="786" spans="1:9" x14ac:dyDescent="0.25">
      <c r="A786" t="s">
        <v>59</v>
      </c>
      <c r="B786" t="s">
        <v>58</v>
      </c>
      <c r="C786">
        <f>MATCH(A786,mapPRC!A$2:A$1154,0)</f>
        <v>1103</v>
      </c>
      <c r="G786" t="s">
        <v>83</v>
      </c>
      <c r="H786" t="s">
        <v>82</v>
      </c>
      <c r="I786">
        <f>MATCH(G786,mapPRC!$A$2:$A$1154,0)</f>
        <v>1089</v>
      </c>
    </row>
    <row r="787" spans="1:9" x14ac:dyDescent="0.25">
      <c r="A787" t="s">
        <v>57</v>
      </c>
      <c r="B787" t="s">
        <v>47</v>
      </c>
      <c r="C787">
        <f>MATCH(A787,mapPRC!A$2:A$1154,0)</f>
        <v>1104</v>
      </c>
      <c r="G787" t="s">
        <v>81</v>
      </c>
      <c r="H787" t="s">
        <v>80</v>
      </c>
      <c r="I787">
        <f>MATCH(G787,mapPRC!$A$2:$A$1154,0)</f>
        <v>1090</v>
      </c>
    </row>
    <row r="788" spans="1:9" x14ac:dyDescent="0.25">
      <c r="A788" t="s">
        <v>52</v>
      </c>
      <c r="B788" t="s">
        <v>51</v>
      </c>
      <c r="C788">
        <f>MATCH(A788,mapPRC!A$2:A$1154,0)</f>
        <v>1107</v>
      </c>
      <c r="G788" t="s">
        <v>79</v>
      </c>
      <c r="H788" t="s">
        <v>69</v>
      </c>
      <c r="I788">
        <f>MATCH(G788,mapPRC!$A$2:$A$1154,0)</f>
        <v>1091</v>
      </c>
    </row>
    <row r="789" spans="1:9" x14ac:dyDescent="0.25">
      <c r="C789" t="e">
        <f>MATCH(A789,mapPRC!A$2:A$1154,0)</f>
        <v>#N/A</v>
      </c>
      <c r="G789" t="s">
        <v>74</v>
      </c>
      <c r="H789" t="s">
        <v>88</v>
      </c>
      <c r="I789">
        <f>MATCH(G789,mapPRC!$A$2:$A$1154,0)</f>
        <v>1094</v>
      </c>
    </row>
    <row r="790" spans="1:9" x14ac:dyDescent="0.25">
      <c r="C790" t="e">
        <f>MATCH(A790,mapPRC!A$2:A$1154,0)</f>
        <v>#N/A</v>
      </c>
      <c r="G790" t="s">
        <v>68</v>
      </c>
      <c r="H790" t="s">
        <v>55</v>
      </c>
      <c r="I790">
        <f>MATCH(G790,mapPRC!$A$2:$A$1154,0)</f>
        <v>1097</v>
      </c>
    </row>
    <row r="791" spans="1:9" x14ac:dyDescent="0.25">
      <c r="C791" t="e">
        <f>MATCH(A791,mapPRC!A$2:A$1154,0)</f>
        <v>#N/A</v>
      </c>
      <c r="G791" t="s">
        <v>67</v>
      </c>
      <c r="H791" t="s">
        <v>66</v>
      </c>
      <c r="I791">
        <f>MATCH(G791,mapPRC!$A$2:$A$1154,0)</f>
        <v>1098</v>
      </c>
    </row>
    <row r="792" spans="1:9" x14ac:dyDescent="0.25">
      <c r="C792" t="e">
        <f>MATCH(A792,mapPRC!A$2:A$1154,0)</f>
        <v>#N/A</v>
      </c>
      <c r="G792" t="s">
        <v>65</v>
      </c>
      <c r="H792" t="s">
        <v>51</v>
      </c>
      <c r="I792">
        <f>MATCH(G792,mapPRC!$A$2:$A$1154,0)</f>
        <v>1099</v>
      </c>
    </row>
    <row r="793" spans="1:9" x14ac:dyDescent="0.25">
      <c r="C793" t="e">
        <f>MATCH(A793,mapPRC!A$2:A$1154,0)</f>
        <v>#N/A</v>
      </c>
      <c r="G793" t="s">
        <v>63</v>
      </c>
      <c r="H793" t="s">
        <v>62</v>
      </c>
      <c r="I793">
        <f>MATCH(G793,mapPRC!$A$2:$A$1154,0)</f>
        <v>1101</v>
      </c>
    </row>
    <row r="794" spans="1:9" x14ac:dyDescent="0.25">
      <c r="C794" t="e">
        <f>MATCH(A794,mapPRC!A$2:A$1154,0)</f>
        <v>#N/A</v>
      </c>
      <c r="G794" t="s">
        <v>61</v>
      </c>
      <c r="H794" t="s">
        <v>60</v>
      </c>
      <c r="I794">
        <f>MATCH(G794,mapPRC!$A$2:$A$1154,0)</f>
        <v>1102</v>
      </c>
    </row>
    <row r="795" spans="1:9" x14ac:dyDescent="0.25">
      <c r="C795" t="e">
        <f>MATCH(A795,mapPRC!A$2:A$1154,0)</f>
        <v>#N/A</v>
      </c>
      <c r="G795" t="s">
        <v>59</v>
      </c>
      <c r="H795" t="s">
        <v>58</v>
      </c>
      <c r="I795">
        <f>MATCH(G795,mapPRC!$A$2:$A$1154,0)</f>
        <v>1103</v>
      </c>
    </row>
    <row r="796" spans="1:9" x14ac:dyDescent="0.25">
      <c r="C796" t="e">
        <f>MATCH(A796,mapPRC!A$2:A$1154,0)</f>
        <v>#N/A</v>
      </c>
      <c r="G796" t="s">
        <v>57</v>
      </c>
      <c r="H796" t="s">
        <v>47</v>
      </c>
      <c r="I796">
        <f>MATCH(G796,mapPRC!$A$2:$A$1154,0)</f>
        <v>1104</v>
      </c>
    </row>
    <row r="797" spans="1:9" x14ac:dyDescent="0.25">
      <c r="C797" t="e">
        <f>MATCH(A797,mapPRC!A$2:A$1154,0)</f>
        <v>#N/A</v>
      </c>
      <c r="G797" t="s">
        <v>52</v>
      </c>
      <c r="H797" t="s">
        <v>51</v>
      </c>
      <c r="I797">
        <f>MATCH(G797,mapPRC!$A$2:$A$1154,0)</f>
        <v>1107</v>
      </c>
    </row>
    <row r="798" spans="1:9" x14ac:dyDescent="0.25">
      <c r="C798" t="e">
        <f>MATCH(A798,mapPRC!A$2:A$1154,0)</f>
        <v>#N/A</v>
      </c>
    </row>
    <row r="799" spans="1:9" x14ac:dyDescent="0.25">
      <c r="C799" t="e">
        <f>MATCH(A799,mapPRC!A$2:A$1154,0)</f>
        <v>#N/A</v>
      </c>
    </row>
    <row r="800" spans="1:9" x14ac:dyDescent="0.25">
      <c r="C800" t="e">
        <f>MATCH(A800,mapPRC!A$2:A$1154,0)</f>
        <v>#N/A</v>
      </c>
    </row>
    <row r="801" spans="3:3" x14ac:dyDescent="0.25">
      <c r="C801" t="e">
        <f>MATCH(A801,mapPRC!A$2:A$1154,0)</f>
        <v>#N/A</v>
      </c>
    </row>
    <row r="802" spans="3:3" x14ac:dyDescent="0.25">
      <c r="C802" t="e">
        <f>MATCH(A802,mapPRC!A$2:A$1154,0)</f>
        <v>#N/A</v>
      </c>
    </row>
    <row r="803" spans="3:3" x14ac:dyDescent="0.25">
      <c r="C803" t="e">
        <f>MATCH(A803,mapPRC!A$2:A$1154,0)</f>
        <v>#N/A</v>
      </c>
    </row>
    <row r="804" spans="3:3" x14ac:dyDescent="0.25">
      <c r="C804" t="e">
        <f>MATCH(A804,mapPRC!A$2:A$1154,0)</f>
        <v>#N/A</v>
      </c>
    </row>
    <row r="805" spans="3:3" x14ac:dyDescent="0.25">
      <c r="C805" t="e">
        <f>MATCH(A805,mapPRC!A$2:A$1154,0)</f>
        <v>#N/A</v>
      </c>
    </row>
    <row r="806" spans="3:3" x14ac:dyDescent="0.25">
      <c r="C806" t="e">
        <f>MATCH(A806,mapPRC!A$2:A$1154,0)</f>
        <v>#N/A</v>
      </c>
    </row>
    <row r="807" spans="3:3" x14ac:dyDescent="0.25">
      <c r="C807" t="e">
        <f>MATCH(A807,mapPRC!A$2:A$1154,0)</f>
        <v>#N/A</v>
      </c>
    </row>
    <row r="808" spans="3:3" x14ac:dyDescent="0.25">
      <c r="C808" t="e">
        <f>MATCH(A808,mapPRC!A$2:A$1154,0)</f>
        <v>#N/A</v>
      </c>
    </row>
    <row r="809" spans="3:3" x14ac:dyDescent="0.25">
      <c r="C809" t="e">
        <f>MATCH(A809,mapPRC!A$2:A$1154,0)</f>
        <v>#N/A</v>
      </c>
    </row>
    <row r="810" spans="3:3" x14ac:dyDescent="0.25">
      <c r="C810" t="e">
        <f>MATCH(A810,mapPRC!A$2:A$1154,0)</f>
        <v>#N/A</v>
      </c>
    </row>
    <row r="811" spans="3:3" x14ac:dyDescent="0.25">
      <c r="C811" t="e">
        <f>MATCH(A811,mapPRC!A$2:A$1154,0)</f>
        <v>#N/A</v>
      </c>
    </row>
    <row r="812" spans="3:3" x14ac:dyDescent="0.25">
      <c r="C812" t="e">
        <f>MATCH(A812,mapPRC!A$2:A$1154,0)</f>
        <v>#N/A</v>
      </c>
    </row>
    <row r="813" spans="3:3" x14ac:dyDescent="0.25">
      <c r="C813" t="e">
        <f>MATCH(A813,mapPRC!A$2:A$1154,0)</f>
        <v>#N/A</v>
      </c>
    </row>
    <row r="814" spans="3:3" x14ac:dyDescent="0.25">
      <c r="C814" t="e">
        <f>MATCH(A814,mapPRC!A$2:A$1154,0)</f>
        <v>#N/A</v>
      </c>
    </row>
    <row r="815" spans="3:3" x14ac:dyDescent="0.25">
      <c r="C815" t="e">
        <f>MATCH(A815,mapPRC!A$2:A$1154,0)</f>
        <v>#N/A</v>
      </c>
    </row>
    <row r="816" spans="3:3" x14ac:dyDescent="0.25">
      <c r="C816" t="e">
        <f>MATCH(A816,mapPRC!A$2:A$1154,0)</f>
        <v>#N/A</v>
      </c>
    </row>
    <row r="817" spans="3:3" x14ac:dyDescent="0.25">
      <c r="C817" t="e">
        <f>MATCH(A817,mapPRC!A$2:A$1154,0)</f>
        <v>#N/A</v>
      </c>
    </row>
    <row r="818" spans="3:3" x14ac:dyDescent="0.25">
      <c r="C818" t="e">
        <f>MATCH(A818,mapPRC!A$2:A$1154,0)</f>
        <v>#N/A</v>
      </c>
    </row>
    <row r="819" spans="3:3" x14ac:dyDescent="0.25">
      <c r="C819" t="e">
        <f>MATCH(A819,mapPRC!A$2:A$1154,0)</f>
        <v>#N/A</v>
      </c>
    </row>
    <row r="820" spans="3:3" x14ac:dyDescent="0.25">
      <c r="C820" t="e">
        <f>MATCH(A820,mapPRC!A$2:A$1154,0)</f>
        <v>#N/A</v>
      </c>
    </row>
    <row r="821" spans="3:3" x14ac:dyDescent="0.25">
      <c r="C821" t="e">
        <f>MATCH(A821,mapPRC!A$2:A$1154,0)</f>
        <v>#N/A</v>
      </c>
    </row>
    <row r="822" spans="3:3" x14ac:dyDescent="0.25">
      <c r="C822" t="e">
        <f>MATCH(A822,mapPRC!A$2:A$1154,0)</f>
        <v>#N/A</v>
      </c>
    </row>
    <row r="823" spans="3:3" x14ac:dyDescent="0.25">
      <c r="C823" t="e">
        <f>MATCH(A823,mapPRC!A$2:A$1154,0)</f>
        <v>#N/A</v>
      </c>
    </row>
    <row r="824" spans="3:3" x14ac:dyDescent="0.25">
      <c r="C824" t="e">
        <f>MATCH(A824,mapPRC!A$2:A$1154,0)</f>
        <v>#N/A</v>
      </c>
    </row>
    <row r="825" spans="3:3" x14ac:dyDescent="0.25">
      <c r="C825" t="e">
        <f>MATCH(A825,mapPRC!A$2:A$1154,0)</f>
        <v>#N/A</v>
      </c>
    </row>
    <row r="826" spans="3:3" x14ac:dyDescent="0.25">
      <c r="C826" t="e">
        <f>MATCH(A826,mapPRC!A$2:A$1154,0)</f>
        <v>#N/A</v>
      </c>
    </row>
    <row r="827" spans="3:3" x14ac:dyDescent="0.25">
      <c r="C827" t="e">
        <f>MATCH(A827,mapPRC!A$2:A$1154,0)</f>
        <v>#N/A</v>
      </c>
    </row>
    <row r="828" spans="3:3" x14ac:dyDescent="0.25">
      <c r="C828" t="e">
        <f>MATCH(A828,mapPRC!A$2:A$1154,0)</f>
        <v>#N/A</v>
      </c>
    </row>
    <row r="829" spans="3:3" x14ac:dyDescent="0.25">
      <c r="C829" t="e">
        <f>MATCH(A829,mapPRC!A$2:A$1154,0)</f>
        <v>#N/A</v>
      </c>
    </row>
    <row r="830" spans="3:3" x14ac:dyDescent="0.25">
      <c r="C830" t="e">
        <f>MATCH(A830,mapPRC!A$2:A$1154,0)</f>
        <v>#N/A</v>
      </c>
    </row>
    <row r="831" spans="3:3" x14ac:dyDescent="0.25">
      <c r="C831" t="e">
        <f>MATCH(A831,mapPRC!A$2:A$1154,0)</f>
        <v>#N/A</v>
      </c>
    </row>
    <row r="832" spans="3:3" x14ac:dyDescent="0.25">
      <c r="C832" t="e">
        <f>MATCH(A832,mapPRC!A$2:A$1154,0)</f>
        <v>#N/A</v>
      </c>
    </row>
    <row r="833" spans="3:3" x14ac:dyDescent="0.25">
      <c r="C833" t="e">
        <f>MATCH(A833,mapPRC!A$2:A$1154,0)</f>
        <v>#N/A</v>
      </c>
    </row>
    <row r="834" spans="3:3" x14ac:dyDescent="0.25">
      <c r="C834" t="e">
        <f>MATCH(A834,mapPRC!A$2:A$1154,0)</f>
        <v>#N/A</v>
      </c>
    </row>
    <row r="835" spans="3:3" x14ac:dyDescent="0.25">
      <c r="C835" t="e">
        <f>MATCH(A835,mapPRC!A$2:A$1154,0)</f>
        <v>#N/A</v>
      </c>
    </row>
    <row r="836" spans="3:3" x14ac:dyDescent="0.25">
      <c r="C836" t="e">
        <f>MATCH(A836,mapPRC!A$2:A$1154,0)</f>
        <v>#N/A</v>
      </c>
    </row>
    <row r="837" spans="3:3" x14ac:dyDescent="0.25">
      <c r="C837" t="e">
        <f>MATCH(A837,mapPRC!A$2:A$1154,0)</f>
        <v>#N/A</v>
      </c>
    </row>
    <row r="838" spans="3:3" x14ac:dyDescent="0.25">
      <c r="C838" t="e">
        <f>MATCH(A838,mapPRC!A$2:A$1154,0)</f>
        <v>#N/A</v>
      </c>
    </row>
    <row r="839" spans="3:3" x14ac:dyDescent="0.25">
      <c r="C839" t="e">
        <f>MATCH(A839,mapPRC!A$2:A$1154,0)</f>
        <v>#N/A</v>
      </c>
    </row>
    <row r="840" spans="3:3" x14ac:dyDescent="0.25">
      <c r="C840" t="e">
        <f>MATCH(A840,mapPRC!A$2:A$1154,0)</f>
        <v>#N/A</v>
      </c>
    </row>
    <row r="841" spans="3:3" x14ac:dyDescent="0.25">
      <c r="C841" t="e">
        <f>MATCH(A841,mapPRC!A$2:A$1154,0)</f>
        <v>#N/A</v>
      </c>
    </row>
    <row r="842" spans="3:3" x14ac:dyDescent="0.25">
      <c r="C842" t="e">
        <f>MATCH(A842,mapPRC!A$2:A$1154,0)</f>
        <v>#N/A</v>
      </c>
    </row>
    <row r="843" spans="3:3" x14ac:dyDescent="0.25">
      <c r="C843" t="e">
        <f>MATCH(A843,mapPRC!A$2:A$1154,0)</f>
        <v>#N/A</v>
      </c>
    </row>
    <row r="844" spans="3:3" x14ac:dyDescent="0.25">
      <c r="C844" t="e">
        <f>MATCH(A844,mapPRC!A$2:A$1154,0)</f>
        <v>#N/A</v>
      </c>
    </row>
    <row r="845" spans="3:3" x14ac:dyDescent="0.25">
      <c r="C845" t="e">
        <f>MATCH(A845,mapPRC!A$2:A$1154,0)</f>
        <v>#N/A</v>
      </c>
    </row>
    <row r="846" spans="3:3" x14ac:dyDescent="0.25">
      <c r="C846" t="e">
        <f>MATCH(A846,mapPRC!A$2:A$1154,0)</f>
        <v>#N/A</v>
      </c>
    </row>
    <row r="847" spans="3:3" x14ac:dyDescent="0.25">
      <c r="C847" t="e">
        <f>MATCH(A847,mapPRC!A$2:A$1154,0)</f>
        <v>#N/A</v>
      </c>
    </row>
    <row r="848" spans="3:3" x14ac:dyDescent="0.25">
      <c r="C848" t="e">
        <f>MATCH(A848,mapPRC!A$2:A$1154,0)</f>
        <v>#N/A</v>
      </c>
    </row>
    <row r="849" spans="3:3" x14ac:dyDescent="0.25">
      <c r="C849" t="e">
        <f>MATCH(A849,mapPRC!A$2:A$1154,0)</f>
        <v>#N/A</v>
      </c>
    </row>
    <row r="850" spans="3:3" x14ac:dyDescent="0.25">
      <c r="C850" t="e">
        <f>MATCH(A850,mapPRC!A$2:A$1154,0)</f>
        <v>#N/A</v>
      </c>
    </row>
    <row r="851" spans="3:3" x14ac:dyDescent="0.25">
      <c r="C851" t="e">
        <f>MATCH(A851,mapPRC!A$2:A$1154,0)</f>
        <v>#N/A</v>
      </c>
    </row>
    <row r="852" spans="3:3" x14ac:dyDescent="0.25">
      <c r="C852" t="e">
        <f>MATCH(A852,mapPRC!A$2:A$1154,0)</f>
        <v>#N/A</v>
      </c>
    </row>
    <row r="853" spans="3:3" x14ac:dyDescent="0.25">
      <c r="C853" t="e">
        <f>MATCH(A853,mapPRC!A$2:A$1154,0)</f>
        <v>#N/A</v>
      </c>
    </row>
    <row r="854" spans="3:3" x14ac:dyDescent="0.25">
      <c r="C854" t="e">
        <f>MATCH(A854,mapPRC!A$2:A$1154,0)</f>
        <v>#N/A</v>
      </c>
    </row>
    <row r="855" spans="3:3" x14ac:dyDescent="0.25">
      <c r="C855" t="e">
        <f>MATCH(A855,mapPRC!A$2:A$1154,0)</f>
        <v>#N/A</v>
      </c>
    </row>
    <row r="856" spans="3:3" x14ac:dyDescent="0.25">
      <c r="C856" t="e">
        <f>MATCH(A856,mapPRC!A$2:A$1154,0)</f>
        <v>#N/A</v>
      </c>
    </row>
    <row r="857" spans="3:3" x14ac:dyDescent="0.25">
      <c r="C857" t="e">
        <f>MATCH(A857,mapPRC!A$2:A$1154,0)</f>
        <v>#N/A</v>
      </c>
    </row>
    <row r="858" spans="3:3" x14ac:dyDescent="0.25">
      <c r="C858" t="e">
        <f>MATCH(A858,mapPRC!A$2:A$1154,0)</f>
        <v>#N/A</v>
      </c>
    </row>
    <row r="859" spans="3:3" x14ac:dyDescent="0.25">
      <c r="C859" t="e">
        <f>MATCH(A859,mapPRC!A$2:A$1154,0)</f>
        <v>#N/A</v>
      </c>
    </row>
    <row r="860" spans="3:3" x14ac:dyDescent="0.25">
      <c r="C860" t="e">
        <f>MATCH(A860,mapPRC!A$2:A$1154,0)</f>
        <v>#N/A</v>
      </c>
    </row>
    <row r="861" spans="3:3" x14ac:dyDescent="0.25">
      <c r="C861" t="e">
        <f>MATCH(A861,mapPRC!A$2:A$1154,0)</f>
        <v>#N/A</v>
      </c>
    </row>
    <row r="862" spans="3:3" x14ac:dyDescent="0.25">
      <c r="C862" t="e">
        <f>MATCH(A862,mapPRC!A$2:A$1154,0)</f>
        <v>#N/A</v>
      </c>
    </row>
    <row r="863" spans="3:3" x14ac:dyDescent="0.25">
      <c r="C863" t="e">
        <f>MATCH(A863,mapPRC!A$2:A$1154,0)</f>
        <v>#N/A</v>
      </c>
    </row>
    <row r="864" spans="3:3" x14ac:dyDescent="0.25">
      <c r="C864" t="e">
        <f>MATCH(A864,mapPRC!A$2:A$1154,0)</f>
        <v>#N/A</v>
      </c>
    </row>
    <row r="865" spans="3:3" x14ac:dyDescent="0.25">
      <c r="C865" t="e">
        <f>MATCH(A865,mapPRC!A$2:A$1154,0)</f>
        <v>#N/A</v>
      </c>
    </row>
    <row r="866" spans="3:3" x14ac:dyDescent="0.25">
      <c r="C866" t="e">
        <f>MATCH(A866,mapPRC!A$2:A$1154,0)</f>
        <v>#N/A</v>
      </c>
    </row>
    <row r="867" spans="3:3" x14ac:dyDescent="0.25">
      <c r="C867" t="e">
        <f>MATCH(A867,mapPRC!A$2:A$1154,0)</f>
        <v>#N/A</v>
      </c>
    </row>
    <row r="868" spans="3:3" x14ac:dyDescent="0.25">
      <c r="C868" t="e">
        <f>MATCH(A868,mapPRC!A$2:A$1154,0)</f>
        <v>#N/A</v>
      </c>
    </row>
    <row r="869" spans="3:3" x14ac:dyDescent="0.25">
      <c r="C869" t="e">
        <f>MATCH(A869,mapPRC!A$2:A$1154,0)</f>
        <v>#N/A</v>
      </c>
    </row>
    <row r="870" spans="3:3" x14ac:dyDescent="0.25">
      <c r="C870" t="e">
        <f>MATCH(A870,mapPRC!A$2:A$1154,0)</f>
        <v>#N/A</v>
      </c>
    </row>
    <row r="871" spans="3:3" x14ac:dyDescent="0.25">
      <c r="C871" t="e">
        <f>MATCH(A871,mapPRC!A$2:A$1154,0)</f>
        <v>#N/A</v>
      </c>
    </row>
    <row r="872" spans="3:3" x14ac:dyDescent="0.25">
      <c r="C872" t="e">
        <f>MATCH(A872,mapPRC!A$2:A$1154,0)</f>
        <v>#N/A</v>
      </c>
    </row>
    <row r="873" spans="3:3" x14ac:dyDescent="0.25">
      <c r="C873" t="e">
        <f>MATCH(A873,mapPRC!A$2:A$1154,0)</f>
        <v>#N/A</v>
      </c>
    </row>
    <row r="874" spans="3:3" x14ac:dyDescent="0.25">
      <c r="C874" t="e">
        <f>MATCH(A874,mapPRC!A$2:A$1154,0)</f>
        <v>#N/A</v>
      </c>
    </row>
    <row r="875" spans="3:3" x14ac:dyDescent="0.25">
      <c r="C875" t="e">
        <f>MATCH(A875,mapPRC!A$2:A$1154,0)</f>
        <v>#N/A</v>
      </c>
    </row>
    <row r="876" spans="3:3" x14ac:dyDescent="0.25">
      <c r="C876" t="e">
        <f>MATCH(A876,mapPRC!A$2:A$1154,0)</f>
        <v>#N/A</v>
      </c>
    </row>
    <row r="877" spans="3:3" x14ac:dyDescent="0.25">
      <c r="C877" t="e">
        <f>MATCH(A877,mapPRC!A$2:A$1154,0)</f>
        <v>#N/A</v>
      </c>
    </row>
    <row r="878" spans="3:3" x14ac:dyDescent="0.25">
      <c r="C878" t="e">
        <f>MATCH(A878,mapPRC!A$2:A$1154,0)</f>
        <v>#N/A</v>
      </c>
    </row>
    <row r="879" spans="3:3" x14ac:dyDescent="0.25">
      <c r="C879" t="e">
        <f>MATCH(A879,mapPRC!A$2:A$1154,0)</f>
        <v>#N/A</v>
      </c>
    </row>
    <row r="880" spans="3:3" x14ac:dyDescent="0.25">
      <c r="C880" t="e">
        <f>MATCH(A880,mapPRC!A$2:A$1154,0)</f>
        <v>#N/A</v>
      </c>
    </row>
    <row r="881" spans="3:3" x14ac:dyDescent="0.25">
      <c r="C881" t="e">
        <f>MATCH(A881,mapPRC!A$2:A$1154,0)</f>
        <v>#N/A</v>
      </c>
    </row>
    <row r="882" spans="3:3" x14ac:dyDescent="0.25">
      <c r="C882" t="e">
        <f>MATCH(A882,mapPRC!A$2:A$1154,0)</f>
        <v>#N/A</v>
      </c>
    </row>
    <row r="883" spans="3:3" x14ac:dyDescent="0.25">
      <c r="C883" t="e">
        <f>MATCH(A883,mapPRC!A$2:A$1154,0)</f>
        <v>#N/A</v>
      </c>
    </row>
    <row r="884" spans="3:3" x14ac:dyDescent="0.25">
      <c r="C884" t="e">
        <f>MATCH(A884,mapPRC!A$2:A$1154,0)</f>
        <v>#N/A</v>
      </c>
    </row>
    <row r="885" spans="3:3" x14ac:dyDescent="0.25">
      <c r="C885" t="e">
        <f>MATCH(A885,mapPRC!A$2:A$1154,0)</f>
        <v>#N/A</v>
      </c>
    </row>
    <row r="886" spans="3:3" x14ac:dyDescent="0.25">
      <c r="C886" t="e">
        <f>MATCH(A886,mapPRC!A$2:A$1154,0)</f>
        <v>#N/A</v>
      </c>
    </row>
    <row r="887" spans="3:3" x14ac:dyDescent="0.25">
      <c r="C887" t="e">
        <f>MATCH(A887,mapPRC!A$2:A$1154,0)</f>
        <v>#N/A</v>
      </c>
    </row>
    <row r="888" spans="3:3" x14ac:dyDescent="0.25">
      <c r="C888" t="e">
        <f>MATCH(A888,mapPRC!A$2:A$1154,0)</f>
        <v>#N/A</v>
      </c>
    </row>
    <row r="889" spans="3:3" x14ac:dyDescent="0.25">
      <c r="C889" t="e">
        <f>MATCH(A889,mapPRC!A$2:A$1154,0)</f>
        <v>#N/A</v>
      </c>
    </row>
    <row r="890" spans="3:3" x14ac:dyDescent="0.25">
      <c r="C890" t="e">
        <f>MATCH(A890,mapPRC!A$2:A$1154,0)</f>
        <v>#N/A</v>
      </c>
    </row>
    <row r="891" spans="3:3" x14ac:dyDescent="0.25">
      <c r="C891" t="e">
        <f>MATCH(A891,mapPRC!A$2:A$1154,0)</f>
        <v>#N/A</v>
      </c>
    </row>
    <row r="892" spans="3:3" x14ac:dyDescent="0.25">
      <c r="C892" t="e">
        <f>MATCH(A892,mapPRC!A$2:A$1154,0)</f>
        <v>#N/A</v>
      </c>
    </row>
    <row r="893" spans="3:3" x14ac:dyDescent="0.25">
      <c r="C893" t="e">
        <f>MATCH(A893,mapPRC!A$2:A$1154,0)</f>
        <v>#N/A</v>
      </c>
    </row>
    <row r="894" spans="3:3" x14ac:dyDescent="0.25">
      <c r="C894" t="e">
        <f>MATCH(A894,mapPRC!A$2:A$1154,0)</f>
        <v>#N/A</v>
      </c>
    </row>
    <row r="895" spans="3:3" x14ac:dyDescent="0.25">
      <c r="C895" t="e">
        <f>MATCH(A895,mapPRC!A$2:A$1154,0)</f>
        <v>#N/A</v>
      </c>
    </row>
    <row r="896" spans="3:3" x14ac:dyDescent="0.25">
      <c r="C896" t="e">
        <f>MATCH(A896,mapPRC!A$2:A$1154,0)</f>
        <v>#N/A</v>
      </c>
    </row>
    <row r="897" spans="3:3" x14ac:dyDescent="0.25">
      <c r="C897" t="e">
        <f>MATCH(A897,mapPRC!A$2:A$1154,0)</f>
        <v>#N/A</v>
      </c>
    </row>
    <row r="898" spans="3:3" x14ac:dyDescent="0.25">
      <c r="C898" t="e">
        <f>MATCH(A898,mapPRC!A$2:A$1154,0)</f>
        <v>#N/A</v>
      </c>
    </row>
    <row r="899" spans="3:3" x14ac:dyDescent="0.25">
      <c r="C899" t="e">
        <f>MATCH(A899,mapPRC!A$2:A$1154,0)</f>
        <v>#N/A</v>
      </c>
    </row>
    <row r="900" spans="3:3" x14ac:dyDescent="0.25">
      <c r="C900" t="e">
        <f>MATCH(A900,mapPRC!A$2:A$1154,0)</f>
        <v>#N/A</v>
      </c>
    </row>
    <row r="901" spans="3:3" x14ac:dyDescent="0.25">
      <c r="C901" t="e">
        <f>MATCH(A901,mapPRC!A$2:A$1154,0)</f>
        <v>#N/A</v>
      </c>
    </row>
    <row r="902" spans="3:3" x14ac:dyDescent="0.25">
      <c r="C902" t="e">
        <f>MATCH(A902,mapPRC!A$2:A$1154,0)</f>
        <v>#N/A</v>
      </c>
    </row>
    <row r="903" spans="3:3" x14ac:dyDescent="0.25">
      <c r="C903" t="e">
        <f>MATCH(A903,mapPRC!A$2:A$1154,0)</f>
        <v>#N/A</v>
      </c>
    </row>
    <row r="904" spans="3:3" x14ac:dyDescent="0.25">
      <c r="C904" t="e">
        <f>MATCH(A904,mapPRC!A$2:A$1154,0)</f>
        <v>#N/A</v>
      </c>
    </row>
    <row r="905" spans="3:3" x14ac:dyDescent="0.25">
      <c r="C905" t="e">
        <f>MATCH(A905,mapPRC!A$2:A$1154,0)</f>
        <v>#N/A</v>
      </c>
    </row>
    <row r="906" spans="3:3" x14ac:dyDescent="0.25">
      <c r="C906" t="e">
        <f>MATCH(A906,mapPRC!A$2:A$1154,0)</f>
        <v>#N/A</v>
      </c>
    </row>
    <row r="907" spans="3:3" x14ac:dyDescent="0.25">
      <c r="C907" t="e">
        <f>MATCH(A907,mapPRC!A$2:A$1154,0)</f>
        <v>#N/A</v>
      </c>
    </row>
    <row r="908" spans="3:3" x14ac:dyDescent="0.25">
      <c r="C908" t="e">
        <f>MATCH(A908,mapPRC!A$2:A$1154,0)</f>
        <v>#N/A</v>
      </c>
    </row>
    <row r="909" spans="3:3" x14ac:dyDescent="0.25">
      <c r="C909" t="e">
        <f>MATCH(A909,mapPRC!A$2:A$1154,0)</f>
        <v>#N/A</v>
      </c>
    </row>
    <row r="910" spans="3:3" x14ac:dyDescent="0.25">
      <c r="C910" t="e">
        <f>MATCH(A910,mapPRC!A$2:A$1154,0)</f>
        <v>#N/A</v>
      </c>
    </row>
    <row r="911" spans="3:3" x14ac:dyDescent="0.25">
      <c r="C911" t="e">
        <f>MATCH(A911,mapPRC!A$2:A$1154,0)</f>
        <v>#N/A</v>
      </c>
    </row>
    <row r="912" spans="3:3" x14ac:dyDescent="0.25">
      <c r="C912" t="e">
        <f>MATCH(A912,mapPRC!A$2:A$1154,0)</f>
        <v>#N/A</v>
      </c>
    </row>
    <row r="913" spans="3:3" x14ac:dyDescent="0.25">
      <c r="C913" t="e">
        <f>MATCH(A913,mapPRC!A$2:A$1154,0)</f>
        <v>#N/A</v>
      </c>
    </row>
    <row r="914" spans="3:3" x14ac:dyDescent="0.25">
      <c r="C914" t="e">
        <f>MATCH(A914,mapPRC!A$2:A$1154,0)</f>
        <v>#N/A</v>
      </c>
    </row>
    <row r="915" spans="3:3" x14ac:dyDescent="0.25">
      <c r="C915" t="e">
        <f>MATCH(A915,mapPRC!A$2:A$1154,0)</f>
        <v>#N/A</v>
      </c>
    </row>
    <row r="916" spans="3:3" x14ac:dyDescent="0.25">
      <c r="C916" t="e">
        <f>MATCH(A916,mapPRC!A$2:A$1154,0)</f>
        <v>#N/A</v>
      </c>
    </row>
    <row r="917" spans="3:3" x14ac:dyDescent="0.25">
      <c r="C917" t="e">
        <f>MATCH(A917,mapPRC!A$2:A$1154,0)</f>
        <v>#N/A</v>
      </c>
    </row>
    <row r="918" spans="3:3" x14ac:dyDescent="0.25">
      <c r="C918" t="e">
        <f>MATCH(A918,mapPRC!A$2:A$1154,0)</f>
        <v>#N/A</v>
      </c>
    </row>
    <row r="919" spans="3:3" x14ac:dyDescent="0.25">
      <c r="C919" t="e">
        <f>MATCH(A919,mapPRC!A$2:A$1154,0)</f>
        <v>#N/A</v>
      </c>
    </row>
    <row r="920" spans="3:3" x14ac:dyDescent="0.25">
      <c r="C920" t="e">
        <f>MATCH(A920,mapPRC!A$2:A$1154,0)</f>
        <v>#N/A</v>
      </c>
    </row>
    <row r="921" spans="3:3" x14ac:dyDescent="0.25">
      <c r="C921" t="e">
        <f>MATCH(A921,mapPRC!A$2:A$1154,0)</f>
        <v>#N/A</v>
      </c>
    </row>
    <row r="922" spans="3:3" x14ac:dyDescent="0.25">
      <c r="C922" t="e">
        <f>MATCH(A922,mapPRC!A$2:A$1154,0)</f>
        <v>#N/A</v>
      </c>
    </row>
    <row r="923" spans="3:3" x14ac:dyDescent="0.25">
      <c r="C923" t="e">
        <f>MATCH(A923,mapPRC!A$2:A$1154,0)</f>
        <v>#N/A</v>
      </c>
    </row>
    <row r="924" spans="3:3" x14ac:dyDescent="0.25">
      <c r="C924" t="e">
        <f>MATCH(A924,mapPRC!A$2:A$1154,0)</f>
        <v>#N/A</v>
      </c>
    </row>
    <row r="925" spans="3:3" x14ac:dyDescent="0.25">
      <c r="C925" t="e">
        <f>MATCH(A925,mapPRC!A$2:A$1154,0)</f>
        <v>#N/A</v>
      </c>
    </row>
    <row r="926" spans="3:3" x14ac:dyDescent="0.25">
      <c r="C926" t="e">
        <f>MATCH(A926,mapPRC!A$2:A$1154,0)</f>
        <v>#N/A</v>
      </c>
    </row>
    <row r="927" spans="3:3" x14ac:dyDescent="0.25">
      <c r="C927" t="e">
        <f>MATCH(A927,mapPRC!A$2:A$1154,0)</f>
        <v>#N/A</v>
      </c>
    </row>
    <row r="928" spans="3:3" x14ac:dyDescent="0.25">
      <c r="C928" t="e">
        <f>MATCH(A928,mapPRC!A$2:A$1154,0)</f>
        <v>#N/A</v>
      </c>
    </row>
    <row r="929" spans="3:3" x14ac:dyDescent="0.25">
      <c r="C929" t="e">
        <f>MATCH(A929,mapPRC!A$2:A$1154,0)</f>
        <v>#N/A</v>
      </c>
    </row>
    <row r="930" spans="3:3" x14ac:dyDescent="0.25">
      <c r="C930" t="e">
        <f>MATCH(A930,mapPRC!A$2:A$1154,0)</f>
        <v>#N/A</v>
      </c>
    </row>
    <row r="931" spans="3:3" x14ac:dyDescent="0.25">
      <c r="C931" t="e">
        <f>MATCH(A931,mapPRC!A$2:A$1154,0)</f>
        <v>#N/A</v>
      </c>
    </row>
    <row r="932" spans="3:3" x14ac:dyDescent="0.25">
      <c r="C932" t="e">
        <f>MATCH(A932,mapPRC!A$2:A$1154,0)</f>
        <v>#N/A</v>
      </c>
    </row>
    <row r="933" spans="3:3" x14ac:dyDescent="0.25">
      <c r="C933" t="e">
        <f>MATCH(A933,mapPRC!A$2:A$1154,0)</f>
        <v>#N/A</v>
      </c>
    </row>
    <row r="934" spans="3:3" x14ac:dyDescent="0.25">
      <c r="C934" t="e">
        <f>MATCH(A934,mapPRC!A$2:A$1154,0)</f>
        <v>#N/A</v>
      </c>
    </row>
    <row r="935" spans="3:3" x14ac:dyDescent="0.25">
      <c r="C935" t="e">
        <f>MATCH(A935,mapPRC!A$2:A$1154,0)</f>
        <v>#N/A</v>
      </c>
    </row>
    <row r="936" spans="3:3" x14ac:dyDescent="0.25">
      <c r="C936" t="e">
        <f>MATCH(A936,mapPRC!A$2:A$1154,0)</f>
        <v>#N/A</v>
      </c>
    </row>
    <row r="937" spans="3:3" x14ac:dyDescent="0.25">
      <c r="C937" t="e">
        <f>MATCH(A937,mapPRC!A$2:A$1154,0)</f>
        <v>#N/A</v>
      </c>
    </row>
    <row r="938" spans="3:3" x14ac:dyDescent="0.25">
      <c r="C938" t="e">
        <f>MATCH(A938,mapPRC!A$2:A$1154,0)</f>
        <v>#N/A</v>
      </c>
    </row>
    <row r="939" spans="3:3" x14ac:dyDescent="0.25">
      <c r="C939" t="e">
        <f>MATCH(A939,mapPRC!A$2:A$1154,0)</f>
        <v>#N/A</v>
      </c>
    </row>
    <row r="940" spans="3:3" x14ac:dyDescent="0.25">
      <c r="C940" t="e">
        <f>MATCH(A940,mapPRC!A$2:A$1154,0)</f>
        <v>#N/A</v>
      </c>
    </row>
    <row r="941" spans="3:3" x14ac:dyDescent="0.25">
      <c r="C941" t="e">
        <f>MATCH(A941,mapPRC!A$2:A$1154,0)</f>
        <v>#N/A</v>
      </c>
    </row>
    <row r="942" spans="3:3" x14ac:dyDescent="0.25">
      <c r="C942" t="e">
        <f>MATCH(A942,mapPRC!A$2:A$1154,0)</f>
        <v>#N/A</v>
      </c>
    </row>
    <row r="943" spans="3:3" x14ac:dyDescent="0.25">
      <c r="C943" t="e">
        <f>MATCH(A943,mapPRC!A$2:A$1154,0)</f>
        <v>#N/A</v>
      </c>
    </row>
    <row r="944" spans="3:3" x14ac:dyDescent="0.25">
      <c r="C944" t="e">
        <f>MATCH(A944,mapPRC!A$2:A$1154,0)</f>
        <v>#N/A</v>
      </c>
    </row>
    <row r="945" spans="3:3" x14ac:dyDescent="0.25">
      <c r="C945" t="e">
        <f>MATCH(A945,mapPRC!A$2:A$1154,0)</f>
        <v>#N/A</v>
      </c>
    </row>
    <row r="946" spans="3:3" x14ac:dyDescent="0.25">
      <c r="C946" t="e">
        <f>MATCH(A946,mapPRC!A$2:A$1154,0)</f>
        <v>#N/A</v>
      </c>
    </row>
    <row r="947" spans="3:3" x14ac:dyDescent="0.25">
      <c r="C947" t="e">
        <f>MATCH(A947,mapPRC!A$2:A$1154,0)</f>
        <v>#N/A</v>
      </c>
    </row>
    <row r="948" spans="3:3" x14ac:dyDescent="0.25">
      <c r="C948" t="e">
        <f>MATCH(A948,mapPRC!A$2:A$1154,0)</f>
        <v>#N/A</v>
      </c>
    </row>
    <row r="949" spans="3:3" x14ac:dyDescent="0.25">
      <c r="C949" t="e">
        <f>MATCH(A949,mapPRC!A$2:A$1154,0)</f>
        <v>#N/A</v>
      </c>
    </row>
    <row r="950" spans="3:3" x14ac:dyDescent="0.25">
      <c r="C950" t="e">
        <f>MATCH(A950,mapPRC!A$2:A$1154,0)</f>
        <v>#N/A</v>
      </c>
    </row>
    <row r="951" spans="3:3" x14ac:dyDescent="0.25">
      <c r="C951" t="e">
        <f>MATCH(A951,mapPRC!A$2:A$1154,0)</f>
        <v>#N/A</v>
      </c>
    </row>
    <row r="952" spans="3:3" x14ac:dyDescent="0.25">
      <c r="C952" t="e">
        <f>MATCH(A952,mapPRC!A$2:A$1154,0)</f>
        <v>#N/A</v>
      </c>
    </row>
    <row r="953" spans="3:3" x14ac:dyDescent="0.25">
      <c r="C953" t="e">
        <f>MATCH(A953,mapPRC!A$2:A$1154,0)</f>
        <v>#N/A</v>
      </c>
    </row>
    <row r="954" spans="3:3" x14ac:dyDescent="0.25">
      <c r="C954" t="e">
        <f>MATCH(A954,mapPRC!A$2:A$1154,0)</f>
        <v>#N/A</v>
      </c>
    </row>
    <row r="955" spans="3:3" x14ac:dyDescent="0.25">
      <c r="C955" t="e">
        <f>MATCH(A955,mapPRC!A$2:A$1154,0)</f>
        <v>#N/A</v>
      </c>
    </row>
    <row r="956" spans="3:3" x14ac:dyDescent="0.25">
      <c r="C956" t="e">
        <f>MATCH(A956,mapPRC!A$2:A$1154,0)</f>
        <v>#N/A</v>
      </c>
    </row>
    <row r="957" spans="3:3" x14ac:dyDescent="0.25">
      <c r="C957" t="e">
        <f>MATCH(A957,mapPRC!A$2:A$1154,0)</f>
        <v>#N/A</v>
      </c>
    </row>
    <row r="958" spans="3:3" x14ac:dyDescent="0.25">
      <c r="C958" t="e">
        <f>MATCH(A958,mapPRC!A$2:A$1154,0)</f>
        <v>#N/A</v>
      </c>
    </row>
    <row r="959" spans="3:3" x14ac:dyDescent="0.25">
      <c r="C959" t="e">
        <f>MATCH(A959,mapPRC!A$2:A$1154,0)</f>
        <v>#N/A</v>
      </c>
    </row>
    <row r="960" spans="3:3" x14ac:dyDescent="0.25">
      <c r="C960" t="e">
        <f>MATCH(A960,mapPRC!A$2:A$1154,0)</f>
        <v>#N/A</v>
      </c>
    </row>
    <row r="961" spans="3:3" x14ac:dyDescent="0.25">
      <c r="C961" t="e">
        <f>MATCH(A961,mapPRC!A$2:A$1154,0)</f>
        <v>#N/A</v>
      </c>
    </row>
    <row r="962" spans="3:3" x14ac:dyDescent="0.25">
      <c r="C962" t="e">
        <f>MATCH(A962,mapPRC!A$2:A$1154,0)</f>
        <v>#N/A</v>
      </c>
    </row>
    <row r="963" spans="3:3" x14ac:dyDescent="0.25">
      <c r="C963" t="e">
        <f>MATCH(A963,mapPRC!A$2:A$1154,0)</f>
        <v>#N/A</v>
      </c>
    </row>
    <row r="964" spans="3:3" x14ac:dyDescent="0.25">
      <c r="C964" t="e">
        <f>MATCH(A964,mapPRC!A$2:A$1154,0)</f>
        <v>#N/A</v>
      </c>
    </row>
    <row r="965" spans="3:3" x14ac:dyDescent="0.25">
      <c r="C965" t="e">
        <f>MATCH(A965,mapPRC!A$2:A$1154,0)</f>
        <v>#N/A</v>
      </c>
    </row>
    <row r="966" spans="3:3" x14ac:dyDescent="0.25">
      <c r="C966" t="e">
        <f>MATCH(A966,mapPRC!A$2:A$1154,0)</f>
        <v>#N/A</v>
      </c>
    </row>
    <row r="967" spans="3:3" x14ac:dyDescent="0.25">
      <c r="C967" t="e">
        <f>MATCH(A967,mapPRC!A$2:A$1154,0)</f>
        <v>#N/A</v>
      </c>
    </row>
    <row r="968" spans="3:3" x14ac:dyDescent="0.25">
      <c r="C968" t="e">
        <f>MATCH(A968,mapPRC!A$2:A$1154,0)</f>
        <v>#N/A</v>
      </c>
    </row>
    <row r="969" spans="3:3" x14ac:dyDescent="0.25">
      <c r="C969" t="e">
        <f>MATCH(A969,mapPRC!A$2:A$1154,0)</f>
        <v>#N/A</v>
      </c>
    </row>
    <row r="970" spans="3:3" x14ac:dyDescent="0.25">
      <c r="C970" t="e">
        <f>MATCH(A970,mapPRC!A$2:A$1154,0)</f>
        <v>#N/A</v>
      </c>
    </row>
    <row r="971" spans="3:3" x14ac:dyDescent="0.25">
      <c r="C971" t="e">
        <f>MATCH(A971,mapPRC!A$2:A$1154,0)</f>
        <v>#N/A</v>
      </c>
    </row>
    <row r="972" spans="3:3" x14ac:dyDescent="0.25">
      <c r="C972" t="e">
        <f>MATCH(A972,mapPRC!A$2:A$1154,0)</f>
        <v>#N/A</v>
      </c>
    </row>
    <row r="973" spans="3:3" x14ac:dyDescent="0.25">
      <c r="C973" t="e">
        <f>MATCH(A973,mapPRC!A$2:A$1154,0)</f>
        <v>#N/A</v>
      </c>
    </row>
    <row r="974" spans="3:3" x14ac:dyDescent="0.25">
      <c r="C974" t="e">
        <f>MATCH(A974,mapPRC!A$2:A$1154,0)</f>
        <v>#N/A</v>
      </c>
    </row>
    <row r="975" spans="3:3" x14ac:dyDescent="0.25">
      <c r="C975" t="e">
        <f>MATCH(A975,mapPRC!A$2:A$1154,0)</f>
        <v>#N/A</v>
      </c>
    </row>
    <row r="976" spans="3:3" x14ac:dyDescent="0.25">
      <c r="C976" t="e">
        <f>MATCH(A976,mapPRC!A$2:A$1154,0)</f>
        <v>#N/A</v>
      </c>
    </row>
    <row r="977" spans="3:3" x14ac:dyDescent="0.25">
      <c r="C977" t="e">
        <f>MATCH(A977,mapPRC!A$2:A$1154,0)</f>
        <v>#N/A</v>
      </c>
    </row>
    <row r="978" spans="3:3" x14ac:dyDescent="0.25">
      <c r="C978" t="e">
        <f>MATCH(A978,mapPRC!A$2:A$1154,0)</f>
        <v>#N/A</v>
      </c>
    </row>
    <row r="979" spans="3:3" x14ac:dyDescent="0.25">
      <c r="C979" t="e">
        <f>MATCH(A979,mapPRC!A$2:A$1154,0)</f>
        <v>#N/A</v>
      </c>
    </row>
    <row r="980" spans="3:3" x14ac:dyDescent="0.25">
      <c r="C980" t="e">
        <f>MATCH(A980,mapPRC!A$2:A$1154,0)</f>
        <v>#N/A</v>
      </c>
    </row>
    <row r="981" spans="3:3" x14ac:dyDescent="0.25">
      <c r="C981" t="e">
        <f>MATCH(A981,mapPRC!A$2:A$1154,0)</f>
        <v>#N/A</v>
      </c>
    </row>
    <row r="982" spans="3:3" x14ac:dyDescent="0.25">
      <c r="C982" t="e">
        <f>MATCH(A982,mapPRC!A$2:A$1154,0)</f>
        <v>#N/A</v>
      </c>
    </row>
    <row r="983" spans="3:3" x14ac:dyDescent="0.25">
      <c r="C983" t="e">
        <f>MATCH(A983,mapPRC!A$2:A$1154,0)</f>
        <v>#N/A</v>
      </c>
    </row>
    <row r="984" spans="3:3" x14ac:dyDescent="0.25">
      <c r="C984" t="e">
        <f>MATCH(A984,mapPRC!A$2:A$1154,0)</f>
        <v>#N/A</v>
      </c>
    </row>
    <row r="985" spans="3:3" x14ac:dyDescent="0.25">
      <c r="C985" t="e">
        <f>MATCH(A985,mapPRC!A$2:A$1154,0)</f>
        <v>#N/A</v>
      </c>
    </row>
    <row r="986" spans="3:3" x14ac:dyDescent="0.25">
      <c r="C986" t="e">
        <f>MATCH(A986,mapPRC!A$2:A$1154,0)</f>
        <v>#N/A</v>
      </c>
    </row>
    <row r="987" spans="3:3" x14ac:dyDescent="0.25">
      <c r="C987" t="e">
        <f>MATCH(A987,mapPRC!A$2:A$1154,0)</f>
        <v>#N/A</v>
      </c>
    </row>
    <row r="988" spans="3:3" x14ac:dyDescent="0.25">
      <c r="C988" t="e">
        <f>MATCH(A988,mapPRC!A$2:A$1154,0)</f>
        <v>#N/A</v>
      </c>
    </row>
    <row r="989" spans="3:3" x14ac:dyDescent="0.25">
      <c r="C989" t="e">
        <f>MATCH(A989,mapPRC!A$2:A$1154,0)</f>
        <v>#N/A</v>
      </c>
    </row>
    <row r="990" spans="3:3" x14ac:dyDescent="0.25">
      <c r="C990" t="e">
        <f>MATCH(A990,mapPRC!A$2:A$1154,0)</f>
        <v>#N/A</v>
      </c>
    </row>
    <row r="991" spans="3:3" x14ac:dyDescent="0.25">
      <c r="C991" t="e">
        <f>MATCH(A991,mapPRC!A$2:A$1154,0)</f>
        <v>#N/A</v>
      </c>
    </row>
    <row r="992" spans="3:3" x14ac:dyDescent="0.25">
      <c r="C992" t="e">
        <f>MATCH(A992,mapPRC!A$2:A$1154,0)</f>
        <v>#N/A</v>
      </c>
    </row>
    <row r="993" spans="3:3" x14ac:dyDescent="0.25">
      <c r="C993" t="e">
        <f>MATCH(A993,mapPRC!A$2:A$1154,0)</f>
        <v>#N/A</v>
      </c>
    </row>
    <row r="994" spans="3:3" x14ac:dyDescent="0.25">
      <c r="C994" t="e">
        <f>MATCH(A994,mapPRC!A$2:A$1154,0)</f>
        <v>#N/A</v>
      </c>
    </row>
    <row r="995" spans="3:3" x14ac:dyDescent="0.25">
      <c r="C995" t="e">
        <f>MATCH(A995,mapPRC!A$2:A$1154,0)</f>
        <v>#N/A</v>
      </c>
    </row>
    <row r="996" spans="3:3" x14ac:dyDescent="0.25">
      <c r="C996" t="e">
        <f>MATCH(A996,mapPRC!A$2:A$1154,0)</f>
        <v>#N/A</v>
      </c>
    </row>
    <row r="997" spans="3:3" x14ac:dyDescent="0.25">
      <c r="C997" t="e">
        <f>MATCH(A997,mapPRC!A$2:A$1154,0)</f>
        <v>#N/A</v>
      </c>
    </row>
    <row r="998" spans="3:3" x14ac:dyDescent="0.25">
      <c r="C998" t="e">
        <f>MATCH(A998,mapPRC!A$2:A$1154,0)</f>
        <v>#N/A</v>
      </c>
    </row>
    <row r="999" spans="3:3" x14ac:dyDescent="0.25">
      <c r="C999" t="e">
        <f>MATCH(A999,mapPRC!A$2:A$1154,0)</f>
        <v>#N/A</v>
      </c>
    </row>
    <row r="1000" spans="3:3" x14ac:dyDescent="0.25">
      <c r="C1000" t="e">
        <f>MATCH(A1000,mapPRC!A$2:A$1154,0)</f>
        <v>#N/A</v>
      </c>
    </row>
  </sheetData>
  <autoFilter ref="A1:P1000" xr:uid="{A58BDC46-230B-48A1-BC81-2AED73C1A1B9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2449</v>
      </c>
      <c r="B1" t="s">
        <v>2418</v>
      </c>
      <c r="C1" t="s">
        <v>3580</v>
      </c>
      <c r="D1" t="s">
        <v>3601</v>
      </c>
      <c r="H1" t="s">
        <v>2449</v>
      </c>
      <c r="I1" t="s">
        <v>2418</v>
      </c>
      <c r="J1" t="s">
        <v>3580</v>
      </c>
      <c r="K1" t="s">
        <v>3714</v>
      </c>
    </row>
    <row r="2" spans="1:11" x14ac:dyDescent="0.25">
      <c r="A2" t="s">
        <v>2407</v>
      </c>
      <c r="B2" t="s">
        <v>5546</v>
      </c>
      <c r="C2">
        <f>MATCH(A2,mapCOM!$A$2:$A$1107,0)</f>
        <v>356</v>
      </c>
      <c r="H2" t="s">
        <v>2399</v>
      </c>
      <c r="I2" t="s">
        <v>2398</v>
      </c>
      <c r="J2">
        <f>MATCH(H2,mapCOM!$A$2:$A$1107,0)</f>
        <v>20</v>
      </c>
    </row>
    <row r="3" spans="1:11" x14ac:dyDescent="0.25">
      <c r="A3" t="s">
        <v>2403</v>
      </c>
      <c r="B3" t="s">
        <v>5547</v>
      </c>
      <c r="C3">
        <f>MATCH(A3,mapCOM!A$2:A$1107,0)</f>
        <v>139</v>
      </c>
      <c r="H3" t="s">
        <v>2397</v>
      </c>
      <c r="I3" t="s">
        <v>2396</v>
      </c>
      <c r="J3">
        <f>MATCH(H3,mapCOM!$A$2:$A$1107,0)</f>
        <v>21</v>
      </c>
    </row>
    <row r="4" spans="1:11" x14ac:dyDescent="0.25">
      <c r="A4" t="s">
        <v>2401</v>
      </c>
      <c r="B4" t="s">
        <v>5548</v>
      </c>
      <c r="C4">
        <f>MATCH(A4,mapCOM!A$2:A$1107,0)</f>
        <v>132</v>
      </c>
      <c r="H4" t="s">
        <v>2395</v>
      </c>
      <c r="I4" t="s">
        <v>2394</v>
      </c>
      <c r="J4">
        <f>MATCH(H4,mapCOM!$A$2:$A$1107,0)</f>
        <v>22</v>
      </c>
    </row>
    <row r="5" spans="1:11" x14ac:dyDescent="0.25">
      <c r="A5" t="s">
        <v>2391</v>
      </c>
      <c r="B5" t="s">
        <v>5459</v>
      </c>
      <c r="C5">
        <f>MATCH(A5,mapCOM!A$2:A$1107,0)</f>
        <v>24</v>
      </c>
      <c r="H5" t="s">
        <v>2393</v>
      </c>
      <c r="I5" t="s">
        <v>2392</v>
      </c>
      <c r="J5">
        <f>MATCH(H5,mapCOM!$A$2:$A$1107,0)</f>
        <v>23</v>
      </c>
    </row>
    <row r="6" spans="1:11" x14ac:dyDescent="0.25">
      <c r="A6" t="s">
        <v>2389</v>
      </c>
      <c r="B6" t="s">
        <v>5549</v>
      </c>
      <c r="C6">
        <f>MATCH(A6,mapCOM!A$2:A$1107,0)</f>
        <v>25</v>
      </c>
      <c r="H6" t="s">
        <v>2391</v>
      </c>
      <c r="I6" t="s">
        <v>2390</v>
      </c>
      <c r="J6">
        <f>MATCH(H6,mapCOM!$A$2:$A$1107,0)</f>
        <v>24</v>
      </c>
    </row>
    <row r="7" spans="1:11" x14ac:dyDescent="0.25">
      <c r="A7" t="s">
        <v>2381</v>
      </c>
      <c r="B7" t="s">
        <v>5461</v>
      </c>
      <c r="C7">
        <f>MATCH(A7,mapCOM!A$2:A$1107,0)</f>
        <v>29</v>
      </c>
      <c r="H7" t="s">
        <v>2389</v>
      </c>
      <c r="I7" t="s">
        <v>2388</v>
      </c>
      <c r="J7">
        <f>MATCH(H7,mapCOM!$A$2:$A$1107,0)</f>
        <v>25</v>
      </c>
    </row>
    <row r="8" spans="1:11" x14ac:dyDescent="0.25">
      <c r="A8" t="s">
        <v>2379</v>
      </c>
      <c r="B8" t="s">
        <v>5462</v>
      </c>
      <c r="C8">
        <f>MATCH(A8,mapCOM!A$2:A$1107,0)</f>
        <v>30</v>
      </c>
      <c r="H8" t="s">
        <v>2387</v>
      </c>
      <c r="I8" t="s">
        <v>2386</v>
      </c>
      <c r="J8">
        <f>MATCH(H8,mapCOM!$A$2:$A$1107,0)</f>
        <v>26</v>
      </c>
    </row>
    <row r="9" spans="1:11" x14ac:dyDescent="0.25">
      <c r="A9" t="s">
        <v>2377</v>
      </c>
      <c r="B9" t="s">
        <v>5463</v>
      </c>
      <c r="C9">
        <f>MATCH(A9,mapCOM!A$2:A$1107,0)</f>
        <v>31</v>
      </c>
      <c r="H9" t="s">
        <v>2385</v>
      </c>
      <c r="I9" t="s">
        <v>2384</v>
      </c>
      <c r="J9">
        <f>MATCH(H9,mapCOM!$A$2:$A$1107,0)</f>
        <v>27</v>
      </c>
    </row>
    <row r="10" spans="1:11" x14ac:dyDescent="0.25">
      <c r="A10" t="s">
        <v>2375</v>
      </c>
      <c r="B10" t="s">
        <v>5464</v>
      </c>
      <c r="C10">
        <f>MATCH(A10,mapCOM!A$2:A$1107,0)</f>
        <v>32</v>
      </c>
      <c r="H10" t="s">
        <v>2383</v>
      </c>
      <c r="I10" t="s">
        <v>2382</v>
      </c>
      <c r="J10">
        <f>MATCH(H10,mapCOM!$A$2:$A$1107,0)</f>
        <v>28</v>
      </c>
    </row>
    <row r="11" spans="1:11" x14ac:dyDescent="0.25">
      <c r="A11" t="s">
        <v>2373</v>
      </c>
      <c r="B11" t="s">
        <v>5465</v>
      </c>
      <c r="C11">
        <f>MATCH(A11,mapCOM!A$2:A$1107,0)</f>
        <v>33</v>
      </c>
      <c r="H11" t="s">
        <v>2381</v>
      </c>
      <c r="I11" t="s">
        <v>2380</v>
      </c>
      <c r="J11">
        <f>MATCH(H11,mapCOM!$A$2:$A$1107,0)</f>
        <v>29</v>
      </c>
    </row>
    <row r="12" spans="1:11" x14ac:dyDescent="0.25">
      <c r="A12" t="s">
        <v>2048</v>
      </c>
      <c r="B12" t="s">
        <v>5550</v>
      </c>
      <c r="C12">
        <f>MATCH(A12,mapCOM!A$2:A$1107,0)</f>
        <v>36</v>
      </c>
      <c r="H12" t="s">
        <v>2379</v>
      </c>
      <c r="I12" t="s">
        <v>2378</v>
      </c>
      <c r="J12">
        <f>MATCH(H12,mapCOM!$A$2:$A$1107,0)</f>
        <v>30</v>
      </c>
    </row>
    <row r="13" spans="1:11" x14ac:dyDescent="0.25">
      <c r="A13" t="s">
        <v>2046</v>
      </c>
      <c r="B13" t="s">
        <v>5551</v>
      </c>
      <c r="C13">
        <f>MATCH(A13,mapCOM!A$2:A$1107,0)</f>
        <v>37</v>
      </c>
      <c r="H13" t="s">
        <v>2377</v>
      </c>
      <c r="I13" t="s">
        <v>2376</v>
      </c>
      <c r="J13">
        <f>MATCH(H13,mapCOM!$A$2:$A$1107,0)</f>
        <v>31</v>
      </c>
    </row>
    <row r="14" spans="1:11" x14ac:dyDescent="0.25">
      <c r="A14" t="s">
        <v>2044</v>
      </c>
      <c r="B14" t="s">
        <v>5552</v>
      </c>
      <c r="C14">
        <f>MATCH(A14,mapCOM!A$2:A$1107,0)</f>
        <v>38</v>
      </c>
      <c r="H14" t="s">
        <v>2375</v>
      </c>
      <c r="I14" t="s">
        <v>2374</v>
      </c>
      <c r="J14">
        <f>MATCH(H14,mapCOM!$A$2:$A$1107,0)</f>
        <v>32</v>
      </c>
    </row>
    <row r="15" spans="1:11" x14ac:dyDescent="0.25">
      <c r="A15" t="s">
        <v>2042</v>
      </c>
      <c r="B15" t="s">
        <v>5553</v>
      </c>
      <c r="C15">
        <f>MATCH(A15,mapCOM!A$2:A$1107,0)</f>
        <v>39</v>
      </c>
      <c r="H15" t="s">
        <v>2373</v>
      </c>
      <c r="I15" t="s">
        <v>2372</v>
      </c>
      <c r="J15">
        <f>MATCH(H15,mapCOM!$A$2:$A$1107,0)</f>
        <v>33</v>
      </c>
    </row>
    <row r="16" spans="1:11" x14ac:dyDescent="0.25">
      <c r="A16" t="s">
        <v>2040</v>
      </c>
      <c r="B16" t="s">
        <v>5554</v>
      </c>
      <c r="C16">
        <f>MATCH(A16,mapCOM!A$2:A$1107,0)</f>
        <v>40</v>
      </c>
      <c r="H16" t="s">
        <v>2371</v>
      </c>
      <c r="I16" t="s">
        <v>2370</v>
      </c>
      <c r="J16">
        <f>MATCH(H16,mapCOM!$A$2:$A$1107,0)</f>
        <v>34</v>
      </c>
    </row>
    <row r="17" spans="1:10" x14ac:dyDescent="0.25">
      <c r="A17" t="s">
        <v>2367</v>
      </c>
      <c r="B17" t="s">
        <v>5555</v>
      </c>
      <c r="C17">
        <f>MATCH(A17,mapCOM!A$2:A$1107,0)</f>
        <v>43</v>
      </c>
      <c r="H17" t="s">
        <v>2369</v>
      </c>
      <c r="I17" t="s">
        <v>2368</v>
      </c>
      <c r="J17">
        <f>MATCH(H17,mapCOM!$A$2:$A$1107,0)</f>
        <v>35</v>
      </c>
    </row>
    <row r="18" spans="1:10" x14ac:dyDescent="0.25">
      <c r="A18" t="s">
        <v>2365</v>
      </c>
      <c r="B18" t="s">
        <v>3838</v>
      </c>
      <c r="C18">
        <f>MATCH(A18,mapCOM!A$2:A$1107,0)</f>
        <v>45</v>
      </c>
      <c r="H18" t="s">
        <v>2048</v>
      </c>
      <c r="I18" t="s">
        <v>2047</v>
      </c>
      <c r="J18">
        <f>MATCH(H18,mapCOM!$A$2:$A$1107,0)</f>
        <v>36</v>
      </c>
    </row>
    <row r="19" spans="1:10" x14ac:dyDescent="0.25">
      <c r="A19" t="s">
        <v>2363</v>
      </c>
      <c r="B19" t="s">
        <v>3839</v>
      </c>
      <c r="C19">
        <f>MATCH(A19,mapCOM!A$2:A$1107,0)</f>
        <v>46</v>
      </c>
      <c r="H19" t="s">
        <v>2046</v>
      </c>
      <c r="I19" t="s">
        <v>2045</v>
      </c>
      <c r="J19">
        <f>MATCH(H19,mapCOM!$A$2:$A$1107,0)</f>
        <v>37</v>
      </c>
    </row>
    <row r="20" spans="1:10" x14ac:dyDescent="0.25">
      <c r="A20" t="s">
        <v>2361</v>
      </c>
      <c r="B20" t="s">
        <v>2214</v>
      </c>
      <c r="C20">
        <f>MATCH(A20,mapCOM!A$2:A$1107,0)</f>
        <v>47</v>
      </c>
      <c r="H20" t="s">
        <v>2044</v>
      </c>
      <c r="I20" t="s">
        <v>2043</v>
      </c>
      <c r="J20">
        <f>MATCH(H20,mapCOM!$A$2:$A$1107,0)</f>
        <v>38</v>
      </c>
    </row>
    <row r="21" spans="1:10" x14ac:dyDescent="0.25">
      <c r="A21" t="s">
        <v>2359</v>
      </c>
      <c r="B21" t="s">
        <v>5556</v>
      </c>
      <c r="C21">
        <f>MATCH(A21,mapCOM!A$2:A$1107,0)</f>
        <v>48</v>
      </c>
      <c r="H21" t="s">
        <v>2042</v>
      </c>
      <c r="I21" t="s">
        <v>2041</v>
      </c>
      <c r="J21">
        <f>MATCH(H21,mapCOM!$A$2:$A$1107,0)</f>
        <v>39</v>
      </c>
    </row>
    <row r="22" spans="1:10" x14ac:dyDescent="0.25">
      <c r="A22" t="s">
        <v>2357</v>
      </c>
      <c r="B22" t="s">
        <v>5557</v>
      </c>
      <c r="C22">
        <f>MATCH(A22,mapCOM!A$2:A$1107,0)</f>
        <v>49</v>
      </c>
      <c r="H22" t="s">
        <v>2040</v>
      </c>
      <c r="I22" t="s">
        <v>2039</v>
      </c>
      <c r="J22">
        <f>MATCH(H22,mapCOM!$A$2:$A$1107,0)</f>
        <v>40</v>
      </c>
    </row>
    <row r="23" spans="1:10" x14ac:dyDescent="0.25">
      <c r="A23" t="s">
        <v>2038</v>
      </c>
      <c r="B23" t="s">
        <v>4987</v>
      </c>
      <c r="C23">
        <f>MATCH(A23,mapCOM!A$2:A$1107,0)</f>
        <v>58</v>
      </c>
      <c r="H23" t="s">
        <v>3655</v>
      </c>
      <c r="I23" t="s">
        <v>3656</v>
      </c>
      <c r="J23">
        <f>MATCH(H23,mapCOM!$A$2:$A$1107,0)</f>
        <v>41</v>
      </c>
    </row>
    <row r="24" spans="1:10" x14ac:dyDescent="0.25">
      <c r="A24" t="s">
        <v>2037</v>
      </c>
      <c r="B24" t="s">
        <v>4993</v>
      </c>
      <c r="C24">
        <f>MATCH(A24,mapCOM!A$2:A$1107,0)</f>
        <v>59</v>
      </c>
      <c r="H24" t="s">
        <v>3657</v>
      </c>
      <c r="I24" t="s">
        <v>3658</v>
      </c>
      <c r="J24">
        <f>MATCH(H24,mapCOM!$A$2:$A$1107,0)</f>
        <v>42</v>
      </c>
    </row>
    <row r="25" spans="1:10" x14ac:dyDescent="0.25">
      <c r="A25" t="s">
        <v>2036</v>
      </c>
      <c r="B25" t="s">
        <v>4998</v>
      </c>
      <c r="C25">
        <f>MATCH(A25,mapCOM!A$2:A$1107,0)</f>
        <v>60</v>
      </c>
      <c r="H25" t="s">
        <v>2367</v>
      </c>
      <c r="I25" t="s">
        <v>2366</v>
      </c>
      <c r="J25">
        <f>MATCH(H25,mapCOM!$A$2:$A$1107,0)</f>
        <v>43</v>
      </c>
    </row>
    <row r="26" spans="1:10" x14ac:dyDescent="0.25">
      <c r="A26" t="s">
        <v>2035</v>
      </c>
      <c r="B26" t="s">
        <v>5001</v>
      </c>
      <c r="C26">
        <f>MATCH(A26,mapCOM!A$2:A$1107,0)</f>
        <v>61</v>
      </c>
      <c r="H26" t="s">
        <v>3659</v>
      </c>
      <c r="I26" t="s">
        <v>3660</v>
      </c>
      <c r="J26">
        <f>MATCH(H26,mapCOM!$A$2:$A$1107,0)</f>
        <v>44</v>
      </c>
    </row>
    <row r="27" spans="1:10" x14ac:dyDescent="0.25">
      <c r="A27" t="s">
        <v>2034</v>
      </c>
      <c r="B27" t="s">
        <v>5007</v>
      </c>
      <c r="C27">
        <f>MATCH(A27,mapCOM!A$2:A$1107,0)</f>
        <v>62</v>
      </c>
      <c r="H27" t="s">
        <v>2365</v>
      </c>
      <c r="I27" t="s">
        <v>2364</v>
      </c>
      <c r="J27">
        <f>MATCH(H27,mapCOM!$A$2:$A$1107,0)</f>
        <v>45</v>
      </c>
    </row>
    <row r="28" spans="1:10" x14ac:dyDescent="0.25">
      <c r="A28" t="s">
        <v>2033</v>
      </c>
      <c r="B28" t="s">
        <v>5014</v>
      </c>
      <c r="C28">
        <f>MATCH(A28,mapCOM!A$2:A$1107,0)</f>
        <v>63</v>
      </c>
      <c r="H28" t="s">
        <v>2363</v>
      </c>
      <c r="I28" t="s">
        <v>2362</v>
      </c>
      <c r="J28">
        <f>MATCH(H28,mapCOM!$A$2:$A$1107,0)</f>
        <v>46</v>
      </c>
    </row>
    <row r="29" spans="1:10" x14ac:dyDescent="0.25">
      <c r="A29" t="s">
        <v>2032</v>
      </c>
      <c r="B29" t="s">
        <v>5016</v>
      </c>
      <c r="C29">
        <f>MATCH(A29,mapCOM!A$2:A$1107,0)</f>
        <v>64</v>
      </c>
      <c r="H29" t="s">
        <v>2361</v>
      </c>
      <c r="I29" t="s">
        <v>2360</v>
      </c>
      <c r="J29">
        <f>MATCH(H29,mapCOM!$A$2:$A$1107,0)</f>
        <v>47</v>
      </c>
    </row>
    <row r="30" spans="1:10" x14ac:dyDescent="0.25">
      <c r="A30" t="s">
        <v>2031</v>
      </c>
      <c r="B30" t="s">
        <v>5017</v>
      </c>
      <c r="C30">
        <f>MATCH(A30,mapCOM!A$2:A$1107,0)</f>
        <v>65</v>
      </c>
      <c r="H30" t="s">
        <v>2359</v>
      </c>
      <c r="I30" t="s">
        <v>2358</v>
      </c>
      <c r="J30">
        <f>MATCH(H30,mapCOM!$A$2:$A$1107,0)</f>
        <v>48</v>
      </c>
    </row>
    <row r="31" spans="1:10" x14ac:dyDescent="0.25">
      <c r="A31" t="s">
        <v>2030</v>
      </c>
      <c r="B31" t="s">
        <v>5023</v>
      </c>
      <c r="C31">
        <f>MATCH(A31,mapCOM!A$2:A$1107,0)</f>
        <v>66</v>
      </c>
      <c r="H31" t="s">
        <v>2357</v>
      </c>
      <c r="I31" t="s">
        <v>2356</v>
      </c>
      <c r="J31">
        <f>MATCH(H31,mapCOM!$A$2:$A$1107,0)</f>
        <v>49</v>
      </c>
    </row>
    <row r="32" spans="1:10" x14ac:dyDescent="0.25">
      <c r="A32" t="s">
        <v>3169</v>
      </c>
      <c r="B32" t="s">
        <v>5558</v>
      </c>
      <c r="C32">
        <f>MATCH(A32,mapCOM!A$2:A$1107,0)</f>
        <v>67</v>
      </c>
      <c r="H32" t="s">
        <v>3661</v>
      </c>
      <c r="I32" t="s">
        <v>3662</v>
      </c>
      <c r="J32">
        <f>MATCH(H32,mapCOM!$A$2:$A$1107,0)</f>
        <v>50</v>
      </c>
    </row>
    <row r="33" spans="1:10" x14ac:dyDescent="0.25">
      <c r="A33" t="s">
        <v>3170</v>
      </c>
      <c r="B33" t="s">
        <v>5559</v>
      </c>
      <c r="C33">
        <f>MATCH(A33,mapCOM!A$2:A$1107,0)</f>
        <v>68</v>
      </c>
      <c r="H33" t="s">
        <v>3663</v>
      </c>
      <c r="I33" t="s">
        <v>3664</v>
      </c>
      <c r="J33">
        <f>MATCH(H33,mapCOM!$A$2:$A$1107,0)</f>
        <v>51</v>
      </c>
    </row>
    <row r="34" spans="1:10" x14ac:dyDescent="0.25">
      <c r="A34" t="s">
        <v>5560</v>
      </c>
      <c r="B34" t="s">
        <v>5561</v>
      </c>
      <c r="C34">
        <f>MATCH(A34,mapCOM!A$2:A$1107,0)</f>
        <v>70</v>
      </c>
      <c r="D34">
        <v>1</v>
      </c>
      <c r="H34" t="s">
        <v>3665</v>
      </c>
      <c r="I34" t="s">
        <v>3666</v>
      </c>
      <c r="J34">
        <f>MATCH(H34,mapCOM!$A$2:$A$1107,0)</f>
        <v>52</v>
      </c>
    </row>
    <row r="35" spans="1:10" x14ac:dyDescent="0.25">
      <c r="A35" t="s">
        <v>2089</v>
      </c>
      <c r="B35" t="s">
        <v>5562</v>
      </c>
      <c r="C35">
        <f>MATCH(A35,mapCOM!A$2:A$1107,0)</f>
        <v>71</v>
      </c>
      <c r="H35" t="s">
        <v>2038</v>
      </c>
      <c r="I35" t="s">
        <v>2028</v>
      </c>
      <c r="J35">
        <f>MATCH(H35,mapCOM!$A$2:$A$1107,0)</f>
        <v>58</v>
      </c>
    </row>
    <row r="36" spans="1:10" x14ac:dyDescent="0.25">
      <c r="A36" t="s">
        <v>2352</v>
      </c>
      <c r="B36" t="s">
        <v>5563</v>
      </c>
      <c r="C36">
        <f>MATCH(A36,mapCOM!A$2:A$1107,0)</f>
        <v>72</v>
      </c>
      <c r="H36" t="s">
        <v>2037</v>
      </c>
      <c r="I36" t="s">
        <v>2026</v>
      </c>
      <c r="J36">
        <f>MATCH(H36,mapCOM!$A$2:$A$1107,0)</f>
        <v>59</v>
      </c>
    </row>
    <row r="37" spans="1:10" x14ac:dyDescent="0.25">
      <c r="A37" t="s">
        <v>2351</v>
      </c>
      <c r="B37" t="s">
        <v>5564</v>
      </c>
      <c r="C37">
        <f>MATCH(A37,mapCOM!A$2:A$1107,0)</f>
        <v>73</v>
      </c>
      <c r="H37" t="s">
        <v>2036</v>
      </c>
      <c r="I37" t="s">
        <v>2024</v>
      </c>
      <c r="J37">
        <f>MATCH(H37,mapCOM!$A$2:$A$1107,0)</f>
        <v>60</v>
      </c>
    </row>
    <row r="38" spans="1:10" x14ac:dyDescent="0.25">
      <c r="A38" t="s">
        <v>2349</v>
      </c>
      <c r="B38" t="s">
        <v>5565</v>
      </c>
      <c r="C38">
        <f>MATCH(A38,mapCOM!A$2:A$1107,0)</f>
        <v>74</v>
      </c>
      <c r="H38" t="s">
        <v>2035</v>
      </c>
      <c r="I38" t="s">
        <v>2022</v>
      </c>
      <c r="J38">
        <f>MATCH(H38,mapCOM!$A$2:$A$1107,0)</f>
        <v>61</v>
      </c>
    </row>
    <row r="39" spans="1:10" x14ac:dyDescent="0.25">
      <c r="A39" t="s">
        <v>2085</v>
      </c>
      <c r="B39" t="s">
        <v>5566</v>
      </c>
      <c r="C39">
        <f>MATCH(A39,mapCOM!A$2:A$1107,0)</f>
        <v>75</v>
      </c>
      <c r="H39" t="s">
        <v>2034</v>
      </c>
      <c r="I39" t="s">
        <v>2020</v>
      </c>
      <c r="J39">
        <f>MATCH(H39,mapCOM!$A$2:$A$1107,0)</f>
        <v>62</v>
      </c>
    </row>
    <row r="40" spans="1:10" x14ac:dyDescent="0.25">
      <c r="A40" t="s">
        <v>5567</v>
      </c>
      <c r="B40" t="s">
        <v>5568</v>
      </c>
      <c r="C40">
        <f>MATCH(A40,mapCOM!A$2:A$1107,0)</f>
        <v>76</v>
      </c>
      <c r="D40">
        <v>1</v>
      </c>
      <c r="H40" t="s">
        <v>2033</v>
      </c>
      <c r="I40" t="s">
        <v>2018</v>
      </c>
      <c r="J40">
        <f>MATCH(H40,mapCOM!$A$2:$A$1107,0)</f>
        <v>63</v>
      </c>
    </row>
    <row r="41" spans="1:10" x14ac:dyDescent="0.25">
      <c r="A41" t="s">
        <v>2029</v>
      </c>
      <c r="B41" t="s">
        <v>4987</v>
      </c>
      <c r="C41">
        <f>MATCH(A41,mapCOM!A$2:A$1107,0)</f>
        <v>77</v>
      </c>
      <c r="H41" t="s">
        <v>2032</v>
      </c>
      <c r="I41" t="s">
        <v>2016</v>
      </c>
      <c r="J41">
        <f>MATCH(H41,mapCOM!$A$2:$A$1107,0)</f>
        <v>64</v>
      </c>
    </row>
    <row r="42" spans="1:10" x14ac:dyDescent="0.25">
      <c r="A42" t="s">
        <v>2027</v>
      </c>
      <c r="B42" t="s">
        <v>4993</v>
      </c>
      <c r="C42">
        <f>MATCH(A42,mapCOM!A$2:A$1107,0)</f>
        <v>78</v>
      </c>
      <c r="H42" t="s">
        <v>2031</v>
      </c>
      <c r="I42" t="s">
        <v>2014</v>
      </c>
      <c r="J42">
        <f>MATCH(H42,mapCOM!$A$2:$A$1107,0)</f>
        <v>65</v>
      </c>
    </row>
    <row r="43" spans="1:10" x14ac:dyDescent="0.25">
      <c r="A43" t="s">
        <v>2025</v>
      </c>
      <c r="B43" t="s">
        <v>4998</v>
      </c>
      <c r="C43">
        <f>MATCH(A43,mapCOM!A$2:A$1107,0)</f>
        <v>79</v>
      </c>
      <c r="H43" t="s">
        <v>2030</v>
      </c>
      <c r="I43" t="s">
        <v>2012</v>
      </c>
      <c r="J43">
        <f>MATCH(H43,mapCOM!$A$2:$A$1107,0)</f>
        <v>66</v>
      </c>
    </row>
    <row r="44" spans="1:10" x14ac:dyDescent="0.25">
      <c r="A44" t="s">
        <v>2023</v>
      </c>
      <c r="B44" t="s">
        <v>5001</v>
      </c>
      <c r="C44">
        <f>MATCH(A44,mapCOM!A$2:A$1107,0)</f>
        <v>80</v>
      </c>
      <c r="H44" t="s">
        <v>3169</v>
      </c>
      <c r="I44" t="s">
        <v>3725</v>
      </c>
      <c r="J44">
        <f>MATCH(H44,mapCOM!$A$2:$A$1107,0)</f>
        <v>67</v>
      </c>
    </row>
    <row r="45" spans="1:10" x14ac:dyDescent="0.25">
      <c r="A45" t="s">
        <v>2021</v>
      </c>
      <c r="B45" t="s">
        <v>5007</v>
      </c>
      <c r="C45">
        <f>MATCH(A45,mapCOM!A$2:A$1107,0)</f>
        <v>81</v>
      </c>
      <c r="H45" t="s">
        <v>3170</v>
      </c>
      <c r="I45" t="s">
        <v>3726</v>
      </c>
      <c r="J45">
        <f>MATCH(H45,mapCOM!$A$2:$A$1107,0)</f>
        <v>68</v>
      </c>
    </row>
    <row r="46" spans="1:10" x14ac:dyDescent="0.25">
      <c r="A46" t="s">
        <v>2019</v>
      </c>
      <c r="B46" t="s">
        <v>5014</v>
      </c>
      <c r="C46">
        <f>MATCH(A46,mapCOM!A$2:A$1107,0)</f>
        <v>82</v>
      </c>
      <c r="H46" t="s">
        <v>2355</v>
      </c>
      <c r="I46" t="s">
        <v>2354</v>
      </c>
      <c r="J46">
        <f>MATCH(H46,mapCOM!$A$2:$A$1107,0)</f>
        <v>69</v>
      </c>
    </row>
    <row r="47" spans="1:10" x14ac:dyDescent="0.25">
      <c r="A47" t="s">
        <v>2017</v>
      </c>
      <c r="B47" t="s">
        <v>5016</v>
      </c>
      <c r="C47">
        <f>MATCH(A47,mapCOM!A$2:A$1107,0)</f>
        <v>83</v>
      </c>
      <c r="H47" t="s">
        <v>2089</v>
      </c>
      <c r="I47" t="s">
        <v>2353</v>
      </c>
      <c r="J47">
        <f>MATCH(H47,mapCOM!$A$2:$A$1107,0)</f>
        <v>71</v>
      </c>
    </row>
    <row r="48" spans="1:10" x14ac:dyDescent="0.25">
      <c r="A48" t="s">
        <v>2015</v>
      </c>
      <c r="B48" t="s">
        <v>5017</v>
      </c>
      <c r="C48">
        <f>MATCH(A48,mapCOM!A$2:A$1107,0)</f>
        <v>84</v>
      </c>
      <c r="H48" t="s">
        <v>2352</v>
      </c>
      <c r="I48" t="s">
        <v>2341</v>
      </c>
      <c r="J48">
        <f>MATCH(H48,mapCOM!$A$2:$A$1107,0)</f>
        <v>72</v>
      </c>
    </row>
    <row r="49" spans="1:11" x14ac:dyDescent="0.25">
      <c r="A49" t="s">
        <v>2013</v>
      </c>
      <c r="B49" t="s">
        <v>5023</v>
      </c>
      <c r="C49">
        <f>MATCH(A49,mapCOM!A$2:A$1107,0)</f>
        <v>85</v>
      </c>
      <c r="H49" t="s">
        <v>2351</v>
      </c>
      <c r="I49" t="s">
        <v>2350</v>
      </c>
      <c r="J49">
        <f>MATCH(H49,mapCOM!$A$2:$A$1107,0)</f>
        <v>73</v>
      </c>
    </row>
    <row r="50" spans="1:11" x14ac:dyDescent="0.25">
      <c r="A50" t="s">
        <v>5569</v>
      </c>
      <c r="B50" t="s">
        <v>5561</v>
      </c>
      <c r="C50">
        <f>MATCH(A50,mapCOM!A$2:A$1107,0)</f>
        <v>86</v>
      </c>
      <c r="D50">
        <v>1</v>
      </c>
      <c r="H50" t="s">
        <v>2349</v>
      </c>
      <c r="I50" t="s">
        <v>2348</v>
      </c>
      <c r="J50">
        <f>MATCH(H50,mapCOM!$A$2:$A$1107,0)</f>
        <v>74</v>
      </c>
    </row>
    <row r="51" spans="1:11" x14ac:dyDescent="0.25">
      <c r="A51" t="s">
        <v>2346</v>
      </c>
      <c r="B51" t="s">
        <v>5570</v>
      </c>
      <c r="C51">
        <f>MATCH(A51,mapCOM!A$2:A$1107,0)</f>
        <v>88</v>
      </c>
      <c r="H51" t="s">
        <v>2085</v>
      </c>
      <c r="I51" t="s">
        <v>2347</v>
      </c>
      <c r="J51">
        <f>MATCH(H51,mapCOM!$A$2:$A$1107,0)</f>
        <v>75</v>
      </c>
    </row>
    <row r="52" spans="1:11" x14ac:dyDescent="0.25">
      <c r="A52" t="s">
        <v>2082</v>
      </c>
      <c r="B52" t="s">
        <v>5571</v>
      </c>
      <c r="C52">
        <f>MATCH(A52,mapCOM!A$2:A$1107,0)</f>
        <v>90</v>
      </c>
      <c r="H52" t="s">
        <v>2029</v>
      </c>
      <c r="I52" t="s">
        <v>2028</v>
      </c>
      <c r="J52">
        <f>MATCH(H52,mapCOM!$A$2:$A$1107,0)</f>
        <v>77</v>
      </c>
    </row>
    <row r="53" spans="1:11" x14ac:dyDescent="0.25">
      <c r="A53" t="s">
        <v>2342</v>
      </c>
      <c r="B53" t="s">
        <v>5563</v>
      </c>
      <c r="C53">
        <f>MATCH(A53,mapCOM!A$2:A$1107,0)</f>
        <v>91</v>
      </c>
      <c r="H53" t="s">
        <v>2027</v>
      </c>
      <c r="I53" t="s">
        <v>2026</v>
      </c>
      <c r="J53">
        <f>MATCH(H53,mapCOM!$A$2:$A$1107,0)</f>
        <v>78</v>
      </c>
    </row>
    <row r="54" spans="1:11" x14ac:dyDescent="0.25">
      <c r="A54" t="s">
        <v>2340</v>
      </c>
      <c r="B54" t="s">
        <v>5572</v>
      </c>
      <c r="C54">
        <f>MATCH(A54,mapCOM!A$2:A$1107,0)</f>
        <v>92</v>
      </c>
      <c r="H54" t="s">
        <v>2025</v>
      </c>
      <c r="I54" t="s">
        <v>2024</v>
      </c>
      <c r="J54">
        <f>MATCH(H54,mapCOM!$A$2:$A$1107,0)</f>
        <v>79</v>
      </c>
    </row>
    <row r="55" spans="1:11" x14ac:dyDescent="0.25">
      <c r="A55" t="s">
        <v>3692</v>
      </c>
      <c r="B55" t="s">
        <v>5573</v>
      </c>
      <c r="C55">
        <f>MATCH(A55,mapCOM!A$2:A$1107,0)</f>
        <v>93</v>
      </c>
      <c r="H55" t="s">
        <v>2023</v>
      </c>
      <c r="I55" t="s">
        <v>2022</v>
      </c>
      <c r="J55">
        <f>MATCH(H55,mapCOM!$A$2:$A$1107,0)</f>
        <v>80</v>
      </c>
    </row>
    <row r="56" spans="1:11" x14ac:dyDescent="0.25">
      <c r="A56" t="s">
        <v>3721</v>
      </c>
      <c r="B56" t="s">
        <v>5574</v>
      </c>
      <c r="C56">
        <f>MATCH(A56,mapCOM!A$2:A$1107,0)</f>
        <v>99</v>
      </c>
      <c r="H56" t="s">
        <v>2021</v>
      </c>
      <c r="I56" t="s">
        <v>2020</v>
      </c>
      <c r="J56">
        <f>MATCH(H56,mapCOM!$A$2:$A$1107,0)</f>
        <v>81</v>
      </c>
    </row>
    <row r="57" spans="1:11" x14ac:dyDescent="0.25">
      <c r="A57" t="s">
        <v>3723</v>
      </c>
      <c r="B57" t="s">
        <v>5575</v>
      </c>
      <c r="C57">
        <f>MATCH(A57,mapCOM!A$2:A$1107,0)</f>
        <v>100</v>
      </c>
      <c r="H57" t="s">
        <v>2019</v>
      </c>
      <c r="I57" t="s">
        <v>2018</v>
      </c>
      <c r="J57">
        <f>MATCH(H57,mapCOM!$A$2:$A$1107,0)</f>
        <v>82</v>
      </c>
    </row>
    <row r="58" spans="1:11" x14ac:dyDescent="0.25">
      <c r="A58" t="s">
        <v>2338</v>
      </c>
      <c r="B58" t="s">
        <v>19</v>
      </c>
      <c r="C58">
        <f>MATCH(A58,mapCOM!A$2:A$1107,0)</f>
        <v>102</v>
      </c>
      <c r="H58" t="s">
        <v>2017</v>
      </c>
      <c r="I58" t="s">
        <v>2016</v>
      </c>
      <c r="J58">
        <f>MATCH(H58,mapCOM!$A$2:$A$1107,0)</f>
        <v>83</v>
      </c>
    </row>
    <row r="59" spans="1:11" x14ac:dyDescent="0.25">
      <c r="A59" t="s">
        <v>2336</v>
      </c>
      <c r="B59" t="s">
        <v>5576</v>
      </c>
      <c r="C59">
        <f>MATCH(A59,mapCOM!A$2:A$1107,0)</f>
        <v>103</v>
      </c>
      <c r="H59" t="s">
        <v>2015</v>
      </c>
      <c r="I59" t="s">
        <v>2014</v>
      </c>
      <c r="J59">
        <f>MATCH(H59,mapCOM!$A$2:$A$1107,0)</f>
        <v>84</v>
      </c>
    </row>
    <row r="60" spans="1:11" x14ac:dyDescent="0.25">
      <c r="A60" t="s">
        <v>2328</v>
      </c>
      <c r="B60" t="s">
        <v>5466</v>
      </c>
      <c r="C60">
        <f>MATCH(A60,mapCOM!A$2:A$1107,0)</f>
        <v>113</v>
      </c>
      <c r="H60" t="s">
        <v>2013</v>
      </c>
      <c r="I60" t="s">
        <v>2012</v>
      </c>
      <c r="J60">
        <f>MATCH(H60,mapCOM!$A$2:$A$1107,0)</f>
        <v>85</v>
      </c>
    </row>
    <row r="61" spans="1:11" x14ac:dyDescent="0.25">
      <c r="A61" t="s">
        <v>2326</v>
      </c>
      <c r="B61" t="s">
        <v>5577</v>
      </c>
      <c r="C61">
        <f>MATCH(A61,mapCOM!A$2:A$1107,0)</f>
        <v>114</v>
      </c>
      <c r="H61" t="s">
        <v>3728</v>
      </c>
      <c r="I61" t="s">
        <v>3729</v>
      </c>
      <c r="J61">
        <f>MATCH(H61,mapCOM!$A$2:$A$1107,0)</f>
        <v>87</v>
      </c>
      <c r="K61">
        <v>1</v>
      </c>
    </row>
    <row r="62" spans="1:11" x14ac:dyDescent="0.25">
      <c r="A62" t="s">
        <v>2324</v>
      </c>
      <c r="B62" t="s">
        <v>5468</v>
      </c>
      <c r="C62">
        <f>MATCH(A62,mapCOM!A$2:A$1107,0)</f>
        <v>115</v>
      </c>
      <c r="H62" t="s">
        <v>2346</v>
      </c>
      <c r="I62" t="s">
        <v>2345</v>
      </c>
      <c r="J62">
        <f>MATCH(H62,mapCOM!$A$2:$A$1107,0)</f>
        <v>88</v>
      </c>
    </row>
    <row r="63" spans="1:11" x14ac:dyDescent="0.25">
      <c r="A63" t="s">
        <v>2316</v>
      </c>
      <c r="B63" t="s">
        <v>5469</v>
      </c>
      <c r="C63">
        <f>MATCH(A63,mapCOM!A$2:A$1107,0)</f>
        <v>121</v>
      </c>
      <c r="H63" t="s">
        <v>2082</v>
      </c>
      <c r="I63" t="s">
        <v>2343</v>
      </c>
      <c r="J63">
        <f>MATCH(H63,mapCOM!$A$2:$A$1107,0)</f>
        <v>90</v>
      </c>
    </row>
    <row r="64" spans="1:11" x14ac:dyDescent="0.25">
      <c r="A64" t="s">
        <v>2314</v>
      </c>
      <c r="B64" t="s">
        <v>5470</v>
      </c>
      <c r="C64">
        <f>MATCH(A64,mapCOM!A$2:A$1107,0)</f>
        <v>122</v>
      </c>
      <c r="H64" t="s">
        <v>2342</v>
      </c>
      <c r="I64" t="s">
        <v>2341</v>
      </c>
      <c r="J64">
        <f>MATCH(H64,mapCOM!$A$2:$A$1107,0)</f>
        <v>91</v>
      </c>
    </row>
    <row r="65" spans="1:11" x14ac:dyDescent="0.25">
      <c r="A65" t="s">
        <v>2312</v>
      </c>
      <c r="B65" t="s">
        <v>5471</v>
      </c>
      <c r="C65">
        <f>MATCH(A65,mapCOM!A$2:A$1107,0)</f>
        <v>123</v>
      </c>
      <c r="H65" t="s">
        <v>2340</v>
      </c>
      <c r="I65" t="s">
        <v>2339</v>
      </c>
      <c r="J65">
        <f>MATCH(H65,mapCOM!$A$2:$A$1107,0)</f>
        <v>92</v>
      </c>
    </row>
    <row r="66" spans="1:11" x14ac:dyDescent="0.25">
      <c r="A66" t="s">
        <v>2310</v>
      </c>
      <c r="B66" t="s">
        <v>5472</v>
      </c>
      <c r="C66">
        <f>MATCH(A66,mapCOM!A$2:A$1107,0)</f>
        <v>124</v>
      </c>
      <c r="H66" t="s">
        <v>3692</v>
      </c>
      <c r="I66" t="s">
        <v>3720</v>
      </c>
      <c r="J66">
        <f>MATCH(H66,mapCOM!$A$2:$A$1107,0)</f>
        <v>93</v>
      </c>
    </row>
    <row r="67" spans="1:11" x14ac:dyDescent="0.25">
      <c r="A67" t="s">
        <v>2308</v>
      </c>
      <c r="B67" t="s">
        <v>5473</v>
      </c>
      <c r="C67">
        <f>MATCH(A67,mapCOM!A$2:A$1107,0)</f>
        <v>125</v>
      </c>
      <c r="H67" t="s">
        <v>3721</v>
      </c>
      <c r="I67" t="s">
        <v>3722</v>
      </c>
      <c r="J67">
        <f>MATCH(H67,mapCOM!$A$2:$A$1107,0)</f>
        <v>99</v>
      </c>
      <c r="K67">
        <v>1</v>
      </c>
    </row>
    <row r="68" spans="1:11" x14ac:dyDescent="0.25">
      <c r="A68" t="s">
        <v>2302</v>
      </c>
      <c r="B68" t="s">
        <v>5578</v>
      </c>
      <c r="C68">
        <f>MATCH(A68,mapCOM!A$2:A$1107,0)</f>
        <v>131</v>
      </c>
      <c r="H68" t="s">
        <v>3723</v>
      </c>
      <c r="I68" t="s">
        <v>3724</v>
      </c>
      <c r="J68">
        <f>MATCH(H68,mapCOM!$A$2:$A$1107,0)</f>
        <v>100</v>
      </c>
      <c r="K68">
        <v>1</v>
      </c>
    </row>
    <row r="69" spans="1:11" x14ac:dyDescent="0.25">
      <c r="A69" t="s">
        <v>5579</v>
      </c>
      <c r="B69" t="s">
        <v>5579</v>
      </c>
      <c r="C69" t="e">
        <f>MATCH(A69,mapCOM!A$2:A$1107,0)</f>
        <v>#N/A</v>
      </c>
      <c r="D69">
        <v>1</v>
      </c>
      <c r="H69" t="s">
        <v>3730</v>
      </c>
      <c r="I69" t="s">
        <v>3731</v>
      </c>
      <c r="J69">
        <f>MATCH(H69,mapCOM!$A$2:$A$1107,0)</f>
        <v>101</v>
      </c>
      <c r="K69">
        <v>1</v>
      </c>
    </row>
    <row r="70" spans="1:11" x14ac:dyDescent="0.25">
      <c r="A70" t="s">
        <v>2300</v>
      </c>
      <c r="B70" t="s">
        <v>5580</v>
      </c>
      <c r="C70">
        <f>MATCH(A70,mapCOM!A$2:A$1107,0)</f>
        <v>133</v>
      </c>
      <c r="H70" t="s">
        <v>2338</v>
      </c>
      <c r="I70" t="s">
        <v>2337</v>
      </c>
      <c r="J70">
        <f>MATCH(H70,mapCOM!$A$2:$A$1107,0)</f>
        <v>102</v>
      </c>
    </row>
    <row r="71" spans="1:11" x14ac:dyDescent="0.25">
      <c r="A71" t="s">
        <v>5581</v>
      </c>
      <c r="B71" t="s">
        <v>5030</v>
      </c>
      <c r="C71" t="e">
        <f>MATCH(A71,mapCOM!A$2:A$1107,0)</f>
        <v>#N/A</v>
      </c>
      <c r="D71">
        <v>1</v>
      </c>
      <c r="H71" t="s">
        <v>2336</v>
      </c>
      <c r="I71" t="s">
        <v>2335</v>
      </c>
      <c r="J71">
        <f>MATCH(H71,mapCOM!$A$2:$A$1107,0)</f>
        <v>103</v>
      </c>
    </row>
    <row r="72" spans="1:11" x14ac:dyDescent="0.25">
      <c r="A72" t="s">
        <v>3626</v>
      </c>
      <c r="B72" t="s">
        <v>5582</v>
      </c>
      <c r="C72">
        <f>MATCH(A72,mapCOM!A$2:A$1107,0)</f>
        <v>135</v>
      </c>
      <c r="H72" t="s">
        <v>1832</v>
      </c>
      <c r="I72" t="s">
        <v>1831</v>
      </c>
      <c r="J72">
        <f>MATCH(H72,mapCOM!$A$2:$A$1107,0)</f>
        <v>104</v>
      </c>
    </row>
    <row r="73" spans="1:11" x14ac:dyDescent="0.25">
      <c r="A73" t="s">
        <v>3627</v>
      </c>
      <c r="B73" t="s">
        <v>5583</v>
      </c>
      <c r="C73">
        <f>MATCH(A73,mapCOM!A$2:A$1107,0)</f>
        <v>136</v>
      </c>
      <c r="H73" t="s">
        <v>1830</v>
      </c>
      <c r="I73" t="s">
        <v>1829</v>
      </c>
      <c r="J73">
        <f>MATCH(H73,mapCOM!$A$2:$A$1107,0)</f>
        <v>105</v>
      </c>
    </row>
    <row r="74" spans="1:11" x14ac:dyDescent="0.25">
      <c r="A74" t="s">
        <v>3628</v>
      </c>
      <c r="B74" t="s">
        <v>5584</v>
      </c>
      <c r="C74">
        <f>MATCH(A74,mapCOM!A$2:A$1107,0)</f>
        <v>137</v>
      </c>
      <c r="H74" t="s">
        <v>1828</v>
      </c>
      <c r="I74" t="s">
        <v>1827</v>
      </c>
      <c r="J74">
        <f>MATCH(H74,mapCOM!$A$2:$A$1107,0)</f>
        <v>106</v>
      </c>
    </row>
    <row r="75" spans="1:11" x14ac:dyDescent="0.25">
      <c r="A75" t="s">
        <v>3629</v>
      </c>
      <c r="B75" t="s">
        <v>5585</v>
      </c>
      <c r="C75">
        <f>MATCH(A75,mapCOM!A$2:A$1107,0)</f>
        <v>138</v>
      </c>
      <c r="H75" t="s">
        <v>1826</v>
      </c>
      <c r="I75" t="s">
        <v>1825</v>
      </c>
      <c r="J75">
        <f>MATCH(H75,mapCOM!$A$2:$A$1107,0)</f>
        <v>107</v>
      </c>
    </row>
    <row r="76" spans="1:11" x14ac:dyDescent="0.25">
      <c r="A76" t="s">
        <v>2298</v>
      </c>
      <c r="B76" t="s">
        <v>5586</v>
      </c>
      <c r="C76">
        <f>MATCH(A76,mapCOM!A$2:A$1107,0)</f>
        <v>140</v>
      </c>
      <c r="H76" t="s">
        <v>1824</v>
      </c>
      <c r="I76" t="s">
        <v>1823</v>
      </c>
      <c r="J76">
        <f>MATCH(H76,mapCOM!$A$2:$A$1107,0)</f>
        <v>108</v>
      </c>
    </row>
    <row r="77" spans="1:11" x14ac:dyDescent="0.25">
      <c r="A77" t="s">
        <v>2296</v>
      </c>
      <c r="B77" t="s">
        <v>5587</v>
      </c>
      <c r="C77">
        <f>MATCH(A77,mapCOM!A$2:A$1107,0)</f>
        <v>141</v>
      </c>
      <c r="H77" t="s">
        <v>2334</v>
      </c>
      <c r="I77" t="s">
        <v>2333</v>
      </c>
      <c r="J77">
        <f>MATCH(H77,mapCOM!$A$2:$A$1107,0)</f>
        <v>109</v>
      </c>
    </row>
    <row r="78" spans="1:11" x14ac:dyDescent="0.25">
      <c r="A78" t="s">
        <v>2294</v>
      </c>
      <c r="B78" t="s">
        <v>5588</v>
      </c>
      <c r="C78">
        <f>MATCH(A78,mapCOM!A$2:A$1107,0)</f>
        <v>142</v>
      </c>
      <c r="H78" t="s">
        <v>2332</v>
      </c>
      <c r="I78" t="s">
        <v>2331</v>
      </c>
      <c r="J78">
        <f>MATCH(H78,mapCOM!$A$2:$A$1107,0)</f>
        <v>110</v>
      </c>
    </row>
    <row r="79" spans="1:11" x14ac:dyDescent="0.25">
      <c r="A79" t="s">
        <v>2292</v>
      </c>
      <c r="B79" t="s">
        <v>5589</v>
      </c>
      <c r="C79">
        <f>MATCH(A79,mapCOM!A$2:A$1107,0)</f>
        <v>143</v>
      </c>
      <c r="H79" t="s">
        <v>1822</v>
      </c>
      <c r="I79" t="s">
        <v>1821</v>
      </c>
      <c r="J79">
        <f>MATCH(H79,mapCOM!$A$2:$A$1107,0)</f>
        <v>111</v>
      </c>
    </row>
    <row r="80" spans="1:11" x14ac:dyDescent="0.25">
      <c r="A80" t="s">
        <v>5590</v>
      </c>
      <c r="B80" t="s">
        <v>5591</v>
      </c>
      <c r="C80">
        <f>MATCH(A80,mapCOM!A$2:A$1107,0)</f>
        <v>144</v>
      </c>
      <c r="D80">
        <v>1</v>
      </c>
      <c r="H80" t="s">
        <v>2330</v>
      </c>
      <c r="I80" t="s">
        <v>2329</v>
      </c>
      <c r="J80">
        <f>MATCH(H80,mapCOM!$A$2:$A$1107,0)</f>
        <v>112</v>
      </c>
    </row>
    <row r="81" spans="1:10" x14ac:dyDescent="0.25">
      <c r="A81" t="s">
        <v>2290</v>
      </c>
      <c r="B81" t="s">
        <v>5592</v>
      </c>
      <c r="C81">
        <f>MATCH(A81,mapCOM!A$2:A$1107,0)</f>
        <v>145</v>
      </c>
      <c r="H81" t="s">
        <v>2328</v>
      </c>
      <c r="I81" t="s">
        <v>354</v>
      </c>
      <c r="J81">
        <f>MATCH(H81,mapCOM!$A$2:$A$1107,0)</f>
        <v>113</v>
      </c>
    </row>
    <row r="82" spans="1:10" x14ac:dyDescent="0.25">
      <c r="A82" t="s">
        <v>2288</v>
      </c>
      <c r="B82" t="s">
        <v>5593</v>
      </c>
      <c r="C82">
        <f>MATCH(A82,mapCOM!A$2:A$1107,0)</f>
        <v>146</v>
      </c>
      <c r="H82" t="s">
        <v>2326</v>
      </c>
      <c r="I82" t="s">
        <v>352</v>
      </c>
      <c r="J82">
        <f>MATCH(H82,mapCOM!$A$2:$A$1107,0)</f>
        <v>114</v>
      </c>
    </row>
    <row r="83" spans="1:10" x14ac:dyDescent="0.25">
      <c r="A83" t="s">
        <v>2286</v>
      </c>
      <c r="B83" t="s">
        <v>5594</v>
      </c>
      <c r="C83">
        <f>MATCH(A83,mapCOM!A$2:A$1107,0)</f>
        <v>147</v>
      </c>
      <c r="H83" t="s">
        <v>2324</v>
      </c>
      <c r="I83" t="s">
        <v>349</v>
      </c>
      <c r="J83">
        <f>MATCH(H83,mapCOM!$A$2:$A$1107,0)</f>
        <v>115</v>
      </c>
    </row>
    <row r="84" spans="1:10" x14ac:dyDescent="0.25">
      <c r="A84" t="s">
        <v>2284</v>
      </c>
      <c r="B84" t="s">
        <v>5595</v>
      </c>
      <c r="C84">
        <f>MATCH(A84,mapCOM!A$2:A$1107,0)</f>
        <v>149</v>
      </c>
      <c r="H84" t="s">
        <v>1820</v>
      </c>
      <c r="I84" t="s">
        <v>1819</v>
      </c>
      <c r="J84">
        <f>MATCH(H84,mapCOM!$A$2:$A$1107,0)</f>
        <v>116</v>
      </c>
    </row>
    <row r="85" spans="1:10" x14ac:dyDescent="0.25">
      <c r="A85" t="s">
        <v>5596</v>
      </c>
      <c r="B85" t="s">
        <v>5597</v>
      </c>
      <c r="C85">
        <f>MATCH(A85,mapCOM!A$2:A$1107,0)</f>
        <v>148</v>
      </c>
      <c r="D85">
        <v>1</v>
      </c>
      <c r="H85" t="s">
        <v>2322</v>
      </c>
      <c r="I85" t="s">
        <v>2321</v>
      </c>
      <c r="J85">
        <f>MATCH(H85,mapCOM!$A$2:$A$1107,0)</f>
        <v>117</v>
      </c>
    </row>
    <row r="86" spans="1:10" x14ac:dyDescent="0.25">
      <c r="A86" t="s">
        <v>2282</v>
      </c>
      <c r="B86" t="s">
        <v>5598</v>
      </c>
      <c r="C86">
        <f>MATCH(A86,mapCOM!A$2:A$1107,0)</f>
        <v>150</v>
      </c>
      <c r="H86" t="s">
        <v>2320</v>
      </c>
      <c r="I86" t="s">
        <v>2319</v>
      </c>
      <c r="J86">
        <f>MATCH(H86,mapCOM!$A$2:$A$1107,0)</f>
        <v>118</v>
      </c>
    </row>
    <row r="87" spans="1:10" x14ac:dyDescent="0.25">
      <c r="A87" t="s">
        <v>2280</v>
      </c>
      <c r="B87" t="s">
        <v>5599</v>
      </c>
      <c r="C87">
        <f>MATCH(A87,mapCOM!A$2:A$1107,0)</f>
        <v>151</v>
      </c>
      <c r="H87" t="s">
        <v>1818</v>
      </c>
      <c r="I87" t="s">
        <v>1817</v>
      </c>
      <c r="J87">
        <f>MATCH(H87,mapCOM!$A$2:$A$1107,0)</f>
        <v>119</v>
      </c>
    </row>
    <row r="88" spans="1:10" x14ac:dyDescent="0.25">
      <c r="A88" t="s">
        <v>2278</v>
      </c>
      <c r="B88" t="s">
        <v>5600</v>
      </c>
      <c r="C88">
        <f>MATCH(A88,mapCOM!A$2:A$1107,0)</f>
        <v>152</v>
      </c>
      <c r="H88" t="s">
        <v>2318</v>
      </c>
      <c r="I88" t="s">
        <v>2317</v>
      </c>
      <c r="J88">
        <f>MATCH(H88,mapCOM!$A$2:$A$1107,0)</f>
        <v>120</v>
      </c>
    </row>
    <row r="89" spans="1:10" x14ac:dyDescent="0.25">
      <c r="A89" t="s">
        <v>2276</v>
      </c>
      <c r="B89" t="s">
        <v>5601</v>
      </c>
      <c r="C89">
        <f>MATCH(A89,mapCOM!A$2:A$1107,0)</f>
        <v>153</v>
      </c>
      <c r="H89" t="s">
        <v>2316</v>
      </c>
      <c r="I89" t="s">
        <v>347</v>
      </c>
      <c r="J89">
        <f>MATCH(H89,mapCOM!$A$2:$A$1107,0)</f>
        <v>121</v>
      </c>
    </row>
    <row r="90" spans="1:10" x14ac:dyDescent="0.25">
      <c r="A90" t="s">
        <v>2274</v>
      </c>
      <c r="B90" t="s">
        <v>386</v>
      </c>
      <c r="C90">
        <f>MATCH(A90,mapCOM!A$2:A$1107,0)</f>
        <v>157</v>
      </c>
      <c r="H90" t="s">
        <v>2314</v>
      </c>
      <c r="I90" t="s">
        <v>345</v>
      </c>
      <c r="J90">
        <f>MATCH(H90,mapCOM!$A$2:$A$1107,0)</f>
        <v>122</v>
      </c>
    </row>
    <row r="91" spans="1:10" x14ac:dyDescent="0.25">
      <c r="A91" t="s">
        <v>2272</v>
      </c>
      <c r="B91" t="s">
        <v>2185</v>
      </c>
      <c r="C91">
        <f>MATCH(A91,mapCOM!A$2:A$1107,0)</f>
        <v>158</v>
      </c>
      <c r="H91" t="s">
        <v>2312</v>
      </c>
      <c r="I91" t="s">
        <v>343</v>
      </c>
      <c r="J91">
        <f>MATCH(H91,mapCOM!$A$2:$A$1107,0)</f>
        <v>123</v>
      </c>
    </row>
    <row r="92" spans="1:10" x14ac:dyDescent="0.25">
      <c r="A92" t="s">
        <v>3095</v>
      </c>
      <c r="B92" t="s">
        <v>5602</v>
      </c>
      <c r="C92">
        <f>MATCH(A92,mapCOM!A$2:A$1107,0)</f>
        <v>159</v>
      </c>
      <c r="H92" t="s">
        <v>2310</v>
      </c>
      <c r="I92" t="s">
        <v>341</v>
      </c>
      <c r="J92">
        <f>MATCH(H92,mapCOM!$A$2:$A$1107,0)</f>
        <v>124</v>
      </c>
    </row>
    <row r="93" spans="1:10" x14ac:dyDescent="0.25">
      <c r="A93" t="s">
        <v>2011</v>
      </c>
      <c r="B93" t="s">
        <v>5603</v>
      </c>
      <c r="C93">
        <f>MATCH(A93,mapCOM!A$2:A$1107,0)</f>
        <v>160</v>
      </c>
      <c r="H93" t="s">
        <v>2308</v>
      </c>
      <c r="I93" t="s">
        <v>339</v>
      </c>
      <c r="J93">
        <f>MATCH(H93,mapCOM!$A$2:$A$1107,0)</f>
        <v>125</v>
      </c>
    </row>
    <row r="94" spans="1:10" x14ac:dyDescent="0.25">
      <c r="A94" t="s">
        <v>2010</v>
      </c>
      <c r="B94" t="s">
        <v>5604</v>
      </c>
      <c r="C94">
        <f>MATCH(A94,mapCOM!A$2:A$1107,0)</f>
        <v>161</v>
      </c>
      <c r="H94" t="s">
        <v>2306</v>
      </c>
      <c r="I94" t="s">
        <v>2305</v>
      </c>
      <c r="J94">
        <f>MATCH(H94,mapCOM!$A$2:$A$1107,0)</f>
        <v>126</v>
      </c>
    </row>
    <row r="95" spans="1:10" x14ac:dyDescent="0.25">
      <c r="A95" t="s">
        <v>2009</v>
      </c>
      <c r="B95" t="s">
        <v>5605</v>
      </c>
      <c r="C95">
        <f>MATCH(A95,mapCOM!A$2:A$1107,0)</f>
        <v>162</v>
      </c>
      <c r="H95" t="s">
        <v>1816</v>
      </c>
      <c r="I95" t="s">
        <v>1815</v>
      </c>
      <c r="J95">
        <f>MATCH(H95,mapCOM!$A$2:$A$1107,0)</f>
        <v>127</v>
      </c>
    </row>
    <row r="96" spans="1:10" x14ac:dyDescent="0.25">
      <c r="A96" t="s">
        <v>1810</v>
      </c>
      <c r="B96" t="s">
        <v>5606</v>
      </c>
      <c r="C96">
        <f>MATCH(A96,mapCOM!A$2:A$1107,0)</f>
        <v>163</v>
      </c>
      <c r="H96" t="s">
        <v>2304</v>
      </c>
      <c r="I96" t="s">
        <v>2303</v>
      </c>
      <c r="J96">
        <f>MATCH(H96,mapCOM!$A$2:$A$1107,0)</f>
        <v>128</v>
      </c>
    </row>
    <row r="97" spans="1:10" x14ac:dyDescent="0.25">
      <c r="A97" t="s">
        <v>2008</v>
      </c>
      <c r="B97" t="s">
        <v>5607</v>
      </c>
      <c r="C97">
        <f>MATCH(A97,mapCOM!A$2:A$1107,0)</f>
        <v>164</v>
      </c>
      <c r="H97" t="s">
        <v>1814</v>
      </c>
      <c r="I97" t="s">
        <v>1813</v>
      </c>
      <c r="J97">
        <f>MATCH(H97,mapCOM!$A$2:$A$1107,0)</f>
        <v>129</v>
      </c>
    </row>
    <row r="98" spans="1:10" x14ac:dyDescent="0.25">
      <c r="A98" t="s">
        <v>2007</v>
      </c>
      <c r="B98" t="s">
        <v>5608</v>
      </c>
      <c r="C98">
        <f>MATCH(A98,mapCOM!A$2:A$1107,0)</f>
        <v>167</v>
      </c>
      <c r="H98" t="s">
        <v>1812</v>
      </c>
      <c r="I98" t="s">
        <v>1811</v>
      </c>
      <c r="J98">
        <f>MATCH(H98,mapCOM!$A$2:$A$1107,0)</f>
        <v>130</v>
      </c>
    </row>
    <row r="99" spans="1:10" x14ac:dyDescent="0.25">
      <c r="A99" t="s">
        <v>2006</v>
      </c>
      <c r="B99" t="s">
        <v>5609</v>
      </c>
      <c r="C99">
        <f>MATCH(A99,mapCOM!A$2:A$1107,0)</f>
        <v>168</v>
      </c>
      <c r="H99" t="s">
        <v>2302</v>
      </c>
      <c r="I99" t="s">
        <v>2301</v>
      </c>
      <c r="J99">
        <f>MATCH(H99,mapCOM!$A$2:$A$1107,0)</f>
        <v>131</v>
      </c>
    </row>
    <row r="100" spans="1:10" x14ac:dyDescent="0.25">
      <c r="A100" t="s">
        <v>2005</v>
      </c>
      <c r="B100" t="s">
        <v>5610</v>
      </c>
      <c r="C100">
        <f>MATCH(A100,mapCOM!A$2:A$1107,0)</f>
        <v>169</v>
      </c>
      <c r="H100" t="s">
        <v>2401</v>
      </c>
      <c r="I100" t="s">
        <v>2400</v>
      </c>
      <c r="J100">
        <f>MATCH(H100,mapCOM!$A$2:$A$1107,0)</f>
        <v>132</v>
      </c>
    </row>
    <row r="101" spans="1:10" x14ac:dyDescent="0.25">
      <c r="A101" t="s">
        <v>2004</v>
      </c>
      <c r="B101" t="s">
        <v>5611</v>
      </c>
      <c r="C101">
        <f>MATCH(A101,mapCOM!A$2:A$1107,0)</f>
        <v>170</v>
      </c>
      <c r="H101" t="s">
        <v>2300</v>
      </c>
      <c r="I101" t="s">
        <v>2299</v>
      </c>
      <c r="J101">
        <f>MATCH(H101,mapCOM!$A$2:$A$1107,0)</f>
        <v>133</v>
      </c>
    </row>
    <row r="102" spans="1:10" x14ac:dyDescent="0.25">
      <c r="A102" t="s">
        <v>2003</v>
      </c>
      <c r="B102" t="s">
        <v>5612</v>
      </c>
      <c r="C102">
        <f>MATCH(A102,mapCOM!A$2:A$1107,0)</f>
        <v>172</v>
      </c>
      <c r="H102" t="s">
        <v>3626</v>
      </c>
      <c r="I102" t="s">
        <v>2412</v>
      </c>
      <c r="J102">
        <f>MATCH(H102,mapCOM!$A$2:$A$1107,0)</f>
        <v>135</v>
      </c>
    </row>
    <row r="103" spans="1:10" x14ac:dyDescent="0.25">
      <c r="A103" t="s">
        <v>2002</v>
      </c>
      <c r="B103" t="s">
        <v>5613</v>
      </c>
      <c r="C103">
        <f>MATCH(A103,mapCOM!A$2:A$1107,0)</f>
        <v>173</v>
      </c>
      <c r="H103" t="s">
        <v>3627</v>
      </c>
      <c r="I103" t="s">
        <v>2414</v>
      </c>
      <c r="J103">
        <f>MATCH(H103,mapCOM!$A$2:$A$1107,0)</f>
        <v>136</v>
      </c>
    </row>
    <row r="104" spans="1:10" x14ac:dyDescent="0.25">
      <c r="A104" t="s">
        <v>2001</v>
      </c>
      <c r="B104" t="s">
        <v>5614</v>
      </c>
      <c r="C104">
        <f>MATCH(A104,mapCOM!A$2:A$1107,0)</f>
        <v>174</v>
      </c>
      <c r="H104" t="s">
        <v>3628</v>
      </c>
      <c r="I104" t="s">
        <v>2410</v>
      </c>
      <c r="J104">
        <f>MATCH(H104,mapCOM!$A$2:$A$1107,0)</f>
        <v>137</v>
      </c>
    </row>
    <row r="105" spans="1:10" x14ac:dyDescent="0.25">
      <c r="A105" t="s">
        <v>5615</v>
      </c>
      <c r="B105" t="s">
        <v>5616</v>
      </c>
      <c r="C105" t="e">
        <f>MATCH(A105,mapCOM!A$2:A$1107,0)</f>
        <v>#N/A</v>
      </c>
      <c r="D105">
        <v>1</v>
      </c>
      <c r="H105" t="s">
        <v>3629</v>
      </c>
      <c r="I105" t="s">
        <v>2408</v>
      </c>
      <c r="J105">
        <f>MATCH(H105,mapCOM!$A$2:$A$1107,0)</f>
        <v>138</v>
      </c>
    </row>
    <row r="106" spans="1:10" x14ac:dyDescent="0.25">
      <c r="A106" t="s">
        <v>5617</v>
      </c>
      <c r="B106" t="s">
        <v>5618</v>
      </c>
      <c r="C106">
        <f>MATCH(A106,mapCOM!A$2:A$1107,0)</f>
        <v>176</v>
      </c>
      <c r="D106">
        <v>1</v>
      </c>
      <c r="H106" t="s">
        <v>2403</v>
      </c>
      <c r="I106" t="s">
        <v>2402</v>
      </c>
      <c r="J106">
        <f>MATCH(H106,mapCOM!$A$2:$A$1107,0)</f>
        <v>139</v>
      </c>
    </row>
    <row r="107" spans="1:10" x14ac:dyDescent="0.25">
      <c r="A107" t="s">
        <v>3606</v>
      </c>
      <c r="B107" t="s">
        <v>5619</v>
      </c>
      <c r="C107">
        <f>MATCH(A107,mapCOM!A$2:A$1107,0)</f>
        <v>175</v>
      </c>
      <c r="H107" t="s">
        <v>2298</v>
      </c>
      <c r="I107" t="s">
        <v>2297</v>
      </c>
      <c r="J107">
        <f>MATCH(H107,mapCOM!$A$2:$A$1107,0)</f>
        <v>140</v>
      </c>
    </row>
    <row r="108" spans="1:10" x14ac:dyDescent="0.25">
      <c r="A108" t="s">
        <v>1806</v>
      </c>
      <c r="B108" t="s">
        <v>5620</v>
      </c>
      <c r="C108">
        <f>MATCH(A108,mapCOM!A$2:A$1107,0)</f>
        <v>179</v>
      </c>
      <c r="H108" t="s">
        <v>2296</v>
      </c>
      <c r="I108" t="s">
        <v>2295</v>
      </c>
      <c r="J108">
        <f>MATCH(H108,mapCOM!$A$2:$A$1107,0)</f>
        <v>141</v>
      </c>
    </row>
    <row r="109" spans="1:10" x14ac:dyDescent="0.25">
      <c r="A109" t="s">
        <v>3727</v>
      </c>
      <c r="B109" t="s">
        <v>5621</v>
      </c>
      <c r="C109">
        <f>MATCH(A109,mapCOM!A$2:A$1107,0)</f>
        <v>177</v>
      </c>
      <c r="H109" t="s">
        <v>2294</v>
      </c>
      <c r="I109" t="s">
        <v>2293</v>
      </c>
      <c r="J109">
        <f>MATCH(H109,mapCOM!$A$2:$A$1107,0)</f>
        <v>142</v>
      </c>
    </row>
    <row r="110" spans="1:10" x14ac:dyDescent="0.25">
      <c r="A110" t="s">
        <v>2000</v>
      </c>
      <c r="B110" t="s">
        <v>5622</v>
      </c>
      <c r="C110">
        <f>MATCH(A110,mapCOM!A$2:A$1107,0)</f>
        <v>181</v>
      </c>
      <c r="H110" t="s">
        <v>2292</v>
      </c>
      <c r="I110" t="s">
        <v>2291</v>
      </c>
      <c r="J110">
        <f>MATCH(H110,mapCOM!$A$2:$A$1107,0)</f>
        <v>143</v>
      </c>
    </row>
    <row r="111" spans="1:10" x14ac:dyDescent="0.25">
      <c r="A111" t="s">
        <v>1999</v>
      </c>
      <c r="B111" t="s">
        <v>5623</v>
      </c>
      <c r="C111">
        <f>MATCH(A111,mapCOM!A$2:A$1107,0)</f>
        <v>182</v>
      </c>
      <c r="H111" t="s">
        <v>2290</v>
      </c>
      <c r="I111" t="s">
        <v>2289</v>
      </c>
      <c r="J111">
        <f>MATCH(H111,mapCOM!$A$2:$A$1107,0)</f>
        <v>145</v>
      </c>
    </row>
    <row r="112" spans="1:10" x14ac:dyDescent="0.25">
      <c r="A112" t="s">
        <v>1998</v>
      </c>
      <c r="B112" t="s">
        <v>5624</v>
      </c>
      <c r="C112">
        <f>MATCH(A112,mapCOM!A$2:A$1107,0)</f>
        <v>183</v>
      </c>
      <c r="H112" t="s">
        <v>2288</v>
      </c>
      <c r="I112" t="s">
        <v>2287</v>
      </c>
      <c r="J112">
        <f>MATCH(H112,mapCOM!$A$2:$A$1107,0)</f>
        <v>146</v>
      </c>
    </row>
    <row r="113" spans="1:10" x14ac:dyDescent="0.25">
      <c r="A113" t="s">
        <v>1802</v>
      </c>
      <c r="B113" t="s">
        <v>5625</v>
      </c>
      <c r="C113">
        <f>MATCH(A113,mapCOM!A$2:A$1107,0)</f>
        <v>184</v>
      </c>
      <c r="H113" t="s">
        <v>2286</v>
      </c>
      <c r="I113" t="s">
        <v>2285</v>
      </c>
      <c r="J113">
        <f>MATCH(H113,mapCOM!$A$2:$A$1107,0)</f>
        <v>147</v>
      </c>
    </row>
    <row r="114" spans="1:10" x14ac:dyDescent="0.25">
      <c r="A114" t="s">
        <v>1997</v>
      </c>
      <c r="B114" t="s">
        <v>5626</v>
      </c>
      <c r="C114">
        <f>MATCH(A114,mapCOM!A$2:A$1107,0)</f>
        <v>185</v>
      </c>
      <c r="H114" t="s">
        <v>2284</v>
      </c>
      <c r="I114" t="s">
        <v>2283</v>
      </c>
      <c r="J114">
        <f>MATCH(H114,mapCOM!$A$2:$A$1107,0)</f>
        <v>149</v>
      </c>
    </row>
    <row r="115" spans="1:10" x14ac:dyDescent="0.25">
      <c r="A115" t="s">
        <v>1996</v>
      </c>
      <c r="B115" t="s">
        <v>5627</v>
      </c>
      <c r="C115">
        <f>MATCH(A115,mapCOM!A$2:A$1107,0)</f>
        <v>187</v>
      </c>
      <c r="H115" t="s">
        <v>2282</v>
      </c>
      <c r="I115" t="s">
        <v>2281</v>
      </c>
      <c r="J115">
        <f>MATCH(H115,mapCOM!$A$2:$A$1107,0)</f>
        <v>150</v>
      </c>
    </row>
    <row r="116" spans="1:10" x14ac:dyDescent="0.25">
      <c r="A116" t="s">
        <v>1995</v>
      </c>
      <c r="B116" t="s">
        <v>5628</v>
      </c>
      <c r="C116">
        <f>MATCH(A116,mapCOM!A$2:A$1107,0)</f>
        <v>188</v>
      </c>
      <c r="H116" t="s">
        <v>2280</v>
      </c>
      <c r="I116" t="s">
        <v>2279</v>
      </c>
      <c r="J116">
        <f>MATCH(H116,mapCOM!$A$2:$A$1107,0)</f>
        <v>151</v>
      </c>
    </row>
    <row r="117" spans="1:10" x14ac:dyDescent="0.25">
      <c r="A117" t="s">
        <v>1994</v>
      </c>
      <c r="B117" t="s">
        <v>5629</v>
      </c>
      <c r="C117">
        <f>MATCH(A117,mapCOM!A$2:A$1107,0)</f>
        <v>189</v>
      </c>
      <c r="H117" t="s">
        <v>2278</v>
      </c>
      <c r="I117" t="s">
        <v>2277</v>
      </c>
      <c r="J117">
        <f>MATCH(H117,mapCOM!$A$2:$A$1107,0)</f>
        <v>152</v>
      </c>
    </row>
    <row r="118" spans="1:10" x14ac:dyDescent="0.25">
      <c r="A118" t="s">
        <v>1993</v>
      </c>
      <c r="B118" t="s">
        <v>5630</v>
      </c>
      <c r="C118">
        <f>MATCH(A118,mapCOM!A$2:A$1107,0)</f>
        <v>190</v>
      </c>
      <c r="H118" t="s">
        <v>2276</v>
      </c>
      <c r="I118" t="s">
        <v>2275</v>
      </c>
      <c r="J118">
        <f>MATCH(H118,mapCOM!$A$2:$A$1107,0)</f>
        <v>153</v>
      </c>
    </row>
    <row r="119" spans="1:10" x14ac:dyDescent="0.25">
      <c r="A119" t="s">
        <v>1992</v>
      </c>
      <c r="B119" t="s">
        <v>5631</v>
      </c>
      <c r="C119">
        <f>MATCH(A119,mapCOM!A$2:A$1107,0)</f>
        <v>191</v>
      </c>
      <c r="H119" t="s">
        <v>2274</v>
      </c>
      <c r="I119" t="s">
        <v>2273</v>
      </c>
      <c r="J119">
        <f>MATCH(H119,mapCOM!$A$2:$A$1107,0)</f>
        <v>157</v>
      </c>
    </row>
    <row r="120" spans="1:10" x14ac:dyDescent="0.25">
      <c r="A120" t="s">
        <v>1991</v>
      </c>
      <c r="B120" t="s">
        <v>5632</v>
      </c>
      <c r="C120">
        <f>MATCH(A120,mapCOM!A$2:A$1107,0)</f>
        <v>192</v>
      </c>
      <c r="H120" t="s">
        <v>2272</v>
      </c>
      <c r="I120" t="s">
        <v>2271</v>
      </c>
      <c r="J120">
        <f>MATCH(H120,mapCOM!$A$2:$A$1107,0)</f>
        <v>158</v>
      </c>
    </row>
    <row r="121" spans="1:10" x14ac:dyDescent="0.25">
      <c r="A121" t="s">
        <v>3826</v>
      </c>
      <c r="B121" t="s">
        <v>5633</v>
      </c>
      <c r="C121">
        <f>MATCH(A121,mapCOM!A$2:A$1107,0)</f>
        <v>193</v>
      </c>
      <c r="H121" t="s">
        <v>3095</v>
      </c>
      <c r="I121" t="s">
        <v>3096</v>
      </c>
      <c r="J121">
        <f>MATCH(H121,mapCOM!$A$2:$A$1107,0)</f>
        <v>159</v>
      </c>
    </row>
    <row r="122" spans="1:10" x14ac:dyDescent="0.25">
      <c r="A122" t="s">
        <v>1794</v>
      </c>
      <c r="B122" t="s">
        <v>5634</v>
      </c>
      <c r="C122">
        <f>MATCH(A122,mapCOM!A$2:A$1107,0)</f>
        <v>196</v>
      </c>
      <c r="H122" t="s">
        <v>2011</v>
      </c>
      <c r="I122" t="s">
        <v>1294</v>
      </c>
      <c r="J122">
        <f>MATCH(H122,mapCOM!$A$2:$A$1107,0)</f>
        <v>160</v>
      </c>
    </row>
    <row r="123" spans="1:10" x14ac:dyDescent="0.25">
      <c r="A123" t="s">
        <v>1789</v>
      </c>
      <c r="B123" t="s">
        <v>5635</v>
      </c>
      <c r="C123">
        <f>MATCH(A123,mapCOM!A$2:A$1107,0)</f>
        <v>198</v>
      </c>
      <c r="H123" t="s">
        <v>2010</v>
      </c>
      <c r="I123" t="s">
        <v>1292</v>
      </c>
      <c r="J123">
        <f>MATCH(H123,mapCOM!$A$2:$A$1107,0)</f>
        <v>161</v>
      </c>
    </row>
    <row r="124" spans="1:10" x14ac:dyDescent="0.25">
      <c r="A124" t="s">
        <v>1783</v>
      </c>
      <c r="B124" t="s">
        <v>5636</v>
      </c>
      <c r="C124">
        <f>MATCH(A124,mapCOM!A$2:A$1107,0)</f>
        <v>202</v>
      </c>
      <c r="H124" t="s">
        <v>2009</v>
      </c>
      <c r="I124" t="s">
        <v>1290</v>
      </c>
      <c r="J124">
        <f>MATCH(H124,mapCOM!$A$2:$A$1107,0)</f>
        <v>162</v>
      </c>
    </row>
    <row r="125" spans="1:10" x14ac:dyDescent="0.25">
      <c r="A125" t="s">
        <v>3607</v>
      </c>
      <c r="B125" t="s">
        <v>5637</v>
      </c>
      <c r="C125">
        <f>MATCH(A125,mapCOM!A$2:A$1107,0)</f>
        <v>203</v>
      </c>
      <c r="H125" t="s">
        <v>1810</v>
      </c>
      <c r="I125" t="s">
        <v>1809</v>
      </c>
      <c r="J125">
        <f>MATCH(H125,mapCOM!$A$2:$A$1107,0)</f>
        <v>163</v>
      </c>
    </row>
    <row r="126" spans="1:10" x14ac:dyDescent="0.25">
      <c r="A126" t="s">
        <v>3099</v>
      </c>
      <c r="B126" t="s">
        <v>5638</v>
      </c>
      <c r="C126">
        <f>MATCH(A126,mapCOM!A$2:A$1107,0)</f>
        <v>205</v>
      </c>
      <c r="H126" t="s">
        <v>2008</v>
      </c>
      <c r="I126" t="s">
        <v>1288</v>
      </c>
      <c r="J126">
        <f>MATCH(H126,mapCOM!$A$2:$A$1107,0)</f>
        <v>164</v>
      </c>
    </row>
    <row r="127" spans="1:10" x14ac:dyDescent="0.25">
      <c r="A127" t="s">
        <v>3101</v>
      </c>
      <c r="B127" t="s">
        <v>5639</v>
      </c>
      <c r="C127">
        <f>MATCH(A127,mapCOM!A$2:A$1107,0)</f>
        <v>206</v>
      </c>
      <c r="H127" t="s">
        <v>1808</v>
      </c>
      <c r="I127" t="s">
        <v>1807</v>
      </c>
      <c r="J127">
        <f>MATCH(H127,mapCOM!$A$2:$A$1107,0)</f>
        <v>165</v>
      </c>
    </row>
    <row r="128" spans="1:10" x14ac:dyDescent="0.25">
      <c r="A128" t="s">
        <v>3103</v>
      </c>
      <c r="B128" t="s">
        <v>5640</v>
      </c>
      <c r="C128">
        <f>MATCH(A128,mapCOM!A$2:A$1107,0)</f>
        <v>207</v>
      </c>
      <c r="H128" t="s">
        <v>3604</v>
      </c>
      <c r="I128" t="s">
        <v>3605</v>
      </c>
      <c r="J128">
        <f>MATCH(H128,mapCOM!$A$2:$A$1107,0)</f>
        <v>166</v>
      </c>
    </row>
    <row r="129" spans="1:11" x14ac:dyDescent="0.25">
      <c r="A129" t="s">
        <v>3105</v>
      </c>
      <c r="B129" t="s">
        <v>5641</v>
      </c>
      <c r="C129">
        <f>MATCH(A129,mapCOM!A$2:A$1107,0)</f>
        <v>208</v>
      </c>
      <c r="H129" t="s">
        <v>2007</v>
      </c>
      <c r="I129" t="s">
        <v>1286</v>
      </c>
      <c r="J129">
        <f>MATCH(H129,mapCOM!$A$2:$A$1107,0)</f>
        <v>167</v>
      </c>
    </row>
    <row r="130" spans="1:11" x14ac:dyDescent="0.25">
      <c r="A130" t="s">
        <v>1777</v>
      </c>
      <c r="B130" t="s">
        <v>5642</v>
      </c>
      <c r="C130" t="e">
        <f>MATCH(A130,mapCOM!A$2:A$1107,0)</f>
        <v>#N/A</v>
      </c>
      <c r="H130" t="s">
        <v>2006</v>
      </c>
      <c r="I130" t="s">
        <v>1284</v>
      </c>
      <c r="J130">
        <f>MATCH(H130,mapCOM!$A$2:$A$1107,0)</f>
        <v>168</v>
      </c>
    </row>
    <row r="131" spans="1:11" x14ac:dyDescent="0.25">
      <c r="A131" t="s">
        <v>1990</v>
      </c>
      <c r="B131" t="s">
        <v>5643</v>
      </c>
      <c r="C131">
        <f>MATCH(A131,mapCOM!A$2:A$1107,0)</f>
        <v>217</v>
      </c>
      <c r="H131" t="s">
        <v>2005</v>
      </c>
      <c r="I131" t="s">
        <v>1282</v>
      </c>
      <c r="J131">
        <f>MATCH(H131,mapCOM!$A$2:$A$1107,0)</f>
        <v>169</v>
      </c>
    </row>
    <row r="132" spans="1:11" x14ac:dyDescent="0.25">
      <c r="A132" t="s">
        <v>1989</v>
      </c>
      <c r="B132" t="s">
        <v>5644</v>
      </c>
      <c r="C132">
        <f>MATCH(A132,mapCOM!A$2:A$1107,0)</f>
        <v>218</v>
      </c>
      <c r="H132" t="s">
        <v>3646</v>
      </c>
      <c r="I132" t="s">
        <v>3647</v>
      </c>
      <c r="J132">
        <f>MATCH(H132,mapCOM!$A$2:$A$1107,0)</f>
        <v>171</v>
      </c>
    </row>
    <row r="133" spans="1:11" x14ac:dyDescent="0.25">
      <c r="A133" t="s">
        <v>1988</v>
      </c>
      <c r="B133" t="s">
        <v>5645</v>
      </c>
      <c r="C133">
        <f>MATCH(A133,mapCOM!A$2:A$1107,0)</f>
        <v>219</v>
      </c>
      <c r="H133" t="s">
        <v>2004</v>
      </c>
      <c r="I133" t="s">
        <v>1280</v>
      </c>
      <c r="J133">
        <f>MATCH(H133,mapCOM!$A$2:$A$1107,0)</f>
        <v>170</v>
      </c>
    </row>
    <row r="134" spans="1:11" x14ac:dyDescent="0.25">
      <c r="A134" t="s">
        <v>1771</v>
      </c>
      <c r="B134" t="s">
        <v>5646</v>
      </c>
      <c r="C134">
        <f>MATCH(A134,mapCOM!A$2:A$1107,0)</f>
        <v>220</v>
      </c>
      <c r="H134" t="s">
        <v>2003</v>
      </c>
      <c r="I134" t="s">
        <v>1278</v>
      </c>
      <c r="J134">
        <f>MATCH(H134,mapCOM!$A$2:$A$1107,0)</f>
        <v>172</v>
      </c>
    </row>
    <row r="135" spans="1:11" x14ac:dyDescent="0.25">
      <c r="A135" t="s">
        <v>1987</v>
      </c>
      <c r="B135" t="s">
        <v>5647</v>
      </c>
      <c r="C135">
        <f>MATCH(A135,mapCOM!A$2:A$1107,0)</f>
        <v>221</v>
      </c>
      <c r="H135" t="s">
        <v>2002</v>
      </c>
      <c r="I135" t="s">
        <v>1267</v>
      </c>
      <c r="J135">
        <f>MATCH(H135,mapCOM!$A$2:$A$1107,0)</f>
        <v>173</v>
      </c>
    </row>
    <row r="136" spans="1:11" x14ac:dyDescent="0.25">
      <c r="A136" t="s">
        <v>1986</v>
      </c>
      <c r="B136" t="s">
        <v>5648</v>
      </c>
      <c r="C136">
        <f>MATCH(A136,mapCOM!A$2:A$1107,0)</f>
        <v>223</v>
      </c>
      <c r="H136" t="s">
        <v>2001</v>
      </c>
      <c r="I136" t="s">
        <v>1265</v>
      </c>
      <c r="J136">
        <f>MATCH(H136,mapCOM!$A$2:$A$1107,0)</f>
        <v>174</v>
      </c>
    </row>
    <row r="137" spans="1:11" x14ac:dyDescent="0.25">
      <c r="A137" t="s">
        <v>1985</v>
      </c>
      <c r="B137" t="s">
        <v>5649</v>
      </c>
      <c r="C137">
        <f>MATCH(A137,mapCOM!A$2:A$1107,0)</f>
        <v>224</v>
      </c>
      <c r="H137" t="s">
        <v>3606</v>
      </c>
      <c r="I137" t="s">
        <v>1867</v>
      </c>
      <c r="J137">
        <f>MATCH(H137,mapCOM!$A$2:$A$1107,0)</f>
        <v>175</v>
      </c>
    </row>
    <row r="138" spans="1:11" x14ac:dyDescent="0.25">
      <c r="A138" t="s">
        <v>1984</v>
      </c>
      <c r="B138" t="s">
        <v>5650</v>
      </c>
      <c r="C138">
        <f>MATCH(A138,mapCOM!A$2:A$1107,0)</f>
        <v>225</v>
      </c>
      <c r="H138" t="s">
        <v>1806</v>
      </c>
      <c r="I138" t="s">
        <v>1805</v>
      </c>
      <c r="J138">
        <f>MATCH(H138,mapCOM!$A$2:$A$1107,0)</f>
        <v>179</v>
      </c>
    </row>
    <row r="139" spans="1:11" x14ac:dyDescent="0.25">
      <c r="A139" t="s">
        <v>1983</v>
      </c>
      <c r="B139" t="s">
        <v>5651</v>
      </c>
      <c r="C139">
        <f>MATCH(A139,mapCOM!A$2:A$1107,0)</f>
        <v>226</v>
      </c>
      <c r="H139" t="s">
        <v>1804</v>
      </c>
      <c r="I139" t="s">
        <v>1803</v>
      </c>
      <c r="J139">
        <f>MATCH(H139,mapCOM!$A$2:$A$1107,0)</f>
        <v>180</v>
      </c>
    </row>
    <row r="140" spans="1:11" x14ac:dyDescent="0.25">
      <c r="A140" t="s">
        <v>1982</v>
      </c>
      <c r="B140" t="s">
        <v>5652</v>
      </c>
      <c r="C140">
        <f>MATCH(A140,mapCOM!A$2:A$1107,0)</f>
        <v>227</v>
      </c>
      <c r="H140" t="s">
        <v>3727</v>
      </c>
      <c r="I140" t="s">
        <v>1867</v>
      </c>
      <c r="J140">
        <f>MATCH(H140,mapCOM!$A$2:$A$1107,0)</f>
        <v>177</v>
      </c>
      <c r="K140">
        <v>1</v>
      </c>
    </row>
    <row r="141" spans="1:11" x14ac:dyDescent="0.25">
      <c r="A141" t="s">
        <v>1981</v>
      </c>
      <c r="B141" t="s">
        <v>5653</v>
      </c>
      <c r="C141">
        <f>MATCH(A141,mapCOM!A$2:A$1107,0)</f>
        <v>228</v>
      </c>
      <c r="H141" t="s">
        <v>2000</v>
      </c>
      <c r="I141" t="s">
        <v>1260</v>
      </c>
      <c r="J141">
        <f>MATCH(H141,mapCOM!$A$2:$A$1107,0)</f>
        <v>181</v>
      </c>
    </row>
    <row r="142" spans="1:11" x14ac:dyDescent="0.25">
      <c r="A142" t="s">
        <v>1980</v>
      </c>
      <c r="B142" t="s">
        <v>5654</v>
      </c>
      <c r="C142">
        <f>MATCH(A142,mapCOM!A$2:A$1107,0)</f>
        <v>229</v>
      </c>
      <c r="H142" t="s">
        <v>1999</v>
      </c>
      <c r="I142" t="s">
        <v>1258</v>
      </c>
      <c r="J142">
        <f>MATCH(H142,mapCOM!$A$2:$A$1107,0)</f>
        <v>182</v>
      </c>
    </row>
    <row r="143" spans="1:11" x14ac:dyDescent="0.25">
      <c r="A143" t="s">
        <v>2270</v>
      </c>
      <c r="B143" t="s">
        <v>5479</v>
      </c>
      <c r="C143">
        <f>MATCH(A143,mapCOM!A$2:A$1107,0)</f>
        <v>230</v>
      </c>
      <c r="H143" t="s">
        <v>1998</v>
      </c>
      <c r="I143" t="s">
        <v>1256</v>
      </c>
      <c r="J143">
        <f>MATCH(H143,mapCOM!$A$2:$A$1107,0)</f>
        <v>183</v>
      </c>
    </row>
    <row r="144" spans="1:11" x14ac:dyDescent="0.25">
      <c r="A144" t="s">
        <v>3609</v>
      </c>
      <c r="B144" t="s">
        <v>5618</v>
      </c>
      <c r="C144">
        <f>MATCH(A144,mapCOM!A$2:A$1107,0)</f>
        <v>231</v>
      </c>
      <c r="H144" t="s">
        <v>1802</v>
      </c>
      <c r="I144" t="s">
        <v>1801</v>
      </c>
      <c r="J144">
        <f>MATCH(H144,mapCOM!$A$2:$A$1107,0)</f>
        <v>184</v>
      </c>
    </row>
    <row r="145" spans="1:10" x14ac:dyDescent="0.25">
      <c r="A145" t="s">
        <v>2268</v>
      </c>
      <c r="B145" t="s">
        <v>5481</v>
      </c>
      <c r="C145">
        <f>MATCH(A145,mapCOM!A$2:A$1107,0)</f>
        <v>232</v>
      </c>
      <c r="H145" t="s">
        <v>1997</v>
      </c>
      <c r="I145" t="s">
        <v>1254</v>
      </c>
      <c r="J145">
        <f>MATCH(H145,mapCOM!$A$2:$A$1107,0)</f>
        <v>185</v>
      </c>
    </row>
    <row r="146" spans="1:10" x14ac:dyDescent="0.25">
      <c r="A146" t="s">
        <v>1679</v>
      </c>
      <c r="B146" t="s">
        <v>5655</v>
      </c>
      <c r="C146">
        <f>MATCH(A146,mapCOM!A$2:A$1107,0)</f>
        <v>237</v>
      </c>
      <c r="H146" t="s">
        <v>1800</v>
      </c>
      <c r="I146" t="s">
        <v>1799</v>
      </c>
      <c r="J146">
        <f>MATCH(H146,mapCOM!$A$2:$A$1107,0)</f>
        <v>186</v>
      </c>
    </row>
    <row r="147" spans="1:10" x14ac:dyDescent="0.25">
      <c r="A147" t="s">
        <v>5656</v>
      </c>
      <c r="B147" t="s">
        <v>5484</v>
      </c>
      <c r="C147">
        <f>MATCH(A147,mapCOM!A$2:A$1107,0)</f>
        <v>238</v>
      </c>
      <c r="D147">
        <v>1</v>
      </c>
      <c r="H147" t="s">
        <v>1996</v>
      </c>
      <c r="I147" t="s">
        <v>1252</v>
      </c>
      <c r="J147">
        <f>MATCH(H147,mapCOM!$A$2:$A$1107,0)</f>
        <v>187</v>
      </c>
    </row>
    <row r="148" spans="1:10" x14ac:dyDescent="0.25">
      <c r="A148" t="s">
        <v>2260</v>
      </c>
      <c r="B148" t="s">
        <v>5485</v>
      </c>
      <c r="C148">
        <f>MATCH(A148,mapCOM!A$2:A$1107,0)</f>
        <v>243</v>
      </c>
      <c r="H148" t="s">
        <v>1995</v>
      </c>
      <c r="I148" t="s">
        <v>1250</v>
      </c>
      <c r="J148">
        <f>MATCH(H148,mapCOM!$A$2:$A$1107,0)</f>
        <v>188</v>
      </c>
    </row>
    <row r="149" spans="1:10" x14ac:dyDescent="0.25">
      <c r="A149" t="s">
        <v>2258</v>
      </c>
      <c r="B149" t="s">
        <v>5486</v>
      </c>
      <c r="C149">
        <f>MATCH(A149,mapCOM!A$2:A$1107,0)</f>
        <v>244</v>
      </c>
      <c r="H149" t="s">
        <v>1994</v>
      </c>
      <c r="I149" t="s">
        <v>1248</v>
      </c>
      <c r="J149">
        <f>MATCH(H149,mapCOM!$A$2:$A$1107,0)</f>
        <v>189</v>
      </c>
    </row>
    <row r="150" spans="1:10" x14ac:dyDescent="0.25">
      <c r="A150" t="s">
        <v>2257</v>
      </c>
      <c r="B150" t="s">
        <v>5487</v>
      </c>
      <c r="C150">
        <f>MATCH(A150,mapCOM!A$2:A$1107,0)</f>
        <v>245</v>
      </c>
      <c r="H150" t="s">
        <v>1993</v>
      </c>
      <c r="I150" t="s">
        <v>1246</v>
      </c>
      <c r="J150">
        <f>MATCH(H150,mapCOM!$A$2:$A$1107,0)</f>
        <v>190</v>
      </c>
    </row>
    <row r="151" spans="1:10" x14ac:dyDescent="0.25">
      <c r="A151" t="s">
        <v>2256</v>
      </c>
      <c r="B151" t="s">
        <v>5488</v>
      </c>
      <c r="C151">
        <f>MATCH(A151,mapCOM!A$2:A$1107,0)</f>
        <v>246</v>
      </c>
      <c r="H151" t="s">
        <v>1992</v>
      </c>
      <c r="I151" t="s">
        <v>1244</v>
      </c>
      <c r="J151">
        <f>MATCH(H151,mapCOM!$A$2:$A$1107,0)</f>
        <v>191</v>
      </c>
    </row>
    <row r="152" spans="1:10" x14ac:dyDescent="0.25">
      <c r="A152" t="s">
        <v>5657</v>
      </c>
      <c r="B152" t="s">
        <v>5490</v>
      </c>
      <c r="C152">
        <f>MATCH(A152,mapCOM!A$2:A$1107,0)</f>
        <v>247</v>
      </c>
      <c r="D152">
        <v>1</v>
      </c>
      <c r="H152" t="s">
        <v>1991</v>
      </c>
      <c r="I152" t="s">
        <v>1236</v>
      </c>
      <c r="J152">
        <f>MATCH(H152,mapCOM!$A$2:$A$1107,0)</f>
        <v>192</v>
      </c>
    </row>
    <row r="153" spans="1:10" x14ac:dyDescent="0.25">
      <c r="A153" t="s">
        <v>2248</v>
      </c>
      <c r="B153" t="s">
        <v>5491</v>
      </c>
      <c r="C153">
        <f>MATCH(A153,mapCOM!A$2:A$1107,0)</f>
        <v>255</v>
      </c>
      <c r="H153" t="s">
        <v>1798</v>
      </c>
      <c r="I153" t="s">
        <v>1797</v>
      </c>
      <c r="J153">
        <f>MATCH(H153,mapCOM!$A$2:$A$1107,0)</f>
        <v>194</v>
      </c>
    </row>
    <row r="154" spans="1:10" x14ac:dyDescent="0.25">
      <c r="A154" t="s">
        <v>2246</v>
      </c>
      <c r="B154" t="s">
        <v>5492</v>
      </c>
      <c r="C154">
        <f>MATCH(A154,mapCOM!A$2:A$1107,0)</f>
        <v>256</v>
      </c>
      <c r="H154" t="s">
        <v>1796</v>
      </c>
      <c r="I154" t="s">
        <v>1795</v>
      </c>
      <c r="J154">
        <f>MATCH(H154,mapCOM!$A$2:$A$1107,0)</f>
        <v>195</v>
      </c>
    </row>
    <row r="155" spans="1:10" x14ac:dyDescent="0.25">
      <c r="A155" t="s">
        <v>2245</v>
      </c>
      <c r="B155" t="s">
        <v>5493</v>
      </c>
      <c r="C155">
        <f>MATCH(A155,mapCOM!A$2:A$1107,0)</f>
        <v>257</v>
      </c>
      <c r="H155" t="s">
        <v>1794</v>
      </c>
      <c r="I155" t="s">
        <v>1793</v>
      </c>
      <c r="J155">
        <f>MATCH(H155,mapCOM!$A$2:$A$1107,0)</f>
        <v>196</v>
      </c>
    </row>
    <row r="156" spans="1:10" x14ac:dyDescent="0.25">
      <c r="A156" t="s">
        <v>2243</v>
      </c>
      <c r="B156" t="s">
        <v>5494</v>
      </c>
      <c r="C156">
        <f>MATCH(A156,mapCOM!A$2:A$1107,0)</f>
        <v>258</v>
      </c>
      <c r="H156" t="s">
        <v>1791</v>
      </c>
      <c r="I156" t="s">
        <v>1790</v>
      </c>
      <c r="J156">
        <f>MATCH(H156,mapCOM!$A$2:$A$1107,0)</f>
        <v>197</v>
      </c>
    </row>
    <row r="157" spans="1:10" x14ac:dyDescent="0.25">
      <c r="A157" t="s">
        <v>2237</v>
      </c>
      <c r="B157" t="s">
        <v>5495</v>
      </c>
      <c r="C157">
        <f>MATCH(A157,mapCOM!A$2:A$1107,0)</f>
        <v>265</v>
      </c>
      <c r="H157" t="s">
        <v>1789</v>
      </c>
      <c r="I157" t="s">
        <v>1788</v>
      </c>
      <c r="J157">
        <f>MATCH(H157,mapCOM!$A$2:$A$1107,0)</f>
        <v>198</v>
      </c>
    </row>
    <row r="158" spans="1:10" x14ac:dyDescent="0.25">
      <c r="A158" t="s">
        <v>1979</v>
      </c>
      <c r="B158" t="s">
        <v>5658</v>
      </c>
      <c r="C158">
        <f>MATCH(A158,mapCOM!A$2:A$1107,0)</f>
        <v>267</v>
      </c>
      <c r="H158" t="s">
        <v>1787</v>
      </c>
      <c r="I158" t="s">
        <v>1786</v>
      </c>
      <c r="J158">
        <f>MATCH(H158,mapCOM!$A$2:$A$1107,0)</f>
        <v>199</v>
      </c>
    </row>
    <row r="159" spans="1:10" x14ac:dyDescent="0.25">
      <c r="A159" t="s">
        <v>1978</v>
      </c>
      <c r="B159" t="s">
        <v>5659</v>
      </c>
      <c r="C159">
        <f>MATCH(A159,mapCOM!A$2:A$1107,0)</f>
        <v>268</v>
      </c>
      <c r="H159" t="s">
        <v>1866</v>
      </c>
      <c r="I159" t="s">
        <v>1865</v>
      </c>
      <c r="J159">
        <f>MATCH(H159,mapCOM!$A$2:$A$1107,0)</f>
        <v>200</v>
      </c>
    </row>
    <row r="160" spans="1:10" x14ac:dyDescent="0.25">
      <c r="A160" t="s">
        <v>1977</v>
      </c>
      <c r="B160" t="s">
        <v>5660</v>
      </c>
      <c r="C160">
        <f>MATCH(A160,mapCOM!A$2:A$1107,0)</f>
        <v>269</v>
      </c>
      <c r="H160" t="s">
        <v>1783</v>
      </c>
      <c r="I160" t="s">
        <v>1782</v>
      </c>
      <c r="J160">
        <f>MATCH(H160,mapCOM!$A$2:$A$1107,0)</f>
        <v>202</v>
      </c>
    </row>
    <row r="161" spans="1:10" x14ac:dyDescent="0.25">
      <c r="A161" t="s">
        <v>1743</v>
      </c>
      <c r="B161" t="s">
        <v>5661</v>
      </c>
      <c r="C161">
        <f>MATCH(A161,mapCOM!A$2:A$1107,0)</f>
        <v>270</v>
      </c>
      <c r="H161" t="s">
        <v>3607</v>
      </c>
      <c r="I161" t="s">
        <v>3608</v>
      </c>
      <c r="J161">
        <f>MATCH(H161,mapCOM!$A$2:$A$1107,0)</f>
        <v>203</v>
      </c>
    </row>
    <row r="162" spans="1:10" x14ac:dyDescent="0.25">
      <c r="A162" t="s">
        <v>1976</v>
      </c>
      <c r="B162" t="s">
        <v>5662</v>
      </c>
      <c r="C162">
        <f>MATCH(A162,mapCOM!A$2:A$1107,0)</f>
        <v>271</v>
      </c>
      <c r="H162" t="s">
        <v>1781</v>
      </c>
      <c r="I162" t="s">
        <v>1780</v>
      </c>
      <c r="J162">
        <f>MATCH(H162,mapCOM!$A$2:$A$1107,0)</f>
        <v>204</v>
      </c>
    </row>
    <row r="163" spans="1:10" x14ac:dyDescent="0.25">
      <c r="A163" t="s">
        <v>1975</v>
      </c>
      <c r="B163" t="s">
        <v>5663</v>
      </c>
      <c r="C163">
        <f>MATCH(A163,mapCOM!A$2:A$1107,0)</f>
        <v>273</v>
      </c>
      <c r="H163" t="s">
        <v>3099</v>
      </c>
      <c r="I163" t="s">
        <v>3100</v>
      </c>
      <c r="J163">
        <f>MATCH(H163,mapCOM!$A$2:$A$1107,0)</f>
        <v>205</v>
      </c>
    </row>
    <row r="164" spans="1:10" x14ac:dyDescent="0.25">
      <c r="A164" t="s">
        <v>1974</v>
      </c>
      <c r="B164" t="s">
        <v>5664</v>
      </c>
      <c r="C164">
        <f>MATCH(A164,mapCOM!A$2:A$1107,0)</f>
        <v>274</v>
      </c>
      <c r="H164" t="s">
        <v>3101</v>
      </c>
      <c r="I164" t="s">
        <v>3102</v>
      </c>
      <c r="J164">
        <f>MATCH(H164,mapCOM!$A$2:$A$1107,0)</f>
        <v>206</v>
      </c>
    </row>
    <row r="165" spans="1:10" x14ac:dyDescent="0.25">
      <c r="A165" t="s">
        <v>1973</v>
      </c>
      <c r="B165" t="s">
        <v>5665</v>
      </c>
      <c r="C165">
        <f>MATCH(A165,mapCOM!A$2:A$1107,0)</f>
        <v>275</v>
      </c>
      <c r="H165" t="s">
        <v>3103</v>
      </c>
      <c r="I165" t="s">
        <v>3104</v>
      </c>
      <c r="J165">
        <f>MATCH(H165,mapCOM!$A$2:$A$1107,0)</f>
        <v>207</v>
      </c>
    </row>
    <row r="166" spans="1:10" x14ac:dyDescent="0.25">
      <c r="A166" t="s">
        <v>1972</v>
      </c>
      <c r="B166" t="s">
        <v>5666</v>
      </c>
      <c r="C166">
        <f>MATCH(A166,mapCOM!A$2:A$1107,0)</f>
        <v>276</v>
      </c>
      <c r="H166" t="s">
        <v>3105</v>
      </c>
      <c r="I166" t="s">
        <v>3106</v>
      </c>
      <c r="J166">
        <f>MATCH(H166,mapCOM!$A$2:$A$1107,0)</f>
        <v>208</v>
      </c>
    </row>
    <row r="167" spans="1:10" x14ac:dyDescent="0.25">
      <c r="A167" t="s">
        <v>1971</v>
      </c>
      <c r="B167" t="s">
        <v>5667</v>
      </c>
      <c r="C167">
        <f>MATCH(A167,mapCOM!A$2:A$1107,0)</f>
        <v>277</v>
      </c>
      <c r="H167" t="s">
        <v>1779</v>
      </c>
      <c r="I167" t="s">
        <v>312</v>
      </c>
      <c r="J167">
        <f>MATCH(H167,mapCOM!$A$2:$A$1107,0)</f>
        <v>213</v>
      </c>
    </row>
    <row r="168" spans="1:10" x14ac:dyDescent="0.25">
      <c r="A168" t="s">
        <v>1970</v>
      </c>
      <c r="B168" t="s">
        <v>5668</v>
      </c>
      <c r="C168">
        <f>MATCH(A168,mapCOM!A$2:A$1107,0)</f>
        <v>278</v>
      </c>
      <c r="H168" t="s">
        <v>1778</v>
      </c>
      <c r="I168" t="s">
        <v>310</v>
      </c>
      <c r="J168">
        <f>MATCH(H168,mapCOM!$A$2:$A$1107,0)</f>
        <v>214</v>
      </c>
    </row>
    <row r="169" spans="1:10" x14ac:dyDescent="0.25">
      <c r="A169" t="s">
        <v>1739</v>
      </c>
      <c r="B169" t="s">
        <v>5669</v>
      </c>
      <c r="C169">
        <f>MATCH(A169,mapCOM!A$2:A$1107,0)</f>
        <v>279</v>
      </c>
      <c r="H169" t="s">
        <v>1777</v>
      </c>
      <c r="I169" t="s">
        <v>1776</v>
      </c>
      <c r="J169" t="e">
        <f>MATCH(H169,mapCOM!$A$2:$A$1107,0)</f>
        <v>#N/A</v>
      </c>
    </row>
    <row r="170" spans="1:10" x14ac:dyDescent="0.25">
      <c r="A170" t="s">
        <v>1864</v>
      </c>
      <c r="B170" t="s">
        <v>5670</v>
      </c>
      <c r="C170">
        <f>MATCH(A170,mapCOM!A$2:A$1107,0)</f>
        <v>280</v>
      </c>
      <c r="H170" t="s">
        <v>1774</v>
      </c>
      <c r="I170" t="s">
        <v>1773</v>
      </c>
      <c r="J170">
        <f>MATCH(H170,mapCOM!$A$2:$A$1107,0)</f>
        <v>215</v>
      </c>
    </row>
    <row r="171" spans="1:10" x14ac:dyDescent="0.25">
      <c r="A171" t="s">
        <v>1863</v>
      </c>
      <c r="B171" t="s">
        <v>5671</v>
      </c>
      <c r="C171">
        <f>MATCH(A171,mapCOM!A$2:A$1107,0)</f>
        <v>282</v>
      </c>
      <c r="H171" t="s">
        <v>1990</v>
      </c>
      <c r="I171" t="s">
        <v>1190</v>
      </c>
      <c r="J171">
        <f>MATCH(H171,mapCOM!$A$2:$A$1107,0)</f>
        <v>217</v>
      </c>
    </row>
    <row r="172" spans="1:10" x14ac:dyDescent="0.25">
      <c r="A172" t="s">
        <v>1735</v>
      </c>
      <c r="B172" t="s">
        <v>5672</v>
      </c>
      <c r="C172">
        <f>MATCH(A172,mapCOM!A$2:A$1107,0)</f>
        <v>283</v>
      </c>
      <c r="H172" t="s">
        <v>1989</v>
      </c>
      <c r="I172" t="s">
        <v>1188</v>
      </c>
      <c r="J172">
        <f>MATCH(H172,mapCOM!$A$2:$A$1107,0)</f>
        <v>218</v>
      </c>
    </row>
    <row r="173" spans="1:10" x14ac:dyDescent="0.25">
      <c r="A173" t="s">
        <v>1733</v>
      </c>
      <c r="B173" t="s">
        <v>5673</v>
      </c>
      <c r="C173">
        <f>MATCH(A173,mapCOM!A$2:A$1107,0)</f>
        <v>284</v>
      </c>
      <c r="H173" t="s">
        <v>1988</v>
      </c>
      <c r="I173" t="s">
        <v>1186</v>
      </c>
      <c r="J173">
        <f>MATCH(H173,mapCOM!$A$2:$A$1107,0)</f>
        <v>219</v>
      </c>
    </row>
    <row r="174" spans="1:10" x14ac:dyDescent="0.25">
      <c r="A174" t="s">
        <v>3615</v>
      </c>
      <c r="B174" t="s">
        <v>5674</v>
      </c>
      <c r="C174">
        <f>MATCH(A174,mapCOM!A$2:A$1107,0)</f>
        <v>285</v>
      </c>
      <c r="H174" t="s">
        <v>1771</v>
      </c>
      <c r="I174" t="s">
        <v>1770</v>
      </c>
      <c r="J174">
        <f>MATCH(H174,mapCOM!$A$2:$A$1107,0)</f>
        <v>220</v>
      </c>
    </row>
    <row r="175" spans="1:10" x14ac:dyDescent="0.25">
      <c r="A175" t="s">
        <v>1729</v>
      </c>
      <c r="B175" t="s">
        <v>5675</v>
      </c>
      <c r="C175">
        <f>MATCH(A175,mapCOM!A$2:A$1107,0)</f>
        <v>287</v>
      </c>
      <c r="H175" t="s">
        <v>1987</v>
      </c>
      <c r="I175" t="s">
        <v>1184</v>
      </c>
      <c r="J175">
        <f>MATCH(H175,mapCOM!$A$2:$A$1107,0)</f>
        <v>221</v>
      </c>
    </row>
    <row r="176" spans="1:10" x14ac:dyDescent="0.25">
      <c r="A176" t="s">
        <v>1861</v>
      </c>
      <c r="B176" t="s">
        <v>5676</v>
      </c>
      <c r="C176">
        <f>MATCH(A176,mapCOM!A$2:A$1107,0)</f>
        <v>292</v>
      </c>
      <c r="H176" t="s">
        <v>1769</v>
      </c>
      <c r="I176" t="s">
        <v>1768</v>
      </c>
      <c r="J176">
        <f>MATCH(H176,mapCOM!$A$2:$A$1107,0)</f>
        <v>222</v>
      </c>
    </row>
    <row r="177" spans="1:10" x14ac:dyDescent="0.25">
      <c r="A177" t="s">
        <v>1859</v>
      </c>
      <c r="B177" t="s">
        <v>5677</v>
      </c>
      <c r="C177">
        <f>MATCH(A177,mapCOM!A$2:A$1107,0)</f>
        <v>294</v>
      </c>
      <c r="H177" t="s">
        <v>1986</v>
      </c>
      <c r="I177" t="s">
        <v>1182</v>
      </c>
      <c r="J177">
        <f>MATCH(H177,mapCOM!$A$2:$A$1107,0)</f>
        <v>223</v>
      </c>
    </row>
    <row r="178" spans="1:10" x14ac:dyDescent="0.25">
      <c r="A178" t="s">
        <v>1721</v>
      </c>
      <c r="B178" t="s">
        <v>5678</v>
      </c>
      <c r="C178">
        <f>MATCH(A178,mapCOM!A$2:A$1107,0)</f>
        <v>296</v>
      </c>
      <c r="H178" t="s">
        <v>1985</v>
      </c>
      <c r="I178" t="s">
        <v>1180</v>
      </c>
      <c r="J178">
        <f>MATCH(H178,mapCOM!$A$2:$A$1107,0)</f>
        <v>224</v>
      </c>
    </row>
    <row r="179" spans="1:10" x14ac:dyDescent="0.25">
      <c r="A179" t="s">
        <v>1719</v>
      </c>
      <c r="B179" t="s">
        <v>5679</v>
      </c>
      <c r="C179">
        <f>MATCH(A179,mapCOM!A$2:A$1107,0)</f>
        <v>297</v>
      </c>
      <c r="H179" t="s">
        <v>1984</v>
      </c>
      <c r="I179" t="s">
        <v>1178</v>
      </c>
      <c r="J179">
        <f>MATCH(H179,mapCOM!$A$2:$A$1107,0)</f>
        <v>225</v>
      </c>
    </row>
    <row r="180" spans="1:10" x14ac:dyDescent="0.25">
      <c r="A180" t="s">
        <v>1857</v>
      </c>
      <c r="B180" t="s">
        <v>5680</v>
      </c>
      <c r="C180">
        <f>MATCH(A180,mapCOM!A$2:A$1107,0)</f>
        <v>298</v>
      </c>
      <c r="H180" t="s">
        <v>1983</v>
      </c>
      <c r="I180" t="s">
        <v>1176</v>
      </c>
      <c r="J180">
        <f>MATCH(H180,mapCOM!$A$2:$A$1107,0)</f>
        <v>226</v>
      </c>
    </row>
    <row r="181" spans="1:10" x14ac:dyDescent="0.25">
      <c r="A181" t="s">
        <v>1856</v>
      </c>
      <c r="B181" t="s">
        <v>5681</v>
      </c>
      <c r="C181">
        <f>MATCH(A181,mapCOM!A$2:A$1107,0)</f>
        <v>299</v>
      </c>
      <c r="H181" t="s">
        <v>1982</v>
      </c>
      <c r="I181" t="s">
        <v>1174</v>
      </c>
      <c r="J181">
        <f>MATCH(H181,mapCOM!$A$2:$A$1107,0)</f>
        <v>227</v>
      </c>
    </row>
    <row r="182" spans="1:10" x14ac:dyDescent="0.25">
      <c r="A182" t="s">
        <v>1855</v>
      </c>
      <c r="B182" t="s">
        <v>5682</v>
      </c>
      <c r="C182">
        <f>MATCH(A182,mapCOM!A$2:A$1107,0)</f>
        <v>300</v>
      </c>
      <c r="H182" t="s">
        <v>1981</v>
      </c>
      <c r="I182" t="s">
        <v>1172</v>
      </c>
      <c r="J182">
        <f>MATCH(H182,mapCOM!$A$2:$A$1107,0)</f>
        <v>228</v>
      </c>
    </row>
    <row r="183" spans="1:10" x14ac:dyDescent="0.25">
      <c r="A183" t="s">
        <v>1717</v>
      </c>
      <c r="B183" t="s">
        <v>5683</v>
      </c>
      <c r="C183">
        <f>MATCH(A183,mapCOM!A$2:A$1107,0)</f>
        <v>301</v>
      </c>
      <c r="H183" t="s">
        <v>1980</v>
      </c>
      <c r="I183" t="s">
        <v>1160</v>
      </c>
      <c r="J183">
        <f>MATCH(H183,mapCOM!$A$2:$A$1107,0)</f>
        <v>229</v>
      </c>
    </row>
    <row r="184" spans="1:10" x14ac:dyDescent="0.25">
      <c r="A184" t="s">
        <v>1854</v>
      </c>
      <c r="B184" t="s">
        <v>5684</v>
      </c>
      <c r="C184">
        <f>MATCH(A184,mapCOM!A$2:A$1107,0)</f>
        <v>302</v>
      </c>
      <c r="H184" t="s">
        <v>2270</v>
      </c>
      <c r="I184" t="s">
        <v>2269</v>
      </c>
      <c r="J184">
        <f>MATCH(H184,mapCOM!$A$2:$A$1107,0)</f>
        <v>230</v>
      </c>
    </row>
    <row r="185" spans="1:10" x14ac:dyDescent="0.25">
      <c r="A185" t="s">
        <v>1853</v>
      </c>
      <c r="B185" t="s">
        <v>5685</v>
      </c>
      <c r="C185">
        <f>MATCH(A185,mapCOM!A$2:A$1107,0)</f>
        <v>304</v>
      </c>
      <c r="H185" t="s">
        <v>3609</v>
      </c>
      <c r="I185" t="s">
        <v>3515</v>
      </c>
      <c r="J185">
        <f>MATCH(H185,mapCOM!$A$2:$A$1107,0)</f>
        <v>231</v>
      </c>
    </row>
    <row r="186" spans="1:10" x14ac:dyDescent="0.25">
      <c r="A186" t="s">
        <v>1852</v>
      </c>
      <c r="B186" t="s">
        <v>5686</v>
      </c>
      <c r="C186">
        <f>MATCH(A186,mapCOM!A$2:A$1107,0)</f>
        <v>305</v>
      </c>
      <c r="H186" t="s">
        <v>2268</v>
      </c>
      <c r="I186" t="s">
        <v>2267</v>
      </c>
      <c r="J186">
        <f>MATCH(H186,mapCOM!$A$2:$A$1107,0)</f>
        <v>232</v>
      </c>
    </row>
    <row r="187" spans="1:10" x14ac:dyDescent="0.25">
      <c r="A187" t="s">
        <v>1851</v>
      </c>
      <c r="B187" t="s">
        <v>5687</v>
      </c>
      <c r="C187">
        <f>MATCH(A187,mapCOM!A$2:A$1107,0)</f>
        <v>306</v>
      </c>
      <c r="H187" t="s">
        <v>1767</v>
      </c>
      <c r="I187" t="s">
        <v>1766</v>
      </c>
      <c r="J187">
        <f>MATCH(H187,mapCOM!$A$2:$A$1107,0)</f>
        <v>234</v>
      </c>
    </row>
    <row r="188" spans="1:10" x14ac:dyDescent="0.25">
      <c r="A188" t="s">
        <v>1850</v>
      </c>
      <c r="B188" t="s">
        <v>5688</v>
      </c>
      <c r="C188">
        <f>MATCH(A188,mapCOM!A$2:A$1107,0)</f>
        <v>307</v>
      </c>
      <c r="H188" t="s">
        <v>2266</v>
      </c>
      <c r="I188" t="s">
        <v>2265</v>
      </c>
      <c r="J188">
        <f>MATCH(H188,mapCOM!$A$2:$A$1107,0)</f>
        <v>235</v>
      </c>
    </row>
    <row r="189" spans="1:10" x14ac:dyDescent="0.25">
      <c r="A189" t="s">
        <v>1849</v>
      </c>
      <c r="B189" t="s">
        <v>5689</v>
      </c>
      <c r="C189">
        <f>MATCH(A189,mapCOM!A$2:A$1107,0)</f>
        <v>308</v>
      </c>
      <c r="H189" t="s">
        <v>1679</v>
      </c>
      <c r="I189" t="s">
        <v>3461</v>
      </c>
      <c r="J189">
        <f>MATCH(H189,mapCOM!$A$2:$A$1107,0)</f>
        <v>237</v>
      </c>
    </row>
    <row r="190" spans="1:10" x14ac:dyDescent="0.25">
      <c r="A190" t="s">
        <v>1848</v>
      </c>
      <c r="B190" t="s">
        <v>5690</v>
      </c>
      <c r="C190">
        <f>MATCH(A190,mapCOM!A$2:A$1107,0)</f>
        <v>309</v>
      </c>
      <c r="H190" t="s">
        <v>2264</v>
      </c>
      <c r="I190" t="s">
        <v>2263</v>
      </c>
      <c r="J190">
        <f>MATCH(H190,mapCOM!$A$2:$A$1107,0)</f>
        <v>239</v>
      </c>
    </row>
    <row r="191" spans="1:10" x14ac:dyDescent="0.25">
      <c r="A191" t="s">
        <v>1847</v>
      </c>
      <c r="B191" t="s">
        <v>5691</v>
      </c>
      <c r="C191">
        <f>MATCH(A191,mapCOM!A$2:A$1107,0)</f>
        <v>310</v>
      </c>
      <c r="H191" t="s">
        <v>1761</v>
      </c>
      <c r="I191" t="s">
        <v>1760</v>
      </c>
      <c r="J191">
        <f>MATCH(H191,mapCOM!$A$2:$A$1107,0)</f>
        <v>240</v>
      </c>
    </row>
    <row r="192" spans="1:10" x14ac:dyDescent="0.25">
      <c r="A192" t="s">
        <v>3767</v>
      </c>
      <c r="B192" t="s">
        <v>3768</v>
      </c>
      <c r="C192">
        <f>MATCH(A192,mapCOM!A$2:A$1107,0)</f>
        <v>312</v>
      </c>
      <c r="H192" t="s">
        <v>2262</v>
      </c>
      <c r="I192" t="s">
        <v>2261</v>
      </c>
      <c r="J192">
        <f>MATCH(H192,mapCOM!$A$2:$A$1107,0)</f>
        <v>241</v>
      </c>
    </row>
    <row r="193" spans="1:10" x14ac:dyDescent="0.25">
      <c r="A193" t="s">
        <v>3790</v>
      </c>
      <c r="B193" t="s">
        <v>3791</v>
      </c>
      <c r="C193">
        <f>MATCH(A193,mapCOM!A$2:A$1107,0)</f>
        <v>311</v>
      </c>
      <c r="H193" t="s">
        <v>2260</v>
      </c>
      <c r="I193" t="s">
        <v>2259</v>
      </c>
      <c r="J193">
        <f>MATCH(H193,mapCOM!$A$2:$A$1107,0)</f>
        <v>243</v>
      </c>
    </row>
    <row r="194" spans="1:10" x14ac:dyDescent="0.25">
      <c r="A194" t="s">
        <v>3788</v>
      </c>
      <c r="B194" t="s">
        <v>5692</v>
      </c>
      <c r="C194">
        <f>MATCH(A194,mapCOM!A$2:A$1107,0)</f>
        <v>313</v>
      </c>
      <c r="H194" t="s">
        <v>2258</v>
      </c>
      <c r="I194" t="s">
        <v>1763</v>
      </c>
      <c r="J194">
        <f>MATCH(H194,mapCOM!$A$2:$A$1107,0)</f>
        <v>244</v>
      </c>
    </row>
    <row r="195" spans="1:10" x14ac:dyDescent="0.25">
      <c r="A195" t="s">
        <v>1713</v>
      </c>
      <c r="B195" t="s">
        <v>5693</v>
      </c>
      <c r="C195">
        <f>MATCH(A195,mapCOM!A$2:A$1107,0)</f>
        <v>314</v>
      </c>
      <c r="H195" t="s">
        <v>2257</v>
      </c>
      <c r="I195" t="s">
        <v>292</v>
      </c>
      <c r="J195">
        <f>MATCH(H195,mapCOM!$A$2:$A$1107,0)</f>
        <v>245</v>
      </c>
    </row>
    <row r="196" spans="1:10" x14ac:dyDescent="0.25">
      <c r="A196" t="s">
        <v>1709</v>
      </c>
      <c r="B196" t="s">
        <v>5694</v>
      </c>
      <c r="C196">
        <f>MATCH(A196,mapCOM!A$2:A$1107,0)</f>
        <v>316</v>
      </c>
      <c r="H196" t="s">
        <v>2256</v>
      </c>
      <c r="I196" t="s">
        <v>2255</v>
      </c>
      <c r="J196">
        <f>MATCH(H196,mapCOM!$A$2:$A$1107,0)</f>
        <v>246</v>
      </c>
    </row>
    <row r="197" spans="1:10" x14ac:dyDescent="0.25">
      <c r="A197" t="s">
        <v>1707</v>
      </c>
      <c r="B197" t="s">
        <v>5695</v>
      </c>
      <c r="C197">
        <f>MATCH(A197,mapCOM!A$2:A$1107,0)</f>
        <v>318</v>
      </c>
      <c r="H197" t="s">
        <v>3648</v>
      </c>
      <c r="I197" t="s">
        <v>3649</v>
      </c>
      <c r="J197">
        <f>MATCH(H197,mapCOM!$A$2:$A$1107,0)</f>
        <v>248</v>
      </c>
    </row>
    <row r="198" spans="1:10" x14ac:dyDescent="0.25">
      <c r="A198" t="s">
        <v>1705</v>
      </c>
      <c r="B198" t="s">
        <v>5696</v>
      </c>
      <c r="C198">
        <f>MATCH(A198,mapCOM!A$2:A$1107,0)</f>
        <v>319</v>
      </c>
      <c r="H198" t="s">
        <v>1758</v>
      </c>
      <c r="I198" t="s">
        <v>1757</v>
      </c>
      <c r="J198">
        <f>MATCH(H198,mapCOM!$A$2:$A$1107,0)</f>
        <v>249</v>
      </c>
    </row>
    <row r="199" spans="1:10" x14ac:dyDescent="0.25">
      <c r="A199" t="s">
        <v>1702</v>
      </c>
      <c r="B199" t="s">
        <v>5697</v>
      </c>
      <c r="C199">
        <f>MATCH(A199,mapCOM!A$2:A$1107,0)</f>
        <v>320</v>
      </c>
      <c r="H199" t="s">
        <v>2254</v>
      </c>
      <c r="I199" t="s">
        <v>2253</v>
      </c>
      <c r="J199">
        <f>MATCH(H199,mapCOM!$A$2:$A$1107,0)</f>
        <v>250</v>
      </c>
    </row>
    <row r="200" spans="1:10" x14ac:dyDescent="0.25">
      <c r="A200" t="s">
        <v>1694</v>
      </c>
      <c r="B200" t="s">
        <v>5698</v>
      </c>
      <c r="C200">
        <f>MATCH(A200,mapCOM!A$2:A$1107,0)</f>
        <v>323</v>
      </c>
      <c r="H200" t="s">
        <v>1755</v>
      </c>
      <c r="I200" t="s">
        <v>1754</v>
      </c>
      <c r="J200">
        <f>MATCH(H200,mapCOM!$A$2:$A$1107,0)</f>
        <v>251</v>
      </c>
    </row>
    <row r="201" spans="1:10" x14ac:dyDescent="0.25">
      <c r="A201" t="s">
        <v>1846</v>
      </c>
      <c r="B201" t="s">
        <v>5699</v>
      </c>
      <c r="C201">
        <f>MATCH(A201,mapCOM!A$2:A$1107,0)</f>
        <v>325</v>
      </c>
      <c r="H201" t="s">
        <v>2252</v>
      </c>
      <c r="I201" t="s">
        <v>2251</v>
      </c>
      <c r="J201">
        <f>MATCH(H201,mapCOM!$A$2:$A$1107,0)</f>
        <v>252</v>
      </c>
    </row>
    <row r="202" spans="1:10" x14ac:dyDescent="0.25">
      <c r="A202" t="s">
        <v>1688</v>
      </c>
      <c r="B202" t="s">
        <v>5700</v>
      </c>
      <c r="C202">
        <f>MATCH(A202,mapCOM!A$2:A$1107,0)</f>
        <v>326</v>
      </c>
      <c r="H202" t="s">
        <v>1752</v>
      </c>
      <c r="I202" t="s">
        <v>1751</v>
      </c>
      <c r="J202">
        <f>MATCH(H202,mapCOM!$A$2:$A$1107,0)</f>
        <v>253</v>
      </c>
    </row>
    <row r="203" spans="1:10" x14ac:dyDescent="0.25">
      <c r="A203" t="s">
        <v>1844</v>
      </c>
      <c r="B203" t="s">
        <v>5701</v>
      </c>
      <c r="C203">
        <f>MATCH(A203,mapCOM!A$2:A$1107,0)</f>
        <v>327</v>
      </c>
      <c r="H203" t="s">
        <v>2250</v>
      </c>
      <c r="I203" t="s">
        <v>2249</v>
      </c>
      <c r="J203">
        <f>MATCH(H203,mapCOM!$A$2:$A$1107,0)</f>
        <v>254</v>
      </c>
    </row>
    <row r="204" spans="1:10" x14ac:dyDescent="0.25">
      <c r="A204" t="s">
        <v>1686</v>
      </c>
      <c r="B204" t="s">
        <v>5702</v>
      </c>
      <c r="C204">
        <f>MATCH(A204,mapCOM!A$2:A$1107,0)</f>
        <v>328</v>
      </c>
      <c r="H204" t="s">
        <v>2248</v>
      </c>
      <c r="I204" t="s">
        <v>2247</v>
      </c>
      <c r="J204">
        <f>MATCH(H204,mapCOM!$A$2:$A$1107,0)</f>
        <v>255</v>
      </c>
    </row>
    <row r="205" spans="1:10" x14ac:dyDescent="0.25">
      <c r="A205" t="s">
        <v>1684</v>
      </c>
      <c r="B205" t="s">
        <v>5703</v>
      </c>
      <c r="C205">
        <f>MATCH(A205,mapCOM!A$2:A$1107,0)</f>
        <v>329</v>
      </c>
      <c r="H205" t="s">
        <v>2246</v>
      </c>
      <c r="I205" t="s">
        <v>284</v>
      </c>
      <c r="J205">
        <f>MATCH(H205,mapCOM!$A$2:$A$1107,0)</f>
        <v>256</v>
      </c>
    </row>
    <row r="206" spans="1:10" x14ac:dyDescent="0.25">
      <c r="A206" t="s">
        <v>2074</v>
      </c>
      <c r="B206" t="s">
        <v>5704</v>
      </c>
      <c r="C206">
        <f>MATCH(A206,mapCOM!A$2:A$1107,0)</f>
        <v>342</v>
      </c>
      <c r="H206" t="s">
        <v>2245</v>
      </c>
      <c r="I206" t="s">
        <v>2244</v>
      </c>
      <c r="J206">
        <f>MATCH(H206,mapCOM!$A$2:$A$1107,0)</f>
        <v>257</v>
      </c>
    </row>
    <row r="207" spans="1:10" x14ac:dyDescent="0.25">
      <c r="A207" t="s">
        <v>2071</v>
      </c>
      <c r="B207" t="s">
        <v>5705</v>
      </c>
      <c r="C207">
        <f>MATCH(A207,mapCOM!A$2:A$1107,0)</f>
        <v>345</v>
      </c>
      <c r="H207" t="s">
        <v>2243</v>
      </c>
      <c r="I207" t="s">
        <v>2242</v>
      </c>
      <c r="J207">
        <f>MATCH(H207,mapCOM!$A$2:$A$1107,0)</f>
        <v>258</v>
      </c>
    </row>
    <row r="208" spans="1:10" x14ac:dyDescent="0.25">
      <c r="A208" t="s">
        <v>2068</v>
      </c>
      <c r="B208" t="s">
        <v>5706</v>
      </c>
      <c r="C208">
        <f>MATCH(A208,mapCOM!A$2:A$1107,0)</f>
        <v>346</v>
      </c>
      <c r="H208" t="s">
        <v>2241</v>
      </c>
      <c r="I208" t="s">
        <v>2240</v>
      </c>
      <c r="J208">
        <f>MATCH(H208,mapCOM!$A$2:$A$1107,0)</f>
        <v>260</v>
      </c>
    </row>
    <row r="209" spans="1:10" x14ac:dyDescent="0.25">
      <c r="A209" t="s">
        <v>2232</v>
      </c>
      <c r="B209" t="s">
        <v>2168</v>
      </c>
      <c r="C209">
        <f>MATCH(A209,mapCOM!A$2:A$1107,0)</f>
        <v>347</v>
      </c>
      <c r="H209" t="s">
        <v>1749</v>
      </c>
      <c r="I209" t="s">
        <v>1748</v>
      </c>
      <c r="J209">
        <f>MATCH(H209,mapCOM!$A$2:$A$1107,0)</f>
        <v>261</v>
      </c>
    </row>
    <row r="210" spans="1:10" x14ac:dyDescent="0.25">
      <c r="A210" t="s">
        <v>2230</v>
      </c>
      <c r="B210" t="s">
        <v>5707</v>
      </c>
      <c r="C210">
        <f>MATCH(A210,mapCOM!A$2:A$1107,0)</f>
        <v>348</v>
      </c>
      <c r="H210" t="s">
        <v>3667</v>
      </c>
      <c r="I210" t="s">
        <v>3668</v>
      </c>
      <c r="J210">
        <f>MATCH(H210,mapCOM!$A$2:$A$1107,0)</f>
        <v>262</v>
      </c>
    </row>
    <row r="211" spans="1:10" x14ac:dyDescent="0.25">
      <c r="A211" t="s">
        <v>2228</v>
      </c>
      <c r="B211" t="s">
        <v>5708</v>
      </c>
      <c r="C211">
        <f>MATCH(A211,mapCOM!A$2:A$1107,0)</f>
        <v>349</v>
      </c>
      <c r="H211" t="s">
        <v>1746</v>
      </c>
      <c r="I211" t="s">
        <v>1745</v>
      </c>
      <c r="J211">
        <f>MATCH(H211,mapCOM!$A$2:$A$1107,0)</f>
        <v>263</v>
      </c>
    </row>
    <row r="212" spans="1:10" x14ac:dyDescent="0.25">
      <c r="A212" t="s">
        <v>2226</v>
      </c>
      <c r="B212" t="s">
        <v>5709</v>
      </c>
      <c r="C212">
        <f>MATCH(A212,mapCOM!A$2:A$1107,0)</f>
        <v>350</v>
      </c>
      <c r="H212" t="s">
        <v>2239</v>
      </c>
      <c r="I212" t="s">
        <v>2238</v>
      </c>
      <c r="J212">
        <f>MATCH(H212,mapCOM!$A$2:$A$1107,0)</f>
        <v>264</v>
      </c>
    </row>
    <row r="213" spans="1:10" x14ac:dyDescent="0.25">
      <c r="A213" t="s">
        <v>2224</v>
      </c>
      <c r="B213" t="s">
        <v>5710</v>
      </c>
      <c r="C213">
        <f>MATCH(A213,mapCOM!A$2:A$1107,0)</f>
        <v>351</v>
      </c>
      <c r="H213" t="s">
        <v>2237</v>
      </c>
      <c r="I213" t="s">
        <v>2236</v>
      </c>
      <c r="J213">
        <f>MATCH(H213,mapCOM!$A$2:$A$1107,0)</f>
        <v>265</v>
      </c>
    </row>
    <row r="214" spans="1:10" x14ac:dyDescent="0.25">
      <c r="A214" t="s">
        <v>2222</v>
      </c>
      <c r="B214" t="s">
        <v>5711</v>
      </c>
      <c r="C214">
        <f>MATCH(A214,mapCOM!A$2:A$1107,0)</f>
        <v>352</v>
      </c>
      <c r="H214" t="s">
        <v>1979</v>
      </c>
      <c r="I214" t="s">
        <v>1131</v>
      </c>
      <c r="J214">
        <f>MATCH(H214,mapCOM!$A$2:$A$1107,0)</f>
        <v>267</v>
      </c>
    </row>
    <row r="215" spans="1:10" x14ac:dyDescent="0.25">
      <c r="A215" t="s">
        <v>2220</v>
      </c>
      <c r="B215" t="s">
        <v>5712</v>
      </c>
      <c r="C215">
        <f>MATCH(A215,mapCOM!A$2:A$1107,0)</f>
        <v>353</v>
      </c>
      <c r="H215" t="s">
        <v>1978</v>
      </c>
      <c r="I215" t="s">
        <v>1129</v>
      </c>
      <c r="J215">
        <f>MATCH(H215,mapCOM!$A$2:$A$1107,0)</f>
        <v>268</v>
      </c>
    </row>
    <row r="216" spans="1:10" x14ac:dyDescent="0.25">
      <c r="A216" t="s">
        <v>2218</v>
      </c>
      <c r="B216" t="s">
        <v>5713</v>
      </c>
      <c r="C216">
        <f>MATCH(A216,mapCOM!A$2:A$1107,0)</f>
        <v>355</v>
      </c>
      <c r="H216" t="s">
        <v>1977</v>
      </c>
      <c r="I216" t="s">
        <v>1127</v>
      </c>
      <c r="J216">
        <f>MATCH(H216,mapCOM!$A$2:$A$1107,0)</f>
        <v>269</v>
      </c>
    </row>
    <row r="217" spans="1:10" x14ac:dyDescent="0.25">
      <c r="A217" t="s">
        <v>2062</v>
      </c>
      <c r="B217" t="s">
        <v>5714</v>
      </c>
      <c r="C217" t="e">
        <f>MATCH(A217,mapCOM!A$2:A$1107,0)</f>
        <v>#N/A</v>
      </c>
      <c r="D217">
        <v>1</v>
      </c>
      <c r="H217" t="s">
        <v>1743</v>
      </c>
      <c r="I217" t="s">
        <v>1742</v>
      </c>
      <c r="J217">
        <f>MATCH(H217,mapCOM!$A$2:$A$1107,0)</f>
        <v>270</v>
      </c>
    </row>
    <row r="218" spans="1:10" x14ac:dyDescent="0.25">
      <c r="A218" t="s">
        <v>2215</v>
      </c>
      <c r="B218" t="s">
        <v>5715</v>
      </c>
      <c r="C218">
        <f>MATCH(A218,mapCOM!A$2:A$1107,0)</f>
        <v>364</v>
      </c>
      <c r="H218" t="s">
        <v>1976</v>
      </c>
      <c r="I218" t="s">
        <v>1125</v>
      </c>
      <c r="J218">
        <f>MATCH(H218,mapCOM!$A$2:$A$1107,0)</f>
        <v>271</v>
      </c>
    </row>
    <row r="219" spans="1:10" x14ac:dyDescent="0.25">
      <c r="A219" t="s">
        <v>2213</v>
      </c>
      <c r="B219" t="s">
        <v>5506</v>
      </c>
      <c r="C219">
        <f>MATCH(A219,mapCOM!A$2:A$1107,0)</f>
        <v>365</v>
      </c>
      <c r="H219" t="s">
        <v>1741</v>
      </c>
      <c r="I219" t="s">
        <v>1740</v>
      </c>
      <c r="J219">
        <f>MATCH(H219,mapCOM!$A$2:$A$1107,0)</f>
        <v>272</v>
      </c>
    </row>
    <row r="220" spans="1:10" x14ac:dyDescent="0.25">
      <c r="A220" t="s">
        <v>2208</v>
      </c>
      <c r="B220" t="s">
        <v>5716</v>
      </c>
      <c r="C220">
        <f>MATCH(A220,mapCOM!A$2:A$1107,0)</f>
        <v>368</v>
      </c>
      <c r="H220" t="s">
        <v>1975</v>
      </c>
      <c r="I220" t="s">
        <v>1123</v>
      </c>
      <c r="J220">
        <f>MATCH(H220,mapCOM!$A$2:$A$1107,0)</f>
        <v>273</v>
      </c>
    </row>
    <row r="221" spans="1:10" x14ac:dyDescent="0.25">
      <c r="A221" t="s">
        <v>2206</v>
      </c>
      <c r="B221" t="s">
        <v>5717</v>
      </c>
      <c r="C221">
        <f>MATCH(A221,mapCOM!A$2:A$1107,0)</f>
        <v>369</v>
      </c>
      <c r="H221" t="s">
        <v>1974</v>
      </c>
      <c r="I221" t="s">
        <v>1121</v>
      </c>
      <c r="J221">
        <f>MATCH(H221,mapCOM!$A$2:$A$1107,0)</f>
        <v>274</v>
      </c>
    </row>
    <row r="222" spans="1:10" x14ac:dyDescent="0.25">
      <c r="A222" t="s">
        <v>2204</v>
      </c>
      <c r="B222" t="s">
        <v>5718</v>
      </c>
      <c r="C222">
        <f>MATCH(A222,mapCOM!A$2:A$1107,0)</f>
        <v>370</v>
      </c>
      <c r="H222" t="s">
        <v>1973</v>
      </c>
      <c r="I222" t="s">
        <v>1119</v>
      </c>
      <c r="J222">
        <f>MATCH(H222,mapCOM!$A$2:$A$1107,0)</f>
        <v>275</v>
      </c>
    </row>
    <row r="223" spans="1:10" x14ac:dyDescent="0.25">
      <c r="A223" t="s">
        <v>3003</v>
      </c>
      <c r="B223" t="s">
        <v>3004</v>
      </c>
      <c r="C223">
        <f>MATCH(A223,mapCOM!A$2:A$1107,0)</f>
        <v>371</v>
      </c>
      <c r="H223" t="s">
        <v>1972</v>
      </c>
      <c r="I223" t="s">
        <v>1117</v>
      </c>
      <c r="J223">
        <f>MATCH(H223,mapCOM!$A$2:$A$1107,0)</f>
        <v>276</v>
      </c>
    </row>
    <row r="224" spans="1:10" x14ac:dyDescent="0.25">
      <c r="A224" t="s">
        <v>3005</v>
      </c>
      <c r="B224" t="s">
        <v>3006</v>
      </c>
      <c r="C224">
        <f>MATCH(A224,mapCOM!A$2:A$1107,0)</f>
        <v>372</v>
      </c>
      <c r="H224" t="s">
        <v>1971</v>
      </c>
      <c r="I224" t="s">
        <v>1115</v>
      </c>
      <c r="J224">
        <f>MATCH(H224,mapCOM!$A$2:$A$1107,0)</f>
        <v>277</v>
      </c>
    </row>
    <row r="225" spans="1:10" x14ac:dyDescent="0.25">
      <c r="A225" t="s">
        <v>3007</v>
      </c>
      <c r="B225" t="s">
        <v>3008</v>
      </c>
      <c r="C225">
        <f>MATCH(A225,mapCOM!A$2:A$1107,0)</f>
        <v>373</v>
      </c>
      <c r="H225" t="s">
        <v>1970</v>
      </c>
      <c r="I225" t="s">
        <v>1108</v>
      </c>
      <c r="J225">
        <f>MATCH(H225,mapCOM!$A$2:$A$1107,0)</f>
        <v>278</v>
      </c>
    </row>
    <row r="226" spans="1:10" x14ac:dyDescent="0.25">
      <c r="A226" t="s">
        <v>3009</v>
      </c>
      <c r="B226" t="s">
        <v>3010</v>
      </c>
      <c r="C226">
        <f>MATCH(A226,mapCOM!A$2:A$1107,0)</f>
        <v>374</v>
      </c>
      <c r="H226" t="s">
        <v>1739</v>
      </c>
      <c r="I226" t="s">
        <v>3610</v>
      </c>
      <c r="J226">
        <f>MATCH(H226,mapCOM!$A$2:$A$1107,0)</f>
        <v>279</v>
      </c>
    </row>
    <row r="227" spans="1:10" x14ac:dyDescent="0.25">
      <c r="A227" t="s">
        <v>3011</v>
      </c>
      <c r="B227" t="s">
        <v>3012</v>
      </c>
      <c r="C227">
        <f>MATCH(A227,mapCOM!A$2:A$1107,0)</f>
        <v>375</v>
      </c>
      <c r="H227" t="s">
        <v>1864</v>
      </c>
      <c r="I227" t="s">
        <v>3611</v>
      </c>
      <c r="J227">
        <f>MATCH(H227,mapCOM!$A$2:$A$1107,0)</f>
        <v>280</v>
      </c>
    </row>
    <row r="228" spans="1:10" x14ac:dyDescent="0.25">
      <c r="A228" t="s">
        <v>3013</v>
      </c>
      <c r="B228" t="s">
        <v>3014</v>
      </c>
      <c r="C228">
        <f>MATCH(A228,mapCOM!A$2:A$1107,0)</f>
        <v>376</v>
      </c>
      <c r="H228" t="s">
        <v>1737</v>
      </c>
      <c r="I228" t="s">
        <v>3612</v>
      </c>
      <c r="J228">
        <f>MATCH(H228,mapCOM!$A$2:$A$1107,0)</f>
        <v>281</v>
      </c>
    </row>
    <row r="229" spans="1:10" x14ac:dyDescent="0.25">
      <c r="A229" t="s">
        <v>3015</v>
      </c>
      <c r="B229" t="s">
        <v>3016</v>
      </c>
      <c r="C229">
        <f>MATCH(A229,mapCOM!A$2:A$1107,0)</f>
        <v>377</v>
      </c>
      <c r="H229" t="s">
        <v>1863</v>
      </c>
      <c r="I229" t="s">
        <v>1862</v>
      </c>
      <c r="J229">
        <f>MATCH(H229,mapCOM!$A$2:$A$1107,0)</f>
        <v>282</v>
      </c>
    </row>
    <row r="230" spans="1:10" x14ac:dyDescent="0.25">
      <c r="A230" t="s">
        <v>3017</v>
      </c>
      <c r="B230" t="s">
        <v>3018</v>
      </c>
      <c r="C230">
        <f>MATCH(A230,mapCOM!A$2:A$1107,0)</f>
        <v>378</v>
      </c>
      <c r="H230" t="s">
        <v>1735</v>
      </c>
      <c r="I230" t="s">
        <v>3613</v>
      </c>
      <c r="J230">
        <f>MATCH(H230,mapCOM!$A$2:$A$1107,0)</f>
        <v>283</v>
      </c>
    </row>
    <row r="231" spans="1:10" x14ac:dyDescent="0.25">
      <c r="A231" t="s">
        <v>3029</v>
      </c>
      <c r="B231" t="s">
        <v>3030</v>
      </c>
      <c r="C231">
        <f>MATCH(A231,mapCOM!A$2:A$1107,0)</f>
        <v>379</v>
      </c>
      <c r="H231" t="s">
        <v>1733</v>
      </c>
      <c r="I231" t="s">
        <v>3614</v>
      </c>
      <c r="J231">
        <f>MATCH(H231,mapCOM!$A$2:$A$1107,0)</f>
        <v>284</v>
      </c>
    </row>
    <row r="232" spans="1:10" x14ac:dyDescent="0.25">
      <c r="A232" t="s">
        <v>3019</v>
      </c>
      <c r="B232" t="s">
        <v>3020</v>
      </c>
      <c r="C232">
        <f>MATCH(A232,mapCOM!A$2:A$1107,0)</f>
        <v>380</v>
      </c>
      <c r="H232" t="s">
        <v>3615</v>
      </c>
      <c r="I232" t="s">
        <v>3616</v>
      </c>
      <c r="J232">
        <f>MATCH(H232,mapCOM!$A$2:$A$1107,0)</f>
        <v>285</v>
      </c>
    </row>
    <row r="233" spans="1:10" x14ac:dyDescent="0.25">
      <c r="A233" t="s">
        <v>3021</v>
      </c>
      <c r="B233" t="s">
        <v>3022</v>
      </c>
      <c r="C233">
        <f>MATCH(A233,mapCOM!A$2:A$1107,0)</f>
        <v>381</v>
      </c>
      <c r="H233" t="s">
        <v>1731</v>
      </c>
      <c r="I233" t="s">
        <v>3617</v>
      </c>
      <c r="J233">
        <f>MATCH(H233,mapCOM!$A$2:$A$1107,0)</f>
        <v>286</v>
      </c>
    </row>
    <row r="234" spans="1:10" x14ac:dyDescent="0.25">
      <c r="A234" t="s">
        <v>3023</v>
      </c>
      <c r="B234" t="s">
        <v>3024</v>
      </c>
      <c r="C234">
        <f>MATCH(A234,mapCOM!A$2:A$1107,0)</f>
        <v>382</v>
      </c>
      <c r="H234" t="s">
        <v>1729</v>
      </c>
      <c r="I234" t="s">
        <v>1728</v>
      </c>
      <c r="J234">
        <f>MATCH(H234,mapCOM!$A$2:$A$1107,0)</f>
        <v>287</v>
      </c>
    </row>
    <row r="235" spans="1:10" x14ac:dyDescent="0.25">
      <c r="A235" t="s">
        <v>3025</v>
      </c>
      <c r="B235" t="s">
        <v>3026</v>
      </c>
      <c r="C235">
        <f>MATCH(A235,mapCOM!A$2:A$1107,0)</f>
        <v>383</v>
      </c>
      <c r="H235" t="s">
        <v>1727</v>
      </c>
      <c r="I235" t="s">
        <v>3618</v>
      </c>
      <c r="J235">
        <f>MATCH(H235,mapCOM!$A$2:$A$1107,0)</f>
        <v>288</v>
      </c>
    </row>
    <row r="236" spans="1:10" x14ac:dyDescent="0.25">
      <c r="A236" t="s">
        <v>3031</v>
      </c>
      <c r="B236" t="s">
        <v>3032</v>
      </c>
      <c r="C236">
        <f>MATCH(A236,mapCOM!A$2:A$1107,0)</f>
        <v>384</v>
      </c>
      <c r="H236" t="s">
        <v>1861</v>
      </c>
      <c r="I236" t="s">
        <v>3619</v>
      </c>
      <c r="J236">
        <f>MATCH(H236,mapCOM!$A$2:$A$1107,0)</f>
        <v>292</v>
      </c>
    </row>
    <row r="237" spans="1:10" x14ac:dyDescent="0.25">
      <c r="A237" t="s">
        <v>3027</v>
      </c>
      <c r="B237" t="s">
        <v>3028</v>
      </c>
      <c r="C237">
        <f>MATCH(A237,mapCOM!A$2:A$1107,0)</f>
        <v>385</v>
      </c>
      <c r="H237" t="s">
        <v>1725</v>
      </c>
      <c r="I237" t="s">
        <v>3620</v>
      </c>
      <c r="J237">
        <f>MATCH(H237,mapCOM!$A$2:$A$1107,0)</f>
        <v>293</v>
      </c>
    </row>
    <row r="238" spans="1:10" x14ac:dyDescent="0.25">
      <c r="A238" t="s">
        <v>2200</v>
      </c>
      <c r="B238" t="s">
        <v>5719</v>
      </c>
      <c r="C238">
        <f>MATCH(A238,mapCOM!A$2:A$1107,0)</f>
        <v>388</v>
      </c>
      <c r="H238" t="s">
        <v>1859</v>
      </c>
      <c r="I238" t="s">
        <v>3621</v>
      </c>
      <c r="J238">
        <f>MATCH(H238,mapCOM!$A$2:$A$1107,0)</f>
        <v>294</v>
      </c>
    </row>
    <row r="239" spans="1:10" x14ac:dyDescent="0.25">
      <c r="A239" t="s">
        <v>2195</v>
      </c>
      <c r="B239" t="s">
        <v>5720</v>
      </c>
      <c r="C239">
        <f>MATCH(A239,mapCOM!A$2:A$1107,0)</f>
        <v>390</v>
      </c>
      <c r="H239" t="s">
        <v>1723</v>
      </c>
      <c r="I239" t="s">
        <v>3622</v>
      </c>
      <c r="J239">
        <f>MATCH(H239,mapCOM!$A$2:$A$1107,0)</f>
        <v>295</v>
      </c>
    </row>
    <row r="240" spans="1:10" x14ac:dyDescent="0.25">
      <c r="A240" t="s">
        <v>1677</v>
      </c>
      <c r="B240" t="s">
        <v>5721</v>
      </c>
      <c r="C240">
        <f>MATCH(A240,mapCOM!A$2:A$1107,0)</f>
        <v>392</v>
      </c>
      <c r="H240" t="s">
        <v>1721</v>
      </c>
      <c r="I240" t="s">
        <v>3623</v>
      </c>
      <c r="J240">
        <f>MATCH(H240,mapCOM!$A$2:$A$1107,0)</f>
        <v>296</v>
      </c>
    </row>
    <row r="241" spans="1:10" x14ac:dyDescent="0.25">
      <c r="A241" t="s">
        <v>2192</v>
      </c>
      <c r="B241" t="s">
        <v>5722</v>
      </c>
      <c r="C241">
        <f>MATCH(A241,mapCOM!A$2:A$1107,0)</f>
        <v>393</v>
      </c>
      <c r="H241" t="s">
        <v>1719</v>
      </c>
      <c r="I241" t="s">
        <v>3624</v>
      </c>
      <c r="J241">
        <f>MATCH(H241,mapCOM!$A$2:$A$1107,0)</f>
        <v>297</v>
      </c>
    </row>
    <row r="242" spans="1:10" x14ac:dyDescent="0.25">
      <c r="A242" t="s">
        <v>2191</v>
      </c>
      <c r="B242" t="s">
        <v>5723</v>
      </c>
      <c r="C242">
        <f>MATCH(A242,mapCOM!A$2:A$1107,0)</f>
        <v>394</v>
      </c>
      <c r="H242" t="s">
        <v>1857</v>
      </c>
      <c r="I242" t="s">
        <v>1061</v>
      </c>
      <c r="J242">
        <f>MATCH(H242,mapCOM!$A$2:$A$1107,0)</f>
        <v>298</v>
      </c>
    </row>
    <row r="243" spans="1:10" x14ac:dyDescent="0.25">
      <c r="A243" t="s">
        <v>3602</v>
      </c>
      <c r="B243" t="s">
        <v>5724</v>
      </c>
      <c r="C243">
        <f>MATCH(A243,mapCOM!A$2:A$1107,0)</f>
        <v>399</v>
      </c>
      <c r="H243" t="s">
        <v>1856</v>
      </c>
      <c r="I243" t="s">
        <v>1058</v>
      </c>
      <c r="J243">
        <f>MATCH(H243,mapCOM!$A$2:$A$1107,0)</f>
        <v>299</v>
      </c>
    </row>
    <row r="244" spans="1:10" x14ac:dyDescent="0.25">
      <c r="A244" t="s">
        <v>2186</v>
      </c>
      <c r="B244" t="s">
        <v>5725</v>
      </c>
      <c r="C244">
        <f>MATCH(A244,mapCOM!A$2:A$1107,0)</f>
        <v>400</v>
      </c>
      <c r="H244" t="s">
        <v>1855</v>
      </c>
      <c r="I244" t="s">
        <v>1055</v>
      </c>
      <c r="J244">
        <f>MATCH(H244,mapCOM!$A$2:$A$1107,0)</f>
        <v>300</v>
      </c>
    </row>
    <row r="245" spans="1:10" x14ac:dyDescent="0.25">
      <c r="A245" t="s">
        <v>2181</v>
      </c>
      <c r="B245" t="s">
        <v>5726</v>
      </c>
      <c r="C245">
        <f>MATCH(A245,mapCOM!A$2:A$1107,0)</f>
        <v>402</v>
      </c>
      <c r="H245" t="s">
        <v>1717</v>
      </c>
      <c r="I245" t="s">
        <v>1716</v>
      </c>
      <c r="J245">
        <f>MATCH(H245,mapCOM!$A$2:$A$1107,0)</f>
        <v>301</v>
      </c>
    </row>
    <row r="246" spans="1:10" x14ac:dyDescent="0.25">
      <c r="A246" t="s">
        <v>2176</v>
      </c>
      <c r="B246" t="s">
        <v>5727</v>
      </c>
      <c r="C246">
        <f>MATCH(A246,mapCOM!A$2:A$1107,0)</f>
        <v>404</v>
      </c>
      <c r="H246" t="s">
        <v>1854</v>
      </c>
      <c r="I246" t="s">
        <v>1052</v>
      </c>
      <c r="J246">
        <f>MATCH(H246,mapCOM!$A$2:$A$1107,0)</f>
        <v>302</v>
      </c>
    </row>
    <row r="247" spans="1:10" x14ac:dyDescent="0.25">
      <c r="A247" t="s">
        <v>2171</v>
      </c>
      <c r="B247" t="s">
        <v>5728</v>
      </c>
      <c r="C247">
        <f>MATCH(A247,mapCOM!A$2:A$1107,0)</f>
        <v>407</v>
      </c>
      <c r="H247" t="s">
        <v>1715</v>
      </c>
      <c r="I247" t="s">
        <v>1714</v>
      </c>
      <c r="J247">
        <f>MATCH(H247,mapCOM!$A$2:$A$1107,0)</f>
        <v>303</v>
      </c>
    </row>
    <row r="248" spans="1:10" x14ac:dyDescent="0.25">
      <c r="A248" t="s">
        <v>2169</v>
      </c>
      <c r="B248" t="s">
        <v>5729</v>
      </c>
      <c r="C248">
        <f>MATCH(A248,mapCOM!A$2:A$1107,0)</f>
        <v>408</v>
      </c>
      <c r="H248" t="s">
        <v>1853</v>
      </c>
      <c r="I248" t="s">
        <v>1049</v>
      </c>
      <c r="J248">
        <f>MATCH(H248,mapCOM!$A$2:$A$1107,0)</f>
        <v>304</v>
      </c>
    </row>
    <row r="249" spans="1:10" x14ac:dyDescent="0.25">
      <c r="A249" t="s">
        <v>2167</v>
      </c>
      <c r="B249" t="s">
        <v>5730</v>
      </c>
      <c r="C249">
        <f>MATCH(A249,mapCOM!A$2:A$1107,0)</f>
        <v>409</v>
      </c>
      <c r="H249" t="s">
        <v>1852</v>
      </c>
      <c r="I249" t="s">
        <v>1046</v>
      </c>
      <c r="J249">
        <f>MATCH(H249,mapCOM!$A$2:$A$1107,0)</f>
        <v>305</v>
      </c>
    </row>
    <row r="250" spans="1:10" x14ac:dyDescent="0.25">
      <c r="A250" t="s">
        <v>3434</v>
      </c>
      <c r="B250" t="s">
        <v>5511</v>
      </c>
      <c r="C250">
        <f>MATCH(A250,mapCOM!A$2:A$1107,0)</f>
        <v>410</v>
      </c>
      <c r="H250" t="s">
        <v>1851</v>
      </c>
      <c r="I250" t="s">
        <v>1043</v>
      </c>
      <c r="J250">
        <f>MATCH(H250,mapCOM!$A$2:$A$1107,0)</f>
        <v>306</v>
      </c>
    </row>
    <row r="251" spans="1:10" x14ac:dyDescent="0.25">
      <c r="A251" t="s">
        <v>3435</v>
      </c>
      <c r="B251" t="s">
        <v>5512</v>
      </c>
      <c r="C251">
        <f>MATCH(A251,mapCOM!A$2:A$1107,0)</f>
        <v>411</v>
      </c>
      <c r="H251" t="s">
        <v>1850</v>
      </c>
      <c r="I251" t="s">
        <v>1041</v>
      </c>
      <c r="J251">
        <f>MATCH(H251,mapCOM!$A$2:$A$1107,0)</f>
        <v>307</v>
      </c>
    </row>
    <row r="252" spans="1:10" x14ac:dyDescent="0.25">
      <c r="A252" t="s">
        <v>3736</v>
      </c>
      <c r="B252" t="s">
        <v>5731</v>
      </c>
      <c r="C252">
        <f>MATCH(A252,mapCOM!A$2:A$1107,0)</f>
        <v>405</v>
      </c>
      <c r="H252" t="s">
        <v>1849</v>
      </c>
      <c r="I252" t="s">
        <v>1038</v>
      </c>
      <c r="J252">
        <f>MATCH(H252,mapCOM!$A$2:$A$1107,0)</f>
        <v>308</v>
      </c>
    </row>
    <row r="253" spans="1:10" x14ac:dyDescent="0.25">
      <c r="A253" t="s">
        <v>2161</v>
      </c>
      <c r="B253" t="s">
        <v>5732</v>
      </c>
      <c r="C253">
        <f>MATCH(A253,mapCOM!A$2:A$1107,0)</f>
        <v>414</v>
      </c>
      <c r="H253" t="s">
        <v>1848</v>
      </c>
      <c r="I253" t="s">
        <v>1035</v>
      </c>
      <c r="J253">
        <f>MATCH(H253,mapCOM!$A$2:$A$1107,0)</f>
        <v>309</v>
      </c>
    </row>
    <row r="254" spans="1:10" x14ac:dyDescent="0.25">
      <c r="A254" t="s">
        <v>2157</v>
      </c>
      <c r="B254" t="s">
        <v>5733</v>
      </c>
      <c r="C254">
        <f>MATCH(A254,mapCOM!A$2:A$1107,0)</f>
        <v>416</v>
      </c>
      <c r="H254" t="s">
        <v>1847</v>
      </c>
      <c r="I254" t="s">
        <v>1023</v>
      </c>
      <c r="J254">
        <f>MATCH(H254,mapCOM!$A$2:$A$1107,0)</f>
        <v>310</v>
      </c>
    </row>
    <row r="255" spans="1:10" x14ac:dyDescent="0.25">
      <c r="A255" t="s">
        <v>3740</v>
      </c>
      <c r="B255" t="s">
        <v>5734</v>
      </c>
      <c r="C255">
        <f>MATCH(A255,mapCOM!A$2:A$1107,0)</f>
        <v>418</v>
      </c>
      <c r="H255" t="s">
        <v>1713</v>
      </c>
      <c r="I255" t="s">
        <v>1712</v>
      </c>
      <c r="J255">
        <f>MATCH(H255,mapCOM!$A$2:$A$1107,0)</f>
        <v>314</v>
      </c>
    </row>
    <row r="256" spans="1:10" x14ac:dyDescent="0.25">
      <c r="A256" t="s">
        <v>2155</v>
      </c>
      <c r="B256" t="s">
        <v>5735</v>
      </c>
      <c r="C256">
        <f>MATCH(A256,mapCOM!A$2:A$1107,0)</f>
        <v>417</v>
      </c>
      <c r="H256" t="s">
        <v>1709</v>
      </c>
      <c r="I256" t="s">
        <v>1708</v>
      </c>
      <c r="J256">
        <f>MATCH(H256,mapCOM!$A$2:$A$1107,0)</f>
        <v>316</v>
      </c>
    </row>
    <row r="257" spans="1:10" x14ac:dyDescent="0.25">
      <c r="A257" t="s">
        <v>1663</v>
      </c>
      <c r="B257" t="s">
        <v>5736</v>
      </c>
      <c r="C257">
        <f>MATCH(A257,mapCOM!A$2:A$1107,0)</f>
        <v>359</v>
      </c>
      <c r="H257" t="s">
        <v>1707</v>
      </c>
      <c r="I257" t="s">
        <v>1706</v>
      </c>
      <c r="J257">
        <f>MATCH(H257,mapCOM!$A$2:$A$1107,0)</f>
        <v>318</v>
      </c>
    </row>
    <row r="258" spans="1:10" x14ac:dyDescent="0.25">
      <c r="A258" t="s">
        <v>1661</v>
      </c>
      <c r="B258" t="s">
        <v>5737</v>
      </c>
      <c r="C258">
        <f>MATCH(A258,mapCOM!A$2:A$1107,0)</f>
        <v>360</v>
      </c>
      <c r="H258" t="s">
        <v>1705</v>
      </c>
      <c r="I258" t="s">
        <v>1704</v>
      </c>
      <c r="J258">
        <f>MATCH(H258,mapCOM!$A$2:$A$1107,0)</f>
        <v>319</v>
      </c>
    </row>
    <row r="259" spans="1:10" x14ac:dyDescent="0.25">
      <c r="A259" t="s">
        <v>1659</v>
      </c>
      <c r="B259" t="s">
        <v>5738</v>
      </c>
      <c r="C259">
        <f>MATCH(A259,mapCOM!A$2:A$1107,0)</f>
        <v>361</v>
      </c>
      <c r="H259" t="s">
        <v>1702</v>
      </c>
      <c r="I259" t="s">
        <v>1701</v>
      </c>
      <c r="J259">
        <f>MATCH(H259,mapCOM!$A$2:$A$1107,0)</f>
        <v>320</v>
      </c>
    </row>
    <row r="260" spans="1:10" x14ac:dyDescent="0.25">
      <c r="A260" t="s">
        <v>1657</v>
      </c>
      <c r="B260" t="s">
        <v>5739</v>
      </c>
      <c r="C260">
        <f>MATCH(A260,mapCOM!A$2:A$1107,0)</f>
        <v>362</v>
      </c>
      <c r="H260" t="s">
        <v>1700</v>
      </c>
      <c r="I260" t="s">
        <v>1699</v>
      </c>
      <c r="J260">
        <f>MATCH(H260,mapCOM!$A$2:$A$1107,0)</f>
        <v>321</v>
      </c>
    </row>
    <row r="261" spans="1:10" x14ac:dyDescent="0.25">
      <c r="A261" t="s">
        <v>2154</v>
      </c>
      <c r="B261" t="s">
        <v>5515</v>
      </c>
      <c r="C261">
        <f>MATCH(A261,mapCOM!A$2:A$1107,0)</f>
        <v>419</v>
      </c>
      <c r="H261" t="s">
        <v>1697</v>
      </c>
      <c r="I261" t="s">
        <v>245</v>
      </c>
      <c r="J261">
        <f>MATCH(H261,mapCOM!$A$2:$A$1107,0)</f>
        <v>322</v>
      </c>
    </row>
    <row r="262" spans="1:10" x14ac:dyDescent="0.25">
      <c r="A262" t="s">
        <v>2144</v>
      </c>
      <c r="B262" t="s">
        <v>5516</v>
      </c>
      <c r="C262">
        <f>MATCH(A262,mapCOM!A$2:A$1107,0)</f>
        <v>425</v>
      </c>
      <c r="H262" t="s">
        <v>1694</v>
      </c>
      <c r="I262" t="s">
        <v>243</v>
      </c>
      <c r="J262">
        <f>MATCH(H262,mapCOM!$A$2:$A$1107,0)</f>
        <v>323</v>
      </c>
    </row>
    <row r="263" spans="1:10" x14ac:dyDescent="0.25">
      <c r="A263" t="s">
        <v>2142</v>
      </c>
      <c r="B263" t="s">
        <v>5517</v>
      </c>
      <c r="C263">
        <f>MATCH(A263,mapCOM!A$2:A$1107,0)</f>
        <v>426</v>
      </c>
      <c r="H263" t="s">
        <v>1691</v>
      </c>
      <c r="I263" t="s">
        <v>1690</v>
      </c>
      <c r="J263">
        <f>MATCH(H263,mapCOM!$A$2:$A$1107,0)</f>
        <v>324</v>
      </c>
    </row>
    <row r="264" spans="1:10" x14ac:dyDescent="0.25">
      <c r="A264" t="s">
        <v>2140</v>
      </c>
      <c r="B264" t="s">
        <v>5518</v>
      </c>
      <c r="C264">
        <f>MATCH(A264,mapCOM!A$2:A$1107,0)</f>
        <v>427</v>
      </c>
      <c r="H264" t="s">
        <v>1846</v>
      </c>
      <c r="I264" t="s">
        <v>1845</v>
      </c>
      <c r="J264">
        <f>MATCH(H264,mapCOM!$A$2:$A$1107,0)</f>
        <v>325</v>
      </c>
    </row>
    <row r="265" spans="1:10" x14ac:dyDescent="0.25">
      <c r="A265" t="s">
        <v>2132</v>
      </c>
      <c r="B265" t="s">
        <v>5519</v>
      </c>
      <c r="C265">
        <f>MATCH(A265,mapCOM!A$2:A$1107,0)</f>
        <v>433</v>
      </c>
      <c r="H265" t="s">
        <v>1688</v>
      </c>
      <c r="I265" t="s">
        <v>1687</v>
      </c>
      <c r="J265">
        <f>MATCH(H265,mapCOM!$A$2:$A$1107,0)</f>
        <v>326</v>
      </c>
    </row>
    <row r="266" spans="1:10" x14ac:dyDescent="0.25">
      <c r="A266" t="s">
        <v>2130</v>
      </c>
      <c r="B266" t="s">
        <v>5520</v>
      </c>
      <c r="C266">
        <f>MATCH(A266,mapCOM!A$2:A$1107,0)</f>
        <v>434</v>
      </c>
      <c r="H266" t="s">
        <v>1844</v>
      </c>
      <c r="I266" t="s">
        <v>1843</v>
      </c>
      <c r="J266">
        <f>MATCH(H266,mapCOM!$A$2:$A$1107,0)</f>
        <v>327</v>
      </c>
    </row>
    <row r="267" spans="1:10" x14ac:dyDescent="0.25">
      <c r="A267" t="s">
        <v>1969</v>
      </c>
      <c r="B267" t="s">
        <v>5740</v>
      </c>
      <c r="C267">
        <f>MATCH(A267,mapCOM!A$2:A$1107,0)</f>
        <v>438</v>
      </c>
      <c r="H267" t="s">
        <v>1686</v>
      </c>
      <c r="I267" t="s">
        <v>1685</v>
      </c>
      <c r="J267">
        <f>MATCH(H267,mapCOM!$A$2:$A$1107,0)</f>
        <v>328</v>
      </c>
    </row>
    <row r="268" spans="1:10" x14ac:dyDescent="0.25">
      <c r="A268" t="s">
        <v>1968</v>
      </c>
      <c r="B268" t="s">
        <v>5741</v>
      </c>
      <c r="C268">
        <f>MATCH(A268,mapCOM!A$2:A$1107,0)</f>
        <v>439</v>
      </c>
      <c r="H268" t="s">
        <v>1684</v>
      </c>
      <c r="I268" t="s">
        <v>1683</v>
      </c>
      <c r="J268">
        <f>MATCH(H268,mapCOM!$A$2:$A$1107,0)</f>
        <v>329</v>
      </c>
    </row>
    <row r="269" spans="1:10" x14ac:dyDescent="0.25">
      <c r="A269" t="s">
        <v>1966</v>
      </c>
      <c r="B269" t="s">
        <v>5742</v>
      </c>
      <c r="C269">
        <f>MATCH(A269,mapCOM!A$2:A$1107,0)</f>
        <v>440</v>
      </c>
      <c r="H269" t="s">
        <v>1681</v>
      </c>
      <c r="I269" t="s">
        <v>1680</v>
      </c>
      <c r="J269">
        <f>MATCH(H269,mapCOM!$A$2:$A$1107,0)</f>
        <v>330</v>
      </c>
    </row>
    <row r="270" spans="1:10" x14ac:dyDescent="0.25">
      <c r="A270" t="s">
        <v>1962</v>
      </c>
      <c r="B270" t="s">
        <v>5743</v>
      </c>
      <c r="C270">
        <f>MATCH(A270,mapCOM!A$2:A$1107,0)</f>
        <v>442</v>
      </c>
      <c r="H270" t="s">
        <v>3669</v>
      </c>
      <c r="I270" t="s">
        <v>3670</v>
      </c>
      <c r="J270" t="e">
        <f>MATCH(H270,mapCOM!$A$2:$A$1107,0)</f>
        <v>#N/A</v>
      </c>
    </row>
    <row r="271" spans="1:10" x14ac:dyDescent="0.25">
      <c r="A271" t="s">
        <v>1960</v>
      </c>
      <c r="B271" t="s">
        <v>5744</v>
      </c>
      <c r="C271">
        <f>MATCH(A271,mapCOM!A$2:A$1107,0)</f>
        <v>443</v>
      </c>
      <c r="H271" t="s">
        <v>3671</v>
      </c>
      <c r="I271" t="s">
        <v>3672</v>
      </c>
      <c r="J271" t="e">
        <f>MATCH(H271,mapCOM!$A$2:$A$1107,0)</f>
        <v>#N/A</v>
      </c>
    </row>
    <row r="272" spans="1:10" x14ac:dyDescent="0.25">
      <c r="A272" t="s">
        <v>3086</v>
      </c>
      <c r="B272" t="s">
        <v>5745</v>
      </c>
      <c r="C272">
        <f>MATCH(A272,mapCOM!A$2:A$1107,0)</f>
        <v>444</v>
      </c>
      <c r="H272" t="s">
        <v>3673</v>
      </c>
      <c r="I272" t="s">
        <v>3674</v>
      </c>
      <c r="J272" t="e">
        <f>MATCH(H272,mapCOM!$A$2:$A$1107,0)</f>
        <v>#N/A</v>
      </c>
    </row>
    <row r="273" spans="1:10" x14ac:dyDescent="0.25">
      <c r="A273" t="s">
        <v>1959</v>
      </c>
      <c r="B273" t="s">
        <v>5745</v>
      </c>
      <c r="C273">
        <f>MATCH(A273,mapCOM!A$2:A$1107,0)</f>
        <v>445</v>
      </c>
      <c r="H273" t="s">
        <v>3675</v>
      </c>
      <c r="I273" t="s">
        <v>3676</v>
      </c>
      <c r="J273" t="e">
        <f>MATCH(H273,mapCOM!$A$2:$A$1107,0)</f>
        <v>#N/A</v>
      </c>
    </row>
    <row r="274" spans="1:10" x14ac:dyDescent="0.25">
      <c r="A274" t="s">
        <v>1957</v>
      </c>
      <c r="B274" t="s">
        <v>5746</v>
      </c>
      <c r="C274">
        <f>MATCH(A274,mapCOM!A$2:A$1107,0)</f>
        <v>446</v>
      </c>
      <c r="H274" t="s">
        <v>3677</v>
      </c>
      <c r="I274" t="s">
        <v>3678</v>
      </c>
      <c r="J274" t="e">
        <f>MATCH(H274,mapCOM!$A$2:$A$1107,0)</f>
        <v>#N/A</v>
      </c>
    </row>
    <row r="275" spans="1:10" x14ac:dyDescent="0.25">
      <c r="A275" t="s">
        <v>1956</v>
      </c>
      <c r="B275" t="s">
        <v>5747</v>
      </c>
      <c r="C275">
        <f>MATCH(A275,mapCOM!A$2:A$1107,0)</f>
        <v>447</v>
      </c>
      <c r="H275" t="s">
        <v>3679</v>
      </c>
      <c r="I275" t="s">
        <v>3680</v>
      </c>
      <c r="J275" t="e">
        <f>MATCH(H275,mapCOM!$A$2:$A$1107,0)</f>
        <v>#N/A</v>
      </c>
    </row>
    <row r="276" spans="1:10" x14ac:dyDescent="0.25">
      <c r="A276" t="s">
        <v>1954</v>
      </c>
      <c r="B276" t="s">
        <v>5748</v>
      </c>
      <c r="C276">
        <f>MATCH(A276,mapCOM!A$2:A$1107,0)</f>
        <v>448</v>
      </c>
      <c r="H276" t="s">
        <v>3650</v>
      </c>
      <c r="I276" t="s">
        <v>3651</v>
      </c>
      <c r="J276">
        <f>MATCH(H276,mapCOM!$A$2:$A$1107,0)</f>
        <v>341</v>
      </c>
    </row>
    <row r="277" spans="1:10" x14ac:dyDescent="0.25">
      <c r="A277" t="s">
        <v>1950</v>
      </c>
      <c r="B277" t="s">
        <v>5749</v>
      </c>
      <c r="C277">
        <f>MATCH(A277,mapCOM!A$2:A$1107,0)</f>
        <v>450</v>
      </c>
      <c r="H277" t="s">
        <v>2074</v>
      </c>
      <c r="I277" t="s">
        <v>2235</v>
      </c>
      <c r="J277">
        <f>MATCH(H277,mapCOM!$A$2:$A$1107,0)</f>
        <v>342</v>
      </c>
    </row>
    <row r="278" spans="1:10" x14ac:dyDescent="0.25">
      <c r="A278" t="s">
        <v>1948</v>
      </c>
      <c r="B278" t="s">
        <v>5750</v>
      </c>
      <c r="C278">
        <f>MATCH(A278,mapCOM!A$2:A$1107,0)</f>
        <v>451</v>
      </c>
      <c r="H278" t="s">
        <v>3652</v>
      </c>
      <c r="I278" t="s">
        <v>3653</v>
      </c>
      <c r="J278">
        <f>MATCH(H278,mapCOM!$A$2:$A$1107,0)</f>
        <v>343</v>
      </c>
    </row>
    <row r="279" spans="1:10" x14ac:dyDescent="0.25">
      <c r="A279" t="s">
        <v>1947</v>
      </c>
      <c r="B279" t="s">
        <v>5751</v>
      </c>
      <c r="C279">
        <f>MATCH(A279,mapCOM!A$2:A$1107,0)</f>
        <v>452</v>
      </c>
      <c r="H279" t="s">
        <v>2071</v>
      </c>
      <c r="I279" t="s">
        <v>2234</v>
      </c>
      <c r="J279">
        <f>MATCH(H279,mapCOM!$A$2:$A$1107,0)</f>
        <v>345</v>
      </c>
    </row>
    <row r="280" spans="1:10" x14ac:dyDescent="0.25">
      <c r="A280" t="s">
        <v>1946</v>
      </c>
      <c r="B280" t="s">
        <v>5751</v>
      </c>
      <c r="C280">
        <f>MATCH(A280,mapCOM!A$2:A$1107,0)</f>
        <v>453</v>
      </c>
      <c r="H280" t="s">
        <v>2068</v>
      </c>
      <c r="I280" t="s">
        <v>2233</v>
      </c>
      <c r="J280">
        <f>MATCH(H280,mapCOM!$A$2:$A$1107,0)</f>
        <v>346</v>
      </c>
    </row>
    <row r="281" spans="1:10" x14ac:dyDescent="0.25">
      <c r="A281" t="s">
        <v>1941</v>
      </c>
      <c r="B281" t="s">
        <v>5748</v>
      </c>
      <c r="C281">
        <f>MATCH(A281,mapCOM!A$2:A$1107,0)</f>
        <v>456</v>
      </c>
      <c r="H281" t="s">
        <v>2232</v>
      </c>
      <c r="I281" t="s">
        <v>2231</v>
      </c>
      <c r="J281">
        <f>MATCH(H281,mapCOM!$A$2:$A$1107,0)</f>
        <v>347</v>
      </c>
    </row>
    <row r="282" spans="1:10" x14ac:dyDescent="0.25">
      <c r="A282" t="s">
        <v>1936</v>
      </c>
      <c r="B282" t="s">
        <v>5752</v>
      </c>
      <c r="C282">
        <f>MATCH(A282,mapCOM!A$2:A$1107,0)</f>
        <v>459</v>
      </c>
      <c r="H282" t="s">
        <v>2230</v>
      </c>
      <c r="I282" t="s">
        <v>2229</v>
      </c>
      <c r="J282">
        <f>MATCH(H282,mapCOM!$A$2:$A$1107,0)</f>
        <v>348</v>
      </c>
    </row>
    <row r="283" spans="1:10" x14ac:dyDescent="0.25">
      <c r="A283" t="s">
        <v>1935</v>
      </c>
      <c r="B283" t="s">
        <v>5753</v>
      </c>
      <c r="C283">
        <f>MATCH(A283,mapCOM!A$2:A$1107,0)</f>
        <v>460</v>
      </c>
      <c r="H283" t="s">
        <v>2228</v>
      </c>
      <c r="I283" t="s">
        <v>2227</v>
      </c>
      <c r="J283">
        <f>MATCH(H283,mapCOM!$A$2:$A$1107,0)</f>
        <v>349</v>
      </c>
    </row>
    <row r="284" spans="1:10" x14ac:dyDescent="0.25">
      <c r="A284" t="s">
        <v>1934</v>
      </c>
      <c r="B284" t="s">
        <v>5754</v>
      </c>
      <c r="C284">
        <f>MATCH(A284,mapCOM!A$2:A$1107,0)</f>
        <v>461</v>
      </c>
      <c r="H284" t="s">
        <v>2226</v>
      </c>
      <c r="I284" t="s">
        <v>2225</v>
      </c>
      <c r="J284">
        <f>MATCH(H284,mapCOM!$A$2:$A$1107,0)</f>
        <v>350</v>
      </c>
    </row>
    <row r="285" spans="1:10" x14ac:dyDescent="0.25">
      <c r="A285" t="s">
        <v>1931</v>
      </c>
      <c r="B285" t="s">
        <v>5755</v>
      </c>
      <c r="C285">
        <f>MATCH(A285,mapCOM!A$2:A$1107,0)</f>
        <v>463</v>
      </c>
      <c r="H285" t="s">
        <v>2224</v>
      </c>
      <c r="I285" t="s">
        <v>2223</v>
      </c>
      <c r="J285">
        <f>MATCH(H285,mapCOM!$A$2:$A$1107,0)</f>
        <v>351</v>
      </c>
    </row>
    <row r="286" spans="1:10" x14ac:dyDescent="0.25">
      <c r="A286" t="s">
        <v>1929</v>
      </c>
      <c r="B286" t="s">
        <v>5756</v>
      </c>
      <c r="C286">
        <f>MATCH(A286,mapCOM!A$2:A$1107,0)</f>
        <v>464</v>
      </c>
      <c r="H286" t="s">
        <v>2222</v>
      </c>
      <c r="I286" t="s">
        <v>2221</v>
      </c>
      <c r="J286">
        <f>MATCH(H286,mapCOM!$A$2:$A$1107,0)</f>
        <v>352</v>
      </c>
    </row>
    <row r="287" spans="1:10" x14ac:dyDescent="0.25">
      <c r="A287" t="s">
        <v>1928</v>
      </c>
      <c r="B287" t="s">
        <v>5757</v>
      </c>
      <c r="C287">
        <f>MATCH(A287,mapCOM!A$2:A$1107,0)</f>
        <v>465</v>
      </c>
      <c r="H287" t="s">
        <v>2220</v>
      </c>
      <c r="I287" t="s">
        <v>2219</v>
      </c>
      <c r="J287">
        <f>MATCH(H287,mapCOM!$A$2:$A$1107,0)</f>
        <v>353</v>
      </c>
    </row>
    <row r="288" spans="1:10" x14ac:dyDescent="0.25">
      <c r="A288" t="s">
        <v>1927</v>
      </c>
      <c r="B288" t="s">
        <v>5757</v>
      </c>
      <c r="C288">
        <f>MATCH(A288,mapCOM!A$2:A$1107,0)</f>
        <v>466</v>
      </c>
      <c r="H288" t="s">
        <v>2218</v>
      </c>
      <c r="I288" t="s">
        <v>2217</v>
      </c>
      <c r="J288">
        <f>MATCH(H288,mapCOM!$A$2:$A$1107,0)</f>
        <v>355</v>
      </c>
    </row>
    <row r="289" spans="1:10" x14ac:dyDescent="0.25">
      <c r="A289" t="s">
        <v>1923</v>
      </c>
      <c r="B289" t="s">
        <v>5754</v>
      </c>
      <c r="C289">
        <f>MATCH(A289,mapCOM!A$2:A$1107,0)</f>
        <v>469</v>
      </c>
      <c r="H289" t="s">
        <v>2407</v>
      </c>
      <c r="I289" t="s">
        <v>2406</v>
      </c>
      <c r="J289">
        <f>MATCH(H289,mapCOM!$A$2:$A$1107,0)</f>
        <v>356</v>
      </c>
    </row>
    <row r="290" spans="1:10" x14ac:dyDescent="0.25">
      <c r="A290" t="s">
        <v>2124</v>
      </c>
      <c r="B290" t="s">
        <v>2122</v>
      </c>
      <c r="C290">
        <f>MATCH(A290,mapCOM!A$2:A$1107,0)</f>
        <v>472</v>
      </c>
      <c r="H290" t="s">
        <v>1663</v>
      </c>
      <c r="I290" t="s">
        <v>1662</v>
      </c>
      <c r="J290">
        <f>MATCH(H290,mapCOM!$A$2:$A$1107,0)</f>
        <v>359</v>
      </c>
    </row>
    <row r="291" spans="1:10" x14ac:dyDescent="0.25">
      <c r="A291" t="s">
        <v>2059</v>
      </c>
      <c r="B291" t="s">
        <v>5758</v>
      </c>
      <c r="C291">
        <f>MATCH(A291,mapCOM!A$2:A$1107,0)</f>
        <v>473</v>
      </c>
      <c r="H291" t="s">
        <v>1661</v>
      </c>
      <c r="I291" t="s">
        <v>1660</v>
      </c>
      <c r="J291">
        <f>MATCH(H291,mapCOM!$A$2:$A$1107,0)</f>
        <v>360</v>
      </c>
    </row>
    <row r="292" spans="1:10" x14ac:dyDescent="0.25">
      <c r="A292" t="s">
        <v>3088</v>
      </c>
      <c r="B292" t="s">
        <v>5759</v>
      </c>
      <c r="C292">
        <f>MATCH(A292,mapCOM!A$2:A$1107,0)</f>
        <v>474</v>
      </c>
      <c r="H292" t="s">
        <v>1659</v>
      </c>
      <c r="I292" t="s">
        <v>1658</v>
      </c>
      <c r="J292">
        <f>MATCH(H292,mapCOM!$A$2:$A$1107,0)</f>
        <v>361</v>
      </c>
    </row>
    <row r="293" spans="1:10" x14ac:dyDescent="0.25">
      <c r="A293" t="s">
        <v>3090</v>
      </c>
      <c r="B293" t="s">
        <v>5760</v>
      </c>
      <c r="C293">
        <f>MATCH(A293,mapCOM!A$2:A$1107,0)</f>
        <v>475</v>
      </c>
      <c r="H293" t="s">
        <v>1657</v>
      </c>
      <c r="I293" t="s">
        <v>1656</v>
      </c>
      <c r="J293">
        <f>MATCH(H293,mapCOM!$A$2:$A$1107,0)</f>
        <v>362</v>
      </c>
    </row>
    <row r="294" spans="1:10" x14ac:dyDescent="0.25">
      <c r="A294" t="s">
        <v>1916</v>
      </c>
      <c r="B294" t="s">
        <v>5761</v>
      </c>
      <c r="C294">
        <f>MATCH(A294,mapCOM!A$2:A$1107,0)</f>
        <v>477</v>
      </c>
      <c r="H294" t="s">
        <v>2216</v>
      </c>
      <c r="I294" t="s">
        <v>237</v>
      </c>
      <c r="J294">
        <f>MATCH(H294,mapCOM!$A$2:$A$1107,0)</f>
        <v>363</v>
      </c>
    </row>
    <row r="295" spans="1:10" x14ac:dyDescent="0.25">
      <c r="A295" t="s">
        <v>1914</v>
      </c>
      <c r="B295" t="s">
        <v>5762</v>
      </c>
      <c r="C295">
        <f>MATCH(A295,mapCOM!A$2:A$1107,0)</f>
        <v>478</v>
      </c>
      <c r="H295" t="s">
        <v>2215</v>
      </c>
      <c r="I295" t="s">
        <v>235</v>
      </c>
      <c r="J295">
        <f>MATCH(H295,mapCOM!$A$2:$A$1107,0)</f>
        <v>364</v>
      </c>
    </row>
    <row r="296" spans="1:10" x14ac:dyDescent="0.25">
      <c r="A296" t="s">
        <v>1912</v>
      </c>
      <c r="B296" t="s">
        <v>5763</v>
      </c>
      <c r="C296">
        <f>MATCH(A296,mapCOM!A$2:A$1107,0)</f>
        <v>479</v>
      </c>
      <c r="H296" t="s">
        <v>2213</v>
      </c>
      <c r="I296" t="s">
        <v>233</v>
      </c>
      <c r="J296">
        <f>MATCH(H296,mapCOM!$A$2:$A$1107,0)</f>
        <v>365</v>
      </c>
    </row>
    <row r="297" spans="1:10" x14ac:dyDescent="0.25">
      <c r="A297" t="s">
        <v>1910</v>
      </c>
      <c r="B297" t="s">
        <v>5764</v>
      </c>
      <c r="C297">
        <f>MATCH(A297,mapCOM!A$2:A$1107,0)</f>
        <v>480</v>
      </c>
      <c r="H297" t="s">
        <v>2212</v>
      </c>
      <c r="I297" t="s">
        <v>231</v>
      </c>
      <c r="J297">
        <f>MATCH(H297,mapCOM!$A$2:$A$1107,0)</f>
        <v>366</v>
      </c>
    </row>
    <row r="298" spans="1:10" x14ac:dyDescent="0.25">
      <c r="A298" t="s">
        <v>1908</v>
      </c>
      <c r="B298" t="s">
        <v>5765</v>
      </c>
      <c r="C298">
        <f>MATCH(A298,mapCOM!A$2:A$1107,0)</f>
        <v>481</v>
      </c>
      <c r="H298" t="s">
        <v>2211</v>
      </c>
      <c r="I298" t="s">
        <v>2210</v>
      </c>
      <c r="J298">
        <f>MATCH(H298,mapCOM!$A$2:$A$1107,0)</f>
        <v>367</v>
      </c>
    </row>
    <row r="299" spans="1:10" x14ac:dyDescent="0.25">
      <c r="A299" t="s">
        <v>1906</v>
      </c>
      <c r="B299" t="s">
        <v>5766</v>
      </c>
      <c r="C299">
        <f>MATCH(A299,mapCOM!A$2:A$1107,0)</f>
        <v>482</v>
      </c>
      <c r="H299" t="s">
        <v>2208</v>
      </c>
      <c r="I299" t="s">
        <v>2207</v>
      </c>
      <c r="J299">
        <f>MATCH(H299,mapCOM!$A$2:$A$1107,0)</f>
        <v>368</v>
      </c>
    </row>
    <row r="300" spans="1:10" x14ac:dyDescent="0.25">
      <c r="A300" t="s">
        <v>1904</v>
      </c>
      <c r="B300" t="s">
        <v>5767</v>
      </c>
      <c r="C300">
        <f>MATCH(A300,mapCOM!A$2:A$1107,0)</f>
        <v>483</v>
      </c>
      <c r="H300" t="s">
        <v>2206</v>
      </c>
      <c r="I300" t="s">
        <v>229</v>
      </c>
      <c r="J300">
        <f>MATCH(H300,mapCOM!$A$2:$A$1107,0)</f>
        <v>369</v>
      </c>
    </row>
    <row r="301" spans="1:10" x14ac:dyDescent="0.25">
      <c r="A301" t="s">
        <v>1902</v>
      </c>
      <c r="B301" t="s">
        <v>5768</v>
      </c>
      <c r="C301">
        <f>MATCH(A301,mapCOM!A$2:A$1107,0)</f>
        <v>484</v>
      </c>
      <c r="H301" t="s">
        <v>2204</v>
      </c>
      <c r="I301" t="s">
        <v>225</v>
      </c>
      <c r="J301">
        <f>MATCH(H301,mapCOM!$A$2:$A$1107,0)</f>
        <v>370</v>
      </c>
    </row>
    <row r="302" spans="1:10" x14ac:dyDescent="0.25">
      <c r="A302" t="s">
        <v>1900</v>
      </c>
      <c r="B302" t="s">
        <v>5769</v>
      </c>
      <c r="C302">
        <f>MATCH(A302,mapCOM!A$2:A$1107,0)</f>
        <v>485</v>
      </c>
      <c r="H302" t="s">
        <v>3003</v>
      </c>
      <c r="I302" t="s">
        <v>3630</v>
      </c>
      <c r="J302">
        <f>MATCH(H302,mapCOM!$A$2:$A$1107,0)</f>
        <v>371</v>
      </c>
    </row>
    <row r="303" spans="1:10" x14ac:dyDescent="0.25">
      <c r="A303" t="s">
        <v>1898</v>
      </c>
      <c r="B303" t="s">
        <v>5770</v>
      </c>
      <c r="C303">
        <f>MATCH(A303,mapCOM!A$2:A$1107,0)</f>
        <v>486</v>
      </c>
      <c r="H303" t="s">
        <v>3005</v>
      </c>
      <c r="I303" t="s">
        <v>3631</v>
      </c>
      <c r="J303">
        <f>MATCH(H303,mapCOM!$A$2:$A$1107,0)</f>
        <v>372</v>
      </c>
    </row>
    <row r="304" spans="1:10" x14ac:dyDescent="0.25">
      <c r="A304" t="s">
        <v>1896</v>
      </c>
      <c r="B304" t="s">
        <v>5771</v>
      </c>
      <c r="C304">
        <f>MATCH(A304,mapCOM!A$2:A$1107,0)</f>
        <v>487</v>
      </c>
      <c r="H304" t="s">
        <v>3007</v>
      </c>
      <c r="I304" t="s">
        <v>3632</v>
      </c>
      <c r="J304">
        <f>MATCH(H304,mapCOM!$A$2:$A$1107,0)</f>
        <v>373</v>
      </c>
    </row>
    <row r="305" spans="1:10" x14ac:dyDescent="0.25">
      <c r="A305" t="s">
        <v>1894</v>
      </c>
      <c r="B305" t="s">
        <v>5772</v>
      </c>
      <c r="C305">
        <f>MATCH(A305,mapCOM!A$2:A$1107,0)</f>
        <v>488</v>
      </c>
      <c r="H305" t="s">
        <v>3009</v>
      </c>
      <c r="I305" t="s">
        <v>3633</v>
      </c>
      <c r="J305">
        <f>MATCH(H305,mapCOM!$A$2:$A$1107,0)</f>
        <v>374</v>
      </c>
    </row>
    <row r="306" spans="1:10" x14ac:dyDescent="0.25">
      <c r="A306" t="s">
        <v>1892</v>
      </c>
      <c r="B306" t="s">
        <v>5773</v>
      </c>
      <c r="C306">
        <f>MATCH(A306,mapCOM!A$2:A$1107,0)</f>
        <v>489</v>
      </c>
      <c r="H306" t="s">
        <v>3011</v>
      </c>
      <c r="I306" t="s">
        <v>3634</v>
      </c>
      <c r="J306">
        <f>MATCH(H306,mapCOM!$A$2:$A$1107,0)</f>
        <v>375</v>
      </c>
    </row>
    <row r="307" spans="1:10" x14ac:dyDescent="0.25">
      <c r="A307" t="s">
        <v>1890</v>
      </c>
      <c r="B307" t="s">
        <v>5774</v>
      </c>
      <c r="C307">
        <f>MATCH(A307,mapCOM!A$2:A$1107,0)</f>
        <v>490</v>
      </c>
      <c r="H307" t="s">
        <v>3013</v>
      </c>
      <c r="I307" t="s">
        <v>3635</v>
      </c>
      <c r="J307">
        <f>MATCH(H307,mapCOM!$A$2:$A$1107,0)</f>
        <v>376</v>
      </c>
    </row>
    <row r="308" spans="1:10" x14ac:dyDescent="0.25">
      <c r="A308" t="s">
        <v>1888</v>
      </c>
      <c r="B308" t="s">
        <v>5775</v>
      </c>
      <c r="C308">
        <f>MATCH(A308,mapCOM!A$2:A$1107,0)</f>
        <v>491</v>
      </c>
      <c r="H308" t="s">
        <v>3015</v>
      </c>
      <c r="I308" t="s">
        <v>3636</v>
      </c>
      <c r="J308">
        <f>MATCH(H308,mapCOM!$A$2:$A$1107,0)</f>
        <v>377</v>
      </c>
    </row>
    <row r="309" spans="1:10" x14ac:dyDescent="0.25">
      <c r="A309" t="s">
        <v>1886</v>
      </c>
      <c r="B309" t="s">
        <v>5776</v>
      </c>
      <c r="C309">
        <f>MATCH(A309,mapCOM!A$2:A$1107,0)</f>
        <v>492</v>
      </c>
      <c r="H309" t="s">
        <v>3017</v>
      </c>
      <c r="I309" t="s">
        <v>3637</v>
      </c>
      <c r="J309">
        <f>MATCH(H309,mapCOM!$A$2:$A$1107,0)</f>
        <v>378</v>
      </c>
    </row>
    <row r="310" spans="1:10" x14ac:dyDescent="0.25">
      <c r="A310" t="s">
        <v>1884</v>
      </c>
      <c r="B310" t="s">
        <v>5777</v>
      </c>
      <c r="C310">
        <f>MATCH(A310,mapCOM!A$2:A$1107,0)</f>
        <v>493</v>
      </c>
      <c r="H310" t="s">
        <v>3029</v>
      </c>
      <c r="I310" t="s">
        <v>3638</v>
      </c>
      <c r="J310">
        <f>MATCH(H310,mapCOM!$A$2:$A$1107,0)</f>
        <v>379</v>
      </c>
    </row>
    <row r="311" spans="1:10" x14ac:dyDescent="0.25">
      <c r="A311" t="s">
        <v>1882</v>
      </c>
      <c r="B311" t="s">
        <v>5778</v>
      </c>
      <c r="C311">
        <f>MATCH(A311,mapCOM!A$2:A$1107,0)</f>
        <v>494</v>
      </c>
      <c r="H311" t="s">
        <v>3019</v>
      </c>
      <c r="I311" t="s">
        <v>3639</v>
      </c>
      <c r="J311">
        <f>MATCH(H311,mapCOM!$A$2:$A$1107,0)</f>
        <v>380</v>
      </c>
    </row>
    <row r="312" spans="1:10" x14ac:dyDescent="0.25">
      <c r="A312" t="s">
        <v>1880</v>
      </c>
      <c r="B312" t="s">
        <v>5779</v>
      </c>
      <c r="C312">
        <f>MATCH(A312,mapCOM!A$2:A$1107,0)</f>
        <v>495</v>
      </c>
      <c r="H312" t="s">
        <v>3021</v>
      </c>
      <c r="I312" t="s">
        <v>3640</v>
      </c>
      <c r="J312">
        <f>MATCH(H312,mapCOM!$A$2:$A$1107,0)</f>
        <v>381</v>
      </c>
    </row>
    <row r="313" spans="1:10" x14ac:dyDescent="0.25">
      <c r="A313" t="s">
        <v>1878</v>
      </c>
      <c r="B313" t="s">
        <v>5780</v>
      </c>
      <c r="C313">
        <f>MATCH(A313,mapCOM!A$2:A$1107,0)</f>
        <v>496</v>
      </c>
      <c r="H313" t="s">
        <v>3023</v>
      </c>
      <c r="I313" t="s">
        <v>3641</v>
      </c>
      <c r="J313">
        <f>MATCH(H313,mapCOM!$A$2:$A$1107,0)</f>
        <v>382</v>
      </c>
    </row>
    <row r="314" spans="1:10" x14ac:dyDescent="0.25">
      <c r="A314" t="s">
        <v>1876</v>
      </c>
      <c r="B314" t="s">
        <v>5781</v>
      </c>
      <c r="C314">
        <f>MATCH(A314,mapCOM!A$2:A$1107,0)</f>
        <v>497</v>
      </c>
      <c r="H314" t="s">
        <v>3025</v>
      </c>
      <c r="I314" t="s">
        <v>3642</v>
      </c>
      <c r="J314">
        <f>MATCH(H314,mapCOM!$A$2:$A$1107,0)</f>
        <v>383</v>
      </c>
    </row>
    <row r="315" spans="1:10" x14ac:dyDescent="0.25">
      <c r="A315" t="s">
        <v>1874</v>
      </c>
      <c r="B315" t="s">
        <v>5782</v>
      </c>
      <c r="C315">
        <f>MATCH(A315,mapCOM!A$2:A$1107,0)</f>
        <v>498</v>
      </c>
      <c r="H315" t="s">
        <v>3031</v>
      </c>
      <c r="I315" t="s">
        <v>3643</v>
      </c>
      <c r="J315">
        <f>MATCH(H315,mapCOM!$A$2:$A$1107,0)</f>
        <v>384</v>
      </c>
    </row>
    <row r="316" spans="1:10" x14ac:dyDescent="0.25">
      <c r="A316" t="s">
        <v>1872</v>
      </c>
      <c r="B316" t="s">
        <v>5783</v>
      </c>
      <c r="C316">
        <f>MATCH(A316,mapCOM!A$2:A$1107,0)</f>
        <v>499</v>
      </c>
      <c r="H316" t="s">
        <v>3027</v>
      </c>
      <c r="I316" t="s">
        <v>3644</v>
      </c>
      <c r="J316">
        <f>MATCH(H316,mapCOM!$A$2:$A$1107,0)</f>
        <v>385</v>
      </c>
    </row>
    <row r="317" spans="1:10" x14ac:dyDescent="0.25">
      <c r="A317" t="s">
        <v>2114</v>
      </c>
      <c r="B317" t="s">
        <v>5521</v>
      </c>
      <c r="C317">
        <f>MATCH(A317,mapCOM!A$2:A$1107,0)</f>
        <v>504</v>
      </c>
      <c r="H317" t="s">
        <v>2203</v>
      </c>
      <c r="I317" t="s">
        <v>2202</v>
      </c>
      <c r="J317">
        <f>MATCH(H317,mapCOM!$A$2:$A$1107,0)</f>
        <v>387</v>
      </c>
    </row>
    <row r="318" spans="1:10" x14ac:dyDescent="0.25">
      <c r="A318" t="s">
        <v>2113</v>
      </c>
      <c r="B318" t="s">
        <v>5522</v>
      </c>
      <c r="C318">
        <f>MATCH(A318,mapCOM!A$2:A$1107,0)</f>
        <v>505</v>
      </c>
      <c r="H318" t="s">
        <v>2200</v>
      </c>
      <c r="I318" t="s">
        <v>2199</v>
      </c>
      <c r="J318">
        <f>MATCH(H318,mapCOM!$A$2:$A$1107,0)</f>
        <v>388</v>
      </c>
    </row>
    <row r="319" spans="1:10" x14ac:dyDescent="0.25">
      <c r="A319" t="s">
        <v>2112</v>
      </c>
      <c r="B319" t="s">
        <v>5523</v>
      </c>
      <c r="C319">
        <f>MATCH(A319,mapCOM!A$2:A$1107,0)</f>
        <v>506</v>
      </c>
      <c r="H319" t="s">
        <v>2198</v>
      </c>
      <c r="I319" t="s">
        <v>2197</v>
      </c>
      <c r="J319">
        <f>MATCH(H319,mapCOM!$A$2:$A$1107,0)</f>
        <v>389</v>
      </c>
    </row>
    <row r="320" spans="1:10" x14ac:dyDescent="0.25">
      <c r="A320" t="s">
        <v>2105</v>
      </c>
      <c r="B320" t="s">
        <v>5524</v>
      </c>
      <c r="C320">
        <f>MATCH(A320,mapCOM!A$2:A$1107,0)</f>
        <v>511</v>
      </c>
      <c r="H320" t="s">
        <v>2195</v>
      </c>
      <c r="I320" t="s">
        <v>2194</v>
      </c>
      <c r="J320">
        <f>MATCH(H320,mapCOM!$A$2:$A$1107,0)</f>
        <v>390</v>
      </c>
    </row>
    <row r="321" spans="1:10" x14ac:dyDescent="0.25">
      <c r="A321" t="s">
        <v>2102</v>
      </c>
      <c r="B321" t="s">
        <v>5525</v>
      </c>
      <c r="C321">
        <f>MATCH(A321,mapCOM!A$2:A$1107,0)</f>
        <v>512</v>
      </c>
      <c r="H321" t="s">
        <v>2193</v>
      </c>
      <c r="I321" t="s">
        <v>219</v>
      </c>
      <c r="J321">
        <f>MATCH(H321,mapCOM!$A$2:$A$1107,0)</f>
        <v>391</v>
      </c>
    </row>
    <row r="322" spans="1:10" x14ac:dyDescent="0.25">
      <c r="A322" t="s">
        <v>2101</v>
      </c>
      <c r="B322" t="s">
        <v>5526</v>
      </c>
      <c r="C322">
        <f>MATCH(A322,mapCOM!A$2:A$1107,0)</f>
        <v>513</v>
      </c>
      <c r="H322" t="s">
        <v>2192</v>
      </c>
      <c r="I322" t="s">
        <v>217</v>
      </c>
      <c r="J322">
        <f>MATCH(H322,mapCOM!$A$2:$A$1107,0)</f>
        <v>393</v>
      </c>
    </row>
    <row r="323" spans="1:10" x14ac:dyDescent="0.25">
      <c r="A323" t="s">
        <v>2100</v>
      </c>
      <c r="B323" t="s">
        <v>5527</v>
      </c>
      <c r="C323">
        <f>MATCH(A323,mapCOM!A$2:A$1107,0)</f>
        <v>514</v>
      </c>
      <c r="H323" t="s">
        <v>2191</v>
      </c>
      <c r="I323" t="s">
        <v>215</v>
      </c>
      <c r="J323">
        <f>MATCH(H323,mapCOM!$A$2:$A$1107,0)</f>
        <v>394</v>
      </c>
    </row>
    <row r="324" spans="1:10" x14ac:dyDescent="0.25">
      <c r="A324" t="s">
        <v>2099</v>
      </c>
      <c r="B324" t="s">
        <v>5528</v>
      </c>
      <c r="C324">
        <f>MATCH(A324,mapCOM!A$2:A$1107,0)</f>
        <v>515</v>
      </c>
      <c r="H324" t="s">
        <v>2190</v>
      </c>
      <c r="I324" t="s">
        <v>213</v>
      </c>
      <c r="J324">
        <f>MATCH(H324,mapCOM!$A$2:$A$1107,0)</f>
        <v>395</v>
      </c>
    </row>
    <row r="325" spans="1:10" x14ac:dyDescent="0.25">
      <c r="A325" t="s">
        <v>1870</v>
      </c>
      <c r="B325" t="s">
        <v>5784</v>
      </c>
      <c r="C325">
        <f>MATCH(A325,mapCOM!A$2:A$1107,0)</f>
        <v>518</v>
      </c>
      <c r="H325" t="s">
        <v>2189</v>
      </c>
      <c r="I325" t="s">
        <v>211</v>
      </c>
      <c r="J325">
        <f>MATCH(H325,mapCOM!$A$2:$A$1107,0)</f>
        <v>396</v>
      </c>
    </row>
    <row r="326" spans="1:10" x14ac:dyDescent="0.25">
      <c r="A326" t="s">
        <v>5785</v>
      </c>
      <c r="B326" t="s">
        <v>5786</v>
      </c>
      <c r="C326" t="e">
        <f>MATCH(A326,mapCOM!A$2:A$1107,0)</f>
        <v>#N/A</v>
      </c>
      <c r="H326" t="s">
        <v>2188</v>
      </c>
      <c r="I326" t="s">
        <v>209</v>
      </c>
      <c r="J326">
        <f>MATCH(H326,mapCOM!$A$2:$A$1107,0)</f>
        <v>397</v>
      </c>
    </row>
    <row r="327" spans="1:10" x14ac:dyDescent="0.25">
      <c r="A327" t="s">
        <v>5787</v>
      </c>
      <c r="B327" t="s">
        <v>5788</v>
      </c>
      <c r="C327" t="e">
        <f>MATCH(A327,mapCOM!A$2:A$1107,0)</f>
        <v>#N/A</v>
      </c>
      <c r="H327" t="s">
        <v>2187</v>
      </c>
      <c r="I327" t="s">
        <v>207</v>
      </c>
      <c r="J327">
        <f>MATCH(H327,mapCOM!$A$2:$A$1107,0)</f>
        <v>398</v>
      </c>
    </row>
    <row r="328" spans="1:10" x14ac:dyDescent="0.25">
      <c r="A328" t="s">
        <v>5789</v>
      </c>
      <c r="B328" t="s">
        <v>5790</v>
      </c>
      <c r="C328" t="e">
        <f>MATCH(A328,mapCOM!A$2:A$1107,0)</f>
        <v>#N/A</v>
      </c>
      <c r="H328" t="s">
        <v>3602</v>
      </c>
      <c r="I328" t="s">
        <v>3463</v>
      </c>
      <c r="J328">
        <f>MATCH(H328,mapCOM!$A$2:$A$1107,0)</f>
        <v>399</v>
      </c>
    </row>
    <row r="329" spans="1:10" x14ac:dyDescent="0.25">
      <c r="A329" t="s">
        <v>5791</v>
      </c>
      <c r="B329" t="s">
        <v>5792</v>
      </c>
      <c r="C329" t="e">
        <f>MATCH(A329,mapCOM!A$2:A$1107,0)</f>
        <v>#N/A</v>
      </c>
      <c r="H329" t="s">
        <v>2186</v>
      </c>
      <c r="I329" t="s">
        <v>205</v>
      </c>
      <c r="J329">
        <f>MATCH(H329,mapCOM!$A$2:$A$1107,0)</f>
        <v>400</v>
      </c>
    </row>
    <row r="330" spans="1:10" x14ac:dyDescent="0.25">
      <c r="A330" t="s">
        <v>2093</v>
      </c>
      <c r="B330" t="s">
        <v>5529</v>
      </c>
      <c r="C330">
        <f>MATCH(A330,mapCOM!A$2:A$1107,0)</f>
        <v>519</v>
      </c>
      <c r="H330" t="s">
        <v>2184</v>
      </c>
      <c r="I330" t="s">
        <v>2183</v>
      </c>
      <c r="J330">
        <f>MATCH(H330,mapCOM!$A$2:$A$1107,0)</f>
        <v>401</v>
      </c>
    </row>
    <row r="331" spans="1:10" x14ac:dyDescent="0.25">
      <c r="A331" t="s">
        <v>2092</v>
      </c>
      <c r="B331" t="s">
        <v>5530</v>
      </c>
      <c r="C331">
        <f>MATCH(A331,mapCOM!A$2:A$1107,0)</f>
        <v>520</v>
      </c>
      <c r="H331" t="s">
        <v>2181</v>
      </c>
      <c r="I331" t="s">
        <v>2180</v>
      </c>
      <c r="J331">
        <f>MATCH(H331,mapCOM!$A$2:$A$1107,0)</f>
        <v>402</v>
      </c>
    </row>
    <row r="332" spans="1:10" x14ac:dyDescent="0.25">
      <c r="A332" t="s">
        <v>2088</v>
      </c>
      <c r="B332" t="s">
        <v>5531</v>
      </c>
      <c r="C332">
        <f>MATCH(A332,mapCOM!A$2:A$1107,0)</f>
        <v>522</v>
      </c>
      <c r="H332" t="s">
        <v>2179</v>
      </c>
      <c r="I332" t="s">
        <v>2178</v>
      </c>
      <c r="J332">
        <f>MATCH(H332,mapCOM!$A$2:$A$1107,0)</f>
        <v>403</v>
      </c>
    </row>
    <row r="333" spans="1:10" x14ac:dyDescent="0.25">
      <c r="A333" t="s">
        <v>5793</v>
      </c>
      <c r="B333" t="s">
        <v>5533</v>
      </c>
      <c r="C333">
        <f>MATCH(A333,mapCOM!A$2:A$1107,0)</f>
        <v>523</v>
      </c>
      <c r="D333">
        <v>1</v>
      </c>
      <c r="H333" t="s">
        <v>2176</v>
      </c>
      <c r="I333" t="s">
        <v>2175</v>
      </c>
      <c r="J333">
        <f>MATCH(H333,mapCOM!$A$2:$A$1107,0)</f>
        <v>404</v>
      </c>
    </row>
    <row r="334" spans="1:10" x14ac:dyDescent="0.25">
      <c r="A334" t="s">
        <v>2081</v>
      </c>
      <c r="B334" t="s">
        <v>5794</v>
      </c>
      <c r="C334">
        <f>MATCH(A334,mapCOM!A$2:A$1107,0)</f>
        <v>526</v>
      </c>
      <c r="H334" t="s">
        <v>2174</v>
      </c>
      <c r="I334" t="s">
        <v>2173</v>
      </c>
      <c r="J334">
        <f>MATCH(H334,mapCOM!$A$2:$A$1107,0)</f>
        <v>406</v>
      </c>
    </row>
    <row r="335" spans="1:10" x14ac:dyDescent="0.25">
      <c r="A335" t="s">
        <v>2080</v>
      </c>
      <c r="B335" t="s">
        <v>5535</v>
      </c>
      <c r="C335">
        <f>MATCH(A335,mapCOM!A$2:A$1107,0)</f>
        <v>527</v>
      </c>
      <c r="H335" t="s">
        <v>2171</v>
      </c>
      <c r="I335" t="s">
        <v>2170</v>
      </c>
      <c r="J335">
        <f>MATCH(H335,mapCOM!$A$2:$A$1107,0)</f>
        <v>407</v>
      </c>
    </row>
    <row r="336" spans="1:10" x14ac:dyDescent="0.25">
      <c r="A336" t="s">
        <v>2079</v>
      </c>
      <c r="B336" t="s">
        <v>5536</v>
      </c>
      <c r="C336">
        <f>MATCH(A336,mapCOM!A$2:A$1107,0)</f>
        <v>528</v>
      </c>
      <c r="H336" t="s">
        <v>2169</v>
      </c>
      <c r="I336" t="s">
        <v>203</v>
      </c>
      <c r="J336">
        <f>MATCH(H336,mapCOM!$A$2:$A$1107,0)</f>
        <v>408</v>
      </c>
    </row>
    <row r="337" spans="1:10" x14ac:dyDescent="0.25">
      <c r="A337" t="s">
        <v>5795</v>
      </c>
      <c r="B337" t="s">
        <v>5538</v>
      </c>
      <c r="C337">
        <f>MATCH(A337,mapCOM!A$2:A$1107,0)</f>
        <v>529</v>
      </c>
      <c r="D337">
        <v>1</v>
      </c>
      <c r="H337" t="s">
        <v>2167</v>
      </c>
      <c r="I337" t="s">
        <v>201</v>
      </c>
      <c r="J337">
        <f>MATCH(H337,mapCOM!$A$2:$A$1107,0)</f>
        <v>409</v>
      </c>
    </row>
    <row r="338" spans="1:10" x14ac:dyDescent="0.25">
      <c r="A338" t="s">
        <v>2078</v>
      </c>
      <c r="B338" t="s">
        <v>5539</v>
      </c>
      <c r="C338">
        <f>MATCH(A338,mapCOM!A$2:A$1107,0)</f>
        <v>530</v>
      </c>
      <c r="H338" t="s">
        <v>3434</v>
      </c>
      <c r="I338" t="s">
        <v>3564</v>
      </c>
      <c r="J338">
        <f>MATCH(H338,mapCOM!$A$2:$A$1107,0)</f>
        <v>410</v>
      </c>
    </row>
    <row r="339" spans="1:10" x14ac:dyDescent="0.25">
      <c r="A339" t="s">
        <v>2077</v>
      </c>
      <c r="B339" t="s">
        <v>5540</v>
      </c>
      <c r="C339">
        <f>MATCH(A339,mapCOM!A$2:A$1107,0)</f>
        <v>531</v>
      </c>
      <c r="H339" t="s">
        <v>3435</v>
      </c>
      <c r="I339" t="s">
        <v>3565</v>
      </c>
      <c r="J339">
        <f>MATCH(H339,mapCOM!$A$2:$A$1107,0)</f>
        <v>411</v>
      </c>
    </row>
    <row r="340" spans="1:10" x14ac:dyDescent="0.25">
      <c r="A340" t="s">
        <v>3603</v>
      </c>
      <c r="B340" t="s">
        <v>5541</v>
      </c>
      <c r="C340">
        <f>MATCH(A340,mapCOM!A$2:A$1107,0)</f>
        <v>532</v>
      </c>
      <c r="H340" t="s">
        <v>2166</v>
      </c>
      <c r="I340" t="s">
        <v>2165</v>
      </c>
      <c r="J340">
        <f>MATCH(H340,mapCOM!$A$2:$A$1107,0)</f>
        <v>412</v>
      </c>
    </row>
    <row r="341" spans="1:10" x14ac:dyDescent="0.25">
      <c r="A341" t="s">
        <v>2067</v>
      </c>
      <c r="B341" t="s">
        <v>5542</v>
      </c>
      <c r="C341">
        <f>MATCH(A341,mapCOM!A$2:A$1107,0)</f>
        <v>536</v>
      </c>
      <c r="H341" t="s">
        <v>2163</v>
      </c>
      <c r="I341" t="s">
        <v>2162</v>
      </c>
      <c r="J341">
        <f>MATCH(H341,mapCOM!$A$2:$A$1107,0)</f>
        <v>413</v>
      </c>
    </row>
    <row r="342" spans="1:10" x14ac:dyDescent="0.25">
      <c r="A342" t="s">
        <v>2058</v>
      </c>
      <c r="B342" t="s">
        <v>1772</v>
      </c>
      <c r="C342">
        <f>MATCH(A342,mapCOM!A$2:A$1107,0)</f>
        <v>540</v>
      </c>
      <c r="H342" t="s">
        <v>2161</v>
      </c>
      <c r="I342" t="s">
        <v>199</v>
      </c>
      <c r="J342">
        <f>MATCH(H342,mapCOM!$A$2:$A$1107,0)</f>
        <v>414</v>
      </c>
    </row>
    <row r="343" spans="1:10" x14ac:dyDescent="0.25">
      <c r="A343" t="s">
        <v>2056</v>
      </c>
      <c r="B343" t="s">
        <v>2054</v>
      </c>
      <c r="C343">
        <f>MATCH(A343,mapCOM!A$2:A$1107,0)</f>
        <v>541</v>
      </c>
      <c r="H343" t="s">
        <v>2160</v>
      </c>
      <c r="I343" t="s">
        <v>2159</v>
      </c>
      <c r="J343">
        <f>MATCH(H343,mapCOM!$A$2:$A$1107,0)</f>
        <v>415</v>
      </c>
    </row>
    <row r="344" spans="1:10" x14ac:dyDescent="0.25">
      <c r="A344" t="s">
        <v>2052</v>
      </c>
      <c r="B344" t="s">
        <v>5049</v>
      </c>
      <c r="C344">
        <f>MATCH(A344,mapCOM!A$2:A$1107,0)</f>
        <v>542</v>
      </c>
      <c r="H344" t="s">
        <v>2157</v>
      </c>
      <c r="I344" t="s">
        <v>2156</v>
      </c>
      <c r="J344">
        <f>MATCH(H344,mapCOM!$A$2:$A$1107,0)</f>
        <v>416</v>
      </c>
    </row>
    <row r="345" spans="1:10" x14ac:dyDescent="0.25">
      <c r="A345" t="s">
        <v>1655</v>
      </c>
      <c r="B345" t="s">
        <v>5796</v>
      </c>
      <c r="C345">
        <f>MATCH(A345,mapCOM!A$2:A$1107,0)</f>
        <v>543</v>
      </c>
      <c r="H345" t="s">
        <v>2155</v>
      </c>
      <c r="I345" t="s">
        <v>197</v>
      </c>
      <c r="J345">
        <f>MATCH(H345,mapCOM!$A$2:$A$1107,0)</f>
        <v>417</v>
      </c>
    </row>
    <row r="346" spans="1:10" x14ac:dyDescent="0.25">
      <c r="A346" t="s">
        <v>2051</v>
      </c>
      <c r="B346" t="s">
        <v>5797</v>
      </c>
      <c r="C346">
        <f>MATCH(A346,mapCOM!A$2:A$1107,0)</f>
        <v>544</v>
      </c>
      <c r="H346" t="s">
        <v>2154</v>
      </c>
      <c r="I346" t="s">
        <v>195</v>
      </c>
      <c r="J346">
        <f>MATCH(H346,mapCOM!$A$2:$A$1107,0)</f>
        <v>419</v>
      </c>
    </row>
    <row r="347" spans="1:10" x14ac:dyDescent="0.25">
      <c r="A347" t="s">
        <v>1838</v>
      </c>
      <c r="B347" t="s">
        <v>1837</v>
      </c>
      <c r="C347">
        <f>MATCH(A347,mapCOM!A$2:A$1107,0)</f>
        <v>428</v>
      </c>
      <c r="H347" t="s">
        <v>1842</v>
      </c>
      <c r="I347" t="s">
        <v>1841</v>
      </c>
      <c r="J347">
        <f>MATCH(H347,mapCOM!$A$2:$A$1107,0)</f>
        <v>420</v>
      </c>
    </row>
    <row r="348" spans="1:10" x14ac:dyDescent="0.25">
      <c r="A348" t="s">
        <v>2138</v>
      </c>
      <c r="B348" t="s">
        <v>2137</v>
      </c>
      <c r="C348">
        <f>MATCH(A348,mapCOM!A$2:A$1107,0)</f>
        <v>429</v>
      </c>
      <c r="H348" t="s">
        <v>2150</v>
      </c>
      <c r="I348" t="s">
        <v>2149</v>
      </c>
      <c r="J348">
        <f>MATCH(H348,mapCOM!$A$2:$A$1107,0)</f>
        <v>421</v>
      </c>
    </row>
    <row r="349" spans="1:10" x14ac:dyDescent="0.25">
      <c r="A349" t="s">
        <v>2136</v>
      </c>
      <c r="B349" t="s">
        <v>2135</v>
      </c>
      <c r="C349">
        <f>MATCH(A349,mapCOM!A$2:A$1107,0)</f>
        <v>430</v>
      </c>
      <c r="H349" t="s">
        <v>2148</v>
      </c>
      <c r="I349" t="s">
        <v>2147</v>
      </c>
      <c r="J349">
        <f>MATCH(H349,mapCOM!$A$2:$A$1107,0)</f>
        <v>422</v>
      </c>
    </row>
    <row r="350" spans="1:10" x14ac:dyDescent="0.25">
      <c r="A350" t="s">
        <v>1836</v>
      </c>
      <c r="B350" t="s">
        <v>1835</v>
      </c>
      <c r="C350">
        <f>MATCH(A350,mapCOM!A$2:A$1107,0)</f>
        <v>431</v>
      </c>
      <c r="H350" t="s">
        <v>1840</v>
      </c>
      <c r="I350" t="s">
        <v>1839</v>
      </c>
      <c r="J350">
        <f>MATCH(H350,mapCOM!$A$2:$A$1107,0)</f>
        <v>423</v>
      </c>
    </row>
    <row r="351" spans="1:10" x14ac:dyDescent="0.25">
      <c r="A351" t="s">
        <v>2134</v>
      </c>
      <c r="B351" t="s">
        <v>2133</v>
      </c>
      <c r="C351">
        <f>MATCH(A351,mapCOM!A$2:A$1107,0)</f>
        <v>432</v>
      </c>
      <c r="H351" t="s">
        <v>2146</v>
      </c>
      <c r="I351" t="s">
        <v>2145</v>
      </c>
      <c r="J351">
        <f>MATCH(H351,mapCOM!$A$2:$A$1107,0)</f>
        <v>424</v>
      </c>
    </row>
    <row r="352" spans="1:10" x14ac:dyDescent="0.25">
      <c r="A352" t="s">
        <v>2132</v>
      </c>
      <c r="B352" t="s">
        <v>186</v>
      </c>
      <c r="C352">
        <f>MATCH(A352,mapCOM!A$2:A$1107,0)</f>
        <v>433</v>
      </c>
      <c r="H352" t="s">
        <v>2144</v>
      </c>
      <c r="I352" t="s">
        <v>193</v>
      </c>
      <c r="J352">
        <f>MATCH(H352,mapCOM!$A$2:$A$1107,0)</f>
        <v>425</v>
      </c>
    </row>
    <row r="353" spans="1:10" x14ac:dyDescent="0.25">
      <c r="A353" t="s">
        <v>2130</v>
      </c>
      <c r="B353" t="s">
        <v>184</v>
      </c>
      <c r="C353">
        <f>MATCH(A353,mapCOM!A$2:A$1107,0)</f>
        <v>434</v>
      </c>
      <c r="H353" t="s">
        <v>2142</v>
      </c>
      <c r="I353" t="s">
        <v>191</v>
      </c>
      <c r="J353">
        <f>MATCH(H353,mapCOM!$A$2:$A$1107,0)</f>
        <v>426</v>
      </c>
    </row>
    <row r="354" spans="1:10" x14ac:dyDescent="0.25">
      <c r="A354" t="s">
        <v>2128</v>
      </c>
      <c r="B354" t="s">
        <v>2127</v>
      </c>
      <c r="C354">
        <f>MATCH(A354,mapCOM!A$2:A$1107,0)</f>
        <v>435</v>
      </c>
      <c r="H354" t="s">
        <v>2140</v>
      </c>
      <c r="I354" t="s">
        <v>188</v>
      </c>
      <c r="J354">
        <f>MATCH(H354,mapCOM!$A$2:$A$1107,0)</f>
        <v>427</v>
      </c>
    </row>
    <row r="355" spans="1:10" x14ac:dyDescent="0.25">
      <c r="A355" t="s">
        <v>1834</v>
      </c>
      <c r="B355" t="s">
        <v>1833</v>
      </c>
      <c r="C355">
        <f>MATCH(A355,mapCOM!A$2:A$1107,0)</f>
        <v>436</v>
      </c>
      <c r="H355" t="s">
        <v>1838</v>
      </c>
      <c r="I355" t="s">
        <v>1837</v>
      </c>
      <c r="J355">
        <f>MATCH(H355,mapCOM!$A$2:$A$1107,0)</f>
        <v>428</v>
      </c>
    </row>
    <row r="356" spans="1:10" x14ac:dyDescent="0.25">
      <c r="A356" t="s">
        <v>2126</v>
      </c>
      <c r="B356" t="s">
        <v>2125</v>
      </c>
      <c r="C356">
        <f>MATCH(A356,mapCOM!A$2:A$1107,0)</f>
        <v>437</v>
      </c>
      <c r="H356" t="s">
        <v>2138</v>
      </c>
      <c r="I356" t="s">
        <v>2137</v>
      </c>
      <c r="J356">
        <f>MATCH(H356,mapCOM!$A$2:$A$1107,0)</f>
        <v>429</v>
      </c>
    </row>
    <row r="357" spans="1:10" x14ac:dyDescent="0.25">
      <c r="A357" t="s">
        <v>1969</v>
      </c>
      <c r="B357" t="s">
        <v>852</v>
      </c>
      <c r="C357">
        <f>MATCH(A357,mapCOM!A$2:A$1107,0)</f>
        <v>438</v>
      </c>
      <c r="H357" t="s">
        <v>2136</v>
      </c>
      <c r="I357" t="s">
        <v>2135</v>
      </c>
      <c r="J357">
        <f>MATCH(H357,mapCOM!$A$2:$A$1107,0)</f>
        <v>430</v>
      </c>
    </row>
    <row r="358" spans="1:10" x14ac:dyDescent="0.25">
      <c r="A358" t="s">
        <v>1968</v>
      </c>
      <c r="B358" t="s">
        <v>1967</v>
      </c>
      <c r="C358">
        <f>MATCH(A358,mapCOM!A$2:A$1107,0)</f>
        <v>439</v>
      </c>
      <c r="H358" t="s">
        <v>1836</v>
      </c>
      <c r="I358" t="s">
        <v>1835</v>
      </c>
      <c r="J358">
        <f>MATCH(H358,mapCOM!$A$2:$A$1107,0)</f>
        <v>431</v>
      </c>
    </row>
    <row r="359" spans="1:10" x14ac:dyDescent="0.25">
      <c r="A359" t="s">
        <v>1966</v>
      </c>
      <c r="B359" t="s">
        <v>1965</v>
      </c>
      <c r="C359">
        <f>MATCH(A359,mapCOM!A$2:A$1107,0)</f>
        <v>440</v>
      </c>
      <c r="H359" t="s">
        <v>2134</v>
      </c>
      <c r="I359" t="s">
        <v>2133</v>
      </c>
      <c r="J359">
        <f>MATCH(H359,mapCOM!$A$2:$A$1107,0)</f>
        <v>432</v>
      </c>
    </row>
    <row r="360" spans="1:10" x14ac:dyDescent="0.25">
      <c r="A360" t="s">
        <v>1962</v>
      </c>
      <c r="B360" t="s">
        <v>1961</v>
      </c>
      <c r="C360">
        <f>MATCH(A360,mapCOM!A$2:A$1107,0)</f>
        <v>442</v>
      </c>
      <c r="H360" t="s">
        <v>2132</v>
      </c>
      <c r="I360" t="s">
        <v>186</v>
      </c>
      <c r="J360">
        <f>MATCH(H360,mapCOM!$A$2:$A$1107,0)</f>
        <v>433</v>
      </c>
    </row>
    <row r="361" spans="1:10" x14ac:dyDescent="0.25">
      <c r="A361" t="s">
        <v>1960</v>
      </c>
      <c r="B361" t="s">
        <v>838</v>
      </c>
      <c r="C361">
        <f>MATCH(A361,mapCOM!A$2:A$1107,0)</f>
        <v>443</v>
      </c>
      <c r="H361" t="s">
        <v>2130</v>
      </c>
      <c r="I361" t="s">
        <v>184</v>
      </c>
      <c r="J361">
        <f>MATCH(H361,mapCOM!$A$2:$A$1107,0)</f>
        <v>434</v>
      </c>
    </row>
    <row r="362" spans="1:10" x14ac:dyDescent="0.25">
      <c r="A362" t="s">
        <v>3086</v>
      </c>
      <c r="B362" t="s">
        <v>3087</v>
      </c>
      <c r="C362">
        <f>MATCH(A362,mapCOM!A$2:A$1107,0)</f>
        <v>444</v>
      </c>
      <c r="H362" t="s">
        <v>2128</v>
      </c>
      <c r="I362" t="s">
        <v>2127</v>
      </c>
      <c r="J362">
        <f>MATCH(H362,mapCOM!$A$2:$A$1107,0)</f>
        <v>435</v>
      </c>
    </row>
    <row r="363" spans="1:10" x14ac:dyDescent="0.25">
      <c r="A363" t="s">
        <v>1959</v>
      </c>
      <c r="B363" t="s">
        <v>1958</v>
      </c>
      <c r="C363">
        <f>MATCH(A363,mapCOM!A$2:A$1107,0)</f>
        <v>445</v>
      </c>
      <c r="H363" t="s">
        <v>1834</v>
      </c>
      <c r="I363" t="s">
        <v>1833</v>
      </c>
      <c r="J363">
        <f>MATCH(H363,mapCOM!$A$2:$A$1107,0)</f>
        <v>436</v>
      </c>
    </row>
    <row r="364" spans="1:10" x14ac:dyDescent="0.25">
      <c r="A364" t="s">
        <v>1957</v>
      </c>
      <c r="B364" t="s">
        <v>824</v>
      </c>
      <c r="C364">
        <f>MATCH(A364,mapCOM!A$2:A$1107,0)</f>
        <v>446</v>
      </c>
      <c r="H364" t="s">
        <v>2126</v>
      </c>
      <c r="I364" t="s">
        <v>2125</v>
      </c>
      <c r="J364">
        <f>MATCH(H364,mapCOM!$A$2:$A$1107,0)</f>
        <v>437</v>
      </c>
    </row>
    <row r="365" spans="1:10" x14ac:dyDescent="0.25">
      <c r="A365" t="s">
        <v>1956</v>
      </c>
      <c r="B365" t="s">
        <v>1955</v>
      </c>
      <c r="C365">
        <f>MATCH(A365,mapCOM!A$2:A$1107,0)</f>
        <v>447</v>
      </c>
      <c r="H365" t="s">
        <v>1969</v>
      </c>
      <c r="I365" t="s">
        <v>852</v>
      </c>
      <c r="J365">
        <f>MATCH(H365,mapCOM!$A$2:$A$1107,0)</f>
        <v>438</v>
      </c>
    </row>
    <row r="366" spans="1:10" x14ac:dyDescent="0.25">
      <c r="A366" t="s">
        <v>1954</v>
      </c>
      <c r="B366" t="s">
        <v>1953</v>
      </c>
      <c r="C366">
        <f>MATCH(A366,mapCOM!A$2:A$1107,0)</f>
        <v>448</v>
      </c>
      <c r="H366" t="s">
        <v>1968</v>
      </c>
      <c r="I366" t="s">
        <v>1967</v>
      </c>
      <c r="J366">
        <f>MATCH(H366,mapCOM!$A$2:$A$1107,0)</f>
        <v>439</v>
      </c>
    </row>
    <row r="367" spans="1:10" x14ac:dyDescent="0.25">
      <c r="A367" t="s">
        <v>1950</v>
      </c>
      <c r="B367" t="s">
        <v>1949</v>
      </c>
      <c r="C367">
        <f>MATCH(A367,mapCOM!A$2:A$1107,0)</f>
        <v>450</v>
      </c>
      <c r="H367" t="s">
        <v>1966</v>
      </c>
      <c r="I367" t="s">
        <v>1965</v>
      </c>
      <c r="J367">
        <f>MATCH(H367,mapCOM!$A$2:$A$1107,0)</f>
        <v>440</v>
      </c>
    </row>
    <row r="368" spans="1:10" x14ac:dyDescent="0.25">
      <c r="A368" t="s">
        <v>1948</v>
      </c>
      <c r="B368" t="s">
        <v>806</v>
      </c>
      <c r="C368">
        <f>MATCH(A368,mapCOM!A$2:A$1107,0)</f>
        <v>451</v>
      </c>
      <c r="H368" t="s">
        <v>1962</v>
      </c>
      <c r="I368" t="s">
        <v>1961</v>
      </c>
      <c r="J368">
        <f>MATCH(H368,mapCOM!$A$2:$A$1107,0)</f>
        <v>442</v>
      </c>
    </row>
    <row r="369" spans="1:10" x14ac:dyDescent="0.25">
      <c r="A369" t="s">
        <v>1947</v>
      </c>
      <c r="B369" t="s">
        <v>798</v>
      </c>
      <c r="C369">
        <f>MATCH(A369,mapCOM!A$2:A$1107,0)</f>
        <v>452</v>
      </c>
      <c r="H369" t="s">
        <v>1960</v>
      </c>
      <c r="I369" t="s">
        <v>838</v>
      </c>
      <c r="J369">
        <f>MATCH(H369,mapCOM!$A$2:$A$1107,0)</f>
        <v>443</v>
      </c>
    </row>
    <row r="370" spans="1:10" x14ac:dyDescent="0.25">
      <c r="A370" t="s">
        <v>1946</v>
      </c>
      <c r="B370" t="s">
        <v>1945</v>
      </c>
      <c r="C370">
        <f>MATCH(A370,mapCOM!A$2:A$1107,0)</f>
        <v>453</v>
      </c>
      <c r="H370" t="s">
        <v>3086</v>
      </c>
      <c r="I370" t="s">
        <v>3087</v>
      </c>
      <c r="J370">
        <f>MATCH(H370,mapCOM!$A$2:$A$1107,0)</f>
        <v>444</v>
      </c>
    </row>
    <row r="371" spans="1:10" x14ac:dyDescent="0.25">
      <c r="A371" t="s">
        <v>1941</v>
      </c>
      <c r="B371" t="s">
        <v>3625</v>
      </c>
      <c r="C371">
        <f>MATCH(A371,mapCOM!A$2:A$1107,0)</f>
        <v>456</v>
      </c>
      <c r="H371" t="s">
        <v>1959</v>
      </c>
      <c r="I371" t="s">
        <v>1958</v>
      </c>
      <c r="J371">
        <f>MATCH(H371,mapCOM!$A$2:$A$1107,0)</f>
        <v>445</v>
      </c>
    </row>
    <row r="372" spans="1:10" x14ac:dyDescent="0.25">
      <c r="A372" t="s">
        <v>1936</v>
      </c>
      <c r="B372" t="s">
        <v>771</v>
      </c>
      <c r="C372">
        <f>MATCH(A372,mapCOM!A$2:A$1107,0)</f>
        <v>459</v>
      </c>
      <c r="H372" t="s">
        <v>1957</v>
      </c>
      <c r="I372" t="s">
        <v>824</v>
      </c>
      <c r="J372">
        <f>MATCH(H372,mapCOM!$A$2:$A$1107,0)</f>
        <v>446</v>
      </c>
    </row>
    <row r="373" spans="1:10" x14ac:dyDescent="0.25">
      <c r="A373" t="s">
        <v>1935</v>
      </c>
      <c r="B373" t="s">
        <v>764</v>
      </c>
      <c r="C373">
        <f>MATCH(A373,mapCOM!A$2:A$1107,0)</f>
        <v>460</v>
      </c>
      <c r="H373" t="s">
        <v>1956</v>
      </c>
      <c r="I373" t="s">
        <v>1955</v>
      </c>
      <c r="J373">
        <f>MATCH(H373,mapCOM!$A$2:$A$1107,0)</f>
        <v>447</v>
      </c>
    </row>
    <row r="374" spans="1:10" x14ac:dyDescent="0.25">
      <c r="A374" t="s">
        <v>1934</v>
      </c>
      <c r="B374" t="s">
        <v>762</v>
      </c>
      <c r="C374">
        <f>MATCH(A374,mapCOM!A$2:A$1107,0)</f>
        <v>461</v>
      </c>
      <c r="H374" t="s">
        <v>1954</v>
      </c>
      <c r="I374" t="s">
        <v>1953</v>
      </c>
      <c r="J374">
        <f>MATCH(H374,mapCOM!$A$2:$A$1107,0)</f>
        <v>448</v>
      </c>
    </row>
    <row r="375" spans="1:10" x14ac:dyDescent="0.25">
      <c r="A375" t="s">
        <v>1931</v>
      </c>
      <c r="B375" t="s">
        <v>1930</v>
      </c>
      <c r="C375">
        <f>MATCH(A375,mapCOM!A$2:A$1107,0)</f>
        <v>463</v>
      </c>
      <c r="H375" t="s">
        <v>1950</v>
      </c>
      <c r="I375" t="s">
        <v>1949</v>
      </c>
      <c r="J375">
        <f>MATCH(H375,mapCOM!$A$2:$A$1107,0)</f>
        <v>450</v>
      </c>
    </row>
    <row r="376" spans="1:10" x14ac:dyDescent="0.25">
      <c r="A376" t="s">
        <v>1929</v>
      </c>
      <c r="B376" t="s">
        <v>757</v>
      </c>
      <c r="C376">
        <f>MATCH(A376,mapCOM!A$2:A$1107,0)</f>
        <v>464</v>
      </c>
      <c r="H376" t="s">
        <v>1948</v>
      </c>
      <c r="I376" t="s">
        <v>806</v>
      </c>
      <c r="J376">
        <f>MATCH(H376,mapCOM!$A$2:$A$1107,0)</f>
        <v>451</v>
      </c>
    </row>
    <row r="377" spans="1:10" x14ac:dyDescent="0.25">
      <c r="A377" t="s">
        <v>1928</v>
      </c>
      <c r="B377">
        <v>0</v>
      </c>
      <c r="C377">
        <f>MATCH(A377,mapCOM!A$2:A$1107,0)</f>
        <v>465</v>
      </c>
      <c r="H377" t="s">
        <v>1947</v>
      </c>
      <c r="I377" t="s">
        <v>798</v>
      </c>
      <c r="J377">
        <f>MATCH(H377,mapCOM!$A$2:$A$1107,0)</f>
        <v>452</v>
      </c>
    </row>
    <row r="378" spans="1:10" x14ac:dyDescent="0.25">
      <c r="A378" t="s">
        <v>1927</v>
      </c>
      <c r="B378" t="s">
        <v>1919</v>
      </c>
      <c r="C378">
        <f>MATCH(A378,mapCOM!A$2:A$1107,0)</f>
        <v>466</v>
      </c>
      <c r="H378" t="s">
        <v>1946</v>
      </c>
      <c r="I378" t="s">
        <v>1945</v>
      </c>
      <c r="J378">
        <f>MATCH(H378,mapCOM!$A$2:$A$1107,0)</f>
        <v>453</v>
      </c>
    </row>
    <row r="379" spans="1:10" x14ac:dyDescent="0.25">
      <c r="A379" t="s">
        <v>1923</v>
      </c>
      <c r="B379" t="s">
        <v>762</v>
      </c>
      <c r="C379">
        <f>MATCH(A379,mapCOM!A$2:A$1107,0)</f>
        <v>469</v>
      </c>
      <c r="H379" t="s">
        <v>1941</v>
      </c>
      <c r="I379" t="s">
        <v>3625</v>
      </c>
      <c r="J379">
        <f>MATCH(H379,mapCOM!$A$2:$A$1107,0)</f>
        <v>456</v>
      </c>
    </row>
    <row r="380" spans="1:10" x14ac:dyDescent="0.25">
      <c r="A380" t="s">
        <v>2124</v>
      </c>
      <c r="B380" t="s">
        <v>2123</v>
      </c>
      <c r="C380">
        <f>MATCH(A380,mapCOM!A$2:A$1107,0)</f>
        <v>472</v>
      </c>
      <c r="H380" t="s">
        <v>1936</v>
      </c>
      <c r="I380" t="s">
        <v>771</v>
      </c>
      <c r="J380">
        <f>MATCH(H380,mapCOM!$A$2:$A$1107,0)</f>
        <v>459</v>
      </c>
    </row>
    <row r="381" spans="1:10" x14ac:dyDescent="0.25">
      <c r="A381" t="s">
        <v>2059</v>
      </c>
      <c r="B381" t="s">
        <v>2121</v>
      </c>
      <c r="C381">
        <f>MATCH(A381,mapCOM!A$2:A$1107,0)</f>
        <v>473</v>
      </c>
      <c r="H381" t="s">
        <v>1935</v>
      </c>
      <c r="I381" t="s">
        <v>764</v>
      </c>
      <c r="J381">
        <f>MATCH(H381,mapCOM!$A$2:$A$1107,0)</f>
        <v>460</v>
      </c>
    </row>
    <row r="382" spans="1:10" x14ac:dyDescent="0.25">
      <c r="A382" t="s">
        <v>3088</v>
      </c>
      <c r="B382" t="s">
        <v>3089</v>
      </c>
      <c r="C382">
        <f>MATCH(A382,mapCOM!A$2:A$1107,0)</f>
        <v>474</v>
      </c>
      <c r="H382" t="s">
        <v>1934</v>
      </c>
      <c r="I382" t="s">
        <v>762</v>
      </c>
      <c r="J382">
        <f>MATCH(H382,mapCOM!$A$2:$A$1107,0)</f>
        <v>461</v>
      </c>
    </row>
    <row r="383" spans="1:10" x14ac:dyDescent="0.25">
      <c r="A383" t="s">
        <v>3090</v>
      </c>
      <c r="B383" t="s">
        <v>3091</v>
      </c>
      <c r="C383">
        <f>MATCH(A383,mapCOM!A$2:A$1107,0)</f>
        <v>475</v>
      </c>
      <c r="H383" t="s">
        <v>1931</v>
      </c>
      <c r="I383" t="s">
        <v>1930</v>
      </c>
      <c r="J383">
        <f>MATCH(H383,mapCOM!$A$2:$A$1107,0)</f>
        <v>463</v>
      </c>
    </row>
    <row r="384" spans="1:10" x14ac:dyDescent="0.25">
      <c r="A384" t="s">
        <v>1918</v>
      </c>
      <c r="B384" t="s">
        <v>1917</v>
      </c>
      <c r="C384">
        <f>MATCH(A384,mapCOM!A$2:A$1107,0)</f>
        <v>476</v>
      </c>
      <c r="H384" t="s">
        <v>1929</v>
      </c>
      <c r="I384" t="s">
        <v>757</v>
      </c>
      <c r="J384">
        <f>MATCH(H384,mapCOM!$A$2:$A$1107,0)</f>
        <v>464</v>
      </c>
    </row>
    <row r="385" spans="1:10" x14ac:dyDescent="0.25">
      <c r="A385" t="s">
        <v>1916</v>
      </c>
      <c r="B385" t="s">
        <v>1915</v>
      </c>
      <c r="C385">
        <f>MATCH(A385,mapCOM!A$2:A$1107,0)</f>
        <v>477</v>
      </c>
      <c r="H385" t="s">
        <v>1928</v>
      </c>
      <c r="I385">
        <v>0</v>
      </c>
      <c r="J385">
        <f>MATCH(H385,mapCOM!$A$2:$A$1107,0)</f>
        <v>465</v>
      </c>
    </row>
    <row r="386" spans="1:10" x14ac:dyDescent="0.25">
      <c r="A386" t="s">
        <v>3681</v>
      </c>
      <c r="B386" t="s">
        <v>3682</v>
      </c>
      <c r="C386" t="e">
        <f>MATCH(A386,mapCOM!A$2:A$1107,0)</f>
        <v>#N/A</v>
      </c>
      <c r="H386" t="s">
        <v>1927</v>
      </c>
      <c r="I386" t="s">
        <v>1919</v>
      </c>
      <c r="J386">
        <f>MATCH(H386,mapCOM!$A$2:$A$1107,0)</f>
        <v>466</v>
      </c>
    </row>
    <row r="387" spans="1:10" x14ac:dyDescent="0.25">
      <c r="A387" t="s">
        <v>1914</v>
      </c>
      <c r="B387" t="s">
        <v>1913</v>
      </c>
      <c r="C387">
        <f>MATCH(A387,mapCOM!A$2:A$1107,0)</f>
        <v>478</v>
      </c>
      <c r="H387" t="s">
        <v>1923</v>
      </c>
      <c r="I387" t="s">
        <v>762</v>
      </c>
      <c r="J387">
        <f>MATCH(H387,mapCOM!$A$2:$A$1107,0)</f>
        <v>469</v>
      </c>
    </row>
    <row r="388" spans="1:10" x14ac:dyDescent="0.25">
      <c r="A388" t="s">
        <v>1912</v>
      </c>
      <c r="B388" t="s">
        <v>1911</v>
      </c>
      <c r="C388">
        <f>MATCH(A388,mapCOM!A$2:A$1107,0)</f>
        <v>479</v>
      </c>
      <c r="H388" t="s">
        <v>2124</v>
      </c>
      <c r="I388" t="s">
        <v>2123</v>
      </c>
      <c r="J388">
        <f>MATCH(H388,mapCOM!$A$2:$A$1107,0)</f>
        <v>472</v>
      </c>
    </row>
    <row r="389" spans="1:10" x14ac:dyDescent="0.25">
      <c r="A389" t="s">
        <v>1910</v>
      </c>
      <c r="B389" t="s">
        <v>1909</v>
      </c>
      <c r="C389">
        <f>MATCH(A389,mapCOM!A$2:A$1107,0)</f>
        <v>480</v>
      </c>
      <c r="H389" t="s">
        <v>2059</v>
      </c>
      <c r="I389" t="s">
        <v>2121</v>
      </c>
      <c r="J389">
        <f>MATCH(H389,mapCOM!$A$2:$A$1107,0)</f>
        <v>473</v>
      </c>
    </row>
    <row r="390" spans="1:10" x14ac:dyDescent="0.25">
      <c r="A390" t="s">
        <v>1908</v>
      </c>
      <c r="B390" t="s">
        <v>1907</v>
      </c>
      <c r="C390">
        <f>MATCH(A390,mapCOM!A$2:A$1107,0)</f>
        <v>481</v>
      </c>
      <c r="H390" t="s">
        <v>3088</v>
      </c>
      <c r="I390" t="s">
        <v>3089</v>
      </c>
      <c r="J390">
        <f>MATCH(H390,mapCOM!$A$2:$A$1107,0)</f>
        <v>474</v>
      </c>
    </row>
    <row r="391" spans="1:10" x14ac:dyDescent="0.25">
      <c r="A391" t="s">
        <v>1906</v>
      </c>
      <c r="B391" t="s">
        <v>1905</v>
      </c>
      <c r="C391">
        <f>MATCH(A391,mapCOM!A$2:A$1107,0)</f>
        <v>482</v>
      </c>
      <c r="H391" t="s">
        <v>3090</v>
      </c>
      <c r="I391" t="s">
        <v>3091</v>
      </c>
      <c r="J391">
        <f>MATCH(H391,mapCOM!$A$2:$A$1107,0)</f>
        <v>475</v>
      </c>
    </row>
    <row r="392" spans="1:10" x14ac:dyDescent="0.25">
      <c r="A392" t="s">
        <v>1904</v>
      </c>
      <c r="B392" t="s">
        <v>1903</v>
      </c>
      <c r="C392">
        <f>MATCH(A392,mapCOM!A$2:A$1107,0)</f>
        <v>483</v>
      </c>
      <c r="H392" t="s">
        <v>1918</v>
      </c>
      <c r="I392" t="s">
        <v>1917</v>
      </c>
      <c r="J392">
        <f>MATCH(H392,mapCOM!$A$2:$A$1107,0)</f>
        <v>476</v>
      </c>
    </row>
    <row r="393" spans="1:10" x14ac:dyDescent="0.25">
      <c r="A393" t="s">
        <v>1902</v>
      </c>
      <c r="B393" t="s">
        <v>1901</v>
      </c>
      <c r="C393">
        <f>MATCH(A393,mapCOM!A$2:A$1107,0)</f>
        <v>484</v>
      </c>
      <c r="H393" t="s">
        <v>1916</v>
      </c>
      <c r="I393" t="s">
        <v>1915</v>
      </c>
      <c r="J393">
        <f>MATCH(H393,mapCOM!$A$2:$A$1107,0)</f>
        <v>477</v>
      </c>
    </row>
    <row r="394" spans="1:10" x14ac:dyDescent="0.25">
      <c r="A394" t="s">
        <v>1900</v>
      </c>
      <c r="B394" t="s">
        <v>1899</v>
      </c>
      <c r="C394">
        <f>MATCH(A394,mapCOM!A$2:A$1107,0)</f>
        <v>485</v>
      </c>
      <c r="H394" t="s">
        <v>3681</v>
      </c>
      <c r="I394" t="s">
        <v>3682</v>
      </c>
      <c r="J394" t="e">
        <f>MATCH(H394,mapCOM!$A$2:$A$1107,0)</f>
        <v>#N/A</v>
      </c>
    </row>
    <row r="395" spans="1:10" x14ac:dyDescent="0.25">
      <c r="A395" t="s">
        <v>1898</v>
      </c>
      <c r="B395" t="s">
        <v>1897</v>
      </c>
      <c r="C395">
        <f>MATCH(A395,mapCOM!A$2:A$1107,0)</f>
        <v>486</v>
      </c>
      <c r="H395" t="s">
        <v>1914</v>
      </c>
      <c r="I395" t="s">
        <v>1913</v>
      </c>
      <c r="J395">
        <f>MATCH(H395,mapCOM!$A$2:$A$1107,0)</f>
        <v>478</v>
      </c>
    </row>
    <row r="396" spans="1:10" x14ac:dyDescent="0.25">
      <c r="A396" t="s">
        <v>1896</v>
      </c>
      <c r="B396" t="s">
        <v>1895</v>
      </c>
      <c r="C396">
        <f>MATCH(A396,mapCOM!A$2:A$1107,0)</f>
        <v>487</v>
      </c>
      <c r="H396" t="s">
        <v>1912</v>
      </c>
      <c r="I396" t="s">
        <v>1911</v>
      </c>
      <c r="J396">
        <f>MATCH(H396,mapCOM!$A$2:$A$1107,0)</f>
        <v>479</v>
      </c>
    </row>
    <row r="397" spans="1:10" x14ac:dyDescent="0.25">
      <c r="A397" t="s">
        <v>1894</v>
      </c>
      <c r="B397" t="s">
        <v>1893</v>
      </c>
      <c r="C397">
        <f>MATCH(A397,mapCOM!A$2:A$1107,0)</f>
        <v>488</v>
      </c>
      <c r="H397" t="s">
        <v>1910</v>
      </c>
      <c r="I397" t="s">
        <v>1909</v>
      </c>
      <c r="J397">
        <f>MATCH(H397,mapCOM!$A$2:$A$1107,0)</f>
        <v>480</v>
      </c>
    </row>
    <row r="398" spans="1:10" x14ac:dyDescent="0.25">
      <c r="A398" t="s">
        <v>1892</v>
      </c>
      <c r="B398" t="s">
        <v>1891</v>
      </c>
      <c r="C398">
        <f>MATCH(A398,mapCOM!A$2:A$1107,0)</f>
        <v>489</v>
      </c>
      <c r="H398" t="s">
        <v>1908</v>
      </c>
      <c r="I398" t="s">
        <v>1907</v>
      </c>
      <c r="J398">
        <f>MATCH(H398,mapCOM!$A$2:$A$1107,0)</f>
        <v>481</v>
      </c>
    </row>
    <row r="399" spans="1:10" x14ac:dyDescent="0.25">
      <c r="A399" t="s">
        <v>1890</v>
      </c>
      <c r="B399" t="s">
        <v>1889</v>
      </c>
      <c r="C399">
        <f>MATCH(A399,mapCOM!A$2:A$1107,0)</f>
        <v>490</v>
      </c>
      <c r="H399" t="s">
        <v>1906</v>
      </c>
      <c r="I399" t="s">
        <v>1905</v>
      </c>
      <c r="J399">
        <f>MATCH(H399,mapCOM!$A$2:$A$1107,0)</f>
        <v>482</v>
      </c>
    </row>
    <row r="400" spans="1:10" x14ac:dyDescent="0.25">
      <c r="A400" t="s">
        <v>1888</v>
      </c>
      <c r="B400" t="s">
        <v>1887</v>
      </c>
      <c r="C400">
        <f>MATCH(A400,mapCOM!A$2:A$1107,0)</f>
        <v>491</v>
      </c>
      <c r="H400" t="s">
        <v>1904</v>
      </c>
      <c r="I400" t="s">
        <v>1903</v>
      </c>
      <c r="J400">
        <f>MATCH(H400,mapCOM!$A$2:$A$1107,0)</f>
        <v>483</v>
      </c>
    </row>
    <row r="401" spans="1:10" x14ac:dyDescent="0.25">
      <c r="A401" t="s">
        <v>1886</v>
      </c>
      <c r="B401" t="s">
        <v>1885</v>
      </c>
      <c r="C401">
        <f>MATCH(A401,mapCOM!A$2:A$1107,0)</f>
        <v>492</v>
      </c>
      <c r="H401" t="s">
        <v>1902</v>
      </c>
      <c r="I401" t="s">
        <v>1901</v>
      </c>
      <c r="J401">
        <f>MATCH(H401,mapCOM!$A$2:$A$1107,0)</f>
        <v>484</v>
      </c>
    </row>
    <row r="402" spans="1:10" x14ac:dyDescent="0.25">
      <c r="A402" t="s">
        <v>1884</v>
      </c>
      <c r="B402" t="s">
        <v>1883</v>
      </c>
      <c r="C402">
        <f>MATCH(A402,mapCOM!A$2:A$1107,0)</f>
        <v>493</v>
      </c>
      <c r="H402" t="s">
        <v>1900</v>
      </c>
      <c r="I402" t="s">
        <v>1899</v>
      </c>
      <c r="J402">
        <f>MATCH(H402,mapCOM!$A$2:$A$1107,0)</f>
        <v>485</v>
      </c>
    </row>
    <row r="403" spans="1:10" x14ac:dyDescent="0.25">
      <c r="A403" t="s">
        <v>1882</v>
      </c>
      <c r="B403" t="s">
        <v>1881</v>
      </c>
      <c r="C403">
        <f>MATCH(A403,mapCOM!A$2:A$1107,0)</f>
        <v>494</v>
      </c>
      <c r="H403" t="s">
        <v>1898</v>
      </c>
      <c r="I403" t="s">
        <v>1897</v>
      </c>
      <c r="J403">
        <f>MATCH(H403,mapCOM!$A$2:$A$1107,0)</f>
        <v>486</v>
      </c>
    </row>
    <row r="404" spans="1:10" x14ac:dyDescent="0.25">
      <c r="A404" t="s">
        <v>1880</v>
      </c>
      <c r="B404" t="s">
        <v>1879</v>
      </c>
      <c r="C404">
        <f>MATCH(A404,mapCOM!A$2:A$1107,0)</f>
        <v>495</v>
      </c>
      <c r="H404" t="s">
        <v>1896</v>
      </c>
      <c r="I404" t="s">
        <v>1895</v>
      </c>
      <c r="J404">
        <f>MATCH(H404,mapCOM!$A$2:$A$1107,0)</f>
        <v>487</v>
      </c>
    </row>
    <row r="405" spans="1:10" x14ac:dyDescent="0.25">
      <c r="A405" t="s">
        <v>1878</v>
      </c>
      <c r="B405" t="s">
        <v>1877</v>
      </c>
      <c r="C405">
        <f>MATCH(A405,mapCOM!A$2:A$1107,0)</f>
        <v>496</v>
      </c>
      <c r="H405" t="s">
        <v>1894</v>
      </c>
      <c r="I405" t="s">
        <v>1893</v>
      </c>
      <c r="J405">
        <f>MATCH(H405,mapCOM!$A$2:$A$1107,0)</f>
        <v>488</v>
      </c>
    </row>
    <row r="406" spans="1:10" x14ac:dyDescent="0.25">
      <c r="A406" t="s">
        <v>1876</v>
      </c>
      <c r="B406" t="s">
        <v>1875</v>
      </c>
      <c r="C406">
        <f>MATCH(A406,mapCOM!A$2:A$1107,0)</f>
        <v>497</v>
      </c>
      <c r="H406" t="s">
        <v>1892</v>
      </c>
      <c r="I406" t="s">
        <v>1891</v>
      </c>
      <c r="J406">
        <f>MATCH(H406,mapCOM!$A$2:$A$1107,0)</f>
        <v>489</v>
      </c>
    </row>
    <row r="407" spans="1:10" x14ac:dyDescent="0.25">
      <c r="A407" t="s">
        <v>1874</v>
      </c>
      <c r="B407" t="s">
        <v>1873</v>
      </c>
      <c r="C407">
        <f>MATCH(A407,mapCOM!A$2:A$1107,0)</f>
        <v>498</v>
      </c>
      <c r="H407" t="s">
        <v>1890</v>
      </c>
      <c r="I407" t="s">
        <v>1889</v>
      </c>
      <c r="J407">
        <f>MATCH(H407,mapCOM!$A$2:$A$1107,0)</f>
        <v>490</v>
      </c>
    </row>
    <row r="408" spans="1:10" x14ac:dyDescent="0.25">
      <c r="A408" t="s">
        <v>1872</v>
      </c>
      <c r="B408" t="s">
        <v>1871</v>
      </c>
      <c r="C408">
        <f>MATCH(A408,mapCOM!A$2:A$1107,0)</f>
        <v>499</v>
      </c>
      <c r="H408" t="s">
        <v>1888</v>
      </c>
      <c r="I408" t="s">
        <v>1887</v>
      </c>
      <c r="J408">
        <f>MATCH(H408,mapCOM!$A$2:$A$1107,0)</f>
        <v>491</v>
      </c>
    </row>
    <row r="409" spans="1:10" x14ac:dyDescent="0.25">
      <c r="A409" t="s">
        <v>3683</v>
      </c>
      <c r="B409" t="s">
        <v>3684</v>
      </c>
      <c r="C409">
        <f>MATCH(A409,mapCOM!A$2:A$1107,0)</f>
        <v>500</v>
      </c>
      <c r="H409" t="s">
        <v>1886</v>
      </c>
      <c r="I409" t="s">
        <v>1885</v>
      </c>
      <c r="J409">
        <f>MATCH(H409,mapCOM!$A$2:$A$1107,0)</f>
        <v>492</v>
      </c>
    </row>
    <row r="410" spans="1:10" x14ac:dyDescent="0.25">
      <c r="A410" t="s">
        <v>2120</v>
      </c>
      <c r="B410" t="s">
        <v>2119</v>
      </c>
      <c r="C410">
        <f>MATCH(A410,mapCOM!A$2:A$1107,0)</f>
        <v>501</v>
      </c>
      <c r="H410" t="s">
        <v>1884</v>
      </c>
      <c r="I410" t="s">
        <v>1883</v>
      </c>
      <c r="J410">
        <f>MATCH(H410,mapCOM!$A$2:$A$1107,0)</f>
        <v>493</v>
      </c>
    </row>
    <row r="411" spans="1:10" x14ac:dyDescent="0.25">
      <c r="A411" t="s">
        <v>2118</v>
      </c>
      <c r="B411" t="s">
        <v>2117</v>
      </c>
      <c r="C411">
        <f>MATCH(A411,mapCOM!A$2:A$1107,0)</f>
        <v>502</v>
      </c>
      <c r="H411" t="s">
        <v>1882</v>
      </c>
      <c r="I411" t="s">
        <v>1881</v>
      </c>
      <c r="J411">
        <f>MATCH(H411,mapCOM!$A$2:$A$1107,0)</f>
        <v>494</v>
      </c>
    </row>
    <row r="412" spans="1:10" x14ac:dyDescent="0.25">
      <c r="A412" t="s">
        <v>2116</v>
      </c>
      <c r="B412" t="s">
        <v>2115</v>
      </c>
      <c r="C412">
        <f>MATCH(A412,mapCOM!A$2:A$1107,0)</f>
        <v>503</v>
      </c>
      <c r="H412" t="s">
        <v>1880</v>
      </c>
      <c r="I412" t="s">
        <v>1879</v>
      </c>
      <c r="J412">
        <f>MATCH(H412,mapCOM!$A$2:$A$1107,0)</f>
        <v>495</v>
      </c>
    </row>
    <row r="413" spans="1:10" x14ac:dyDescent="0.25">
      <c r="A413" t="s">
        <v>2114</v>
      </c>
      <c r="B413" t="s">
        <v>176</v>
      </c>
      <c r="C413">
        <f>MATCH(A413,mapCOM!A$2:A$1107,0)</f>
        <v>504</v>
      </c>
      <c r="H413" t="s">
        <v>1878</v>
      </c>
      <c r="I413" t="s">
        <v>1877</v>
      </c>
      <c r="J413">
        <f>MATCH(H413,mapCOM!$A$2:$A$1107,0)</f>
        <v>496</v>
      </c>
    </row>
    <row r="414" spans="1:10" x14ac:dyDescent="0.25">
      <c r="A414" t="s">
        <v>2113</v>
      </c>
      <c r="B414" t="s">
        <v>169</v>
      </c>
      <c r="C414">
        <f>MATCH(A414,mapCOM!A$2:A$1107,0)</f>
        <v>505</v>
      </c>
      <c r="H414" t="s">
        <v>1876</v>
      </c>
      <c r="I414" t="s">
        <v>1875</v>
      </c>
      <c r="J414">
        <f>MATCH(H414,mapCOM!$A$2:$A$1107,0)</f>
        <v>497</v>
      </c>
    </row>
    <row r="415" spans="1:10" x14ac:dyDescent="0.25">
      <c r="A415" t="s">
        <v>2112</v>
      </c>
      <c r="B415" t="s">
        <v>167</v>
      </c>
      <c r="C415">
        <f>MATCH(A415,mapCOM!A$2:A$1107,0)</f>
        <v>506</v>
      </c>
      <c r="H415" t="s">
        <v>1874</v>
      </c>
      <c r="I415" t="s">
        <v>1873</v>
      </c>
      <c r="J415">
        <f>MATCH(H415,mapCOM!$A$2:$A$1107,0)</f>
        <v>498</v>
      </c>
    </row>
    <row r="416" spans="1:10" x14ac:dyDescent="0.25">
      <c r="A416" t="s">
        <v>2111</v>
      </c>
      <c r="B416" t="s">
        <v>2110</v>
      </c>
      <c r="C416">
        <f>MATCH(A416,mapCOM!A$2:A$1107,0)</f>
        <v>507</v>
      </c>
      <c r="H416" t="s">
        <v>1872</v>
      </c>
      <c r="I416" t="s">
        <v>1871</v>
      </c>
      <c r="J416">
        <f>MATCH(H416,mapCOM!$A$2:$A$1107,0)</f>
        <v>499</v>
      </c>
    </row>
    <row r="417" spans="1:10" x14ac:dyDescent="0.25">
      <c r="A417" t="s">
        <v>3654</v>
      </c>
      <c r="B417" t="s">
        <v>3577</v>
      </c>
      <c r="C417">
        <f>MATCH(A417,mapCOM!A$2:A$1107,0)</f>
        <v>508</v>
      </c>
      <c r="H417" t="s">
        <v>3683</v>
      </c>
      <c r="I417" t="s">
        <v>3684</v>
      </c>
      <c r="J417">
        <f>MATCH(H417,mapCOM!$A$2:$A$1107,0)</f>
        <v>500</v>
      </c>
    </row>
    <row r="418" spans="1:10" x14ac:dyDescent="0.25">
      <c r="A418" t="s">
        <v>2109</v>
      </c>
      <c r="B418" t="s">
        <v>2108</v>
      </c>
      <c r="C418">
        <f>MATCH(A418,mapCOM!A$2:A$1107,0)</f>
        <v>509</v>
      </c>
      <c r="H418" t="s">
        <v>2120</v>
      </c>
      <c r="I418" t="s">
        <v>2119</v>
      </c>
      <c r="J418">
        <f>MATCH(H418,mapCOM!$A$2:$A$1107,0)</f>
        <v>501</v>
      </c>
    </row>
    <row r="419" spans="1:10" x14ac:dyDescent="0.25">
      <c r="A419" t="s">
        <v>2107</v>
      </c>
      <c r="B419" t="s">
        <v>2106</v>
      </c>
      <c r="C419">
        <f>MATCH(A419,mapCOM!A$2:A$1107,0)</f>
        <v>510</v>
      </c>
      <c r="H419" t="s">
        <v>2118</v>
      </c>
      <c r="I419" t="s">
        <v>2117</v>
      </c>
      <c r="J419">
        <f>MATCH(H419,mapCOM!$A$2:$A$1107,0)</f>
        <v>502</v>
      </c>
    </row>
    <row r="420" spans="1:10" x14ac:dyDescent="0.25">
      <c r="A420" t="s">
        <v>2105</v>
      </c>
      <c r="B420" t="s">
        <v>165</v>
      </c>
      <c r="C420">
        <f>MATCH(A420,mapCOM!A$2:A$1107,0)</f>
        <v>511</v>
      </c>
      <c r="H420" t="s">
        <v>2116</v>
      </c>
      <c r="I420" t="s">
        <v>2115</v>
      </c>
      <c r="J420">
        <f>MATCH(H420,mapCOM!$A$2:$A$1107,0)</f>
        <v>503</v>
      </c>
    </row>
    <row r="421" spans="1:10" x14ac:dyDescent="0.25">
      <c r="A421" t="s">
        <v>2102</v>
      </c>
      <c r="B421" t="s">
        <v>163</v>
      </c>
      <c r="C421">
        <f>MATCH(A421,mapCOM!A$2:A$1107,0)</f>
        <v>512</v>
      </c>
      <c r="H421" t="s">
        <v>2114</v>
      </c>
      <c r="I421" t="s">
        <v>176</v>
      </c>
      <c r="J421">
        <f>MATCH(H421,mapCOM!$A$2:$A$1107,0)</f>
        <v>504</v>
      </c>
    </row>
    <row r="422" spans="1:10" x14ac:dyDescent="0.25">
      <c r="A422" t="s">
        <v>2101</v>
      </c>
      <c r="B422" t="s">
        <v>161</v>
      </c>
      <c r="C422">
        <f>MATCH(A422,mapCOM!A$2:A$1107,0)</f>
        <v>513</v>
      </c>
      <c r="H422" t="s">
        <v>2113</v>
      </c>
      <c r="I422" t="s">
        <v>169</v>
      </c>
      <c r="J422">
        <f>MATCH(H422,mapCOM!$A$2:$A$1107,0)</f>
        <v>505</v>
      </c>
    </row>
    <row r="423" spans="1:10" x14ac:dyDescent="0.25">
      <c r="A423" t="s">
        <v>2100</v>
      </c>
      <c r="B423" t="s">
        <v>159</v>
      </c>
      <c r="C423">
        <f>MATCH(A423,mapCOM!A$2:A$1107,0)</f>
        <v>514</v>
      </c>
      <c r="H423" t="s">
        <v>2112</v>
      </c>
      <c r="I423" t="s">
        <v>167</v>
      </c>
      <c r="J423">
        <f>MATCH(H423,mapCOM!$A$2:$A$1107,0)</f>
        <v>506</v>
      </c>
    </row>
    <row r="424" spans="1:10" x14ac:dyDescent="0.25">
      <c r="A424" t="s">
        <v>2099</v>
      </c>
      <c r="B424" t="s">
        <v>157</v>
      </c>
      <c r="C424">
        <f>MATCH(A424,mapCOM!A$2:A$1107,0)</f>
        <v>515</v>
      </c>
      <c r="H424" t="s">
        <v>2111</v>
      </c>
      <c r="I424" t="s">
        <v>2110</v>
      </c>
      <c r="J424">
        <f>MATCH(H424,mapCOM!$A$2:$A$1107,0)</f>
        <v>507</v>
      </c>
    </row>
    <row r="425" spans="1:10" x14ac:dyDescent="0.25">
      <c r="A425" t="s">
        <v>2097</v>
      </c>
      <c r="B425" t="s">
        <v>2096</v>
      </c>
      <c r="C425">
        <f>MATCH(A425,mapCOM!A$2:A$1107,0)</f>
        <v>516</v>
      </c>
      <c r="H425" t="s">
        <v>3654</v>
      </c>
      <c r="I425" t="s">
        <v>3577</v>
      </c>
      <c r="J425">
        <f>MATCH(H425,mapCOM!$A$2:$A$1107,0)</f>
        <v>508</v>
      </c>
    </row>
    <row r="426" spans="1:10" x14ac:dyDescent="0.25">
      <c r="A426" t="s">
        <v>2095</v>
      </c>
      <c r="B426" t="s">
        <v>2094</v>
      </c>
      <c r="C426">
        <f>MATCH(A426,mapCOM!A$2:A$1107,0)</f>
        <v>517</v>
      </c>
      <c r="H426" t="s">
        <v>2109</v>
      </c>
      <c r="I426" t="s">
        <v>2108</v>
      </c>
      <c r="J426">
        <f>MATCH(H426,mapCOM!$A$2:$A$1107,0)</f>
        <v>509</v>
      </c>
    </row>
    <row r="427" spans="1:10" x14ac:dyDescent="0.25">
      <c r="A427" t="s">
        <v>1870</v>
      </c>
      <c r="B427" t="s">
        <v>1869</v>
      </c>
      <c r="C427">
        <f>MATCH(A427,mapCOM!A$2:A$1107,0)</f>
        <v>518</v>
      </c>
      <c r="H427" t="s">
        <v>2107</v>
      </c>
      <c r="I427" t="s">
        <v>2106</v>
      </c>
      <c r="J427">
        <f>MATCH(H427,mapCOM!$A$2:$A$1107,0)</f>
        <v>510</v>
      </c>
    </row>
    <row r="428" spans="1:10" x14ac:dyDescent="0.25">
      <c r="A428" t="s">
        <v>2093</v>
      </c>
      <c r="B428" t="s">
        <v>155</v>
      </c>
      <c r="C428">
        <f>MATCH(A428,mapCOM!A$2:A$1107,0)</f>
        <v>519</v>
      </c>
      <c r="H428" t="s">
        <v>2105</v>
      </c>
      <c r="I428" t="s">
        <v>165</v>
      </c>
      <c r="J428">
        <f>MATCH(H428,mapCOM!$A$2:$A$1107,0)</f>
        <v>511</v>
      </c>
    </row>
    <row r="429" spans="1:10" x14ac:dyDescent="0.25">
      <c r="A429" t="s">
        <v>2092</v>
      </c>
      <c r="B429" t="s">
        <v>153</v>
      </c>
      <c r="C429">
        <f>MATCH(A429,mapCOM!A$2:A$1107,0)</f>
        <v>520</v>
      </c>
      <c r="H429" t="s">
        <v>2102</v>
      </c>
      <c r="I429" t="s">
        <v>163</v>
      </c>
      <c r="J429">
        <f>MATCH(H429,mapCOM!$A$2:$A$1107,0)</f>
        <v>512</v>
      </c>
    </row>
    <row r="430" spans="1:10" x14ac:dyDescent="0.25">
      <c r="A430" t="s">
        <v>2091</v>
      </c>
      <c r="B430" t="s">
        <v>2090</v>
      </c>
      <c r="C430">
        <f>MATCH(A430,mapCOM!A$2:A$1107,0)</f>
        <v>521</v>
      </c>
      <c r="H430" t="s">
        <v>2101</v>
      </c>
      <c r="I430" t="s">
        <v>161</v>
      </c>
      <c r="J430">
        <f>MATCH(H430,mapCOM!$A$2:$A$1107,0)</f>
        <v>513</v>
      </c>
    </row>
    <row r="431" spans="1:10" x14ac:dyDescent="0.25">
      <c r="A431" t="s">
        <v>2088</v>
      </c>
      <c r="B431" t="s">
        <v>149</v>
      </c>
      <c r="C431">
        <f>MATCH(A431,mapCOM!A$2:A$1107,0)</f>
        <v>522</v>
      </c>
      <c r="H431" t="s">
        <v>2100</v>
      </c>
      <c r="I431" t="s">
        <v>159</v>
      </c>
      <c r="J431">
        <f>MATCH(H431,mapCOM!$A$2:$A$1107,0)</f>
        <v>514</v>
      </c>
    </row>
    <row r="432" spans="1:10" x14ac:dyDescent="0.25">
      <c r="A432" t="s">
        <v>2087</v>
      </c>
      <c r="B432" t="s">
        <v>2086</v>
      </c>
      <c r="C432">
        <f>MATCH(A432,mapCOM!A$2:A$1107,0)</f>
        <v>524</v>
      </c>
      <c r="H432" t="s">
        <v>2099</v>
      </c>
      <c r="I432" t="s">
        <v>157</v>
      </c>
      <c r="J432">
        <f>MATCH(H432,mapCOM!$A$2:$A$1107,0)</f>
        <v>515</v>
      </c>
    </row>
    <row r="433" spans="1:10" x14ac:dyDescent="0.25">
      <c r="A433" t="s">
        <v>2084</v>
      </c>
      <c r="B433" t="s">
        <v>2083</v>
      </c>
      <c r="C433">
        <f>MATCH(A433,mapCOM!A$2:A$1107,0)</f>
        <v>525</v>
      </c>
      <c r="H433" t="s">
        <v>2097</v>
      </c>
      <c r="I433" t="s">
        <v>2096</v>
      </c>
      <c r="J433">
        <f>MATCH(H433,mapCOM!$A$2:$A$1107,0)</f>
        <v>516</v>
      </c>
    </row>
    <row r="434" spans="1:10" x14ac:dyDescent="0.25">
      <c r="A434" t="s">
        <v>2081</v>
      </c>
      <c r="B434" t="s">
        <v>146</v>
      </c>
      <c r="C434">
        <f>MATCH(A434,mapCOM!A$2:A$1107,0)</f>
        <v>526</v>
      </c>
      <c r="H434" t="s">
        <v>2095</v>
      </c>
      <c r="I434" t="s">
        <v>2094</v>
      </c>
      <c r="J434">
        <f>MATCH(H434,mapCOM!$A$2:$A$1107,0)</f>
        <v>517</v>
      </c>
    </row>
    <row r="435" spans="1:10" x14ac:dyDescent="0.25">
      <c r="A435" t="s">
        <v>2080</v>
      </c>
      <c r="B435" t="s">
        <v>141</v>
      </c>
      <c r="C435">
        <f>MATCH(A435,mapCOM!A$2:A$1107,0)</f>
        <v>527</v>
      </c>
      <c r="H435" t="s">
        <v>1870</v>
      </c>
      <c r="I435" t="s">
        <v>1869</v>
      </c>
      <c r="J435">
        <f>MATCH(H435,mapCOM!$A$2:$A$1107,0)</f>
        <v>518</v>
      </c>
    </row>
    <row r="436" spans="1:10" x14ac:dyDescent="0.25">
      <c r="A436" t="s">
        <v>2079</v>
      </c>
      <c r="B436" t="s">
        <v>138</v>
      </c>
      <c r="C436">
        <f>MATCH(A436,mapCOM!A$2:A$1107,0)</f>
        <v>528</v>
      </c>
      <c r="H436" t="s">
        <v>2093</v>
      </c>
      <c r="I436" t="s">
        <v>155</v>
      </c>
      <c r="J436">
        <f>MATCH(H436,mapCOM!$A$2:$A$1107,0)</f>
        <v>519</v>
      </c>
    </row>
    <row r="437" spans="1:10" x14ac:dyDescent="0.25">
      <c r="A437" t="s">
        <v>2078</v>
      </c>
      <c r="B437" t="s">
        <v>135</v>
      </c>
      <c r="C437">
        <f>MATCH(A437,mapCOM!A$2:A$1107,0)</f>
        <v>530</v>
      </c>
      <c r="H437" t="s">
        <v>2092</v>
      </c>
      <c r="I437" t="s">
        <v>153</v>
      </c>
      <c r="J437">
        <f>MATCH(H437,mapCOM!$A$2:$A$1107,0)</f>
        <v>520</v>
      </c>
    </row>
    <row r="438" spans="1:10" x14ac:dyDescent="0.25">
      <c r="A438" t="s">
        <v>2077</v>
      </c>
      <c r="B438" t="s">
        <v>133</v>
      </c>
      <c r="C438">
        <f>MATCH(A438,mapCOM!A$2:A$1107,0)</f>
        <v>531</v>
      </c>
      <c r="H438" t="s">
        <v>2091</v>
      </c>
      <c r="I438" t="s">
        <v>2090</v>
      </c>
      <c r="J438">
        <f>MATCH(H438,mapCOM!$A$2:$A$1107,0)</f>
        <v>521</v>
      </c>
    </row>
    <row r="439" spans="1:10" x14ac:dyDescent="0.25">
      <c r="A439" t="s">
        <v>3603</v>
      </c>
      <c r="B439" t="s">
        <v>3465</v>
      </c>
      <c r="C439">
        <f>MATCH(A439,mapCOM!A$2:A$1107,0)</f>
        <v>532</v>
      </c>
      <c r="H439" t="s">
        <v>2088</v>
      </c>
      <c r="I439" t="s">
        <v>149</v>
      </c>
      <c r="J439">
        <f>MATCH(H439,mapCOM!$A$2:$A$1107,0)</f>
        <v>522</v>
      </c>
    </row>
    <row r="440" spans="1:10" x14ac:dyDescent="0.25">
      <c r="A440" t="s">
        <v>2076</v>
      </c>
      <c r="B440" t="s">
        <v>2075</v>
      </c>
      <c r="C440">
        <f>MATCH(A440,mapCOM!A$2:A$1107,0)</f>
        <v>533</v>
      </c>
      <c r="H440" t="s">
        <v>2087</v>
      </c>
      <c r="I440" t="s">
        <v>2086</v>
      </c>
      <c r="J440">
        <f>MATCH(H440,mapCOM!$A$2:$A$1107,0)</f>
        <v>524</v>
      </c>
    </row>
    <row r="441" spans="1:10" x14ac:dyDescent="0.25">
      <c r="A441" t="s">
        <v>2073</v>
      </c>
      <c r="B441" t="s">
        <v>2072</v>
      </c>
      <c r="C441">
        <f>MATCH(A441,mapCOM!A$2:A$1107,0)</f>
        <v>534</v>
      </c>
      <c r="H441" t="s">
        <v>2084</v>
      </c>
      <c r="I441" t="s">
        <v>2083</v>
      </c>
      <c r="J441">
        <f>MATCH(H441,mapCOM!$A$2:$A$1107,0)</f>
        <v>525</v>
      </c>
    </row>
    <row r="442" spans="1:10" x14ac:dyDescent="0.25">
      <c r="A442" t="s">
        <v>2070</v>
      </c>
      <c r="B442" t="s">
        <v>2069</v>
      </c>
      <c r="C442">
        <f>MATCH(A442,mapCOM!A$2:A$1107,0)</f>
        <v>535</v>
      </c>
      <c r="H442" t="s">
        <v>2081</v>
      </c>
      <c r="I442" t="s">
        <v>146</v>
      </c>
      <c r="J442">
        <f>MATCH(H442,mapCOM!$A$2:$A$1107,0)</f>
        <v>526</v>
      </c>
    </row>
    <row r="443" spans="1:10" x14ac:dyDescent="0.25">
      <c r="A443" t="s">
        <v>2067</v>
      </c>
      <c r="B443" t="s">
        <v>131</v>
      </c>
      <c r="C443">
        <f>MATCH(A443,mapCOM!A$2:A$1107,0)</f>
        <v>536</v>
      </c>
      <c r="H443" t="s">
        <v>2080</v>
      </c>
      <c r="I443" t="s">
        <v>141</v>
      </c>
      <c r="J443">
        <f>MATCH(H443,mapCOM!$A$2:$A$1107,0)</f>
        <v>527</v>
      </c>
    </row>
    <row r="444" spans="1:10" x14ac:dyDescent="0.25">
      <c r="A444" t="s">
        <v>2065</v>
      </c>
      <c r="B444" t="s">
        <v>129</v>
      </c>
      <c r="C444">
        <f>MATCH(A444,mapCOM!A$2:A$1107,0)</f>
        <v>537</v>
      </c>
      <c r="H444" t="s">
        <v>2079</v>
      </c>
      <c r="I444" t="s">
        <v>138</v>
      </c>
      <c r="J444">
        <f>MATCH(H444,mapCOM!$A$2:$A$1107,0)</f>
        <v>528</v>
      </c>
    </row>
    <row r="445" spans="1:10" x14ac:dyDescent="0.25">
      <c r="A445" t="s">
        <v>2064</v>
      </c>
      <c r="B445" t="s">
        <v>2063</v>
      </c>
      <c r="C445">
        <f>MATCH(A445,mapCOM!A$2:A$1107,0)</f>
        <v>538</v>
      </c>
      <c r="H445" t="s">
        <v>2078</v>
      </c>
      <c r="I445" t="s">
        <v>135</v>
      </c>
      <c r="J445">
        <f>MATCH(H445,mapCOM!$A$2:$A$1107,0)</f>
        <v>530</v>
      </c>
    </row>
    <row r="446" spans="1:10" x14ac:dyDescent="0.25">
      <c r="A446" t="s">
        <v>2061</v>
      </c>
      <c r="B446" t="s">
        <v>2060</v>
      </c>
      <c r="C446">
        <f>MATCH(A446,mapCOM!A$2:A$1107,0)</f>
        <v>539</v>
      </c>
      <c r="H446" t="s">
        <v>2077</v>
      </c>
      <c r="I446" t="s">
        <v>133</v>
      </c>
      <c r="J446">
        <f>MATCH(H446,mapCOM!$A$2:$A$1107,0)</f>
        <v>531</v>
      </c>
    </row>
    <row r="447" spans="1:10" x14ac:dyDescent="0.25">
      <c r="A447" t="s">
        <v>2058</v>
      </c>
      <c r="B447" t="s">
        <v>2057</v>
      </c>
      <c r="C447">
        <f>MATCH(A447,mapCOM!A$2:A$1107,0)</f>
        <v>540</v>
      </c>
      <c r="H447" t="s">
        <v>3603</v>
      </c>
      <c r="I447" t="s">
        <v>3465</v>
      </c>
      <c r="J447">
        <f>MATCH(H447,mapCOM!$A$2:$A$1107,0)</f>
        <v>532</v>
      </c>
    </row>
    <row r="448" spans="1:10" x14ac:dyDescent="0.25">
      <c r="A448" t="s">
        <v>2056</v>
      </c>
      <c r="B448" t="s">
        <v>2055</v>
      </c>
      <c r="C448">
        <f>MATCH(A448,mapCOM!A$2:A$1107,0)</f>
        <v>541</v>
      </c>
      <c r="H448" t="s">
        <v>2076</v>
      </c>
      <c r="I448" t="s">
        <v>2075</v>
      </c>
      <c r="J448">
        <f>MATCH(H448,mapCOM!$A$2:$A$1107,0)</f>
        <v>533</v>
      </c>
    </row>
    <row r="449" spans="1:10" x14ac:dyDescent="0.25">
      <c r="A449" t="s">
        <v>2052</v>
      </c>
      <c r="B449" t="s">
        <v>2053</v>
      </c>
      <c r="C449">
        <f>MATCH(A449,mapCOM!A$2:A$1107,0)</f>
        <v>542</v>
      </c>
      <c r="H449" t="s">
        <v>2073</v>
      </c>
      <c r="I449" t="s">
        <v>2072</v>
      </c>
      <c r="J449">
        <f>MATCH(H449,mapCOM!$A$2:$A$1107,0)</f>
        <v>534</v>
      </c>
    </row>
    <row r="450" spans="1:10" x14ac:dyDescent="0.25">
      <c r="A450" t="s">
        <v>1655</v>
      </c>
      <c r="B450" t="s">
        <v>3645</v>
      </c>
      <c r="C450">
        <f>MATCH(A450,mapCOM!A$2:A$1107,0)</f>
        <v>543</v>
      </c>
      <c r="H450" t="s">
        <v>2070</v>
      </c>
      <c r="I450" t="s">
        <v>2069</v>
      </c>
      <c r="J450">
        <f>MATCH(H450,mapCOM!$A$2:$A$1107,0)</f>
        <v>535</v>
      </c>
    </row>
    <row r="451" spans="1:10" x14ac:dyDescent="0.25">
      <c r="A451" t="s">
        <v>2051</v>
      </c>
      <c r="B451" t="s">
        <v>2050</v>
      </c>
      <c r="C451">
        <f>MATCH(A451,mapCOM!A$2:A$1107,0)</f>
        <v>544</v>
      </c>
      <c r="H451" t="s">
        <v>2067</v>
      </c>
      <c r="I451" t="s">
        <v>131</v>
      </c>
      <c r="J451">
        <f>MATCH(H451,mapCOM!$A$2:$A$1107,0)</f>
        <v>536</v>
      </c>
    </row>
    <row r="452" spans="1:10" x14ac:dyDescent="0.25">
      <c r="H452" t="s">
        <v>2065</v>
      </c>
      <c r="I452" t="s">
        <v>129</v>
      </c>
      <c r="J452">
        <f>MATCH(H452,mapCOM!$A$2:$A$1107,0)</f>
        <v>537</v>
      </c>
    </row>
    <row r="453" spans="1:10" x14ac:dyDescent="0.25">
      <c r="H453" t="s">
        <v>2064</v>
      </c>
      <c r="I453" t="s">
        <v>2063</v>
      </c>
      <c r="J453">
        <f>MATCH(H453,mapCOM!$A$2:$A$1107,0)</f>
        <v>538</v>
      </c>
    </row>
    <row r="454" spans="1:10" x14ac:dyDescent="0.25">
      <c r="H454" t="s">
        <v>2061</v>
      </c>
      <c r="I454" t="s">
        <v>2060</v>
      </c>
      <c r="J454">
        <f>MATCH(H454,mapCOM!$A$2:$A$1107,0)</f>
        <v>539</v>
      </c>
    </row>
    <row r="455" spans="1:10" x14ac:dyDescent="0.25">
      <c r="H455" t="s">
        <v>2058</v>
      </c>
      <c r="I455" t="s">
        <v>2057</v>
      </c>
      <c r="J455">
        <f>MATCH(H455,mapCOM!$A$2:$A$1107,0)</f>
        <v>540</v>
      </c>
    </row>
    <row r="456" spans="1:10" x14ac:dyDescent="0.25">
      <c r="H456" t="s">
        <v>2056</v>
      </c>
      <c r="I456" t="s">
        <v>2055</v>
      </c>
      <c r="J456">
        <f>MATCH(H456,mapCOM!$A$2:$A$1107,0)</f>
        <v>541</v>
      </c>
    </row>
    <row r="457" spans="1:10" x14ac:dyDescent="0.25">
      <c r="H457" t="s">
        <v>2052</v>
      </c>
      <c r="I457" t="s">
        <v>2053</v>
      </c>
      <c r="J457">
        <f>MATCH(H457,mapCOM!$A$2:$A$1107,0)</f>
        <v>542</v>
      </c>
    </row>
    <row r="458" spans="1:10" x14ac:dyDescent="0.25">
      <c r="H458" t="s">
        <v>1655</v>
      </c>
      <c r="I458" t="s">
        <v>3645</v>
      </c>
      <c r="J458">
        <f>MATCH(H458,mapCOM!$A$2:$A$1107,0)</f>
        <v>543</v>
      </c>
    </row>
    <row r="459" spans="1:10" x14ac:dyDescent="0.25">
      <c r="H459" t="s">
        <v>2051</v>
      </c>
      <c r="I459" t="s">
        <v>2050</v>
      </c>
      <c r="J459">
        <f>MATCH(H459,mapCOM!$A$2:$A$1107,0)</f>
        <v>544</v>
      </c>
    </row>
    <row r="789" spans="3:3" x14ac:dyDescent="0.25">
      <c r="C789" t="e">
        <f>MATCH(A789,mapPRC!A$2:A$1154,0)</f>
        <v>#N/A</v>
      </c>
    </row>
    <row r="790" spans="3:3" x14ac:dyDescent="0.25">
      <c r="C790" t="e">
        <f>MATCH(A790,mapPRC!A$2:A$1154,0)</f>
        <v>#N/A</v>
      </c>
    </row>
    <row r="791" spans="3:3" x14ac:dyDescent="0.25">
      <c r="C791" t="e">
        <f>MATCH(A791,mapPRC!A$2:A$1154,0)</f>
        <v>#N/A</v>
      </c>
    </row>
    <row r="792" spans="3:3" x14ac:dyDescent="0.25">
      <c r="C792" t="e">
        <f>MATCH(A792,mapPRC!A$2:A$1154,0)</f>
        <v>#N/A</v>
      </c>
    </row>
    <row r="793" spans="3:3" x14ac:dyDescent="0.25">
      <c r="C793" t="e">
        <f>MATCH(A793,mapPRC!A$2:A$1154,0)</f>
        <v>#N/A</v>
      </c>
    </row>
    <row r="794" spans="3:3" x14ac:dyDescent="0.25">
      <c r="C794" t="e">
        <f>MATCH(A794,mapPRC!A$2:A$1154,0)</f>
        <v>#N/A</v>
      </c>
    </row>
    <row r="795" spans="3:3" x14ac:dyDescent="0.25">
      <c r="C795" t="e">
        <f>MATCH(A795,mapPRC!A$2:A$1154,0)</f>
        <v>#N/A</v>
      </c>
    </row>
    <row r="796" spans="3:3" x14ac:dyDescent="0.25">
      <c r="C796" t="e">
        <f>MATCH(A796,mapPRC!A$2:A$1154,0)</f>
        <v>#N/A</v>
      </c>
    </row>
    <row r="797" spans="3:3" x14ac:dyDescent="0.25">
      <c r="C797" t="e">
        <f>MATCH(A797,mapPRC!A$2:A$1154,0)</f>
        <v>#N/A</v>
      </c>
    </row>
    <row r="798" spans="3:3" x14ac:dyDescent="0.25">
      <c r="C798" t="e">
        <f>MATCH(A798,mapPRC!A$2:A$1154,0)</f>
        <v>#N/A</v>
      </c>
    </row>
    <row r="799" spans="3:3" x14ac:dyDescent="0.25">
      <c r="C799" t="e">
        <f>MATCH(A799,mapPRC!A$2:A$1154,0)</f>
        <v>#N/A</v>
      </c>
    </row>
    <row r="800" spans="3:3" x14ac:dyDescent="0.25">
      <c r="C800" t="e">
        <f>MATCH(A800,mapPRC!A$2:A$1154,0)</f>
        <v>#N/A</v>
      </c>
    </row>
    <row r="801" spans="3:3" x14ac:dyDescent="0.25">
      <c r="C801" t="e">
        <f>MATCH(A801,mapPRC!A$2:A$1154,0)</f>
        <v>#N/A</v>
      </c>
    </row>
    <row r="802" spans="3:3" x14ac:dyDescent="0.25">
      <c r="C802" t="e">
        <f>MATCH(A802,mapPRC!A$2:A$1154,0)</f>
        <v>#N/A</v>
      </c>
    </row>
    <row r="803" spans="3:3" x14ac:dyDescent="0.25">
      <c r="C803" t="e">
        <f>MATCH(A803,mapPRC!A$2:A$1154,0)</f>
        <v>#N/A</v>
      </c>
    </row>
    <row r="804" spans="3:3" x14ac:dyDescent="0.25">
      <c r="C804" t="e">
        <f>MATCH(A804,mapPRC!A$2:A$1154,0)</f>
        <v>#N/A</v>
      </c>
    </row>
    <row r="805" spans="3:3" x14ac:dyDescent="0.25">
      <c r="C805" t="e">
        <f>MATCH(A805,mapPRC!A$2:A$1154,0)</f>
        <v>#N/A</v>
      </c>
    </row>
    <row r="806" spans="3:3" x14ac:dyDescent="0.25">
      <c r="C806" t="e">
        <f>MATCH(A806,mapPRC!A$2:A$1154,0)</f>
        <v>#N/A</v>
      </c>
    </row>
    <row r="807" spans="3:3" x14ac:dyDescent="0.25">
      <c r="C807" t="e">
        <f>MATCH(A807,mapPRC!A$2:A$1154,0)</f>
        <v>#N/A</v>
      </c>
    </row>
    <row r="808" spans="3:3" x14ac:dyDescent="0.25">
      <c r="C808" t="e">
        <f>MATCH(A808,mapPRC!A$2:A$1154,0)</f>
        <v>#N/A</v>
      </c>
    </row>
    <row r="809" spans="3:3" x14ac:dyDescent="0.25">
      <c r="C809" t="e">
        <f>MATCH(A809,mapPRC!A$2:A$1154,0)</f>
        <v>#N/A</v>
      </c>
    </row>
    <row r="810" spans="3:3" x14ac:dyDescent="0.25">
      <c r="C810" t="e">
        <f>MATCH(A810,mapPRC!A$2:A$1154,0)</f>
        <v>#N/A</v>
      </c>
    </row>
    <row r="811" spans="3:3" x14ac:dyDescent="0.25">
      <c r="C811" t="e">
        <f>MATCH(A811,mapPRC!A$2:A$1154,0)</f>
        <v>#N/A</v>
      </c>
    </row>
    <row r="812" spans="3:3" x14ac:dyDescent="0.25">
      <c r="C812" t="e">
        <f>MATCH(A812,mapPRC!A$2:A$1154,0)</f>
        <v>#N/A</v>
      </c>
    </row>
    <row r="813" spans="3:3" x14ac:dyDescent="0.25">
      <c r="C813" t="e">
        <f>MATCH(A813,mapPRC!A$2:A$1154,0)</f>
        <v>#N/A</v>
      </c>
    </row>
    <row r="814" spans="3:3" x14ac:dyDescent="0.25">
      <c r="C814" t="e">
        <f>MATCH(A814,mapPRC!A$2:A$1154,0)</f>
        <v>#N/A</v>
      </c>
    </row>
    <row r="815" spans="3:3" x14ac:dyDescent="0.25">
      <c r="C815" t="e">
        <f>MATCH(A815,mapPRC!A$2:A$1154,0)</f>
        <v>#N/A</v>
      </c>
    </row>
    <row r="816" spans="3:3" x14ac:dyDescent="0.25">
      <c r="C816" t="e">
        <f>MATCH(A816,mapPRC!A$2:A$1154,0)</f>
        <v>#N/A</v>
      </c>
    </row>
    <row r="817" spans="3:3" x14ac:dyDescent="0.25">
      <c r="C817" t="e">
        <f>MATCH(A817,mapPRC!A$2:A$1154,0)</f>
        <v>#N/A</v>
      </c>
    </row>
    <row r="818" spans="3:3" x14ac:dyDescent="0.25">
      <c r="C818" t="e">
        <f>MATCH(A818,mapPRC!A$2:A$1154,0)</f>
        <v>#N/A</v>
      </c>
    </row>
    <row r="819" spans="3:3" x14ac:dyDescent="0.25">
      <c r="C819" t="e">
        <f>MATCH(A819,mapPRC!A$2:A$1154,0)</f>
        <v>#N/A</v>
      </c>
    </row>
    <row r="820" spans="3:3" x14ac:dyDescent="0.25">
      <c r="C820" t="e">
        <f>MATCH(A820,mapPRC!A$2:A$1154,0)</f>
        <v>#N/A</v>
      </c>
    </row>
    <row r="821" spans="3:3" x14ac:dyDescent="0.25">
      <c r="C821" t="e">
        <f>MATCH(A821,mapPRC!A$2:A$1154,0)</f>
        <v>#N/A</v>
      </c>
    </row>
    <row r="822" spans="3:3" x14ac:dyDescent="0.25">
      <c r="C822" t="e">
        <f>MATCH(A822,mapPRC!A$2:A$1154,0)</f>
        <v>#N/A</v>
      </c>
    </row>
    <row r="823" spans="3:3" x14ac:dyDescent="0.25">
      <c r="C823" t="e">
        <f>MATCH(A823,mapPRC!A$2:A$1154,0)</f>
        <v>#N/A</v>
      </c>
    </row>
    <row r="824" spans="3:3" x14ac:dyDescent="0.25">
      <c r="C824" t="e">
        <f>MATCH(A824,mapPRC!A$2:A$1154,0)</f>
        <v>#N/A</v>
      </c>
    </row>
    <row r="825" spans="3:3" x14ac:dyDescent="0.25">
      <c r="C825" t="e">
        <f>MATCH(A825,mapPRC!A$2:A$1154,0)</f>
        <v>#N/A</v>
      </c>
    </row>
    <row r="826" spans="3:3" x14ac:dyDescent="0.25">
      <c r="C826" t="e">
        <f>MATCH(A826,mapPRC!A$2:A$1154,0)</f>
        <v>#N/A</v>
      </c>
    </row>
    <row r="827" spans="3:3" x14ac:dyDescent="0.25">
      <c r="C827" t="e">
        <f>MATCH(A827,mapPRC!A$2:A$1154,0)</f>
        <v>#N/A</v>
      </c>
    </row>
    <row r="828" spans="3:3" x14ac:dyDescent="0.25">
      <c r="C828" t="e">
        <f>MATCH(A828,mapPRC!A$2:A$1154,0)</f>
        <v>#N/A</v>
      </c>
    </row>
    <row r="829" spans="3:3" x14ac:dyDescent="0.25">
      <c r="C829" t="e">
        <f>MATCH(A829,mapPRC!A$2:A$1154,0)</f>
        <v>#N/A</v>
      </c>
    </row>
    <row r="830" spans="3:3" x14ac:dyDescent="0.25">
      <c r="C830" t="e">
        <f>MATCH(A830,mapPRC!A$2:A$1154,0)</f>
        <v>#N/A</v>
      </c>
    </row>
    <row r="831" spans="3:3" x14ac:dyDescent="0.25">
      <c r="C831" t="e">
        <f>MATCH(A831,mapPRC!A$2:A$1154,0)</f>
        <v>#N/A</v>
      </c>
    </row>
    <row r="832" spans="3:3" x14ac:dyDescent="0.25">
      <c r="C832" t="e">
        <f>MATCH(A832,mapPRC!A$2:A$1154,0)</f>
        <v>#N/A</v>
      </c>
    </row>
    <row r="833" spans="3:3" x14ac:dyDescent="0.25">
      <c r="C833" t="e">
        <f>MATCH(A833,mapPRC!A$2:A$1154,0)</f>
        <v>#N/A</v>
      </c>
    </row>
    <row r="834" spans="3:3" x14ac:dyDescent="0.25">
      <c r="C834" t="e">
        <f>MATCH(A834,mapPRC!A$2:A$1154,0)</f>
        <v>#N/A</v>
      </c>
    </row>
    <row r="835" spans="3:3" x14ac:dyDescent="0.25">
      <c r="C835" t="e">
        <f>MATCH(A835,mapPRC!A$2:A$1154,0)</f>
        <v>#N/A</v>
      </c>
    </row>
    <row r="836" spans="3:3" x14ac:dyDescent="0.25">
      <c r="C836" t="e">
        <f>MATCH(A836,mapPRC!A$2:A$1154,0)</f>
        <v>#N/A</v>
      </c>
    </row>
    <row r="837" spans="3:3" x14ac:dyDescent="0.25">
      <c r="C837" t="e">
        <f>MATCH(A837,mapPRC!A$2:A$1154,0)</f>
        <v>#N/A</v>
      </c>
    </row>
    <row r="838" spans="3:3" x14ac:dyDescent="0.25">
      <c r="C838" t="e">
        <f>MATCH(A838,mapPRC!A$2:A$1154,0)</f>
        <v>#N/A</v>
      </c>
    </row>
    <row r="839" spans="3:3" x14ac:dyDescent="0.25">
      <c r="C839" t="e">
        <f>MATCH(A839,mapPRC!A$2:A$1154,0)</f>
        <v>#N/A</v>
      </c>
    </row>
    <row r="840" spans="3:3" x14ac:dyDescent="0.25">
      <c r="C840" t="e">
        <f>MATCH(A840,mapPRC!A$2:A$1154,0)</f>
        <v>#N/A</v>
      </c>
    </row>
    <row r="841" spans="3:3" x14ac:dyDescent="0.25">
      <c r="C841" t="e">
        <f>MATCH(A841,mapPRC!A$2:A$1154,0)</f>
        <v>#N/A</v>
      </c>
    </row>
    <row r="842" spans="3:3" x14ac:dyDescent="0.25">
      <c r="C842" t="e">
        <f>MATCH(A842,mapPRC!A$2:A$1154,0)</f>
        <v>#N/A</v>
      </c>
    </row>
    <row r="843" spans="3:3" x14ac:dyDescent="0.25">
      <c r="C843" t="e">
        <f>MATCH(A843,mapPRC!A$2:A$1154,0)</f>
        <v>#N/A</v>
      </c>
    </row>
    <row r="844" spans="3:3" x14ac:dyDescent="0.25">
      <c r="C844" t="e">
        <f>MATCH(A844,mapPRC!A$2:A$1154,0)</f>
        <v>#N/A</v>
      </c>
    </row>
    <row r="845" spans="3:3" x14ac:dyDescent="0.25">
      <c r="C845" t="e">
        <f>MATCH(A845,mapPRC!A$2:A$1154,0)</f>
        <v>#N/A</v>
      </c>
    </row>
    <row r="846" spans="3:3" x14ac:dyDescent="0.25">
      <c r="C846" t="e">
        <f>MATCH(A846,mapPRC!A$2:A$1154,0)</f>
        <v>#N/A</v>
      </c>
    </row>
    <row r="847" spans="3:3" x14ac:dyDescent="0.25">
      <c r="C847" t="e">
        <f>MATCH(A847,mapPRC!A$2:A$1154,0)</f>
        <v>#N/A</v>
      </c>
    </row>
    <row r="848" spans="3:3" x14ac:dyDescent="0.25">
      <c r="C848" t="e">
        <f>MATCH(A848,mapPRC!A$2:A$1154,0)</f>
        <v>#N/A</v>
      </c>
    </row>
    <row r="849" spans="3:3" x14ac:dyDescent="0.25">
      <c r="C849" t="e">
        <f>MATCH(A849,mapPRC!A$2:A$1154,0)</f>
        <v>#N/A</v>
      </c>
    </row>
    <row r="850" spans="3:3" x14ac:dyDescent="0.25">
      <c r="C850" t="e">
        <f>MATCH(A850,mapPRC!A$2:A$1154,0)</f>
        <v>#N/A</v>
      </c>
    </row>
    <row r="851" spans="3:3" x14ac:dyDescent="0.25">
      <c r="C851" t="e">
        <f>MATCH(A851,mapPRC!A$2:A$1154,0)</f>
        <v>#N/A</v>
      </c>
    </row>
    <row r="852" spans="3:3" x14ac:dyDescent="0.25">
      <c r="C852" t="e">
        <f>MATCH(A852,mapPRC!A$2:A$1154,0)</f>
        <v>#N/A</v>
      </c>
    </row>
    <row r="853" spans="3:3" x14ac:dyDescent="0.25">
      <c r="C853" t="e">
        <f>MATCH(A853,mapPRC!A$2:A$1154,0)</f>
        <v>#N/A</v>
      </c>
    </row>
    <row r="854" spans="3:3" x14ac:dyDescent="0.25">
      <c r="C854" t="e">
        <f>MATCH(A854,mapPRC!A$2:A$1154,0)</f>
        <v>#N/A</v>
      </c>
    </row>
    <row r="855" spans="3:3" x14ac:dyDescent="0.25">
      <c r="C855" t="e">
        <f>MATCH(A855,mapPRC!A$2:A$1154,0)</f>
        <v>#N/A</v>
      </c>
    </row>
    <row r="856" spans="3:3" x14ac:dyDescent="0.25">
      <c r="C856" t="e">
        <f>MATCH(A856,mapPRC!A$2:A$1154,0)</f>
        <v>#N/A</v>
      </c>
    </row>
    <row r="857" spans="3:3" x14ac:dyDescent="0.25">
      <c r="C857" t="e">
        <f>MATCH(A857,mapPRC!A$2:A$1154,0)</f>
        <v>#N/A</v>
      </c>
    </row>
    <row r="858" spans="3:3" x14ac:dyDescent="0.25">
      <c r="C858" t="e">
        <f>MATCH(A858,mapPRC!A$2:A$1154,0)</f>
        <v>#N/A</v>
      </c>
    </row>
    <row r="859" spans="3:3" x14ac:dyDescent="0.25">
      <c r="C859" t="e">
        <f>MATCH(A859,mapPRC!A$2:A$1154,0)</f>
        <v>#N/A</v>
      </c>
    </row>
    <row r="860" spans="3:3" x14ac:dyDescent="0.25">
      <c r="C860" t="e">
        <f>MATCH(A860,mapPRC!A$2:A$1154,0)</f>
        <v>#N/A</v>
      </c>
    </row>
    <row r="861" spans="3:3" x14ac:dyDescent="0.25">
      <c r="C861" t="e">
        <f>MATCH(A861,mapPRC!A$2:A$1154,0)</f>
        <v>#N/A</v>
      </c>
    </row>
    <row r="862" spans="3:3" x14ac:dyDescent="0.25">
      <c r="C862" t="e">
        <f>MATCH(A862,mapPRC!A$2:A$1154,0)</f>
        <v>#N/A</v>
      </c>
    </row>
    <row r="863" spans="3:3" x14ac:dyDescent="0.25">
      <c r="C863" t="e">
        <f>MATCH(A863,mapPRC!A$2:A$1154,0)</f>
        <v>#N/A</v>
      </c>
    </row>
    <row r="864" spans="3:3" x14ac:dyDescent="0.25">
      <c r="C864" t="e">
        <f>MATCH(A864,mapPRC!A$2:A$1154,0)</f>
        <v>#N/A</v>
      </c>
    </row>
    <row r="865" spans="3:3" x14ac:dyDescent="0.25">
      <c r="C865" t="e">
        <f>MATCH(A865,mapPRC!A$2:A$1154,0)</f>
        <v>#N/A</v>
      </c>
    </row>
    <row r="866" spans="3:3" x14ac:dyDescent="0.25">
      <c r="C866" t="e">
        <f>MATCH(A866,mapPRC!A$2:A$1154,0)</f>
        <v>#N/A</v>
      </c>
    </row>
    <row r="867" spans="3:3" x14ac:dyDescent="0.25">
      <c r="C867" t="e">
        <f>MATCH(A867,mapPRC!A$2:A$1154,0)</f>
        <v>#N/A</v>
      </c>
    </row>
    <row r="868" spans="3:3" x14ac:dyDescent="0.25">
      <c r="C868" t="e">
        <f>MATCH(A868,mapPRC!A$2:A$1154,0)</f>
        <v>#N/A</v>
      </c>
    </row>
    <row r="869" spans="3:3" x14ac:dyDescent="0.25">
      <c r="C869" t="e">
        <f>MATCH(A869,mapPRC!A$2:A$1154,0)</f>
        <v>#N/A</v>
      </c>
    </row>
    <row r="870" spans="3:3" x14ac:dyDescent="0.25">
      <c r="C870" t="e">
        <f>MATCH(A870,mapPRC!A$2:A$1154,0)</f>
        <v>#N/A</v>
      </c>
    </row>
    <row r="871" spans="3:3" x14ac:dyDescent="0.25">
      <c r="C871" t="e">
        <f>MATCH(A871,mapPRC!A$2:A$1154,0)</f>
        <v>#N/A</v>
      </c>
    </row>
    <row r="872" spans="3:3" x14ac:dyDescent="0.25">
      <c r="C872" t="e">
        <f>MATCH(A872,mapPRC!A$2:A$1154,0)</f>
        <v>#N/A</v>
      </c>
    </row>
    <row r="873" spans="3:3" x14ac:dyDescent="0.25">
      <c r="C873" t="e">
        <f>MATCH(A873,mapPRC!A$2:A$1154,0)</f>
        <v>#N/A</v>
      </c>
    </row>
    <row r="874" spans="3:3" x14ac:dyDescent="0.25">
      <c r="C874" t="e">
        <f>MATCH(A874,mapPRC!A$2:A$1154,0)</f>
        <v>#N/A</v>
      </c>
    </row>
    <row r="875" spans="3:3" x14ac:dyDescent="0.25">
      <c r="C875" t="e">
        <f>MATCH(A875,mapPRC!A$2:A$1154,0)</f>
        <v>#N/A</v>
      </c>
    </row>
    <row r="876" spans="3:3" x14ac:dyDescent="0.25">
      <c r="C876" t="e">
        <f>MATCH(A876,mapPRC!A$2:A$1154,0)</f>
        <v>#N/A</v>
      </c>
    </row>
    <row r="877" spans="3:3" x14ac:dyDescent="0.25">
      <c r="C877" t="e">
        <f>MATCH(A877,mapPRC!A$2:A$1154,0)</f>
        <v>#N/A</v>
      </c>
    </row>
    <row r="878" spans="3:3" x14ac:dyDescent="0.25">
      <c r="C878" t="e">
        <f>MATCH(A878,mapPRC!A$2:A$1154,0)</f>
        <v>#N/A</v>
      </c>
    </row>
    <row r="879" spans="3:3" x14ac:dyDescent="0.25">
      <c r="C879" t="e">
        <f>MATCH(A879,mapPRC!A$2:A$1154,0)</f>
        <v>#N/A</v>
      </c>
    </row>
    <row r="880" spans="3:3" x14ac:dyDescent="0.25">
      <c r="C880" t="e">
        <f>MATCH(A880,mapPRC!A$2:A$1154,0)</f>
        <v>#N/A</v>
      </c>
    </row>
    <row r="881" spans="3:3" x14ac:dyDescent="0.25">
      <c r="C881" t="e">
        <f>MATCH(A881,mapPRC!A$2:A$1154,0)</f>
        <v>#N/A</v>
      </c>
    </row>
    <row r="882" spans="3:3" x14ac:dyDescent="0.25">
      <c r="C882" t="e">
        <f>MATCH(A882,mapPRC!A$2:A$1154,0)</f>
        <v>#N/A</v>
      </c>
    </row>
    <row r="883" spans="3:3" x14ac:dyDescent="0.25">
      <c r="C883" t="e">
        <f>MATCH(A883,mapPRC!A$2:A$1154,0)</f>
        <v>#N/A</v>
      </c>
    </row>
    <row r="884" spans="3:3" x14ac:dyDescent="0.25">
      <c r="C884" t="e">
        <f>MATCH(A884,mapPRC!A$2:A$1154,0)</f>
        <v>#N/A</v>
      </c>
    </row>
    <row r="885" spans="3:3" x14ac:dyDescent="0.25">
      <c r="C885" t="e">
        <f>MATCH(A885,mapPRC!A$2:A$1154,0)</f>
        <v>#N/A</v>
      </c>
    </row>
    <row r="886" spans="3:3" x14ac:dyDescent="0.25">
      <c r="C886" t="e">
        <f>MATCH(A886,mapPRC!A$2:A$1154,0)</f>
        <v>#N/A</v>
      </c>
    </row>
    <row r="887" spans="3:3" x14ac:dyDescent="0.25">
      <c r="C887" t="e">
        <f>MATCH(A887,mapPRC!A$2:A$1154,0)</f>
        <v>#N/A</v>
      </c>
    </row>
    <row r="888" spans="3:3" x14ac:dyDescent="0.25">
      <c r="C888" t="e">
        <f>MATCH(A888,mapPRC!A$2:A$1154,0)</f>
        <v>#N/A</v>
      </c>
    </row>
    <row r="889" spans="3:3" x14ac:dyDescent="0.25">
      <c r="C889" t="e">
        <f>MATCH(A889,mapPRC!A$2:A$1154,0)</f>
        <v>#N/A</v>
      </c>
    </row>
    <row r="890" spans="3:3" x14ac:dyDescent="0.25">
      <c r="C890" t="e">
        <f>MATCH(A890,mapPRC!A$2:A$1154,0)</f>
        <v>#N/A</v>
      </c>
    </row>
    <row r="891" spans="3:3" x14ac:dyDescent="0.25">
      <c r="C891" t="e">
        <f>MATCH(A891,mapPRC!A$2:A$1154,0)</f>
        <v>#N/A</v>
      </c>
    </row>
    <row r="892" spans="3:3" x14ac:dyDescent="0.25">
      <c r="C892" t="e">
        <f>MATCH(A892,mapPRC!A$2:A$1154,0)</f>
        <v>#N/A</v>
      </c>
    </row>
    <row r="893" spans="3:3" x14ac:dyDescent="0.25">
      <c r="C893" t="e">
        <f>MATCH(A893,mapPRC!A$2:A$1154,0)</f>
        <v>#N/A</v>
      </c>
    </row>
    <row r="894" spans="3:3" x14ac:dyDescent="0.25">
      <c r="C894" t="e">
        <f>MATCH(A894,mapPRC!A$2:A$1154,0)</f>
        <v>#N/A</v>
      </c>
    </row>
    <row r="895" spans="3:3" x14ac:dyDescent="0.25">
      <c r="C895" t="e">
        <f>MATCH(A895,mapPRC!A$2:A$1154,0)</f>
        <v>#N/A</v>
      </c>
    </row>
    <row r="896" spans="3:3" x14ac:dyDescent="0.25">
      <c r="C896" t="e">
        <f>MATCH(A896,mapPRC!A$2:A$1154,0)</f>
        <v>#N/A</v>
      </c>
    </row>
    <row r="897" spans="3:3" x14ac:dyDescent="0.25">
      <c r="C897" t="e">
        <f>MATCH(A897,mapPRC!A$2:A$1154,0)</f>
        <v>#N/A</v>
      </c>
    </row>
    <row r="898" spans="3:3" x14ac:dyDescent="0.25">
      <c r="C898" t="e">
        <f>MATCH(A898,mapPRC!A$2:A$1154,0)</f>
        <v>#N/A</v>
      </c>
    </row>
    <row r="899" spans="3:3" x14ac:dyDescent="0.25">
      <c r="C899" t="e">
        <f>MATCH(A899,mapPRC!A$2:A$1154,0)</f>
        <v>#N/A</v>
      </c>
    </row>
    <row r="900" spans="3:3" x14ac:dyDescent="0.25">
      <c r="C900" t="e">
        <f>MATCH(A900,mapPRC!A$2:A$1154,0)</f>
        <v>#N/A</v>
      </c>
    </row>
    <row r="901" spans="3:3" x14ac:dyDescent="0.25">
      <c r="C901" t="e">
        <f>MATCH(A901,mapPRC!A$2:A$1154,0)</f>
        <v>#N/A</v>
      </c>
    </row>
    <row r="902" spans="3:3" x14ac:dyDescent="0.25">
      <c r="C902" t="e">
        <f>MATCH(A902,mapPRC!A$2:A$1154,0)</f>
        <v>#N/A</v>
      </c>
    </row>
    <row r="903" spans="3:3" x14ac:dyDescent="0.25">
      <c r="C903" t="e">
        <f>MATCH(A903,mapPRC!A$2:A$1154,0)</f>
        <v>#N/A</v>
      </c>
    </row>
    <row r="904" spans="3:3" x14ac:dyDescent="0.25">
      <c r="C904" t="e">
        <f>MATCH(A904,mapPRC!A$2:A$1154,0)</f>
        <v>#N/A</v>
      </c>
    </row>
    <row r="905" spans="3:3" x14ac:dyDescent="0.25">
      <c r="C905" t="e">
        <f>MATCH(A905,mapPRC!A$2:A$1154,0)</f>
        <v>#N/A</v>
      </c>
    </row>
    <row r="906" spans="3:3" x14ac:dyDescent="0.25">
      <c r="C906" t="e">
        <f>MATCH(A906,mapPRC!A$2:A$1154,0)</f>
        <v>#N/A</v>
      </c>
    </row>
    <row r="907" spans="3:3" x14ac:dyDescent="0.25">
      <c r="C907" t="e">
        <f>MATCH(A907,mapPRC!A$2:A$1154,0)</f>
        <v>#N/A</v>
      </c>
    </row>
    <row r="908" spans="3:3" x14ac:dyDescent="0.25">
      <c r="C908" t="e">
        <f>MATCH(A908,mapPRC!A$2:A$1154,0)</f>
        <v>#N/A</v>
      </c>
    </row>
    <row r="909" spans="3:3" x14ac:dyDescent="0.25">
      <c r="C909" t="e">
        <f>MATCH(A909,mapPRC!A$2:A$1154,0)</f>
        <v>#N/A</v>
      </c>
    </row>
    <row r="910" spans="3:3" x14ac:dyDescent="0.25">
      <c r="C910" t="e">
        <f>MATCH(A910,mapPRC!A$2:A$1154,0)</f>
        <v>#N/A</v>
      </c>
    </row>
    <row r="911" spans="3:3" x14ac:dyDescent="0.25">
      <c r="C911" t="e">
        <f>MATCH(A911,mapPRC!A$2:A$1154,0)</f>
        <v>#N/A</v>
      </c>
    </row>
    <row r="912" spans="3:3" x14ac:dyDescent="0.25">
      <c r="C912" t="e">
        <f>MATCH(A912,mapPRC!A$2:A$1154,0)</f>
        <v>#N/A</v>
      </c>
    </row>
    <row r="913" spans="3:3" x14ac:dyDescent="0.25">
      <c r="C913" t="e">
        <f>MATCH(A913,mapPRC!A$2:A$1154,0)</f>
        <v>#N/A</v>
      </c>
    </row>
    <row r="914" spans="3:3" x14ac:dyDescent="0.25">
      <c r="C914" t="e">
        <f>MATCH(A914,mapPRC!A$2:A$1154,0)</f>
        <v>#N/A</v>
      </c>
    </row>
    <row r="915" spans="3:3" x14ac:dyDescent="0.25">
      <c r="C915" t="e">
        <f>MATCH(A915,mapPRC!A$2:A$1154,0)</f>
        <v>#N/A</v>
      </c>
    </row>
    <row r="916" spans="3:3" x14ac:dyDescent="0.25">
      <c r="C916" t="e">
        <f>MATCH(A916,mapPRC!A$2:A$1154,0)</f>
        <v>#N/A</v>
      </c>
    </row>
    <row r="917" spans="3:3" x14ac:dyDescent="0.25">
      <c r="C917" t="e">
        <f>MATCH(A917,mapPRC!A$2:A$1154,0)</f>
        <v>#N/A</v>
      </c>
    </row>
    <row r="918" spans="3:3" x14ac:dyDescent="0.25">
      <c r="C918" t="e">
        <f>MATCH(A918,mapPRC!A$2:A$1154,0)</f>
        <v>#N/A</v>
      </c>
    </row>
    <row r="919" spans="3:3" x14ac:dyDescent="0.25">
      <c r="C919" t="e">
        <f>MATCH(A919,mapPRC!A$2:A$1154,0)</f>
        <v>#N/A</v>
      </c>
    </row>
    <row r="920" spans="3:3" x14ac:dyDescent="0.25">
      <c r="C920" t="e">
        <f>MATCH(A920,mapPRC!A$2:A$1154,0)</f>
        <v>#N/A</v>
      </c>
    </row>
    <row r="921" spans="3:3" x14ac:dyDescent="0.25">
      <c r="C921" t="e">
        <f>MATCH(A921,mapPRC!A$2:A$1154,0)</f>
        <v>#N/A</v>
      </c>
    </row>
    <row r="922" spans="3:3" x14ac:dyDescent="0.25">
      <c r="C922" t="e">
        <f>MATCH(A922,mapPRC!A$2:A$1154,0)</f>
        <v>#N/A</v>
      </c>
    </row>
    <row r="923" spans="3:3" x14ac:dyDescent="0.25">
      <c r="C923" t="e">
        <f>MATCH(A923,mapPRC!A$2:A$1154,0)</f>
        <v>#N/A</v>
      </c>
    </row>
    <row r="924" spans="3:3" x14ac:dyDescent="0.25">
      <c r="C924" t="e">
        <f>MATCH(A924,mapPRC!A$2:A$1154,0)</f>
        <v>#N/A</v>
      </c>
    </row>
    <row r="925" spans="3:3" x14ac:dyDescent="0.25">
      <c r="C925" t="e">
        <f>MATCH(A925,mapPRC!A$2:A$1154,0)</f>
        <v>#N/A</v>
      </c>
    </row>
    <row r="926" spans="3:3" x14ac:dyDescent="0.25">
      <c r="C926" t="e">
        <f>MATCH(A926,mapPRC!A$2:A$1154,0)</f>
        <v>#N/A</v>
      </c>
    </row>
    <row r="927" spans="3:3" x14ac:dyDescent="0.25">
      <c r="C927" t="e">
        <f>MATCH(A927,mapPRC!A$2:A$1154,0)</f>
        <v>#N/A</v>
      </c>
    </row>
    <row r="928" spans="3:3" x14ac:dyDescent="0.25">
      <c r="C928" t="e">
        <f>MATCH(A928,mapPRC!A$2:A$1154,0)</f>
        <v>#N/A</v>
      </c>
    </row>
    <row r="929" spans="3:3" x14ac:dyDescent="0.25">
      <c r="C929" t="e">
        <f>MATCH(A929,mapPRC!A$2:A$1154,0)</f>
        <v>#N/A</v>
      </c>
    </row>
    <row r="930" spans="3:3" x14ac:dyDescent="0.25">
      <c r="C930" t="e">
        <f>MATCH(A930,mapPRC!A$2:A$1154,0)</f>
        <v>#N/A</v>
      </c>
    </row>
    <row r="931" spans="3:3" x14ac:dyDescent="0.25">
      <c r="C931" t="e">
        <f>MATCH(A931,mapPRC!A$2:A$1154,0)</f>
        <v>#N/A</v>
      </c>
    </row>
    <row r="932" spans="3:3" x14ac:dyDescent="0.25">
      <c r="C932" t="e">
        <f>MATCH(A932,mapPRC!A$2:A$1154,0)</f>
        <v>#N/A</v>
      </c>
    </row>
    <row r="933" spans="3:3" x14ac:dyDescent="0.25">
      <c r="C933" t="e">
        <f>MATCH(A933,mapPRC!A$2:A$1154,0)</f>
        <v>#N/A</v>
      </c>
    </row>
    <row r="934" spans="3:3" x14ac:dyDescent="0.25">
      <c r="C934" t="e">
        <f>MATCH(A934,mapPRC!A$2:A$1154,0)</f>
        <v>#N/A</v>
      </c>
    </row>
    <row r="935" spans="3:3" x14ac:dyDescent="0.25">
      <c r="C935" t="e">
        <f>MATCH(A935,mapPRC!A$2:A$1154,0)</f>
        <v>#N/A</v>
      </c>
    </row>
    <row r="936" spans="3:3" x14ac:dyDescent="0.25">
      <c r="C936" t="e">
        <f>MATCH(A936,mapPRC!A$2:A$1154,0)</f>
        <v>#N/A</v>
      </c>
    </row>
    <row r="937" spans="3:3" x14ac:dyDescent="0.25">
      <c r="C937" t="e">
        <f>MATCH(A937,mapPRC!A$2:A$1154,0)</f>
        <v>#N/A</v>
      </c>
    </row>
    <row r="938" spans="3:3" x14ac:dyDescent="0.25">
      <c r="C938" t="e">
        <f>MATCH(A938,mapPRC!A$2:A$1154,0)</f>
        <v>#N/A</v>
      </c>
    </row>
    <row r="939" spans="3:3" x14ac:dyDescent="0.25">
      <c r="C939" t="e">
        <f>MATCH(A939,mapPRC!A$2:A$1154,0)</f>
        <v>#N/A</v>
      </c>
    </row>
    <row r="940" spans="3:3" x14ac:dyDescent="0.25">
      <c r="C940" t="e">
        <f>MATCH(A940,mapPRC!A$2:A$1154,0)</f>
        <v>#N/A</v>
      </c>
    </row>
    <row r="941" spans="3:3" x14ac:dyDescent="0.25">
      <c r="C941" t="e">
        <f>MATCH(A941,mapPRC!A$2:A$1154,0)</f>
        <v>#N/A</v>
      </c>
    </row>
    <row r="942" spans="3:3" x14ac:dyDescent="0.25">
      <c r="C942" t="e">
        <f>MATCH(A942,mapPRC!A$2:A$1154,0)</f>
        <v>#N/A</v>
      </c>
    </row>
    <row r="943" spans="3:3" x14ac:dyDescent="0.25">
      <c r="C943" t="e">
        <f>MATCH(A943,mapPRC!A$2:A$1154,0)</f>
        <v>#N/A</v>
      </c>
    </row>
    <row r="944" spans="3:3" x14ac:dyDescent="0.25">
      <c r="C944" t="e">
        <f>MATCH(A944,mapPRC!A$2:A$1154,0)</f>
        <v>#N/A</v>
      </c>
    </row>
    <row r="945" spans="3:3" x14ac:dyDescent="0.25">
      <c r="C945" t="e">
        <f>MATCH(A945,mapPRC!A$2:A$1154,0)</f>
        <v>#N/A</v>
      </c>
    </row>
    <row r="946" spans="3:3" x14ac:dyDescent="0.25">
      <c r="C946" t="e">
        <f>MATCH(A946,mapPRC!A$2:A$1154,0)</f>
        <v>#N/A</v>
      </c>
    </row>
    <row r="947" spans="3:3" x14ac:dyDescent="0.25">
      <c r="C947" t="e">
        <f>MATCH(A947,mapPRC!A$2:A$1154,0)</f>
        <v>#N/A</v>
      </c>
    </row>
    <row r="948" spans="3:3" x14ac:dyDescent="0.25">
      <c r="C948" t="e">
        <f>MATCH(A948,mapPRC!A$2:A$1154,0)</f>
        <v>#N/A</v>
      </c>
    </row>
    <row r="949" spans="3:3" x14ac:dyDescent="0.25">
      <c r="C949" t="e">
        <f>MATCH(A949,mapPRC!A$2:A$1154,0)</f>
        <v>#N/A</v>
      </c>
    </row>
    <row r="950" spans="3:3" x14ac:dyDescent="0.25">
      <c r="C950" t="e">
        <f>MATCH(A950,mapPRC!A$2:A$1154,0)</f>
        <v>#N/A</v>
      </c>
    </row>
    <row r="951" spans="3:3" x14ac:dyDescent="0.25">
      <c r="C951" t="e">
        <f>MATCH(A951,mapPRC!A$2:A$1154,0)</f>
        <v>#N/A</v>
      </c>
    </row>
    <row r="952" spans="3:3" x14ac:dyDescent="0.25">
      <c r="C952" t="e">
        <f>MATCH(A952,mapPRC!A$2:A$1154,0)</f>
        <v>#N/A</v>
      </c>
    </row>
    <row r="953" spans="3:3" x14ac:dyDescent="0.25">
      <c r="C953" t="e">
        <f>MATCH(A953,mapPRC!A$2:A$1154,0)</f>
        <v>#N/A</v>
      </c>
    </row>
    <row r="954" spans="3:3" x14ac:dyDescent="0.25">
      <c r="C954" t="e">
        <f>MATCH(A954,mapPRC!A$2:A$1154,0)</f>
        <v>#N/A</v>
      </c>
    </row>
    <row r="955" spans="3:3" x14ac:dyDescent="0.25">
      <c r="C955" t="e">
        <f>MATCH(A955,mapPRC!A$2:A$1154,0)</f>
        <v>#N/A</v>
      </c>
    </row>
    <row r="956" spans="3:3" x14ac:dyDescent="0.25">
      <c r="C956" t="e">
        <f>MATCH(A956,mapPRC!A$2:A$1154,0)</f>
        <v>#N/A</v>
      </c>
    </row>
    <row r="957" spans="3:3" x14ac:dyDescent="0.25">
      <c r="C957" t="e">
        <f>MATCH(A957,mapPRC!A$2:A$1154,0)</f>
        <v>#N/A</v>
      </c>
    </row>
    <row r="958" spans="3:3" x14ac:dyDescent="0.25">
      <c r="C958" t="e">
        <f>MATCH(A958,mapPRC!A$2:A$1154,0)</f>
        <v>#N/A</v>
      </c>
    </row>
    <row r="959" spans="3:3" x14ac:dyDescent="0.25">
      <c r="C959" t="e">
        <f>MATCH(A959,mapPRC!A$2:A$1154,0)</f>
        <v>#N/A</v>
      </c>
    </row>
    <row r="960" spans="3:3" x14ac:dyDescent="0.25">
      <c r="C960" t="e">
        <f>MATCH(A960,mapPRC!A$2:A$1154,0)</f>
        <v>#N/A</v>
      </c>
    </row>
    <row r="961" spans="3:3" x14ac:dyDescent="0.25">
      <c r="C961" t="e">
        <f>MATCH(A961,mapPRC!A$2:A$1154,0)</f>
        <v>#N/A</v>
      </c>
    </row>
    <row r="962" spans="3:3" x14ac:dyDescent="0.25">
      <c r="C962" t="e">
        <f>MATCH(A962,mapPRC!A$2:A$1154,0)</f>
        <v>#N/A</v>
      </c>
    </row>
    <row r="963" spans="3:3" x14ac:dyDescent="0.25">
      <c r="C963" t="e">
        <f>MATCH(A963,mapPRC!A$2:A$1154,0)</f>
        <v>#N/A</v>
      </c>
    </row>
    <row r="964" spans="3:3" x14ac:dyDescent="0.25">
      <c r="C964" t="e">
        <f>MATCH(A964,mapPRC!A$2:A$1154,0)</f>
        <v>#N/A</v>
      </c>
    </row>
    <row r="965" spans="3:3" x14ac:dyDescent="0.25">
      <c r="C965" t="e">
        <f>MATCH(A965,mapPRC!A$2:A$1154,0)</f>
        <v>#N/A</v>
      </c>
    </row>
    <row r="966" spans="3:3" x14ac:dyDescent="0.25">
      <c r="C966" t="e">
        <f>MATCH(A966,mapPRC!A$2:A$1154,0)</f>
        <v>#N/A</v>
      </c>
    </row>
    <row r="967" spans="3:3" x14ac:dyDescent="0.25">
      <c r="C967" t="e">
        <f>MATCH(A967,mapPRC!A$2:A$1154,0)</f>
        <v>#N/A</v>
      </c>
    </row>
    <row r="968" spans="3:3" x14ac:dyDescent="0.25">
      <c r="C968" t="e">
        <f>MATCH(A968,mapPRC!A$2:A$1154,0)</f>
        <v>#N/A</v>
      </c>
    </row>
    <row r="969" spans="3:3" x14ac:dyDescent="0.25">
      <c r="C969" t="e">
        <f>MATCH(A969,mapPRC!A$2:A$1154,0)</f>
        <v>#N/A</v>
      </c>
    </row>
    <row r="970" spans="3:3" x14ac:dyDescent="0.25">
      <c r="C970" t="e">
        <f>MATCH(A970,mapPRC!A$2:A$1154,0)</f>
        <v>#N/A</v>
      </c>
    </row>
    <row r="971" spans="3:3" x14ac:dyDescent="0.25">
      <c r="C971" t="e">
        <f>MATCH(A971,mapPRC!A$2:A$1154,0)</f>
        <v>#N/A</v>
      </c>
    </row>
    <row r="972" spans="3:3" x14ac:dyDescent="0.25">
      <c r="C972" t="e">
        <f>MATCH(A972,mapPRC!A$2:A$1154,0)</f>
        <v>#N/A</v>
      </c>
    </row>
    <row r="973" spans="3:3" x14ac:dyDescent="0.25">
      <c r="C973" t="e">
        <f>MATCH(A973,mapPRC!A$2:A$1154,0)</f>
        <v>#N/A</v>
      </c>
    </row>
    <row r="974" spans="3:3" x14ac:dyDescent="0.25">
      <c r="C974" t="e">
        <f>MATCH(A974,mapPRC!A$2:A$1154,0)</f>
        <v>#N/A</v>
      </c>
    </row>
    <row r="975" spans="3:3" x14ac:dyDescent="0.25">
      <c r="C975" t="e">
        <f>MATCH(A975,mapPRC!A$2:A$1154,0)</f>
        <v>#N/A</v>
      </c>
    </row>
    <row r="976" spans="3:3" x14ac:dyDescent="0.25">
      <c r="C976" t="e">
        <f>MATCH(A976,mapPRC!A$2:A$1154,0)</f>
        <v>#N/A</v>
      </c>
    </row>
    <row r="977" spans="3:3" x14ac:dyDescent="0.25">
      <c r="C977" t="e">
        <f>MATCH(A977,mapPRC!A$2:A$1154,0)</f>
        <v>#N/A</v>
      </c>
    </row>
    <row r="978" spans="3:3" x14ac:dyDescent="0.25">
      <c r="C978" t="e">
        <f>MATCH(A978,mapPRC!A$2:A$1154,0)</f>
        <v>#N/A</v>
      </c>
    </row>
    <row r="979" spans="3:3" x14ac:dyDescent="0.25">
      <c r="C979" t="e">
        <f>MATCH(A979,mapPRC!A$2:A$1154,0)</f>
        <v>#N/A</v>
      </c>
    </row>
    <row r="980" spans="3:3" x14ac:dyDescent="0.25">
      <c r="C980" t="e">
        <f>MATCH(A980,mapPRC!A$2:A$1154,0)</f>
        <v>#N/A</v>
      </c>
    </row>
    <row r="981" spans="3:3" x14ac:dyDescent="0.25">
      <c r="C981" t="e">
        <f>MATCH(A981,mapPRC!A$2:A$1154,0)</f>
        <v>#N/A</v>
      </c>
    </row>
    <row r="982" spans="3:3" x14ac:dyDescent="0.25">
      <c r="C982" t="e">
        <f>MATCH(A982,mapPRC!A$2:A$1154,0)</f>
        <v>#N/A</v>
      </c>
    </row>
    <row r="983" spans="3:3" x14ac:dyDescent="0.25">
      <c r="C983" t="e">
        <f>MATCH(A983,mapPRC!A$2:A$1154,0)</f>
        <v>#N/A</v>
      </c>
    </row>
    <row r="984" spans="3:3" x14ac:dyDescent="0.25">
      <c r="C984" t="e">
        <f>MATCH(A984,mapPRC!A$2:A$1154,0)</f>
        <v>#N/A</v>
      </c>
    </row>
    <row r="985" spans="3:3" x14ac:dyDescent="0.25">
      <c r="C985" t="e">
        <f>MATCH(A985,mapPRC!A$2:A$1154,0)</f>
        <v>#N/A</v>
      </c>
    </row>
    <row r="986" spans="3:3" x14ac:dyDescent="0.25">
      <c r="C986" t="e">
        <f>MATCH(A986,mapPRC!A$2:A$1154,0)</f>
        <v>#N/A</v>
      </c>
    </row>
    <row r="987" spans="3:3" x14ac:dyDescent="0.25">
      <c r="C987" t="e">
        <f>MATCH(A987,mapPRC!A$2:A$1154,0)</f>
        <v>#N/A</v>
      </c>
    </row>
    <row r="988" spans="3:3" x14ac:dyDescent="0.25">
      <c r="C988" t="e">
        <f>MATCH(A988,mapPRC!A$2:A$1154,0)</f>
        <v>#N/A</v>
      </c>
    </row>
    <row r="989" spans="3:3" x14ac:dyDescent="0.25">
      <c r="C989" t="e">
        <f>MATCH(A989,mapPRC!A$2:A$1154,0)</f>
        <v>#N/A</v>
      </c>
    </row>
    <row r="990" spans="3:3" x14ac:dyDescent="0.25">
      <c r="C990" t="e">
        <f>MATCH(A990,mapPRC!A$2:A$1154,0)</f>
        <v>#N/A</v>
      </c>
    </row>
    <row r="991" spans="3:3" x14ac:dyDescent="0.25">
      <c r="C991" t="e">
        <f>MATCH(A991,mapPRC!A$2:A$1154,0)</f>
        <v>#N/A</v>
      </c>
    </row>
    <row r="992" spans="3:3" x14ac:dyDescent="0.25">
      <c r="C992" t="e">
        <f>MATCH(A992,mapPRC!A$2:A$1154,0)</f>
        <v>#N/A</v>
      </c>
    </row>
    <row r="993" spans="3:3" x14ac:dyDescent="0.25">
      <c r="C993" t="e">
        <f>MATCH(A993,mapPRC!A$2:A$1154,0)</f>
        <v>#N/A</v>
      </c>
    </row>
    <row r="994" spans="3:3" x14ac:dyDescent="0.25">
      <c r="C994" t="e">
        <f>MATCH(A994,mapPRC!A$2:A$1154,0)</f>
        <v>#N/A</v>
      </c>
    </row>
    <row r="995" spans="3:3" x14ac:dyDescent="0.25">
      <c r="C995" t="e">
        <f>MATCH(A995,mapPRC!A$2:A$1154,0)</f>
        <v>#N/A</v>
      </c>
    </row>
    <row r="996" spans="3:3" x14ac:dyDescent="0.25">
      <c r="C996" t="e">
        <f>MATCH(A996,mapPRC!A$2:A$1154,0)</f>
        <v>#N/A</v>
      </c>
    </row>
    <row r="997" spans="3:3" x14ac:dyDescent="0.25">
      <c r="C997" t="e">
        <f>MATCH(A997,mapPRC!A$2:A$1154,0)</f>
        <v>#N/A</v>
      </c>
    </row>
    <row r="998" spans="3:3" x14ac:dyDescent="0.25">
      <c r="C998" t="e">
        <f>MATCH(A998,mapPRC!A$2:A$1154,0)</f>
        <v>#N/A</v>
      </c>
    </row>
    <row r="999" spans="3:3" x14ac:dyDescent="0.25">
      <c r="C999" t="e">
        <f>MATCH(A999,mapPRC!A$2:A$1154,0)</f>
        <v>#N/A</v>
      </c>
    </row>
    <row r="1000" spans="3:3" x14ac:dyDescent="0.25">
      <c r="C1000" t="e">
        <f>MATCH(A1000,mapPRC!A$2:A$1154,0)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2024-06-11T09:54:32Z</dcterms:modified>
</cp:coreProperties>
</file>