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workbookPr codeName="ThisWorkbook"/>
  <mc:AlternateContent xmlns:mc="http://schemas.openxmlformats.org/markup-compatibility/2006">
    <mc:Choice Requires="x15">
      <x15ac:absPath xmlns:x15ac="http://schemas.microsoft.com/office/spreadsheetml/2010/11/ac" url="C:\Models\SATIMGE_Veda\"/>
    </mc:Choice>
  </mc:AlternateContent>
  <xr:revisionPtr revIDLastSave="0" documentId="13_ncr:1_{401B44B9-485D-47FC-A114-EFEBEE734D23}" xr6:coauthVersionLast="47" xr6:coauthVersionMax="47" xr10:uidLastSave="{00000000-0000-0000-0000-000000000000}"/>
  <bookViews>
    <workbookView xWindow="-120" yWindow="-120" windowWidth="29040" windowHeight="15840" tabRatio="761" activeTab="1" xr2:uid="{00000000-000D-0000-FFFF-FFFF00000000}"/>
  </bookViews>
  <sheets>
    <sheet name="Change Log" sheetId="9" r:id="rId1"/>
    <sheet name="AGR" sheetId="18" r:id="rId2"/>
    <sheet name="Index" sheetId="34" r:id="rId3"/>
    <sheet name="AGRIC RES" sheetId="3" r:id="rId4"/>
    <sheet name="Appendix 2" sheetId="12" r:id="rId5"/>
    <sheet name="Appendix 7" sheetId="35" r:id="rId6"/>
    <sheet name="Final Demand" sheetId="15" r:id="rId7"/>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grPAMS">#REF!</definedName>
    <definedName name="ComTechs">AGR!#REF!</definedName>
    <definedName name="eps">#REF!</definedName>
    <definedName name="FuelNames">#REF!</definedName>
    <definedName name="_xlnm.Print_Area" localSheetId="0">'Change Log'!$A$1:$B$39</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F33" i="18" l="1"/>
  <c r="AF29" i="18"/>
  <c r="AD30" i="18"/>
  <c r="AD31" i="18"/>
  <c r="AD32" i="18"/>
  <c r="AD33" i="18"/>
  <c r="AD29" i="18"/>
  <c r="X43" i="18"/>
  <c r="X44" i="18"/>
  <c r="X45" i="18"/>
  <c r="X46" i="18"/>
  <c r="X49" i="18"/>
  <c r="X52" i="18"/>
  <c r="X53" i="18"/>
  <c r="X56" i="18"/>
  <c r="X57" i="18"/>
  <c r="X60" i="18"/>
  <c r="X42" i="18"/>
  <c r="O37" i="18"/>
  <c r="J37" i="18"/>
  <c r="K37" i="18"/>
  <c r="I37" i="18"/>
  <c r="P50" i="18"/>
  <c r="P51" i="18"/>
  <c r="M39" i="18" l="1"/>
  <c r="M37" i="18" s="1"/>
  <c r="M35" i="18"/>
  <c r="T35" i="18"/>
  <c r="S39" i="18"/>
  <c r="S37" i="18" s="1"/>
  <c r="T39" i="18"/>
  <c r="T37" i="18" s="1"/>
  <c r="Q39" i="18"/>
  <c r="Q37" i="18" s="1"/>
  <c r="R39" i="18"/>
  <c r="R37" i="18" s="1"/>
  <c r="P39" i="18"/>
  <c r="P37" i="18" s="1"/>
  <c r="L39" i="18"/>
  <c r="L37" i="18" s="1"/>
  <c r="A29" i="9"/>
  <c r="C12" i="35"/>
  <c r="C34" i="15"/>
  <c r="C33" i="15"/>
  <c r="C32" i="15"/>
  <c r="C35" i="15"/>
  <c r="B59" i="15"/>
  <c r="E45" i="18"/>
  <c r="E53" i="18"/>
  <c r="I7" i="18"/>
  <c r="H7" i="18"/>
  <c r="F7" i="18"/>
  <c r="C7" i="18"/>
  <c r="C49" i="18"/>
  <c r="C42" i="18"/>
  <c r="C56" i="18"/>
  <c r="C43" i="18"/>
  <c r="C22" i="18"/>
  <c r="G22" i="18"/>
  <c r="H22" i="18"/>
  <c r="H30" i="18" s="1"/>
  <c r="I22" i="18"/>
  <c r="E42" i="18"/>
  <c r="E57" i="18"/>
  <c r="E56" i="18"/>
  <c r="E52" i="18"/>
  <c r="E46" i="18"/>
  <c r="E44" i="18"/>
  <c r="E43" i="18"/>
  <c r="C20" i="18"/>
  <c r="D20" i="18"/>
  <c r="D28" i="18" s="1"/>
  <c r="F20" i="18"/>
  <c r="F28" i="18" s="1"/>
  <c r="G20" i="18"/>
  <c r="H20" i="18"/>
  <c r="I20" i="18"/>
  <c r="C21" i="18"/>
  <c r="E21" i="18"/>
  <c r="E29" i="18" s="1"/>
  <c r="G21" i="18"/>
  <c r="G29" i="18" s="1"/>
  <c r="H21" i="18"/>
  <c r="I21" i="18"/>
  <c r="C23" i="18"/>
  <c r="D23" i="18"/>
  <c r="D31" i="18" s="1"/>
  <c r="F23" i="18"/>
  <c r="F31" i="18" s="1"/>
  <c r="G23" i="18"/>
  <c r="G31" i="18" s="1"/>
  <c r="H23" i="18"/>
  <c r="H31" i="18" s="1"/>
  <c r="I23" i="18"/>
  <c r="D19" i="18"/>
  <c r="D27" i="18" s="1"/>
  <c r="E19" i="18"/>
  <c r="F19" i="18"/>
  <c r="I19" i="18"/>
  <c r="H43" i="15"/>
  <c r="H19" i="18"/>
  <c r="G19" i="18"/>
  <c r="B43" i="15"/>
  <c r="C19" i="18"/>
  <c r="C42" i="15"/>
  <c r="D42" i="15"/>
  <c r="E42" i="15"/>
  <c r="F42" i="15"/>
  <c r="G42" i="15"/>
  <c r="H42" i="15"/>
  <c r="I42" i="15"/>
  <c r="B42" i="15"/>
  <c r="F35" i="15"/>
  <c r="D40" i="18"/>
  <c r="A32" i="18"/>
  <c r="B23" i="18"/>
  <c r="B31" i="18" s="1"/>
  <c r="A23" i="18"/>
  <c r="A31" i="18" s="1"/>
  <c r="B22" i="18"/>
  <c r="B30" i="18" s="1"/>
  <c r="A22" i="18"/>
  <c r="A30" i="18" s="1"/>
  <c r="B21" i="18"/>
  <c r="B29" i="18" s="1"/>
  <c r="D52" i="18" s="1"/>
  <c r="A21" i="18"/>
  <c r="A29" i="18" s="1"/>
  <c r="B20" i="18"/>
  <c r="B28" i="18" s="1"/>
  <c r="A20" i="18"/>
  <c r="A28" i="18" s="1"/>
  <c r="B19" i="18"/>
  <c r="B27" i="18" s="1"/>
  <c r="A19" i="18"/>
  <c r="A27" i="18" s="1"/>
  <c r="A41" i="18" s="1"/>
  <c r="I18" i="18"/>
  <c r="I26" i="18" s="1"/>
  <c r="H18" i="18"/>
  <c r="H26" i="18" s="1"/>
  <c r="G18" i="18"/>
  <c r="G26" i="18" s="1"/>
  <c r="F18" i="18"/>
  <c r="F26" i="18" s="1"/>
  <c r="E18" i="18"/>
  <c r="E26" i="18" s="1"/>
  <c r="D18" i="18"/>
  <c r="D26" i="18"/>
  <c r="C18" i="18"/>
  <c r="C26" i="18" s="1"/>
  <c r="D4" i="18"/>
  <c r="E4" i="18" s="1"/>
  <c r="F4" i="18" s="1"/>
  <c r="G4" i="18" s="1"/>
  <c r="H4" i="18" s="1"/>
  <c r="I4" i="18" s="1"/>
  <c r="C17" i="15"/>
  <c r="B13" i="15"/>
  <c r="C21" i="15"/>
  <c r="D19" i="15"/>
  <c r="C19" i="15"/>
  <c r="B60" i="15" s="1"/>
  <c r="B61" i="15" s="1"/>
  <c r="C61" i="15" s="1"/>
  <c r="D36" i="15"/>
  <c r="D37" i="15"/>
  <c r="B70" i="15"/>
  <c r="B71" i="15"/>
  <c r="B72" i="15"/>
  <c r="B73" i="15"/>
  <c r="E40" i="18"/>
  <c r="E60" i="18"/>
  <c r="E49" i="18"/>
  <c r="C20" i="15"/>
  <c r="C18" i="15"/>
  <c r="G27" i="18"/>
  <c r="E27" i="18"/>
  <c r="G30" i="18"/>
  <c r="C45" i="18"/>
  <c r="F22" i="18"/>
  <c r="F30" i="18" s="1"/>
  <c r="F21" i="18"/>
  <c r="D20" i="15" l="1"/>
  <c r="C36" i="15" s="1"/>
  <c r="D18" i="15"/>
  <c r="D17" i="15"/>
  <c r="D21" i="15"/>
  <c r="B22" i="15"/>
  <c r="C22" i="15" s="1"/>
  <c r="C52" i="18"/>
  <c r="C28" i="18"/>
  <c r="C27" i="18"/>
  <c r="C29" i="18"/>
  <c r="I31" i="18"/>
  <c r="G24" i="18"/>
  <c r="C24" i="18"/>
  <c r="C57" i="18"/>
  <c r="C46" i="18"/>
  <c r="G46" i="18" s="1"/>
  <c r="H46" i="18" s="1"/>
  <c r="C60" i="18"/>
  <c r="C31" i="18"/>
  <c r="C53" i="18"/>
  <c r="G53" i="18" s="1"/>
  <c r="H53" i="18" s="1"/>
  <c r="F24" i="18"/>
  <c r="G28" i="18"/>
  <c r="G32" i="18" s="1"/>
  <c r="C30" i="18"/>
  <c r="F27" i="18"/>
  <c r="F45" i="18"/>
  <c r="C44" i="18"/>
  <c r="F44" i="18" s="1"/>
  <c r="D57" i="18"/>
  <c r="D56" i="18"/>
  <c r="B52" i="18"/>
  <c r="W52" i="18" s="1"/>
  <c r="D60" i="18"/>
  <c r="H24" i="18"/>
  <c r="H27" i="18"/>
  <c r="F43" i="18"/>
  <c r="G43" i="18" s="1"/>
  <c r="H43" i="18" s="1"/>
  <c r="B4" i="18"/>
  <c r="AJ62" i="18"/>
  <c r="AJ63" i="18"/>
  <c r="AJ65" i="18"/>
  <c r="D44" i="18"/>
  <c r="AJ64" i="18"/>
  <c r="D46" i="18"/>
  <c r="D42" i="18"/>
  <c r="D43" i="18"/>
  <c r="D45" i="18"/>
  <c r="H28" i="18"/>
  <c r="D49" i="18"/>
  <c r="I24" i="18"/>
  <c r="I29" i="18"/>
  <c r="D53" i="18"/>
  <c r="H29" i="18"/>
  <c r="F42" i="18"/>
  <c r="G42" i="18" s="1"/>
  <c r="H42" i="18" s="1"/>
  <c r="I30" i="18"/>
  <c r="I27" i="18"/>
  <c r="I28" i="18"/>
  <c r="J7" i="18"/>
  <c r="F29" i="18"/>
  <c r="D22" i="15" l="1"/>
  <c r="C29" i="15"/>
  <c r="C30" i="15"/>
  <c r="C31" i="15"/>
  <c r="C37" i="15"/>
  <c r="D44" i="15"/>
  <c r="E20" i="18" s="1"/>
  <c r="B74" i="15"/>
  <c r="C32" i="18"/>
  <c r="G44" i="18"/>
  <c r="H44" i="18" s="1"/>
  <c r="F32" i="18"/>
  <c r="I32" i="18"/>
  <c r="B56" i="18"/>
  <c r="W56" i="18" s="1"/>
  <c r="B49" i="18"/>
  <c r="W49" i="18" s="1"/>
  <c r="H32" i="18"/>
  <c r="J27" i="18"/>
  <c r="B42" i="18"/>
  <c r="W42" i="18" s="1"/>
  <c r="B57" i="18"/>
  <c r="W57" i="18" s="1"/>
  <c r="B46" i="18"/>
  <c r="W46" i="18" s="1"/>
  <c r="B60" i="18"/>
  <c r="W60" i="18" s="1"/>
  <c r="B44" i="18"/>
  <c r="W44" i="18" s="1"/>
  <c r="B53" i="18"/>
  <c r="W53" i="18" s="1"/>
  <c r="B45" i="18"/>
  <c r="W45" i="18" s="1"/>
  <c r="B43" i="18"/>
  <c r="W43" i="18" s="1"/>
  <c r="G45" i="18"/>
  <c r="H45" i="18" s="1"/>
  <c r="E28" i="18" l="1"/>
  <c r="E24" i="18"/>
  <c r="B69" i="15"/>
  <c r="C28" i="15"/>
  <c r="B66" i="15" s="1"/>
  <c r="F31" i="15"/>
  <c r="C46" i="15"/>
  <c r="D22" i="18" s="1"/>
  <c r="D30" i="18" s="1"/>
  <c r="C27" i="15"/>
  <c r="B67" i="15"/>
  <c r="B75" i="15"/>
  <c r="D47" i="15"/>
  <c r="E23" i="18" s="1"/>
  <c r="E31" i="18" s="1"/>
  <c r="D46" i="15"/>
  <c r="E22" i="18" s="1"/>
  <c r="E30" i="18" s="1"/>
  <c r="B68" i="15"/>
  <c r="G47" i="18"/>
  <c r="I42" i="18"/>
  <c r="I46" i="18"/>
  <c r="I43" i="18"/>
  <c r="I45" i="18"/>
  <c r="H47" i="18"/>
  <c r="I44" i="18"/>
  <c r="E32" i="18" l="1"/>
  <c r="G57" i="18"/>
  <c r="H57" i="18" s="1"/>
  <c r="C38" i="15"/>
  <c r="F28" i="15"/>
  <c r="F37" i="15" s="1"/>
  <c r="B65" i="15"/>
  <c r="B76" i="15" s="1"/>
  <c r="C45" i="15"/>
  <c r="D21" i="18" s="1"/>
  <c r="G60" i="18"/>
  <c r="H60" i="18" s="1"/>
  <c r="I60" i="18" s="1"/>
  <c r="J31" i="18"/>
  <c r="J30" i="18"/>
  <c r="G56" i="18"/>
  <c r="G49" i="18"/>
  <c r="J28" i="18"/>
  <c r="K45" i="18"/>
  <c r="M45" i="18"/>
  <c r="O45" i="18"/>
  <c r="J45" i="18"/>
  <c r="L45" i="18"/>
  <c r="K43" i="18"/>
  <c r="J43" i="18"/>
  <c r="M43" i="18"/>
  <c r="O43" i="18"/>
  <c r="L43" i="18"/>
  <c r="K46" i="18"/>
  <c r="M46" i="18"/>
  <c r="J46" i="18"/>
  <c r="L46" i="18"/>
  <c r="O46" i="18"/>
  <c r="J42" i="18"/>
  <c r="K42" i="18"/>
  <c r="M42" i="18"/>
  <c r="O42" i="18"/>
  <c r="L42" i="18"/>
  <c r="M44" i="18"/>
  <c r="J44" i="18"/>
  <c r="K44" i="18"/>
  <c r="L44" i="18"/>
  <c r="O44" i="18"/>
  <c r="D29" i="18" l="1"/>
  <c r="D24" i="18"/>
  <c r="O60" i="18"/>
  <c r="J60" i="18"/>
  <c r="L60" i="18"/>
  <c r="K60" i="18"/>
  <c r="M60" i="18"/>
  <c r="H56" i="18"/>
  <c r="G58" i="18"/>
  <c r="G50" i="18"/>
  <c r="H49" i="18"/>
  <c r="P42" i="18"/>
  <c r="Q42" i="18"/>
  <c r="Q43" i="18"/>
  <c r="P43" i="18"/>
  <c r="P44" i="18"/>
  <c r="Q44" i="18"/>
  <c r="P46" i="18"/>
  <c r="Q46" i="18"/>
  <c r="P45" i="18"/>
  <c r="Q45" i="18"/>
  <c r="T42" i="18"/>
  <c r="R42" i="18"/>
  <c r="S42" i="18"/>
  <c r="S43" i="18"/>
  <c r="T43" i="18"/>
  <c r="R43" i="18"/>
  <c r="R44" i="18"/>
  <c r="T44" i="18"/>
  <c r="S44" i="18"/>
  <c r="S46" i="18"/>
  <c r="R46" i="18"/>
  <c r="T46" i="18"/>
  <c r="S45" i="18"/>
  <c r="T45" i="18"/>
  <c r="R45" i="18"/>
  <c r="I57" i="18" l="1"/>
  <c r="I56" i="18"/>
  <c r="H58" i="18"/>
  <c r="AF32" i="18" s="1"/>
  <c r="H50" i="18"/>
  <c r="AF30" i="18" s="1"/>
  <c r="I49" i="18"/>
  <c r="T60" i="18"/>
  <c r="R60" i="18"/>
  <c r="P60" i="18"/>
  <c r="S60" i="18"/>
  <c r="Q60" i="18"/>
  <c r="G52" i="18"/>
  <c r="J29" i="18"/>
  <c r="J32" i="18" s="1"/>
  <c r="D32" i="18"/>
  <c r="H52" i="18" l="1"/>
  <c r="G54" i="18"/>
  <c r="N7" i="18" s="1"/>
  <c r="K49" i="18"/>
  <c r="L49" i="18"/>
  <c r="J49" i="18"/>
  <c r="O49" i="18"/>
  <c r="M49" i="18"/>
  <c r="J56" i="18"/>
  <c r="M56" i="18"/>
  <c r="K56" i="18"/>
  <c r="L56" i="18"/>
  <c r="O56" i="18"/>
  <c r="O57" i="18"/>
  <c r="J57" i="18"/>
  <c r="M57" i="18"/>
  <c r="K57" i="18"/>
  <c r="L57" i="18"/>
  <c r="H61" i="18" l="1"/>
  <c r="P49" i="18"/>
  <c r="T49" i="18"/>
  <c r="S49" i="18"/>
  <c r="Q49" i="18"/>
  <c r="R49" i="18"/>
  <c r="S56" i="18"/>
  <c r="P56" i="18"/>
  <c r="Q56" i="18"/>
  <c r="T56" i="18"/>
  <c r="R56" i="18"/>
  <c r="T57" i="18"/>
  <c r="Q57" i="18"/>
  <c r="P57" i="18"/>
  <c r="S57" i="18"/>
  <c r="R57" i="18"/>
  <c r="I52" i="18"/>
  <c r="H54" i="18"/>
  <c r="AF31" i="18" s="1"/>
  <c r="I53" i="18"/>
  <c r="L52" i="18" l="1"/>
  <c r="K52" i="18"/>
  <c r="M52" i="18"/>
  <c r="O52" i="18"/>
  <c r="J52" i="18"/>
  <c r="M53" i="18"/>
  <c r="K53" i="18"/>
  <c r="L53" i="18"/>
  <c r="O53" i="18"/>
  <c r="J53" i="18"/>
  <c r="P53" i="18" l="1"/>
  <c r="R53" i="18"/>
  <c r="Q53" i="18"/>
  <c r="S53" i="18"/>
  <c r="T53" i="18"/>
  <c r="T52" i="18"/>
  <c r="R52" i="18"/>
  <c r="Q52" i="18"/>
  <c r="P52" i="18"/>
  <c r="S5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Adrian Stone</author>
    <author>Hughes</author>
    <author>Gregory</author>
  </authors>
  <commentList>
    <comment ref="B17" authorId="0" shapeId="0" xr:uid="{00000000-0006-0000-0C00-000001000000}">
      <text>
        <r>
          <rPr>
            <b/>
            <sz val="11"/>
            <color indexed="81"/>
            <rFont val="Tahoma"/>
            <family val="2"/>
          </rPr>
          <t>Adrian Stone:</t>
        </r>
        <r>
          <rPr>
            <sz val="11"/>
            <color indexed="81"/>
            <rFont val="Tahoma"/>
            <family val="2"/>
          </rPr>
          <t xml:space="preserve">
This is an aggregation of the IEP energy services split (see Howells, Kenny &amp; Solomon, 2002). This split was for electricity only. This table was generated by applying the IEP assumptions to the 2001 energy balance. These were: 
1. That 29% of electrcity consumption is irrigation pumping,
2. That irrigation final energy share by electrcity, diesel &amp; gasoline is 76%, 12% and 12%
3. That IEP categories 'Processing' and 'Materials Handling' are aggregated to 'Processing' and are 26% of electricity consumption.
4. That the remaining IEP energy services are aggregated into 'Other' and have a 45% share of electricity consumption</t>
        </r>
      </text>
    </comment>
    <comment ref="E27" authorId="1" shapeId="0" xr:uid="{00000000-0006-0000-0C00-000002000000}">
      <text>
        <r>
          <rPr>
            <b/>
            <sz val="8"/>
            <color indexed="81"/>
            <rFont val="Tahoma"/>
            <family val="2"/>
          </rPr>
          <t>Hughes:</t>
        </r>
        <r>
          <rPr>
            <sz val="8"/>
            <color indexed="81"/>
            <rFont val="Tahoma"/>
            <family val="2"/>
          </rPr>
          <t xml:space="preserve">
seems traktors should be replaced after around 5000 hours, but can last as much as 8000 if they are looked after 
</t>
        </r>
      </text>
    </comment>
    <comment ref="B28" authorId="2" shapeId="0" xr:uid="{00000000-0006-0000-0C00-000003000000}">
      <text>
        <r>
          <rPr>
            <b/>
            <sz val="11"/>
            <color indexed="81"/>
            <rFont val="Tahoma"/>
            <family val="2"/>
          </rPr>
          <t>Gregory:</t>
        </r>
        <r>
          <rPr>
            <sz val="11"/>
            <color indexed="81"/>
            <rFont val="Tahoma"/>
            <family val="2"/>
          </rPr>
          <t xml:space="preserve">
2012 energy balance has no petrol in agriculture</t>
        </r>
      </text>
    </comment>
    <comment ref="B29" authorId="0" shapeId="0" xr:uid="{00000000-0006-0000-0C00-000004000000}">
      <text>
        <r>
          <rPr>
            <b/>
            <sz val="11"/>
            <color indexed="81"/>
            <rFont val="Tahoma"/>
            <family val="2"/>
          </rPr>
          <t xml:space="preserve">Adrian Stone:
</t>
        </r>
        <r>
          <rPr>
            <sz val="11"/>
            <color indexed="81"/>
            <rFont val="Tahoma"/>
            <family val="2"/>
          </rPr>
          <t>The Irrigation FINAL Energy shares assumed for the IEP and LTMS were:
Electricity: 76%
Diesel: 12%
Gasoline: 12%
This translates to a USEFUL energy split of:
Electricity: 91%
Diesel: 5%
Gasoline: 4%
because of the disparate efficiencies.
The final energy split has been adjusted from the above in favour of electricity to reflect increased rural electrification and dominance of large industrial farms.</t>
        </r>
      </text>
    </comment>
    <comment ref="B31" authorId="2" shapeId="0" xr:uid="{00000000-0006-0000-0C00-000005000000}">
      <text>
        <r>
          <rPr>
            <b/>
            <sz val="11"/>
            <color indexed="81"/>
            <rFont val="Tahoma"/>
            <family val="2"/>
          </rPr>
          <t>Gregory:</t>
        </r>
        <r>
          <rPr>
            <sz val="11"/>
            <color indexed="81"/>
            <rFont val="Tahoma"/>
            <family val="2"/>
          </rPr>
          <t xml:space="preserve">
Adjusted to fit 2012 Energy Balance which has no petrol assigned to the AGR sector. 
It's share has been assigned to diesel. Slight change in elec share due to efficiency differences.</t>
        </r>
      </text>
    </comment>
  </commentList>
</comments>
</file>

<file path=xl/sharedStrings.xml><?xml version="1.0" encoding="utf-8"?>
<sst xmlns="http://schemas.openxmlformats.org/spreadsheetml/2006/main" count="361" uniqueCount="225">
  <si>
    <t>Petrol Transport</t>
    <phoneticPr fontId="7" type="noConversion"/>
  </si>
  <si>
    <t>Petrol Pumps</t>
    <phoneticPr fontId="7" type="noConversion"/>
  </si>
  <si>
    <t>Project:</t>
  </si>
  <si>
    <t>Calculation:</t>
  </si>
  <si>
    <t>Author:</t>
  </si>
  <si>
    <t>Energy Research Centre</t>
  </si>
  <si>
    <t>University of Cape Town</t>
  </si>
  <si>
    <t>Issue:</t>
  </si>
  <si>
    <t>Draft 1</t>
  </si>
  <si>
    <t>Date:</t>
  </si>
  <si>
    <t>Other Kerosene</t>
  </si>
  <si>
    <t>Gas Diesel</t>
  </si>
  <si>
    <t>HFO</t>
    <phoneticPr fontId="7" type="noConversion"/>
  </si>
  <si>
    <t>TOTAL</t>
    <phoneticPr fontId="7" type="noConversion"/>
  </si>
  <si>
    <t>Heat Thermal\Coal Bituminous</t>
  </si>
  <si>
    <t>Heat Thermal\Fuel Oil</t>
  </si>
  <si>
    <t>Heat Thermal\LPG</t>
  </si>
  <si>
    <t>Heat Thermal\Paraffin</t>
  </si>
  <si>
    <t>Irrigation\Diesel</t>
  </si>
  <si>
    <t>Irrigation\Elec</t>
  </si>
  <si>
    <t>Irrigation\Petrol</t>
  </si>
  <si>
    <t>Other\Elec</t>
  </si>
  <si>
    <t>Tractors harvestors transport\Diesel</t>
  </si>
  <si>
    <t>Heating</t>
    <phoneticPr fontId="7" type="noConversion"/>
  </si>
  <si>
    <t xml:space="preserve">Processing </t>
    <phoneticPr fontId="7" type="noConversion"/>
  </si>
  <si>
    <t>Tractors harvestors transport\Petrol</t>
  </si>
  <si>
    <t>Total</t>
  </si>
  <si>
    <t>Electric equipment</t>
    <phoneticPr fontId="7" type="noConversion"/>
  </si>
  <si>
    <t>AGRICULTURE</t>
    <phoneticPr fontId="7" type="noConversion"/>
  </si>
  <si>
    <t>Irrigation</t>
  </si>
  <si>
    <t>Total</t>
    <phoneticPr fontId="7" type="noConversion"/>
  </si>
  <si>
    <t xml:space="preserve">Heating </t>
    <phoneticPr fontId="7" type="noConversion"/>
  </si>
  <si>
    <t>Processing</t>
    <phoneticPr fontId="7" type="noConversion"/>
  </si>
  <si>
    <t>Processing \Elec</t>
  </si>
  <si>
    <t>Processing \Elec</t>
    <phoneticPr fontId="7" type="noConversion"/>
  </si>
  <si>
    <r>
      <t>Irrigation\Elec</t>
    </r>
    <r>
      <rPr>
        <vertAlign val="superscript"/>
        <sz val="10"/>
        <rFont val="Arial"/>
        <family val="2"/>
      </rPr>
      <t>6</t>
    </r>
    <phoneticPr fontId="7" type="noConversion"/>
  </si>
  <si>
    <r>
      <t>Irrigation\Diesel</t>
    </r>
    <r>
      <rPr>
        <vertAlign val="superscript"/>
        <sz val="10"/>
        <rFont val="Arial"/>
        <family val="2"/>
      </rPr>
      <t>6</t>
    </r>
    <phoneticPr fontId="7" type="noConversion"/>
  </si>
  <si>
    <r>
      <t>Irrigation\Petrol</t>
    </r>
    <r>
      <rPr>
        <vertAlign val="superscript"/>
        <sz val="10"/>
        <rFont val="Arial"/>
        <family val="2"/>
      </rPr>
      <t>6</t>
    </r>
    <phoneticPr fontId="7" type="noConversion"/>
  </si>
  <si>
    <t>Heat Thermal\Renewable biomass</t>
  </si>
  <si>
    <t>Processes all elec\Elec</t>
  </si>
  <si>
    <t>Tractors harvestors transport\Biofuel Diesel</t>
  </si>
  <si>
    <t>Tractors harvestors transport\Biofuel Ethanol</t>
  </si>
  <si>
    <t>LTMS Up-date</t>
    <phoneticPr fontId="7" type="noConversion"/>
  </si>
  <si>
    <t>Alfred Moyo</t>
    <phoneticPr fontId="7" type="noConversion"/>
  </si>
  <si>
    <t>Other</t>
  </si>
  <si>
    <t>Heating</t>
  </si>
  <si>
    <t>Coal</t>
  </si>
  <si>
    <t xml:space="preserve">Traction </t>
    <phoneticPr fontId="7" type="noConversion"/>
  </si>
  <si>
    <t>Irrigation</t>
    <phoneticPr fontId="7" type="noConversion"/>
  </si>
  <si>
    <t>Other</t>
    <phoneticPr fontId="7" type="noConversion"/>
  </si>
  <si>
    <t>Coal heating</t>
    <phoneticPr fontId="7" type="noConversion"/>
  </si>
  <si>
    <t>LPG heating</t>
    <phoneticPr fontId="7" type="noConversion"/>
  </si>
  <si>
    <t>HFO heating</t>
    <phoneticPr fontId="7" type="noConversion"/>
  </si>
  <si>
    <t>Paraffin heating</t>
    <phoneticPr fontId="7" type="noConversion"/>
  </si>
  <si>
    <t xml:space="preserve">SECTOR: </t>
  </si>
  <si>
    <t>Electricity</t>
  </si>
  <si>
    <t>HFO</t>
  </si>
  <si>
    <t xml:space="preserve">Technology </t>
  </si>
  <si>
    <t>Coal</t>
    <phoneticPr fontId="7" type="noConversion"/>
  </si>
  <si>
    <t>LPG</t>
    <phoneticPr fontId="7" type="noConversion"/>
  </si>
  <si>
    <t xml:space="preserve">Parafin </t>
    <phoneticPr fontId="7" type="noConversion"/>
  </si>
  <si>
    <t>Traction</t>
    <phoneticPr fontId="7" type="noConversion"/>
  </si>
  <si>
    <t>Irrigation</t>
    <phoneticPr fontId="7" type="noConversion"/>
  </si>
  <si>
    <t>Other</t>
    <phoneticPr fontId="7" type="noConversion"/>
  </si>
  <si>
    <t>Diesel</t>
    <phoneticPr fontId="7" type="noConversion"/>
  </si>
  <si>
    <t>Petrol</t>
    <phoneticPr fontId="7" type="noConversion"/>
  </si>
  <si>
    <t>Diesel Transport</t>
    <phoneticPr fontId="7" type="noConversion"/>
  </si>
  <si>
    <t>Electric Pumps</t>
    <phoneticPr fontId="7" type="noConversion"/>
  </si>
  <si>
    <t>Diesel Pumps</t>
    <phoneticPr fontId="7" type="noConversion"/>
  </si>
  <si>
    <t>TJ</t>
  </si>
  <si>
    <t>Agriculture</t>
  </si>
  <si>
    <t>Butimous Coal</t>
  </si>
  <si>
    <t>LPG</t>
  </si>
  <si>
    <t>Motor Gasoline</t>
  </si>
  <si>
    <t>Other Agriculture</t>
    <phoneticPr fontId="7" type="noConversion"/>
  </si>
  <si>
    <t>See Appendix 2 for above</t>
    <phoneticPr fontId="7" type="noConversion"/>
  </si>
  <si>
    <r>
      <t>Tractors harvestors transport\Diesel</t>
    </r>
    <r>
      <rPr>
        <vertAlign val="superscript"/>
        <sz val="10"/>
        <rFont val="Arial"/>
        <family val="2"/>
      </rPr>
      <t>5</t>
    </r>
    <phoneticPr fontId="7" type="noConversion"/>
  </si>
  <si>
    <r>
      <t>Tractors harvestors transport\Petrol</t>
    </r>
    <r>
      <rPr>
        <vertAlign val="superscript"/>
        <sz val="10"/>
        <rFont val="Arial"/>
        <family val="2"/>
      </rPr>
      <t>5</t>
    </r>
    <phoneticPr fontId="7" type="noConversion"/>
  </si>
  <si>
    <t>Heat</t>
    <phoneticPr fontId="7" type="noConversion"/>
  </si>
  <si>
    <t>Efficiency (See Appendix 1)</t>
    <phoneticPr fontId="7" type="noConversion"/>
  </si>
  <si>
    <t>Tractors harvestors transport\Diesel</t>
    <phoneticPr fontId="7" type="noConversion"/>
  </si>
  <si>
    <t>Tractors harvestors transport\Petrol</t>
    <phoneticPr fontId="7" type="noConversion"/>
  </si>
  <si>
    <t>Irrigation\Diesel</t>
    <phoneticPr fontId="7" type="noConversion"/>
  </si>
  <si>
    <t>Irrigation\Elec</t>
    <phoneticPr fontId="7" type="noConversion"/>
  </si>
  <si>
    <t>Irrigation\Petrol</t>
    <phoneticPr fontId="7" type="noConversion"/>
  </si>
  <si>
    <t>Useful Demand 2006 (TJ)</t>
    <phoneticPr fontId="7" type="noConversion"/>
  </si>
  <si>
    <t>Efficiency</t>
  </si>
  <si>
    <t>PJ</t>
  </si>
  <si>
    <t>Processing</t>
  </si>
  <si>
    <t>Useful demand in the Agricultura sector</t>
  </si>
  <si>
    <t>Adjusting for heating</t>
  </si>
  <si>
    <t>South Africa</t>
  </si>
  <si>
    <t>Base Year Energy Balance</t>
  </si>
  <si>
    <t>Base-year final energy aggregated by sector fuel</t>
  </si>
  <si>
    <t>Fuel #</t>
  </si>
  <si>
    <t>Sectoral Fuel Names</t>
  </si>
  <si>
    <t>End use demands</t>
  </si>
  <si>
    <t>Demand</t>
  </si>
  <si>
    <t>H</t>
  </si>
  <si>
    <t>O</t>
  </si>
  <si>
    <t>End-use Shares by Fuel - All sourced from Interim report (other than LPG)</t>
  </si>
  <si>
    <t>End-use Fractional Shares by Sub-sector</t>
  </si>
  <si>
    <t>Demand ID</t>
  </si>
  <si>
    <t>End-use Final Energy Consumption by Sub-sector (PJ)</t>
  </si>
  <si>
    <t>~FI_T</t>
  </si>
  <si>
    <t>TechDesc</t>
  </si>
  <si>
    <t>TechName</t>
  </si>
  <si>
    <t>Comm-IN</t>
  </si>
  <si>
    <t>Comm-Out</t>
  </si>
  <si>
    <t>Technology Name</t>
  </si>
  <si>
    <t>Input Commodity</t>
  </si>
  <si>
    <t>Useful Energy Service</t>
  </si>
  <si>
    <t>Lifetime</t>
  </si>
  <si>
    <t>Base Year Technology Share</t>
  </si>
  <si>
    <t>Final Energy</t>
  </si>
  <si>
    <t>Useful Energy</t>
  </si>
  <si>
    <t>Tech Data Source</t>
  </si>
  <si>
    <t>(sum OUT/IN)</t>
  </si>
  <si>
    <t>(%)</t>
  </si>
  <si>
    <t>(PJ)</t>
  </si>
  <si>
    <t>*</t>
  </si>
  <si>
    <t>ACT_EFF</t>
  </si>
  <si>
    <t>ANNUAL</t>
  </si>
  <si>
    <t>AGR</t>
  </si>
  <si>
    <t>Traction</t>
  </si>
  <si>
    <t>P</t>
  </si>
  <si>
    <t>T</t>
  </si>
  <si>
    <t>I</t>
  </si>
  <si>
    <t>A</t>
  </si>
  <si>
    <t xml:space="preserve"> </t>
  </si>
  <si>
    <t>End Use Shares</t>
  </si>
  <si>
    <t>Default Lower Limits</t>
  </si>
  <si>
    <t>Base Year Tech Share</t>
  </si>
  <si>
    <t>Upper Limit</t>
  </si>
  <si>
    <t>Lower Limit</t>
  </si>
  <si>
    <t>Default Upper Limits</t>
  </si>
  <si>
    <t>Oil Diesel</t>
  </si>
  <si>
    <t>Oil Gasoline</t>
  </si>
  <si>
    <t>Oil HFO</t>
  </si>
  <si>
    <t>Oil LPG</t>
  </si>
  <si>
    <t>Oil Paraffin</t>
  </si>
  <si>
    <t>Step 0</t>
  </si>
  <si>
    <t>Step 1</t>
  </si>
  <si>
    <t>Irrigation share is then split into electricity, diesel and gasoline shares in an 86%, 10%, 4% split.</t>
  </si>
  <si>
    <t>Step 2</t>
  </si>
  <si>
    <t>Step 3</t>
  </si>
  <si>
    <t>All Processing assumed to be electricity. This is assumed to be 29% of all electricity as per IEP the sum of 10% 'Process' and 16% 'Materials Handling'</t>
  </si>
  <si>
    <t>All 'Other' assumed electrical. This would be lighting etc. Calculated as (Total - Irrigation - Processing) ie Balancing Item</t>
  </si>
  <si>
    <t>Summary of Assumptions</t>
  </si>
  <si>
    <t>Remaining Diesel and Petrol is allocated to Traction</t>
  </si>
  <si>
    <t>Step 4</t>
  </si>
  <si>
    <t>Assumption Inputs</t>
  </si>
  <si>
    <t>LEAP Energy demand 2006 (%)</t>
  </si>
  <si>
    <t>Check</t>
  </si>
  <si>
    <t>Thermal fuel share is determined, allocated to 'Heating' and other shares adjusted by scaling 'LEAP Energy Demand 2006' shares</t>
  </si>
  <si>
    <t>Energy Balances DME 2012</t>
  </si>
  <si>
    <t>Energy Balance 2012 - Appendix 7</t>
  </si>
  <si>
    <t>Energy Balances 2012</t>
  </si>
  <si>
    <t>Shares (2012)</t>
  </si>
  <si>
    <t>Energy use 2012 (TJ)</t>
  </si>
  <si>
    <t>fadiel</t>
  </si>
  <si>
    <t>Editor</t>
  </si>
  <si>
    <t>worksheets edited</t>
  </si>
  <si>
    <t>AGRCOA</t>
  </si>
  <si>
    <t>AGRODS</t>
  </si>
  <si>
    <t>AGRELC</t>
  </si>
  <si>
    <t>AGROGS</t>
  </si>
  <si>
    <t>AGROHF</t>
  </si>
  <si>
    <t>AGROKE</t>
  </si>
  <si>
    <t>AGROLP</t>
  </si>
  <si>
    <t>AGR; TS_DMARK; TS_FLOSHAR</t>
  </si>
  <si>
    <t>[1 ]Added minimum lower market shares   for 2017 for service demands to match final fuel consumption in UCT 2017 EB; 
[2] Also added:  Eff, AFA and  RESID values for 2017 in AGR; 
[3] changed lookup formulae in TS_DMARK; and
[4] ADDED TS_FLOSHAR as an alternative to FLO_MARK parameter [flag to switch parameters  is set in TS_FLOSHAR]</t>
  </si>
  <si>
    <t>~FI_Process</t>
  </si>
  <si>
    <t>Tact</t>
  </si>
  <si>
    <t>Tcap</t>
  </si>
  <si>
    <t>Tslvl</t>
  </si>
  <si>
    <t>Sets</t>
  </si>
  <si>
    <t>Agriculture - Heating-Coal - Existing</t>
  </si>
  <si>
    <t>Agriculture - Heating - Oil HFO- Existing</t>
  </si>
  <si>
    <t>Agriculture - Heating - Oil Paraffin- Existing</t>
  </si>
  <si>
    <t>Agriculture - Heating - Oil LPG- Existing</t>
  </si>
  <si>
    <t>Agriculture - Heating - Electricity - Room - Existing</t>
  </si>
  <si>
    <t>Agriculture - Processing - Electricity - Existing</t>
  </si>
  <si>
    <t>Agriculture - Traction - Oil Diesel - Existing</t>
  </si>
  <si>
    <t>Agriculture - Traction - Electricity - Existing</t>
  </si>
  <si>
    <t>Agriculture - Irrigation - Oil Diesel - Existing</t>
  </si>
  <si>
    <t>Agriculture - Irrigation - Electricity - Existing</t>
  </si>
  <si>
    <t>Agriculture - Other - Electricity - Existing</t>
  </si>
  <si>
    <t>Pja</t>
  </si>
  <si>
    <t>DAYNITE</t>
  </si>
  <si>
    <t>DEM</t>
  </si>
  <si>
    <t>DMD</t>
  </si>
  <si>
    <t>AH</t>
  </si>
  <si>
    <t>Agriculture - Heating</t>
  </si>
  <si>
    <t>AP</t>
  </si>
  <si>
    <t>Agriculture - Processing</t>
  </si>
  <si>
    <t>AT</t>
  </si>
  <si>
    <t>Agriculture - Traction</t>
  </si>
  <si>
    <t>AI</t>
  </si>
  <si>
    <t>Agriculture - Irrigation</t>
  </si>
  <si>
    <t>AO</t>
  </si>
  <si>
    <t>Agriculture - Other</t>
  </si>
  <si>
    <t>CommName</t>
  </si>
  <si>
    <t>CommDesc</t>
  </si>
  <si>
    <t>CommUnit</t>
  </si>
  <si>
    <t>Csets</t>
  </si>
  <si>
    <t>CTSLvl</t>
  </si>
  <si>
    <t>~FI_Comm</t>
  </si>
  <si>
    <t>Updated</t>
  </si>
  <si>
    <t>Updated on 2017 EB - August 2023</t>
  </si>
  <si>
    <t>Nothing</t>
  </si>
  <si>
    <t>\I:Agriculture - Irrigation</t>
  </si>
  <si>
    <t>\I:Agriculture - Other</t>
  </si>
  <si>
    <t>*Agriculture - Processing</t>
  </si>
  <si>
    <t>*Agriculture - Traction</t>
  </si>
  <si>
    <t>* Share Check &amp; sub-totals</t>
  </si>
  <si>
    <t>*Technology Description</t>
  </si>
  <si>
    <t>Attribute</t>
  </si>
  <si>
    <t>*Unit</t>
  </si>
  <si>
    <t>Demand Commodity Name</t>
  </si>
  <si>
    <t>Demand Unit</t>
  </si>
  <si>
    <t>Demand Value</t>
  </si>
  <si>
    <t>*Units</t>
  </si>
  <si>
    <t>Cleaned up workbook and setup for Veda</t>
  </si>
  <si>
    <t>Bruno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</si>
</sst>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 #,##0.00_-;_-* &quot;-&quot;??_-;_-@_-"/>
    <numFmt numFmtId="164" formatCode="_ * #,##0.00_ ;_ * \-#,##0.00_ ;_ * &quot;-&quot;??_ ;_ @_ "/>
    <numFmt numFmtId="165" formatCode="dd/mm/yy;@"/>
    <numFmt numFmtId="166" formatCode="#,##0.0"/>
    <numFmt numFmtId="167" formatCode="0.0%"/>
    <numFmt numFmtId="168" formatCode="d\ mmmm\ yyyy"/>
    <numFmt numFmtId="169" formatCode="0.0_)"/>
    <numFmt numFmtId="170" formatCode="0.0"/>
    <numFmt numFmtId="171" formatCode="[$-809]General"/>
    <numFmt numFmtId="172" formatCode="#,##0.00&quot; &quot;;&quot; -&quot;#,##0.00&quot; &quot;;&quot; -&quot;#&quot; &quot;;@&quot; &quot;"/>
    <numFmt numFmtId="173" formatCode="[$£-809]#,##0.00;[Red]&quot;-&quot;[$£-809]#,##0.00"/>
    <numFmt numFmtId="174" formatCode="#,##0.0000000"/>
    <numFmt numFmtId="175" formatCode="#,##0.0000"/>
    <numFmt numFmtId="176" formatCode="0.000"/>
    <numFmt numFmtId="177" formatCode="#,##0.000000"/>
    <numFmt numFmtId="178" formatCode="\Te\x\t"/>
  </numFmts>
  <fonts count="49">
    <font>
      <sz val="10"/>
      <name val="Arial"/>
    </font>
    <font>
      <sz val="11"/>
      <color theme="1"/>
      <name val="Calibri"/>
      <family val="2"/>
      <scheme val="minor"/>
    </font>
    <font>
      <sz val="10"/>
      <name val="Arial"/>
      <family val="2"/>
    </font>
    <font>
      <b/>
      <sz val="10"/>
      <name val="Arial"/>
      <family val="2"/>
    </font>
    <font>
      <b/>
      <sz val="12"/>
      <name val="Arial"/>
      <family val="2"/>
    </font>
    <font>
      <b/>
      <sz val="10"/>
      <name val="Verdana"/>
      <family val="2"/>
    </font>
    <font>
      <b/>
      <sz val="10"/>
      <color indexed="9"/>
      <name val="Verdana"/>
      <family val="2"/>
    </font>
    <font>
      <sz val="8"/>
      <name val="Verdana"/>
      <family val="2"/>
    </font>
    <font>
      <b/>
      <sz val="10"/>
      <name val="Helv"/>
    </font>
    <font>
      <sz val="8"/>
      <name val="Arial"/>
      <family val="2"/>
    </font>
    <font>
      <sz val="14"/>
      <name val="Arial"/>
      <family val="2"/>
    </font>
    <font>
      <sz val="12"/>
      <name val="Arial"/>
      <family val="2"/>
    </font>
    <font>
      <b/>
      <sz val="8"/>
      <color indexed="81"/>
      <name val="Tahoma"/>
      <family val="2"/>
    </font>
    <font>
      <sz val="8"/>
      <color indexed="81"/>
      <name val="Tahoma"/>
      <family val="2"/>
    </font>
    <font>
      <vertAlign val="superscript"/>
      <sz val="10"/>
      <name val="Arial"/>
      <family val="2"/>
    </font>
    <font>
      <b/>
      <sz val="10"/>
      <color indexed="72"/>
      <name val="Arial"/>
      <family val="2"/>
    </font>
    <font>
      <sz val="10"/>
      <color indexed="10"/>
      <name val="Arial"/>
      <family val="2"/>
    </font>
    <font>
      <sz val="10"/>
      <name val="Arial"/>
      <family val="2"/>
    </font>
    <font>
      <b/>
      <sz val="12"/>
      <name val="Arial"/>
      <family val="2"/>
      <charset val="238"/>
    </font>
    <font>
      <b/>
      <sz val="10"/>
      <name val="Arial"/>
      <family val="2"/>
      <charset val="238"/>
    </font>
    <font>
      <sz val="10"/>
      <name val="Arial"/>
      <family val="2"/>
      <charset val="238"/>
    </font>
    <font>
      <sz val="10"/>
      <color indexed="10"/>
      <name val="Arial"/>
      <family val="2"/>
      <charset val="238"/>
    </font>
    <font>
      <sz val="10"/>
      <color indexed="14"/>
      <name val="Arial"/>
      <family val="2"/>
      <charset val="238"/>
    </font>
    <font>
      <sz val="10"/>
      <color indexed="14"/>
      <name val="Arial"/>
      <family val="2"/>
    </font>
    <font>
      <sz val="10"/>
      <name val="Verdana"/>
      <family val="2"/>
    </font>
    <font>
      <b/>
      <sz val="11"/>
      <color indexed="81"/>
      <name val="Tahoma"/>
      <family val="2"/>
    </font>
    <font>
      <sz val="11"/>
      <color indexed="81"/>
      <name val="Tahoma"/>
      <family val="2"/>
    </font>
    <font>
      <sz val="11"/>
      <color rgb="FF9C0006"/>
      <name val="Calibri"/>
      <family val="2"/>
      <scheme val="minor"/>
    </font>
    <font>
      <sz val="10"/>
      <color theme="4"/>
      <name val="Arial"/>
      <family val="2"/>
    </font>
    <font>
      <b/>
      <sz val="12"/>
      <color rgb="FFFA7D00"/>
      <name val="Calibri"/>
      <family val="2"/>
      <scheme val="minor"/>
    </font>
    <font>
      <sz val="10"/>
      <color theme="1"/>
      <name val="Verdana1"/>
    </font>
    <font>
      <sz val="10"/>
      <color theme="1"/>
      <name val="Arial Unicode MS"/>
      <family val="2"/>
    </font>
    <font>
      <sz val="10"/>
      <color theme="6" tint="-0.24994659260841701"/>
      <name val="Arial"/>
      <family val="2"/>
      <charset val="238"/>
    </font>
    <font>
      <b/>
      <i/>
      <sz val="16"/>
      <color theme="1"/>
      <name val="Arial1"/>
    </font>
    <font>
      <u/>
      <sz val="10"/>
      <color theme="10"/>
      <name val="Arial"/>
      <family val="2"/>
    </font>
    <font>
      <sz val="12"/>
      <color rgb="FF3F3F76"/>
      <name val="Calibri"/>
      <family val="2"/>
      <scheme val="minor"/>
    </font>
    <font>
      <sz val="10"/>
      <color theme="9" tint="-0.24994659260841701"/>
      <name val="Arial"/>
      <family val="2"/>
    </font>
    <font>
      <sz val="11"/>
      <color theme="1"/>
      <name val="Calibri"/>
      <family val="2"/>
      <scheme val="minor"/>
    </font>
    <font>
      <b/>
      <i/>
      <u/>
      <sz val="11"/>
      <color theme="1"/>
      <name val="Arial1"/>
    </font>
    <font>
      <sz val="10"/>
      <color theme="3"/>
      <name val="Arial"/>
      <family val="2"/>
      <charset val="238"/>
    </font>
    <font>
      <b/>
      <sz val="10"/>
      <color theme="4"/>
      <name val="Arial"/>
      <family val="2"/>
    </font>
    <font>
      <b/>
      <sz val="10"/>
      <color theme="3"/>
      <name val="Arial"/>
      <family val="2"/>
    </font>
    <font>
      <sz val="10"/>
      <color theme="3"/>
      <name val="Arial"/>
      <family val="2"/>
    </font>
    <font>
      <b/>
      <sz val="8"/>
      <color rgb="FF800080"/>
      <name val="Arial"/>
      <family val="2"/>
    </font>
    <font>
      <sz val="10"/>
      <color theme="4"/>
      <name val="Arial"/>
      <family val="2"/>
      <charset val="238"/>
    </font>
    <font>
      <sz val="10"/>
      <color theme="5" tint="-0.249977111117893"/>
      <name val="Arial"/>
      <family val="2"/>
      <charset val="238"/>
    </font>
    <font>
      <sz val="10"/>
      <color rgb="FF3F3F76"/>
      <name val="Calibri"/>
      <family val="2"/>
      <scheme val="minor"/>
    </font>
    <font>
      <sz val="10"/>
      <name val="MS Sans Serif"/>
      <family val="2"/>
    </font>
    <font>
      <b/>
      <sz val="11"/>
      <color theme="3"/>
      <name val="Calibri"/>
      <family val="2"/>
      <scheme val="minor"/>
    </font>
  </fonts>
  <fills count="15">
    <fill>
      <patternFill patternType="none"/>
    </fill>
    <fill>
      <patternFill patternType="gray125"/>
    </fill>
    <fill>
      <patternFill patternType="solid">
        <fgColor indexed="23"/>
        <bgColor indexed="24"/>
      </patternFill>
    </fill>
    <fill>
      <patternFill patternType="solid">
        <fgColor indexed="19"/>
        <bgColor indexed="54"/>
      </patternFill>
    </fill>
    <fill>
      <patternFill patternType="solid">
        <fgColor indexed="55"/>
        <bgColor indexed="24"/>
      </patternFill>
    </fill>
    <fill>
      <patternFill patternType="solid">
        <fgColor indexed="8"/>
        <bgColor indexed="19"/>
      </patternFill>
    </fill>
    <fill>
      <patternFill patternType="solid">
        <fgColor indexed="52"/>
        <bgColor indexed="58"/>
      </patternFill>
    </fill>
    <fill>
      <patternFill patternType="solid">
        <fgColor indexed="25"/>
        <bgColor indexed="61"/>
      </patternFill>
    </fill>
    <fill>
      <patternFill patternType="solid">
        <fgColor indexed="12"/>
        <bgColor indexed="39"/>
      </patternFill>
    </fill>
    <fill>
      <patternFill patternType="solid">
        <fgColor indexed="42"/>
        <bgColor indexed="64"/>
      </patternFill>
    </fill>
    <fill>
      <patternFill patternType="solid">
        <fgColor rgb="FFFFC7CE"/>
      </patternFill>
    </fill>
    <fill>
      <patternFill patternType="solid">
        <fgColor rgb="FFF2F2F2"/>
      </patternFill>
    </fill>
    <fill>
      <patternFill patternType="solid">
        <fgColor rgb="FFFFCC99"/>
      </patternFill>
    </fill>
    <fill>
      <patternFill patternType="solid">
        <fgColor rgb="FF66FF33"/>
        <bgColor indexed="64"/>
      </patternFill>
    </fill>
    <fill>
      <patternFill patternType="solid">
        <fgColor rgb="FFFFC000"/>
        <bgColor indexed="64"/>
      </patternFill>
    </fill>
  </fills>
  <borders count="10">
    <border>
      <left/>
      <right/>
      <top/>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right/>
      <top style="thin">
        <color indexed="64"/>
      </top>
      <bottom/>
      <diagonal/>
    </border>
  </borders>
  <cellStyleXfs count="30">
    <xf numFmtId="0" fontId="0" fillId="0" borderId="0"/>
    <xf numFmtId="0" fontId="27" fillId="10" borderId="0" applyNumberFormat="0" applyBorder="0" applyAlignment="0" applyProtection="0"/>
    <xf numFmtId="0" fontId="28" fillId="0" borderId="0" applyNumberFormat="0" applyFill="0" applyBorder="0" applyAlignment="0" applyProtection="0"/>
    <xf numFmtId="0" fontId="29" fillId="11" borderId="8" applyNumberFormat="0" applyAlignment="0" applyProtection="0"/>
    <xf numFmtId="165" fontId="17" fillId="0" borderId="0" applyFont="0" applyFill="0" applyBorder="0" applyAlignment="0" applyProtection="0"/>
    <xf numFmtId="164" fontId="17" fillId="0" borderId="0" applyFont="0" applyFill="0" applyBorder="0" applyAlignment="0" applyProtection="0"/>
    <xf numFmtId="171" fontId="30" fillId="0" borderId="0"/>
    <xf numFmtId="0" fontId="24" fillId="0" borderId="0"/>
    <xf numFmtId="172" fontId="31" fillId="0" borderId="0"/>
    <xf numFmtId="4" fontId="32" fillId="0" borderId="0" applyNumberFormat="0" applyFill="0" applyBorder="0" applyAlignment="0" applyProtection="0">
      <alignment horizontal="center"/>
    </xf>
    <xf numFmtId="0" fontId="33" fillId="0" borderId="0">
      <alignment horizontal="center"/>
    </xf>
    <xf numFmtId="0" fontId="33" fillId="0" borderId="0">
      <alignment horizontal="center" textRotation="90"/>
    </xf>
    <xf numFmtId="0" fontId="34" fillId="0" borderId="0" applyNumberFormat="0" applyFill="0" applyBorder="0" applyAlignment="0" applyProtection="0">
      <alignment vertical="top"/>
      <protection locked="0"/>
    </xf>
    <xf numFmtId="0" fontId="35" fillId="12" borderId="8" applyNumberFormat="0" applyAlignment="0" applyProtection="0"/>
    <xf numFmtId="0" fontId="36" fillId="0" borderId="0" applyNumberFormat="0" applyFill="0" applyBorder="0" applyAlignment="0" applyProtection="0"/>
    <xf numFmtId="0" fontId="17" fillId="0" borderId="0"/>
    <xf numFmtId="0" fontId="17" fillId="0" borderId="0"/>
    <xf numFmtId="0" fontId="17" fillId="0" borderId="0"/>
    <xf numFmtId="0" fontId="37" fillId="0" borderId="0"/>
    <xf numFmtId="0" fontId="37" fillId="0" borderId="0"/>
    <xf numFmtId="9" fontId="2" fillId="0" borderId="0" applyFill="0" applyBorder="0" applyAlignment="0" applyProtection="0"/>
    <xf numFmtId="9" fontId="17" fillId="0" borderId="0" applyFont="0" applyFill="0" applyBorder="0" applyAlignment="0" applyProtection="0"/>
    <xf numFmtId="9" fontId="37" fillId="0" borderId="0" applyFont="0" applyFill="0" applyBorder="0" applyAlignment="0" applyProtection="0"/>
    <xf numFmtId="9" fontId="17" fillId="0" borderId="0" applyFont="0" applyFill="0" applyBorder="0" applyAlignment="0" applyProtection="0"/>
    <xf numFmtId="0" fontId="38" fillId="0" borderId="0"/>
    <xf numFmtId="173" fontId="38" fillId="0" borderId="0"/>
    <xf numFmtId="0" fontId="1" fillId="0" borderId="0"/>
    <xf numFmtId="43" fontId="1" fillId="0" borderId="0" applyFont="0" applyFill="0" applyBorder="0" applyAlignment="0" applyProtection="0"/>
    <xf numFmtId="0" fontId="47" fillId="0" borderId="0"/>
    <xf numFmtId="0" fontId="48" fillId="0" borderId="0" applyNumberFormat="0" applyFill="0" applyBorder="0" applyAlignment="0" applyProtection="0"/>
  </cellStyleXfs>
  <cellXfs count="127">
    <xf numFmtId="0" fontId="0" fillId="0" borderId="0" xfId="0"/>
    <xf numFmtId="0" fontId="4" fillId="0" borderId="0" xfId="0" applyFont="1"/>
    <xf numFmtId="0" fontId="6" fillId="2" borderId="1" xfId="0" applyFont="1" applyFill="1" applyBorder="1" applyAlignment="1">
      <alignment horizontal="center" vertical="center"/>
    </xf>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0" fillId="0" borderId="0" xfId="0" applyAlignment="1">
      <alignment horizontal="center" vertical="center"/>
    </xf>
    <xf numFmtId="0" fontId="5" fillId="0" borderId="1" xfId="0" applyFont="1" applyBorder="1" applyAlignment="1">
      <alignment horizontal="center" vertical="center" wrapText="1"/>
    </xf>
    <xf numFmtId="0" fontId="5" fillId="0" borderId="1" xfId="0" applyFont="1" applyBorder="1" applyAlignment="1">
      <alignment horizontal="center" vertical="center"/>
    </xf>
    <xf numFmtId="0" fontId="0" fillId="0" borderId="0" xfId="0" applyAlignment="1">
      <alignment horizontal="center"/>
    </xf>
    <xf numFmtId="0" fontId="6" fillId="5" borderId="1" xfId="0" applyFont="1" applyFill="1" applyBorder="1" applyAlignment="1">
      <alignment horizontal="center" vertical="center"/>
    </xf>
    <xf numFmtId="0" fontId="6" fillId="6" borderId="1" xfId="0" applyFont="1" applyFill="1" applyBorder="1" applyAlignment="1">
      <alignment horizontal="center" vertical="center"/>
    </xf>
    <xf numFmtId="0" fontId="6" fillId="7" borderId="2" xfId="0" applyFont="1" applyFill="1" applyBorder="1" applyAlignment="1">
      <alignment horizontal="center" vertical="center"/>
    </xf>
    <xf numFmtId="0" fontId="6" fillId="8" borderId="3" xfId="0" applyFont="1" applyFill="1" applyBorder="1" applyAlignment="1">
      <alignment horizontal="center" vertical="center"/>
    </xf>
    <xf numFmtId="166" fontId="0" fillId="0" borderId="0" xfId="0" applyNumberFormat="1"/>
    <xf numFmtId="166" fontId="5" fillId="0" borderId="0" xfId="0" applyNumberFormat="1" applyFont="1"/>
    <xf numFmtId="0" fontId="3" fillId="0" borderId="0" xfId="0" applyFont="1"/>
    <xf numFmtId="0" fontId="8" fillId="0" borderId="4" xfId="0" applyFont="1" applyBorder="1"/>
    <xf numFmtId="0" fontId="0" fillId="0" borderId="4" xfId="0" applyBorder="1"/>
    <xf numFmtId="0" fontId="3" fillId="0" borderId="4" xfId="0" applyFont="1" applyBorder="1"/>
    <xf numFmtId="4" fontId="0" fillId="0" borderId="4" xfId="0" applyNumberFormat="1" applyBorder="1"/>
    <xf numFmtId="0" fontId="5" fillId="0" borderId="4" xfId="0" applyFont="1" applyBorder="1"/>
    <xf numFmtId="4" fontId="5" fillId="0" borderId="4" xfId="0" applyNumberFormat="1" applyFont="1" applyBorder="1"/>
    <xf numFmtId="4" fontId="3" fillId="0" borderId="4" xfId="0" applyNumberFormat="1" applyFont="1" applyBorder="1"/>
    <xf numFmtId="0" fontId="2" fillId="0" borderId="4" xfId="0" applyFont="1" applyBorder="1"/>
    <xf numFmtId="0" fontId="0" fillId="0" borderId="0" xfId="0" applyAlignment="1">
      <alignment vertical="center"/>
    </xf>
    <xf numFmtId="0" fontId="10" fillId="0" borderId="0" xfId="0" applyFont="1" applyAlignment="1">
      <alignment horizontal="left" vertical="center" wrapText="1"/>
    </xf>
    <xf numFmtId="0" fontId="11" fillId="0" borderId="0" xfId="0" applyFont="1" applyAlignment="1">
      <alignment vertical="center"/>
    </xf>
    <xf numFmtId="0" fontId="11" fillId="0" borderId="0" xfId="0" applyFont="1" applyAlignment="1">
      <alignment horizontal="left" vertical="center"/>
    </xf>
    <xf numFmtId="0" fontId="11" fillId="0" borderId="0" xfId="0" applyFont="1"/>
    <xf numFmtId="168" fontId="11" fillId="0" borderId="0" xfId="0" applyNumberFormat="1" applyFont="1" applyAlignment="1">
      <alignment horizontal="left" vertical="center"/>
    </xf>
    <xf numFmtId="0" fontId="2" fillId="0" borderId="0" xfId="0" applyFont="1"/>
    <xf numFmtId="4" fontId="15" fillId="0" borderId="4" xfId="0" applyNumberFormat="1" applyFont="1" applyBorder="1"/>
    <xf numFmtId="2" fontId="0" fillId="0" borderId="4" xfId="0" applyNumberFormat="1" applyBorder="1"/>
    <xf numFmtId="4" fontId="0" fillId="0" borderId="0" xfId="0" applyNumberFormat="1"/>
    <xf numFmtId="4" fontId="3" fillId="0" borderId="0" xfId="0" applyNumberFormat="1" applyFont="1"/>
    <xf numFmtId="0" fontId="9" fillId="0" borderId="0" xfId="15" applyFont="1"/>
    <xf numFmtId="0" fontId="18" fillId="0" borderId="0" xfId="15" applyFont="1" applyAlignment="1">
      <alignment horizontal="center"/>
    </xf>
    <xf numFmtId="0" fontId="18" fillId="0" borderId="0" xfId="15" applyFont="1"/>
    <xf numFmtId="0" fontId="19" fillId="0" borderId="0" xfId="15" applyFont="1"/>
    <xf numFmtId="0" fontId="20" fillId="0" borderId="0" xfId="15" applyFont="1"/>
    <xf numFmtId="0" fontId="20" fillId="0" borderId="0" xfId="15" applyFont="1" applyAlignment="1">
      <alignment horizontal="center"/>
    </xf>
    <xf numFmtId="0" fontId="20" fillId="0" borderId="0" xfId="15" applyFont="1" applyAlignment="1" applyProtection="1">
      <alignment horizontal="center"/>
      <protection locked="0"/>
    </xf>
    <xf numFmtId="0" fontId="17" fillId="0" borderId="0" xfId="15"/>
    <xf numFmtId="0" fontId="19" fillId="0" borderId="0" xfId="15" applyFont="1" applyAlignment="1">
      <alignment horizontal="left"/>
    </xf>
    <xf numFmtId="0" fontId="17" fillId="0" borderId="0" xfId="15" applyAlignment="1">
      <alignment horizontal="center"/>
    </xf>
    <xf numFmtId="0" fontId="3" fillId="0" borderId="0" xfId="15" applyFont="1" applyAlignment="1">
      <alignment horizontal="left"/>
    </xf>
    <xf numFmtId="2" fontId="20" fillId="0" borderId="0" xfId="15" applyNumberFormat="1" applyFont="1" applyAlignment="1">
      <alignment horizontal="center"/>
    </xf>
    <xf numFmtId="4" fontId="32" fillId="0" borderId="0" xfId="9">
      <alignment horizontal="center"/>
    </xf>
    <xf numFmtId="2" fontId="21" fillId="0" borderId="0" xfId="15" applyNumberFormat="1" applyFont="1" applyAlignment="1">
      <alignment horizontal="center"/>
    </xf>
    <xf numFmtId="43" fontId="28" fillId="0" borderId="0" xfId="4" applyNumberFormat="1" applyFont="1"/>
    <xf numFmtId="0" fontId="19" fillId="0" borderId="5" xfId="15" applyFont="1" applyBorder="1"/>
    <xf numFmtId="0" fontId="19" fillId="0" borderId="5" xfId="15" applyFont="1" applyBorder="1" applyAlignment="1">
      <alignment horizontal="center"/>
    </xf>
    <xf numFmtId="2" fontId="20" fillId="0" borderId="0" xfId="15" applyNumberFormat="1" applyFont="1" applyAlignment="1">
      <alignment horizontal="left"/>
    </xf>
    <xf numFmtId="169" fontId="20" fillId="0" borderId="0" xfId="15" applyNumberFormat="1" applyFont="1" applyAlignment="1" applyProtection="1">
      <alignment horizontal="right"/>
      <protection locked="0"/>
    </xf>
    <xf numFmtId="2" fontId="22" fillId="0" borderId="0" xfId="15" applyNumberFormat="1" applyFont="1" applyAlignment="1">
      <alignment horizontal="center"/>
    </xf>
    <xf numFmtId="0" fontId="39" fillId="0" borderId="5" xfId="15" applyFont="1" applyBorder="1" applyAlignment="1" applyProtection="1">
      <alignment horizontal="center"/>
      <protection locked="0"/>
    </xf>
    <xf numFmtId="0" fontId="39" fillId="0" borderId="0" xfId="15" applyFont="1" applyAlignment="1" applyProtection="1">
      <alignment horizontal="left"/>
      <protection locked="0"/>
    </xf>
    <xf numFmtId="0" fontId="39" fillId="0" borderId="0" xfId="15" applyFont="1" applyAlignment="1" applyProtection="1">
      <alignment horizontal="center"/>
      <protection locked="0"/>
    </xf>
    <xf numFmtId="9" fontId="36" fillId="0" borderId="0" xfId="14" applyNumberFormat="1" applyAlignment="1">
      <alignment horizontal="center"/>
    </xf>
    <xf numFmtId="43" fontId="40" fillId="0" borderId="0" xfId="4" applyNumberFormat="1" applyFont="1"/>
    <xf numFmtId="0" fontId="18" fillId="9" borderId="6" xfId="15" applyFont="1" applyFill="1" applyBorder="1"/>
    <xf numFmtId="0" fontId="3" fillId="9" borderId="6" xfId="15" applyFont="1" applyFill="1" applyBorder="1" applyAlignment="1">
      <alignment horizontal="center" wrapText="1"/>
    </xf>
    <xf numFmtId="0" fontId="17" fillId="0" borderId="5" xfId="15" applyBorder="1"/>
    <xf numFmtId="0" fontId="41" fillId="0" borderId="0" xfId="15" applyFont="1" applyAlignment="1">
      <alignment horizontal="center" wrapText="1"/>
    </xf>
    <xf numFmtId="0" fontId="17" fillId="0" borderId="0" xfId="15" applyAlignment="1">
      <alignment horizontal="center" wrapText="1"/>
    </xf>
    <xf numFmtId="0" fontId="42" fillId="0" borderId="0" xfId="15" applyFont="1" applyAlignment="1" applyProtection="1">
      <alignment horizontal="left"/>
      <protection locked="0"/>
    </xf>
    <xf numFmtId="0" fontId="42" fillId="0" borderId="0" xfId="15" applyFont="1" applyAlignment="1">
      <alignment horizontal="center"/>
    </xf>
    <xf numFmtId="167" fontId="23" fillId="0" borderId="0" xfId="21" applyNumberFormat="1" applyFont="1" applyFill="1" applyAlignment="1">
      <alignment horizontal="center"/>
    </xf>
    <xf numFmtId="0" fontId="42" fillId="0" borderId="0" xfId="15" applyFont="1" applyAlignment="1" applyProtection="1">
      <alignment horizontal="center"/>
      <protection locked="0"/>
    </xf>
    <xf numFmtId="170" fontId="36" fillId="0" borderId="0" xfId="14" applyNumberFormat="1" applyAlignment="1">
      <alignment horizontal="center"/>
    </xf>
    <xf numFmtId="2" fontId="28" fillId="0" borderId="0" xfId="2" applyNumberFormat="1" applyAlignment="1">
      <alignment horizontal="center"/>
    </xf>
    <xf numFmtId="2" fontId="20" fillId="0" borderId="0" xfId="15" applyNumberFormat="1" applyFont="1"/>
    <xf numFmtId="0" fontId="42" fillId="0" borderId="0" xfId="15" applyFont="1" applyAlignment="1">
      <alignment horizontal="right"/>
    </xf>
    <xf numFmtId="0" fontId="42" fillId="0" borderId="0" xfId="15" applyFont="1"/>
    <xf numFmtId="0" fontId="42" fillId="0" borderId="0" xfId="15" applyFont="1" applyAlignment="1">
      <alignment horizontal="left" indent="1"/>
    </xf>
    <xf numFmtId="9" fontId="42" fillId="0" borderId="0" xfId="21" applyFont="1" applyFill="1" applyBorder="1" applyAlignment="1" applyProtection="1">
      <alignment horizontal="center"/>
      <protection locked="0"/>
    </xf>
    <xf numFmtId="2" fontId="40" fillId="0" borderId="0" xfId="2" applyNumberFormat="1" applyFont="1" applyAlignment="1">
      <alignment horizontal="center"/>
    </xf>
    <xf numFmtId="0" fontId="3" fillId="0" borderId="0" xfId="15" applyFont="1" applyAlignment="1">
      <alignment horizontal="center" wrapText="1"/>
    </xf>
    <xf numFmtId="0" fontId="43" fillId="0" borderId="0" xfId="15" applyFont="1"/>
    <xf numFmtId="174" fontId="0" fillId="0" borderId="0" xfId="0" applyNumberFormat="1"/>
    <xf numFmtId="9" fontId="17" fillId="0" borderId="0" xfId="20" applyFont="1" applyAlignment="1">
      <alignment horizontal="center"/>
    </xf>
    <xf numFmtId="0" fontId="3" fillId="0" borderId="7" xfId="0" applyFont="1" applyBorder="1"/>
    <xf numFmtId="9" fontId="17" fillId="0" borderId="4" xfId="20" applyFont="1" applyBorder="1"/>
    <xf numFmtId="9" fontId="17" fillId="0" borderId="4" xfId="20" applyFont="1" applyFill="1" applyBorder="1"/>
    <xf numFmtId="0" fontId="17" fillId="0" borderId="0" xfId="0" applyFont="1"/>
    <xf numFmtId="0" fontId="20" fillId="0" borderId="0" xfId="0" applyFont="1"/>
    <xf numFmtId="0" fontId="29" fillId="11" borderId="8" xfId="3"/>
    <xf numFmtId="9" fontId="35" fillId="12" borderId="8" xfId="13" applyNumberFormat="1"/>
    <xf numFmtId="0" fontId="3" fillId="9" borderId="6" xfId="0" applyFont="1" applyFill="1" applyBorder="1" applyAlignment="1">
      <alignment horizontal="center" wrapText="1"/>
    </xf>
    <xf numFmtId="9" fontId="44" fillId="0" borderId="0" xfId="21" applyFont="1"/>
    <xf numFmtId="9" fontId="45" fillId="0" borderId="0" xfId="21" applyFont="1"/>
    <xf numFmtId="9" fontId="17" fillId="0" borderId="0" xfId="15" applyNumberFormat="1" applyAlignment="1">
      <alignment horizontal="center"/>
    </xf>
    <xf numFmtId="4" fontId="0" fillId="13" borderId="4" xfId="0" applyNumberFormat="1" applyFill="1" applyBorder="1"/>
    <xf numFmtId="0" fontId="0" fillId="13" borderId="0" xfId="0" applyFill="1"/>
    <xf numFmtId="43" fontId="46" fillId="0" borderId="0" xfId="13" applyNumberFormat="1" applyFont="1" applyFill="1" applyBorder="1"/>
    <xf numFmtId="0" fontId="3" fillId="0" borderId="4" xfId="0" applyFont="1" applyBorder="1" applyAlignment="1">
      <alignment wrapText="1"/>
    </xf>
    <xf numFmtId="175" fontId="32" fillId="0" borderId="0" xfId="9" applyNumberFormat="1">
      <alignment horizontal="center"/>
    </xf>
    <xf numFmtId="175" fontId="21" fillId="0" borderId="0" xfId="15" applyNumberFormat="1" applyFont="1" applyAlignment="1">
      <alignment horizontal="center"/>
    </xf>
    <xf numFmtId="10" fontId="40" fillId="0" borderId="0" xfId="21" applyNumberFormat="1" applyFont="1" applyAlignment="1">
      <alignment horizontal="center"/>
    </xf>
    <xf numFmtId="177" fontId="20" fillId="0" borderId="0" xfId="15" applyNumberFormat="1" applyFont="1"/>
    <xf numFmtId="176" fontId="28" fillId="0" borderId="0" xfId="2" applyNumberFormat="1" applyAlignment="1">
      <alignment horizontal="center"/>
    </xf>
    <xf numFmtId="0" fontId="0" fillId="14" borderId="0" xfId="0" applyFill="1"/>
    <xf numFmtId="4" fontId="0" fillId="14" borderId="0" xfId="0" applyNumberFormat="1" applyFill="1"/>
    <xf numFmtId="4" fontId="16" fillId="14" borderId="0" xfId="0" applyNumberFormat="1" applyFont="1" applyFill="1"/>
    <xf numFmtId="10" fontId="44" fillId="0" borderId="0" xfId="21" applyNumberFormat="1" applyFont="1"/>
    <xf numFmtId="9" fontId="2" fillId="0" borderId="0" xfId="20"/>
    <xf numFmtId="9" fontId="2" fillId="13" borderId="4" xfId="20" applyFill="1" applyBorder="1"/>
    <xf numFmtId="0" fontId="2" fillId="0" borderId="0" xfId="15" applyFont="1"/>
    <xf numFmtId="22" fontId="0" fillId="0" borderId="0" xfId="0" applyNumberFormat="1"/>
    <xf numFmtId="14" fontId="0" fillId="0" borderId="0" xfId="0" applyNumberFormat="1"/>
    <xf numFmtId="0" fontId="2" fillId="0" borderId="0" xfId="0" applyFont="1" applyAlignment="1">
      <alignment wrapText="1"/>
    </xf>
    <xf numFmtId="0" fontId="22" fillId="0" borderId="0" xfId="15" applyFont="1"/>
    <xf numFmtId="0" fontId="22" fillId="0" borderId="0" xfId="15" applyFont="1" applyAlignment="1">
      <alignment horizontal="center"/>
    </xf>
    <xf numFmtId="0" fontId="41" fillId="0" borderId="5" xfId="15" applyFont="1" applyBorder="1" applyAlignment="1" applyProtection="1">
      <alignment horizontal="left"/>
      <protection locked="0"/>
    </xf>
    <xf numFmtId="0" fontId="39" fillId="0" borderId="5" xfId="15" applyFont="1" applyBorder="1" applyAlignment="1" applyProtection="1">
      <alignment horizontal="left"/>
      <protection locked="0"/>
    </xf>
    <xf numFmtId="43" fontId="40" fillId="0" borderId="5" xfId="4" applyNumberFormat="1" applyFont="1" applyBorder="1"/>
    <xf numFmtId="43" fontId="46" fillId="0" borderId="5" xfId="13" applyNumberFormat="1" applyFont="1" applyFill="1" applyBorder="1"/>
    <xf numFmtId="178" fontId="48" fillId="0" borderId="0" xfId="29" applyNumberFormat="1" applyFill="1"/>
    <xf numFmtId="0" fontId="48" fillId="0" borderId="0" xfId="29" applyFill="1"/>
    <xf numFmtId="178" fontId="48" fillId="0" borderId="9" xfId="29" applyNumberFormat="1" applyFill="1" applyBorder="1" applyAlignment="1">
      <alignment horizontal="left"/>
    </xf>
    <xf numFmtId="0" fontId="48" fillId="0" borderId="0" xfId="29"/>
    <xf numFmtId="0" fontId="48" fillId="0" borderId="0" xfId="29" applyFill="1" applyAlignment="1">
      <alignment horizontal="center" wrapText="1"/>
    </xf>
    <xf numFmtId="0" fontId="48" fillId="0" borderId="0" xfId="29" applyFill="1" applyAlignment="1">
      <alignment wrapText="1"/>
    </xf>
    <xf numFmtId="0" fontId="2" fillId="0" borderId="5" xfId="15" applyFont="1" applyBorder="1"/>
    <xf numFmtId="0" fontId="2" fillId="0" borderId="5" xfId="15" applyFont="1" applyBorder="1" applyAlignment="1" applyProtection="1">
      <alignment horizontal="left"/>
      <protection locked="0"/>
    </xf>
    <xf numFmtId="2" fontId="17" fillId="0" borderId="0" xfId="15" applyNumberFormat="1"/>
    <xf numFmtId="0" fontId="18" fillId="0" borderId="0" xfId="15" applyFont="1" applyAlignment="1">
      <alignment horizontal="center"/>
    </xf>
  </cellXfs>
  <cellStyles count="30">
    <cellStyle name="Bad 2" xfId="1" xr:uid="{00000000-0005-0000-0000-000002000000}"/>
    <cellStyle name="Calc" xfId="2" xr:uid="{00000000-0005-0000-0000-000003000000}"/>
    <cellStyle name="Calculation" xfId="3" builtinId="22"/>
    <cellStyle name="Comma 2" xfId="4" xr:uid="{00000000-0005-0000-0000-000006000000}"/>
    <cellStyle name="Comma 3" xfId="5" xr:uid="{00000000-0005-0000-0000-000007000000}"/>
    <cellStyle name="Comma 4" xfId="27" xr:uid="{00000000-0005-0000-0000-000008000000}"/>
    <cellStyle name="Excel Built-in Normal" xfId="6" xr:uid="{00000000-0005-0000-0000-000009000000}"/>
    <cellStyle name="Excel Built-in Normal 2" xfId="7" xr:uid="{00000000-0005-0000-0000-00000A000000}"/>
    <cellStyle name="Excel_BuiltIn_Comma" xfId="8" xr:uid="{00000000-0005-0000-0000-00000B000000}"/>
    <cellStyle name="External" xfId="9" xr:uid="{00000000-0005-0000-0000-00000C000000}"/>
    <cellStyle name="Heading" xfId="10" xr:uid="{00000000-0005-0000-0000-00000D000000}"/>
    <cellStyle name="Heading 4" xfId="29" builtinId="19"/>
    <cellStyle name="Heading1" xfId="11" xr:uid="{00000000-0005-0000-0000-00000E000000}"/>
    <cellStyle name="Hyperlink 2" xfId="12" xr:uid="{00000000-0005-0000-0000-000010000000}"/>
    <cellStyle name="Input" xfId="13" builtinId="20"/>
    <cellStyle name="Linked" xfId="14" xr:uid="{00000000-0005-0000-0000-000012000000}"/>
    <cellStyle name="Normal" xfId="0" builtinId="0"/>
    <cellStyle name="Normal 2" xfId="15" xr:uid="{00000000-0005-0000-0000-000014000000}"/>
    <cellStyle name="Normal 2 2" xfId="16" xr:uid="{00000000-0005-0000-0000-000015000000}"/>
    <cellStyle name="Normal 2 3" xfId="28" xr:uid="{00000000-0005-0000-0000-000016000000}"/>
    <cellStyle name="Normal 3" xfId="17" xr:uid="{00000000-0005-0000-0000-000017000000}"/>
    <cellStyle name="Normal 3 2" xfId="18" xr:uid="{00000000-0005-0000-0000-000018000000}"/>
    <cellStyle name="Normal 4" xfId="19" xr:uid="{00000000-0005-0000-0000-000019000000}"/>
    <cellStyle name="Normal 5" xfId="26" xr:uid="{00000000-0005-0000-0000-00001A000000}"/>
    <cellStyle name="Percent" xfId="20" builtinId="5"/>
    <cellStyle name="Percent 2" xfId="21" xr:uid="{00000000-0005-0000-0000-00001C000000}"/>
    <cellStyle name="Percent 2 2" xfId="22" xr:uid="{00000000-0005-0000-0000-00001D000000}"/>
    <cellStyle name="Percent 3" xfId="23" xr:uid="{00000000-0005-0000-0000-00001E000000}"/>
    <cellStyle name="Result" xfId="24" xr:uid="{00000000-0005-0000-0000-00001F000000}"/>
    <cellStyle name="Result2" xfId="25" xr:uid="{00000000-0005-0000-0000-000020000000}"/>
  </cellStyles>
  <dxfs count="0"/>
  <tableStyles count="0" defaultTableStyle="TableStyleMedium9"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996633"/>
      <rgbColor rgb="00800080"/>
      <rgbColor rgb="00008080"/>
      <rgbColor rgb="00C0C0C0"/>
      <rgbColor rgb="009966CC"/>
      <rgbColor rgb="009999FF"/>
      <rgbColor rgb="0099284C"/>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66"/>
      <rgbColor rgb="0099CCFF"/>
      <rgbColor rgb="00FF99CC"/>
      <rgbColor rgb="00CC99FF"/>
      <rgbColor rgb="00FFCC99"/>
      <rgbColor rgb="003366FF"/>
      <rgbColor rgb="0033CCCC"/>
      <rgbColor rgb="0099CC00"/>
      <rgbColor rgb="00FFCC00"/>
      <rgbColor rgb="00FF9900"/>
      <rgbColor rgb="00FF6600"/>
      <rgbColor rgb="00666666"/>
      <rgbColor rgb="00999999"/>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5631691648822268"/>
          <c:y val="4.6153846153846156E-2"/>
          <c:w val="0.80513918629550318"/>
          <c:h val="0.81538461538461537"/>
        </c:manualLayout>
      </c:layout>
      <c:barChart>
        <c:barDir val="col"/>
        <c:grouping val="clustered"/>
        <c:varyColors val="0"/>
        <c:ser>
          <c:idx val="0"/>
          <c:order val="0"/>
          <c:spPr>
            <a:gradFill rotWithShape="0">
              <a:gsLst>
                <a:gs pos="0">
                  <a:srgbClr val="9BC1FF"/>
                </a:gs>
                <a:gs pos="100000">
                  <a:srgbClr val="3F80CD"/>
                </a:gs>
              </a:gsLst>
              <a:lin ang="5400000"/>
            </a:gradFill>
            <a:ln w="25400">
              <a:noFill/>
            </a:ln>
            <a:effectLst>
              <a:outerShdw dist="35921" dir="2700000" algn="br">
                <a:srgbClr val="000000"/>
              </a:outerShdw>
            </a:effectLst>
          </c:spPr>
          <c:invertIfNegative val="0"/>
          <c:cat>
            <c:strRef>
              <c:f>'Final Demand'!$A$6:$A$12</c:f>
              <c:strCache>
                <c:ptCount val="7"/>
                <c:pt idx="0">
                  <c:v>Butimous Coal</c:v>
                </c:pt>
                <c:pt idx="1">
                  <c:v>LPG</c:v>
                </c:pt>
                <c:pt idx="2">
                  <c:v>Motor Gasoline</c:v>
                </c:pt>
                <c:pt idx="3">
                  <c:v>Other Kerosene</c:v>
                </c:pt>
                <c:pt idx="4">
                  <c:v>Gas Diesel</c:v>
                </c:pt>
                <c:pt idx="5">
                  <c:v>HFO</c:v>
                </c:pt>
                <c:pt idx="6">
                  <c:v>Electricity</c:v>
                </c:pt>
              </c:strCache>
            </c:strRef>
          </c:cat>
          <c:val>
            <c:numRef>
              <c:f>'Final Demand'!$B$6:$B$12</c:f>
              <c:numCache>
                <c:formatCode>#,##0.00</c:formatCode>
                <c:ptCount val="7"/>
                <c:pt idx="0">
                  <c:v>804.7</c:v>
                </c:pt>
                <c:pt idx="1">
                  <c:v>0</c:v>
                </c:pt>
                <c:pt idx="2">
                  <c:v>0</c:v>
                </c:pt>
                <c:pt idx="3">
                  <c:v>2830.48859519711</c:v>
                </c:pt>
                <c:pt idx="4">
                  <c:v>27936.051431163502</c:v>
                </c:pt>
                <c:pt idx="5">
                  <c:v>0</c:v>
                </c:pt>
                <c:pt idx="6">
                  <c:v>17140.014275167501</c:v>
                </c:pt>
              </c:numCache>
            </c:numRef>
          </c:val>
          <c:extLst>
            <c:ext xmlns:c16="http://schemas.microsoft.com/office/drawing/2014/chart" uri="{C3380CC4-5D6E-409C-BE32-E72D297353CC}">
              <c16:uniqueId val="{00000000-E6CF-4ECD-B2DD-513E63055719}"/>
            </c:ext>
          </c:extLst>
        </c:ser>
        <c:dLbls>
          <c:showLegendKey val="0"/>
          <c:showVal val="0"/>
          <c:showCatName val="0"/>
          <c:showSerName val="0"/>
          <c:showPercent val="0"/>
          <c:showBubbleSize val="0"/>
        </c:dLbls>
        <c:gapWidth val="150"/>
        <c:axId val="401190048"/>
        <c:axId val="487262304"/>
      </c:barChart>
      <c:catAx>
        <c:axId val="401190048"/>
        <c:scaling>
          <c:orientation val="minMax"/>
        </c:scaling>
        <c:delete val="0"/>
        <c:axPos val="b"/>
        <c:numFmt formatCode="General"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87262304"/>
        <c:crosses val="autoZero"/>
        <c:auto val="1"/>
        <c:lblAlgn val="ctr"/>
        <c:lblOffset val="100"/>
        <c:noMultiLvlLbl val="0"/>
      </c:catAx>
      <c:valAx>
        <c:axId val="487262304"/>
        <c:scaling>
          <c:orientation val="minMax"/>
        </c:scaling>
        <c:delete val="0"/>
        <c:axPos val="l"/>
        <c:majorGridlines>
          <c:spPr>
            <a:ln w="3175">
              <a:solidFill>
                <a:srgbClr val="999999"/>
              </a:solidFill>
              <a:prstDash val="solid"/>
            </a:ln>
          </c:spPr>
        </c:majorGridlines>
        <c:numFmt formatCode="#,##0.00" sourceLinked="1"/>
        <c:majorTickMark val="out"/>
        <c:minorTickMark val="none"/>
        <c:tickLblPos val="nextTo"/>
        <c:spPr>
          <a:ln w="3175">
            <a:solidFill>
              <a:srgbClr val="999999"/>
            </a:solidFill>
            <a:prstDash val="solid"/>
          </a:ln>
        </c:spPr>
        <c:txPr>
          <a:bodyPr rot="0" vert="horz"/>
          <a:lstStyle/>
          <a:p>
            <a:pPr>
              <a:defRPr sz="1000" b="0" i="0" u="none" strike="noStrike" baseline="0">
                <a:solidFill>
                  <a:srgbClr val="000000"/>
                </a:solidFill>
                <a:latin typeface="Calibri"/>
                <a:ea typeface="Calibri"/>
                <a:cs typeface="Calibri"/>
              </a:defRPr>
            </a:pPr>
            <a:endParaRPr lang="en-US"/>
          </a:p>
        </c:txPr>
        <c:crossAx val="401190048"/>
        <c:crosses val="autoZero"/>
        <c:crossBetween val="between"/>
      </c:valAx>
      <c:spPr>
        <a:solidFill>
          <a:srgbClr val="FFFFFF"/>
        </a:solidFill>
        <a:ln w="25400">
          <a:noFill/>
        </a:ln>
      </c:spPr>
    </c:plotArea>
    <c:plotVisOnly val="1"/>
    <c:dispBlanksAs val="gap"/>
    <c:showDLblsOverMax val="0"/>
  </c:chart>
  <c:spPr>
    <a:solidFill>
      <a:srgbClr val="FFFFFF"/>
    </a:solidFill>
    <a:ln w="3175">
      <a:solidFill>
        <a:srgbClr val="999999"/>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000000000000011" r="0.75000000000000011"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266700</xdr:colOff>
      <xdr:row>3</xdr:row>
      <xdr:rowOff>7620</xdr:rowOff>
    </xdr:from>
    <xdr:to>
      <xdr:col>0</xdr:col>
      <xdr:colOff>274320</xdr:colOff>
      <xdr:row>34</xdr:row>
      <xdr:rowOff>106680</xdr:rowOff>
    </xdr:to>
    <xdr:sp macro="" textlink="">
      <xdr:nvSpPr>
        <xdr:cNvPr id="591503" name="Line 7">
          <a:extLst>
            <a:ext uri="{FF2B5EF4-FFF2-40B4-BE49-F238E27FC236}">
              <a16:creationId xmlns:a16="http://schemas.microsoft.com/office/drawing/2014/main" id="{00000000-0008-0000-0200-00008F060900}"/>
            </a:ext>
          </a:extLst>
        </xdr:cNvPr>
        <xdr:cNvSpPr>
          <a:spLocks noChangeShapeType="1"/>
        </xdr:cNvSpPr>
      </xdr:nvSpPr>
      <xdr:spPr bwMode="auto">
        <a:xfrm>
          <a:off x="266700" y="78486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5</xdr:row>
      <xdr:rowOff>167640</xdr:rowOff>
    </xdr:from>
    <xdr:to>
      <xdr:col>10</xdr:col>
      <xdr:colOff>434340</xdr:colOff>
      <xdr:row>6</xdr:row>
      <xdr:rowOff>7620</xdr:rowOff>
    </xdr:to>
    <xdr:sp macro="" textlink="">
      <xdr:nvSpPr>
        <xdr:cNvPr id="591504" name="Line 15">
          <a:extLst>
            <a:ext uri="{FF2B5EF4-FFF2-40B4-BE49-F238E27FC236}">
              <a16:creationId xmlns:a16="http://schemas.microsoft.com/office/drawing/2014/main" id="{00000000-0008-0000-0200-000090060900}"/>
            </a:ext>
          </a:extLst>
        </xdr:cNvPr>
        <xdr:cNvSpPr>
          <a:spLocks noChangeShapeType="1"/>
        </xdr:cNvSpPr>
      </xdr:nvSpPr>
      <xdr:spPr bwMode="auto">
        <a:xfrm flipV="1">
          <a:off x="960120" y="1280160"/>
          <a:ext cx="5547360" cy="762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198120</xdr:colOff>
      <xdr:row>20</xdr:row>
      <xdr:rowOff>0</xdr:rowOff>
    </xdr:from>
    <xdr:to>
      <xdr:col>12</xdr:col>
      <xdr:colOff>350520</xdr:colOff>
      <xdr:row>20</xdr:row>
      <xdr:rowOff>30480</xdr:rowOff>
    </xdr:to>
    <xdr:sp macro="" textlink="">
      <xdr:nvSpPr>
        <xdr:cNvPr id="591505" name="Line 17">
          <a:extLst>
            <a:ext uri="{FF2B5EF4-FFF2-40B4-BE49-F238E27FC236}">
              <a16:creationId xmlns:a16="http://schemas.microsoft.com/office/drawing/2014/main" id="{00000000-0008-0000-0200-000091060900}"/>
            </a:ext>
          </a:extLst>
        </xdr:cNvPr>
        <xdr:cNvSpPr>
          <a:spLocks noChangeShapeType="1"/>
        </xdr:cNvSpPr>
      </xdr:nvSpPr>
      <xdr:spPr bwMode="auto">
        <a:xfrm flipV="1">
          <a:off x="2948940" y="3627120"/>
          <a:ext cx="5036820" cy="30480"/>
        </a:xfrm>
        <a:prstGeom prst="line">
          <a:avLst/>
        </a:prstGeom>
        <a:noFill/>
        <a:ln w="36000">
          <a:solidFill>
            <a:srgbClr val="FF66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10</xdr:row>
      <xdr:rowOff>160020</xdr:rowOff>
    </xdr:from>
    <xdr:to>
      <xdr:col>11</xdr:col>
      <xdr:colOff>472440</xdr:colOff>
      <xdr:row>10</xdr:row>
      <xdr:rowOff>160020</xdr:rowOff>
    </xdr:to>
    <xdr:sp macro="" textlink="">
      <xdr:nvSpPr>
        <xdr:cNvPr id="591506" name="Line 19">
          <a:extLst>
            <a:ext uri="{FF2B5EF4-FFF2-40B4-BE49-F238E27FC236}">
              <a16:creationId xmlns:a16="http://schemas.microsoft.com/office/drawing/2014/main" id="{00000000-0008-0000-0200-000092060900}"/>
            </a:ext>
          </a:extLst>
        </xdr:cNvPr>
        <xdr:cNvSpPr>
          <a:spLocks noChangeShapeType="1"/>
        </xdr:cNvSpPr>
      </xdr:nvSpPr>
      <xdr:spPr bwMode="auto">
        <a:xfrm>
          <a:off x="266700" y="2110740"/>
          <a:ext cx="7056120" cy="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289560</xdr:colOff>
      <xdr:row>17</xdr:row>
      <xdr:rowOff>167640</xdr:rowOff>
    </xdr:from>
    <xdr:to>
      <xdr:col>12</xdr:col>
      <xdr:colOff>342900</xdr:colOff>
      <xdr:row>18</xdr:row>
      <xdr:rowOff>7620</xdr:rowOff>
    </xdr:to>
    <xdr:sp macro="" textlink="">
      <xdr:nvSpPr>
        <xdr:cNvPr id="591507" name="Line 29">
          <a:extLst>
            <a:ext uri="{FF2B5EF4-FFF2-40B4-BE49-F238E27FC236}">
              <a16:creationId xmlns:a16="http://schemas.microsoft.com/office/drawing/2014/main" id="{00000000-0008-0000-0200-000093060900}"/>
            </a:ext>
          </a:extLst>
        </xdr:cNvPr>
        <xdr:cNvSpPr>
          <a:spLocks noChangeShapeType="1"/>
        </xdr:cNvSpPr>
      </xdr:nvSpPr>
      <xdr:spPr bwMode="auto">
        <a:xfrm flipV="1">
          <a:off x="2537460" y="3291840"/>
          <a:ext cx="5440680" cy="7620"/>
        </a:xfrm>
        <a:prstGeom prst="line">
          <a:avLst/>
        </a:prstGeom>
        <a:noFill/>
        <a:ln w="36000">
          <a:solidFill>
            <a:srgbClr val="984807"/>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403860</xdr:colOff>
      <xdr:row>8</xdr:row>
      <xdr:rowOff>7620</xdr:rowOff>
    </xdr:from>
    <xdr:to>
      <xdr:col>10</xdr:col>
      <xdr:colOff>472440</xdr:colOff>
      <xdr:row>8</xdr:row>
      <xdr:rowOff>7620</xdr:rowOff>
    </xdr:to>
    <xdr:sp macro="" textlink="">
      <xdr:nvSpPr>
        <xdr:cNvPr id="591508" name="Line 38">
          <a:extLst>
            <a:ext uri="{FF2B5EF4-FFF2-40B4-BE49-F238E27FC236}">
              <a16:creationId xmlns:a16="http://schemas.microsoft.com/office/drawing/2014/main" id="{00000000-0008-0000-0200-000094060900}"/>
            </a:ext>
          </a:extLst>
        </xdr:cNvPr>
        <xdr:cNvSpPr>
          <a:spLocks noChangeShapeType="1"/>
        </xdr:cNvSpPr>
      </xdr:nvSpPr>
      <xdr:spPr bwMode="auto">
        <a:xfrm>
          <a:off x="2004060" y="1623060"/>
          <a:ext cx="4541520" cy="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175260</xdr:colOff>
      <xdr:row>13</xdr:row>
      <xdr:rowOff>7620</xdr:rowOff>
    </xdr:from>
    <xdr:to>
      <xdr:col>11</xdr:col>
      <xdr:colOff>487680</xdr:colOff>
      <xdr:row>13</xdr:row>
      <xdr:rowOff>7620</xdr:rowOff>
    </xdr:to>
    <xdr:sp macro="" textlink="">
      <xdr:nvSpPr>
        <xdr:cNvPr id="591509" name="Line 15">
          <a:extLst>
            <a:ext uri="{FF2B5EF4-FFF2-40B4-BE49-F238E27FC236}">
              <a16:creationId xmlns:a16="http://schemas.microsoft.com/office/drawing/2014/main" id="{00000000-0008-0000-0200-000095060900}"/>
            </a:ext>
          </a:extLst>
        </xdr:cNvPr>
        <xdr:cNvSpPr>
          <a:spLocks noChangeShapeType="1"/>
        </xdr:cNvSpPr>
      </xdr:nvSpPr>
      <xdr:spPr bwMode="auto">
        <a:xfrm flipV="1">
          <a:off x="960120" y="2461260"/>
          <a:ext cx="6377940" cy="0"/>
        </a:xfrm>
        <a:prstGeom prst="line">
          <a:avLst/>
        </a:prstGeom>
        <a:noFill/>
        <a:ln w="36000">
          <a:solidFill>
            <a:srgbClr val="8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15</xdr:row>
      <xdr:rowOff>0</xdr:rowOff>
    </xdr:from>
    <xdr:to>
      <xdr:col>11</xdr:col>
      <xdr:colOff>502920</xdr:colOff>
      <xdr:row>15</xdr:row>
      <xdr:rowOff>7620</xdr:rowOff>
    </xdr:to>
    <xdr:sp macro="" textlink="">
      <xdr:nvSpPr>
        <xdr:cNvPr id="591510" name="Line 38">
          <a:extLst>
            <a:ext uri="{FF2B5EF4-FFF2-40B4-BE49-F238E27FC236}">
              <a16:creationId xmlns:a16="http://schemas.microsoft.com/office/drawing/2014/main" id="{00000000-0008-0000-0200-000096060900}"/>
            </a:ext>
          </a:extLst>
        </xdr:cNvPr>
        <xdr:cNvSpPr>
          <a:spLocks noChangeShapeType="1"/>
        </xdr:cNvSpPr>
      </xdr:nvSpPr>
      <xdr:spPr bwMode="auto">
        <a:xfrm flipV="1">
          <a:off x="1981200" y="2788920"/>
          <a:ext cx="5372100" cy="7620"/>
        </a:xfrm>
        <a:prstGeom prst="line">
          <a:avLst/>
        </a:prstGeom>
        <a:noFill/>
        <a:ln w="36000">
          <a:solidFill>
            <a:srgbClr val="9966CC"/>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312420</xdr:colOff>
      <xdr:row>23</xdr:row>
      <xdr:rowOff>160020</xdr:rowOff>
    </xdr:from>
    <xdr:to>
      <xdr:col>12</xdr:col>
      <xdr:colOff>388620</xdr:colOff>
      <xdr:row>24</xdr:row>
      <xdr:rowOff>7620</xdr:rowOff>
    </xdr:to>
    <xdr:sp macro="" textlink="">
      <xdr:nvSpPr>
        <xdr:cNvPr id="591511" name="Line 18">
          <a:extLst>
            <a:ext uri="{FF2B5EF4-FFF2-40B4-BE49-F238E27FC236}">
              <a16:creationId xmlns:a16="http://schemas.microsoft.com/office/drawing/2014/main" id="{00000000-0008-0000-0200-000097060900}"/>
            </a:ext>
          </a:extLst>
        </xdr:cNvPr>
        <xdr:cNvSpPr>
          <a:spLocks noChangeShapeType="1"/>
        </xdr:cNvSpPr>
      </xdr:nvSpPr>
      <xdr:spPr bwMode="auto">
        <a:xfrm flipV="1">
          <a:off x="3878580" y="4290060"/>
          <a:ext cx="4145280" cy="15240"/>
        </a:xfrm>
        <a:prstGeom prst="line">
          <a:avLst/>
        </a:prstGeom>
        <a:noFill/>
        <a:ln w="36000">
          <a:solidFill>
            <a:srgbClr val="999999"/>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144780</xdr:colOff>
      <xdr:row>22</xdr:row>
      <xdr:rowOff>0</xdr:rowOff>
    </xdr:from>
    <xdr:to>
      <xdr:col>12</xdr:col>
      <xdr:colOff>342900</xdr:colOff>
      <xdr:row>22</xdr:row>
      <xdr:rowOff>7620</xdr:rowOff>
    </xdr:to>
    <xdr:sp macro="" textlink="">
      <xdr:nvSpPr>
        <xdr:cNvPr id="591512" name="Line 17">
          <a:extLst>
            <a:ext uri="{FF2B5EF4-FFF2-40B4-BE49-F238E27FC236}">
              <a16:creationId xmlns:a16="http://schemas.microsoft.com/office/drawing/2014/main" id="{00000000-0008-0000-0200-000098060900}"/>
            </a:ext>
          </a:extLst>
        </xdr:cNvPr>
        <xdr:cNvSpPr>
          <a:spLocks noChangeShapeType="1"/>
        </xdr:cNvSpPr>
      </xdr:nvSpPr>
      <xdr:spPr bwMode="auto">
        <a:xfrm>
          <a:off x="3307080" y="3962400"/>
          <a:ext cx="4671060" cy="7620"/>
        </a:xfrm>
        <a:prstGeom prst="line">
          <a:avLst/>
        </a:prstGeom>
        <a:noFill/>
        <a:ln w="360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274320</xdr:colOff>
      <xdr:row>28</xdr:row>
      <xdr:rowOff>160020</xdr:rowOff>
    </xdr:from>
    <xdr:to>
      <xdr:col>14</xdr:col>
      <xdr:colOff>373380</xdr:colOff>
      <xdr:row>28</xdr:row>
      <xdr:rowOff>167640</xdr:rowOff>
    </xdr:to>
    <xdr:sp macro="" textlink="">
      <xdr:nvSpPr>
        <xdr:cNvPr id="591513" name="Line 19">
          <a:extLst>
            <a:ext uri="{FF2B5EF4-FFF2-40B4-BE49-F238E27FC236}">
              <a16:creationId xmlns:a16="http://schemas.microsoft.com/office/drawing/2014/main" id="{00000000-0008-0000-0200-000099060900}"/>
            </a:ext>
          </a:extLst>
        </xdr:cNvPr>
        <xdr:cNvSpPr>
          <a:spLocks noChangeShapeType="1"/>
        </xdr:cNvSpPr>
      </xdr:nvSpPr>
      <xdr:spPr bwMode="auto">
        <a:xfrm flipV="1">
          <a:off x="274320" y="5128260"/>
          <a:ext cx="9471660" cy="762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xdr:col>
      <xdr:colOff>160020</xdr:colOff>
      <xdr:row>3</xdr:row>
      <xdr:rowOff>7620</xdr:rowOff>
    </xdr:from>
    <xdr:to>
      <xdr:col>1</xdr:col>
      <xdr:colOff>175260</xdr:colOff>
      <xdr:row>34</xdr:row>
      <xdr:rowOff>106680</xdr:rowOff>
    </xdr:to>
    <xdr:sp macro="" textlink="">
      <xdr:nvSpPr>
        <xdr:cNvPr id="591514" name="Line 7">
          <a:extLst>
            <a:ext uri="{FF2B5EF4-FFF2-40B4-BE49-F238E27FC236}">
              <a16:creationId xmlns:a16="http://schemas.microsoft.com/office/drawing/2014/main" id="{00000000-0008-0000-0200-00009A060900}"/>
            </a:ext>
          </a:extLst>
        </xdr:cNvPr>
        <xdr:cNvSpPr>
          <a:spLocks noChangeShapeType="1"/>
        </xdr:cNvSpPr>
      </xdr:nvSpPr>
      <xdr:spPr bwMode="auto">
        <a:xfrm>
          <a:off x="94488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2</xdr:col>
      <xdr:colOff>381000</xdr:colOff>
      <xdr:row>2</xdr:row>
      <xdr:rowOff>350520</xdr:rowOff>
    </xdr:from>
    <xdr:to>
      <xdr:col>2</xdr:col>
      <xdr:colOff>403860</xdr:colOff>
      <xdr:row>34</xdr:row>
      <xdr:rowOff>68580</xdr:rowOff>
    </xdr:to>
    <xdr:sp macro="" textlink="">
      <xdr:nvSpPr>
        <xdr:cNvPr id="591515" name="Line 7">
          <a:extLst>
            <a:ext uri="{FF2B5EF4-FFF2-40B4-BE49-F238E27FC236}">
              <a16:creationId xmlns:a16="http://schemas.microsoft.com/office/drawing/2014/main" id="{00000000-0008-0000-0200-00009B060900}"/>
            </a:ext>
          </a:extLst>
        </xdr:cNvPr>
        <xdr:cNvSpPr>
          <a:spLocks noChangeShapeType="1"/>
        </xdr:cNvSpPr>
      </xdr:nvSpPr>
      <xdr:spPr bwMode="auto">
        <a:xfrm>
          <a:off x="1981200" y="7467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3</xdr:col>
      <xdr:colOff>236220</xdr:colOff>
      <xdr:row>3</xdr:row>
      <xdr:rowOff>7620</xdr:rowOff>
    </xdr:from>
    <xdr:to>
      <xdr:col>3</xdr:col>
      <xdr:colOff>259080</xdr:colOff>
      <xdr:row>34</xdr:row>
      <xdr:rowOff>106680</xdr:rowOff>
    </xdr:to>
    <xdr:sp macro="" textlink="">
      <xdr:nvSpPr>
        <xdr:cNvPr id="591516" name="Line 7">
          <a:extLst>
            <a:ext uri="{FF2B5EF4-FFF2-40B4-BE49-F238E27FC236}">
              <a16:creationId xmlns:a16="http://schemas.microsoft.com/office/drawing/2014/main" id="{00000000-0008-0000-0200-00009C060900}"/>
            </a:ext>
          </a:extLst>
        </xdr:cNvPr>
        <xdr:cNvSpPr>
          <a:spLocks noChangeShapeType="1"/>
        </xdr:cNvSpPr>
      </xdr:nvSpPr>
      <xdr:spPr bwMode="auto">
        <a:xfrm>
          <a:off x="2484120" y="784860"/>
          <a:ext cx="2286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4</xdr:col>
      <xdr:colOff>182880</xdr:colOff>
      <xdr:row>3</xdr:row>
      <xdr:rowOff>0</xdr:rowOff>
    </xdr:from>
    <xdr:to>
      <xdr:col>4</xdr:col>
      <xdr:colOff>198120</xdr:colOff>
      <xdr:row>34</xdr:row>
      <xdr:rowOff>99060</xdr:rowOff>
    </xdr:to>
    <xdr:sp macro="" textlink="">
      <xdr:nvSpPr>
        <xdr:cNvPr id="591517" name="Line 7">
          <a:extLst>
            <a:ext uri="{FF2B5EF4-FFF2-40B4-BE49-F238E27FC236}">
              <a16:creationId xmlns:a16="http://schemas.microsoft.com/office/drawing/2014/main" id="{00000000-0008-0000-0200-00009D060900}"/>
            </a:ext>
          </a:extLst>
        </xdr:cNvPr>
        <xdr:cNvSpPr>
          <a:spLocks noChangeShapeType="1"/>
        </xdr:cNvSpPr>
      </xdr:nvSpPr>
      <xdr:spPr bwMode="auto">
        <a:xfrm>
          <a:off x="2933700" y="77724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5</xdr:col>
      <xdr:colOff>160020</xdr:colOff>
      <xdr:row>3</xdr:row>
      <xdr:rowOff>7620</xdr:rowOff>
    </xdr:from>
    <xdr:to>
      <xdr:col>5</xdr:col>
      <xdr:colOff>175260</xdr:colOff>
      <xdr:row>34</xdr:row>
      <xdr:rowOff>106680</xdr:rowOff>
    </xdr:to>
    <xdr:sp macro="" textlink="">
      <xdr:nvSpPr>
        <xdr:cNvPr id="591518" name="Line 7">
          <a:extLst>
            <a:ext uri="{FF2B5EF4-FFF2-40B4-BE49-F238E27FC236}">
              <a16:creationId xmlns:a16="http://schemas.microsoft.com/office/drawing/2014/main" id="{00000000-0008-0000-0200-00009E060900}"/>
            </a:ext>
          </a:extLst>
        </xdr:cNvPr>
        <xdr:cNvSpPr>
          <a:spLocks noChangeShapeType="1"/>
        </xdr:cNvSpPr>
      </xdr:nvSpPr>
      <xdr:spPr bwMode="auto">
        <a:xfrm>
          <a:off x="3322320" y="78486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6</xdr:col>
      <xdr:colOff>320040</xdr:colOff>
      <xdr:row>2</xdr:row>
      <xdr:rowOff>373380</xdr:rowOff>
    </xdr:from>
    <xdr:to>
      <xdr:col>6</xdr:col>
      <xdr:colOff>320040</xdr:colOff>
      <xdr:row>34</xdr:row>
      <xdr:rowOff>91440</xdr:rowOff>
    </xdr:to>
    <xdr:sp macro="" textlink="">
      <xdr:nvSpPr>
        <xdr:cNvPr id="591519" name="Line 7">
          <a:extLst>
            <a:ext uri="{FF2B5EF4-FFF2-40B4-BE49-F238E27FC236}">
              <a16:creationId xmlns:a16="http://schemas.microsoft.com/office/drawing/2014/main" id="{00000000-0008-0000-0200-00009F060900}"/>
            </a:ext>
          </a:extLst>
        </xdr:cNvPr>
        <xdr:cNvSpPr>
          <a:spLocks noChangeShapeType="1"/>
        </xdr:cNvSpPr>
      </xdr:nvSpPr>
      <xdr:spPr bwMode="auto">
        <a:xfrm>
          <a:off x="388620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434340</xdr:colOff>
      <xdr:row>2</xdr:row>
      <xdr:rowOff>373380</xdr:rowOff>
    </xdr:from>
    <xdr:to>
      <xdr:col>10</xdr:col>
      <xdr:colOff>434340</xdr:colOff>
      <xdr:row>34</xdr:row>
      <xdr:rowOff>91440</xdr:rowOff>
    </xdr:to>
    <xdr:sp macro="" textlink="">
      <xdr:nvSpPr>
        <xdr:cNvPr id="591520" name="Line 7">
          <a:extLst>
            <a:ext uri="{FF2B5EF4-FFF2-40B4-BE49-F238E27FC236}">
              <a16:creationId xmlns:a16="http://schemas.microsoft.com/office/drawing/2014/main" id="{00000000-0008-0000-0200-0000A0060900}"/>
            </a:ext>
          </a:extLst>
        </xdr:cNvPr>
        <xdr:cNvSpPr>
          <a:spLocks noChangeShapeType="1"/>
        </xdr:cNvSpPr>
      </xdr:nvSpPr>
      <xdr:spPr bwMode="auto">
        <a:xfrm>
          <a:off x="6507480" y="769620"/>
          <a:ext cx="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472440</xdr:colOff>
      <xdr:row>2</xdr:row>
      <xdr:rowOff>373380</xdr:rowOff>
    </xdr:from>
    <xdr:to>
      <xdr:col>11</xdr:col>
      <xdr:colOff>480060</xdr:colOff>
      <xdr:row>34</xdr:row>
      <xdr:rowOff>91440</xdr:rowOff>
    </xdr:to>
    <xdr:sp macro="" textlink="">
      <xdr:nvSpPr>
        <xdr:cNvPr id="591521" name="Line 7">
          <a:extLst>
            <a:ext uri="{FF2B5EF4-FFF2-40B4-BE49-F238E27FC236}">
              <a16:creationId xmlns:a16="http://schemas.microsoft.com/office/drawing/2014/main" id="{00000000-0008-0000-0200-0000A1060900}"/>
            </a:ext>
          </a:extLst>
        </xdr:cNvPr>
        <xdr:cNvSpPr>
          <a:spLocks noChangeShapeType="1"/>
        </xdr:cNvSpPr>
      </xdr:nvSpPr>
      <xdr:spPr bwMode="auto">
        <a:xfrm>
          <a:off x="732282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350520</xdr:colOff>
      <xdr:row>2</xdr:row>
      <xdr:rowOff>373380</xdr:rowOff>
    </xdr:from>
    <xdr:to>
      <xdr:col>12</xdr:col>
      <xdr:colOff>358140</xdr:colOff>
      <xdr:row>34</xdr:row>
      <xdr:rowOff>91440</xdr:rowOff>
    </xdr:to>
    <xdr:sp macro="" textlink="">
      <xdr:nvSpPr>
        <xdr:cNvPr id="591522" name="Line 7">
          <a:extLst>
            <a:ext uri="{FF2B5EF4-FFF2-40B4-BE49-F238E27FC236}">
              <a16:creationId xmlns:a16="http://schemas.microsoft.com/office/drawing/2014/main" id="{00000000-0008-0000-0200-0000A2060900}"/>
            </a:ext>
          </a:extLst>
        </xdr:cNvPr>
        <xdr:cNvSpPr>
          <a:spLocks noChangeShapeType="1"/>
        </xdr:cNvSpPr>
      </xdr:nvSpPr>
      <xdr:spPr bwMode="auto">
        <a:xfrm>
          <a:off x="798576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14</xdr:col>
      <xdr:colOff>388620</xdr:colOff>
      <xdr:row>2</xdr:row>
      <xdr:rowOff>373380</xdr:rowOff>
    </xdr:from>
    <xdr:to>
      <xdr:col>14</xdr:col>
      <xdr:colOff>403860</xdr:colOff>
      <xdr:row>34</xdr:row>
      <xdr:rowOff>91440</xdr:rowOff>
    </xdr:to>
    <xdr:sp macro="" textlink="">
      <xdr:nvSpPr>
        <xdr:cNvPr id="591523" name="Line 7">
          <a:extLst>
            <a:ext uri="{FF2B5EF4-FFF2-40B4-BE49-F238E27FC236}">
              <a16:creationId xmlns:a16="http://schemas.microsoft.com/office/drawing/2014/main" id="{00000000-0008-0000-0200-0000A3060900}"/>
            </a:ext>
          </a:extLst>
        </xdr:cNvPr>
        <xdr:cNvSpPr>
          <a:spLocks noChangeShapeType="1"/>
        </xdr:cNvSpPr>
      </xdr:nvSpPr>
      <xdr:spPr bwMode="auto">
        <a:xfrm>
          <a:off x="9761220" y="769620"/>
          <a:ext cx="1524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266700</xdr:colOff>
      <xdr:row>27</xdr:row>
      <xdr:rowOff>0</xdr:rowOff>
    </xdr:from>
    <xdr:to>
      <xdr:col>13</xdr:col>
      <xdr:colOff>403860</xdr:colOff>
      <xdr:row>27</xdr:row>
      <xdr:rowOff>30480</xdr:rowOff>
    </xdr:to>
    <xdr:sp macro="" textlink="">
      <xdr:nvSpPr>
        <xdr:cNvPr id="591524" name="Line 19">
          <a:extLst>
            <a:ext uri="{FF2B5EF4-FFF2-40B4-BE49-F238E27FC236}">
              <a16:creationId xmlns:a16="http://schemas.microsoft.com/office/drawing/2014/main" id="{00000000-0008-0000-0200-0000A4060900}"/>
            </a:ext>
          </a:extLst>
        </xdr:cNvPr>
        <xdr:cNvSpPr>
          <a:spLocks noChangeShapeType="1"/>
        </xdr:cNvSpPr>
      </xdr:nvSpPr>
      <xdr:spPr bwMode="auto">
        <a:xfrm flipV="1">
          <a:off x="266700" y="4800600"/>
          <a:ext cx="8641080" cy="30480"/>
        </a:xfrm>
        <a:prstGeom prst="line">
          <a:avLst/>
        </a:prstGeom>
        <a:noFill/>
        <a:ln w="36000">
          <a:solidFill>
            <a:srgbClr val="0047FF"/>
          </a:solidFill>
          <a:round/>
          <a:headEnd/>
          <a:tailEnd/>
        </a:ln>
        <a:extLst>
          <a:ext uri="{909E8E84-426E-40DD-AFC4-6F175D3DCCD1}">
            <a14:hiddenFill xmlns:a14="http://schemas.microsoft.com/office/drawing/2010/main">
              <a:noFill/>
            </a14:hiddenFill>
          </a:ext>
        </a:extLst>
      </xdr:spPr>
    </xdr:sp>
    <xdr:clientData/>
  </xdr:twoCellAnchor>
  <xdr:twoCellAnchor>
    <xdr:from>
      <xdr:col>13</xdr:col>
      <xdr:colOff>403860</xdr:colOff>
      <xdr:row>2</xdr:row>
      <xdr:rowOff>373380</xdr:rowOff>
    </xdr:from>
    <xdr:to>
      <xdr:col>13</xdr:col>
      <xdr:colOff>411480</xdr:colOff>
      <xdr:row>34</xdr:row>
      <xdr:rowOff>91440</xdr:rowOff>
    </xdr:to>
    <xdr:sp macro="" textlink="">
      <xdr:nvSpPr>
        <xdr:cNvPr id="591525" name="Line 7">
          <a:extLst>
            <a:ext uri="{FF2B5EF4-FFF2-40B4-BE49-F238E27FC236}">
              <a16:creationId xmlns:a16="http://schemas.microsoft.com/office/drawing/2014/main" id="{00000000-0008-0000-0200-0000A5060900}"/>
            </a:ext>
          </a:extLst>
        </xdr:cNvPr>
        <xdr:cNvSpPr>
          <a:spLocks noChangeShapeType="1"/>
        </xdr:cNvSpPr>
      </xdr:nvSpPr>
      <xdr:spPr bwMode="auto">
        <a:xfrm>
          <a:off x="8907780" y="769620"/>
          <a:ext cx="7620" cy="529590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8</xdr:col>
      <xdr:colOff>60960</xdr:colOff>
      <xdr:row>1</xdr:row>
      <xdr:rowOff>68580</xdr:rowOff>
    </xdr:from>
    <xdr:to>
      <xdr:col>13</xdr:col>
      <xdr:colOff>716280</xdr:colOff>
      <xdr:row>20</xdr:row>
      <xdr:rowOff>68580</xdr:rowOff>
    </xdr:to>
    <xdr:graphicFrame macro="">
      <xdr:nvGraphicFramePr>
        <xdr:cNvPr id="102646" name="Chart 1">
          <a:extLst>
            <a:ext uri="{FF2B5EF4-FFF2-40B4-BE49-F238E27FC236}">
              <a16:creationId xmlns:a16="http://schemas.microsoft.com/office/drawing/2014/main" id="{00000000-0008-0000-0C00-0000F690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D29"/>
  <sheetViews>
    <sheetView topLeftCell="A4" zoomScaleNormal="100" zoomScaleSheetLayoutView="100" workbookViewId="0">
      <selection activeCell="A15" sqref="A15"/>
    </sheetView>
  </sheetViews>
  <sheetFormatPr defaultColWidth="11.42578125" defaultRowHeight="12.75"/>
  <cols>
    <col min="1" max="1" width="15.85546875" bestFit="1" customWidth="1"/>
    <col min="2" max="2" width="68.140625" customWidth="1"/>
    <col min="3" max="3" width="16.140625" customWidth="1"/>
  </cols>
  <sheetData>
    <row r="1" spans="1:4" ht="18">
      <c r="A1" s="24" t="s">
        <v>2</v>
      </c>
      <c r="B1" s="25" t="s">
        <v>42</v>
      </c>
      <c r="C1" s="110" t="s">
        <v>162</v>
      </c>
      <c r="D1" s="30" t="s">
        <v>161</v>
      </c>
    </row>
    <row r="2" spans="1:4">
      <c r="A2" s="24"/>
      <c r="B2" s="24"/>
      <c r="C2" s="110"/>
    </row>
    <row r="3" spans="1:4" ht="15">
      <c r="A3" s="24" t="s">
        <v>3</v>
      </c>
      <c r="B3" s="26" t="s">
        <v>89</v>
      </c>
      <c r="C3" s="110"/>
    </row>
    <row r="4" spans="1:4">
      <c r="A4" s="24"/>
      <c r="B4" s="24"/>
      <c r="C4" s="110"/>
    </row>
    <row r="5" spans="1:4">
      <c r="A5" s="24"/>
      <c r="B5" s="24"/>
      <c r="C5" s="110"/>
    </row>
    <row r="6" spans="1:4" ht="15">
      <c r="A6" s="24" t="s">
        <v>4</v>
      </c>
      <c r="B6" s="27" t="s">
        <v>43</v>
      </c>
      <c r="C6" s="110"/>
    </row>
    <row r="7" spans="1:4" ht="15">
      <c r="B7" s="28" t="s">
        <v>5</v>
      </c>
      <c r="C7" s="110"/>
    </row>
    <row r="8" spans="1:4" ht="15">
      <c r="B8" s="28" t="s">
        <v>6</v>
      </c>
      <c r="C8" s="110"/>
    </row>
    <row r="9" spans="1:4" ht="15">
      <c r="B9" s="28"/>
      <c r="C9" s="110"/>
    </row>
    <row r="10" spans="1:4" ht="15">
      <c r="A10" t="s">
        <v>7</v>
      </c>
      <c r="B10" s="28" t="s">
        <v>8</v>
      </c>
      <c r="C10" s="110"/>
    </row>
    <row r="11" spans="1:4" ht="15">
      <c r="A11" s="24" t="s">
        <v>9</v>
      </c>
      <c r="B11" s="29">
        <v>40583</v>
      </c>
      <c r="C11" s="110"/>
    </row>
    <row r="12" spans="1:4">
      <c r="C12" s="110"/>
    </row>
    <row r="13" spans="1:4">
      <c r="C13" s="110"/>
    </row>
    <row r="14" spans="1:4" ht="76.5">
      <c r="A14" s="109">
        <v>44012.598508912037</v>
      </c>
      <c r="B14" s="110" t="s">
        <v>171</v>
      </c>
      <c r="C14" s="110" t="s">
        <v>170</v>
      </c>
      <c r="D14" s="30" t="s">
        <v>160</v>
      </c>
    </row>
    <row r="15" spans="1:4">
      <c r="A15" s="109">
        <v>45149.723426388889</v>
      </c>
      <c r="B15" s="30" t="s">
        <v>223</v>
      </c>
      <c r="C15" s="110"/>
      <c r="D15" s="30" t="s">
        <v>224</v>
      </c>
    </row>
    <row r="16" spans="1:4">
      <c r="C16" s="110"/>
    </row>
    <row r="17" spans="1:3">
      <c r="C17" s="110"/>
    </row>
    <row r="29" spans="1:3">
      <c r="A29" s="108">
        <f ca="1">NOW()</f>
        <v>45176.511231365737</v>
      </c>
    </row>
  </sheetData>
  <phoneticPr fontId="7" type="noConversion"/>
  <pageMargins left="0.78749999999999998" right="0.78749999999999998" top="1.0527777777777778" bottom="1.0527777777777778" header="0.78749999999999998" footer="0.78749999999999998"/>
  <pageSetup paperSize="9" firstPageNumber="0" orientation="portrait" horizontalDpi="300" verticalDpi="300"/>
  <headerFooter alignWithMargins="0">
    <oddHeader>&amp;C&amp;"Times New Roman,Regular"&amp;12&amp;A</oddHeader>
    <oddFooter>&amp;C&amp;"Times New Roman,Regular"&amp;12Page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4"/>
  </sheetPr>
  <dimension ref="A1:AV65"/>
  <sheetViews>
    <sheetView tabSelected="1" topLeftCell="A20" zoomScale="85" zoomScaleNormal="85" workbookViewId="0">
      <selection activeCell="AF34" sqref="AF34"/>
    </sheetView>
  </sheetViews>
  <sheetFormatPr defaultColWidth="9.140625" defaultRowHeight="12.75"/>
  <cols>
    <col min="1" max="1" width="52.7109375" style="42" customWidth="1"/>
    <col min="2" max="2" width="15.28515625" style="42" customWidth="1"/>
    <col min="3" max="3" width="20.7109375" style="42" customWidth="1"/>
    <col min="4" max="4" width="12.5703125" style="42" customWidth="1"/>
    <col min="5" max="6" width="13.140625" style="42" customWidth="1"/>
    <col min="7" max="8" width="10" style="42" customWidth="1"/>
    <col min="9" max="9" width="11.28515625" style="42" customWidth="1"/>
    <col min="10" max="14" width="10.7109375" style="42" customWidth="1"/>
    <col min="15" max="21" width="10.5703125" style="42" customWidth="1"/>
    <col min="22" max="24" width="10" style="42" customWidth="1"/>
    <col min="25" max="26" width="10.140625" style="42" customWidth="1"/>
    <col min="27" max="32" width="10" style="42" customWidth="1"/>
    <col min="33" max="33" width="11.140625" style="42" customWidth="1"/>
    <col min="34" max="35" width="10" style="42" customWidth="1"/>
    <col min="36" max="36" width="9.42578125" style="42" customWidth="1"/>
    <col min="37" max="37" width="10" style="42" customWidth="1"/>
    <col min="38" max="16384" width="9.140625" style="42"/>
  </cols>
  <sheetData>
    <row r="1" spans="1:37" s="39" customFormat="1" ht="15.75">
      <c r="A1" s="36" t="s">
        <v>91</v>
      </c>
      <c r="B1" s="126" t="s">
        <v>92</v>
      </c>
      <c r="C1" s="126"/>
      <c r="D1" s="126"/>
      <c r="E1" s="37" t="s">
        <v>70</v>
      </c>
      <c r="F1" s="37"/>
      <c r="G1" s="38"/>
      <c r="H1" s="36"/>
      <c r="I1" s="38"/>
      <c r="J1" s="38"/>
      <c r="K1" s="36"/>
    </row>
    <row r="2" spans="1:37">
      <c r="A2" s="40"/>
      <c r="B2" s="41"/>
      <c r="C2" s="41"/>
      <c r="D2" s="41"/>
      <c r="E2" s="41"/>
      <c r="F2" s="41"/>
      <c r="G2" s="40"/>
      <c r="H2" s="41"/>
      <c r="I2" s="41"/>
      <c r="J2" s="41"/>
      <c r="K2" s="41"/>
      <c r="N2" s="40"/>
      <c r="O2" s="41"/>
      <c r="Q2" s="41"/>
      <c r="R2" s="41"/>
      <c r="S2" s="41"/>
      <c r="T2" s="41"/>
      <c r="U2" s="41"/>
      <c r="V2" s="41"/>
      <c r="W2" s="41"/>
      <c r="X2" s="41"/>
      <c r="Y2" s="41"/>
      <c r="Z2" s="41"/>
      <c r="AA2" s="41"/>
      <c r="AB2" s="41"/>
      <c r="AC2" s="41"/>
      <c r="AD2" s="41"/>
      <c r="AE2" s="41"/>
      <c r="AF2" s="41"/>
      <c r="AG2" s="41"/>
      <c r="AH2" s="41"/>
      <c r="AI2" s="40"/>
      <c r="AJ2" s="41"/>
      <c r="AK2" s="41"/>
    </row>
    <row r="3" spans="1:37">
      <c r="A3" s="40"/>
      <c r="B3" s="40"/>
      <c r="C3" s="43" t="s">
        <v>93</v>
      </c>
      <c r="D3" s="43"/>
      <c r="E3" s="43"/>
      <c r="F3" s="43"/>
      <c r="G3" s="43"/>
      <c r="H3" s="43"/>
      <c r="I3" s="43"/>
      <c r="J3" s="43"/>
      <c r="K3" s="43"/>
      <c r="N3" s="44"/>
      <c r="O3" s="39"/>
      <c r="Q3" s="39"/>
      <c r="R3" s="39"/>
      <c r="S3" s="39"/>
      <c r="T3" s="39"/>
      <c r="U3" s="39"/>
      <c r="V3" s="39"/>
      <c r="W3" s="39"/>
      <c r="X3" s="39"/>
      <c r="Y3" s="39"/>
      <c r="Z3" s="39"/>
      <c r="AA3" s="39"/>
      <c r="AB3" s="39"/>
      <c r="AC3" s="39"/>
      <c r="AD3" s="39"/>
      <c r="AE3" s="41"/>
      <c r="AF3" s="41"/>
      <c r="AG3" s="41"/>
      <c r="AH3" s="41"/>
      <c r="AI3" s="41"/>
      <c r="AJ3" s="41"/>
      <c r="AK3" s="40"/>
    </row>
    <row r="4" spans="1:37">
      <c r="A4" s="38" t="s">
        <v>94</v>
      </c>
      <c r="B4" s="40">
        <f>COUNT(C4:O4)</f>
        <v>7</v>
      </c>
      <c r="C4" s="40">
        <v>1</v>
      </c>
      <c r="D4" s="40">
        <f t="shared" ref="D4:E4" si="0">C4+1</f>
        <v>2</v>
      </c>
      <c r="E4" s="40">
        <f t="shared" si="0"/>
        <v>3</v>
      </c>
      <c r="F4" s="40">
        <f>E4+1</f>
        <v>4</v>
      </c>
      <c r="G4" s="40">
        <f>F4+1</f>
        <v>5</v>
      </c>
      <c r="H4" s="40">
        <f>G4+1</f>
        <v>6</v>
      </c>
      <c r="I4" s="40">
        <f>H4+1</f>
        <v>7</v>
      </c>
      <c r="J4" s="41"/>
      <c r="N4" s="39"/>
      <c r="O4" s="39"/>
      <c r="Q4" s="39"/>
      <c r="R4" s="39"/>
      <c r="S4" s="39"/>
      <c r="T4" s="39"/>
      <c r="U4" s="39"/>
      <c r="V4" s="39"/>
      <c r="W4" s="39"/>
      <c r="X4" s="39"/>
      <c r="Y4" s="39"/>
      <c r="Z4" s="39"/>
      <c r="AA4" s="39"/>
      <c r="AB4" s="39"/>
      <c r="AC4" s="39"/>
      <c r="AD4" s="39"/>
      <c r="AE4" s="39"/>
      <c r="AF4" s="39"/>
      <c r="AG4" s="39"/>
      <c r="AH4" s="39"/>
      <c r="AI4" s="39"/>
      <c r="AJ4" s="39"/>
    </row>
    <row r="5" spans="1:37">
      <c r="A5" s="45" t="s">
        <v>70</v>
      </c>
      <c r="B5" s="44" t="s">
        <v>128</v>
      </c>
      <c r="C5" s="42" t="s">
        <v>46</v>
      </c>
      <c r="D5" s="40" t="s">
        <v>136</v>
      </c>
      <c r="E5" s="40" t="s">
        <v>55</v>
      </c>
      <c r="F5" s="40" t="s">
        <v>137</v>
      </c>
      <c r="G5" s="40" t="s">
        <v>138</v>
      </c>
      <c r="H5" s="40" t="s">
        <v>140</v>
      </c>
      <c r="I5" s="40" t="s">
        <v>139</v>
      </c>
      <c r="J5" s="41" t="s">
        <v>26</v>
      </c>
      <c r="K5" s="107" t="s">
        <v>208</v>
      </c>
      <c r="N5" s="39" t="s">
        <v>153</v>
      </c>
      <c r="O5" s="39"/>
      <c r="Q5" s="41"/>
      <c r="R5" s="41"/>
      <c r="S5" s="41"/>
      <c r="T5" s="41"/>
      <c r="U5" s="41"/>
      <c r="V5" s="41"/>
      <c r="W5" s="41"/>
      <c r="X5" s="41"/>
      <c r="Y5" s="41"/>
      <c r="Z5" s="41"/>
      <c r="AA5" s="41"/>
      <c r="AB5" s="41"/>
      <c r="AC5" s="41"/>
      <c r="AD5" s="41"/>
      <c r="AE5" s="41"/>
      <c r="AF5" s="41"/>
      <c r="AG5" s="41"/>
      <c r="AH5" s="41"/>
      <c r="AI5" s="40"/>
      <c r="AJ5" s="41"/>
    </row>
    <row r="6" spans="1:37">
      <c r="A6" s="38" t="s">
        <v>95</v>
      </c>
      <c r="B6" s="40" t="s">
        <v>123</v>
      </c>
      <c r="C6" s="41" t="s">
        <v>163</v>
      </c>
      <c r="D6" s="41" t="s">
        <v>164</v>
      </c>
      <c r="E6" s="41" t="s">
        <v>165</v>
      </c>
      <c r="F6" s="41" t="s">
        <v>166</v>
      </c>
      <c r="G6" s="41" t="s">
        <v>167</v>
      </c>
      <c r="H6" s="41" t="s">
        <v>168</v>
      </c>
      <c r="I6" s="41" t="s">
        <v>169</v>
      </c>
      <c r="O6" s="39"/>
      <c r="Q6" s="39"/>
      <c r="R6" s="39"/>
      <c r="S6" s="39"/>
      <c r="T6" s="39"/>
      <c r="U6" s="39"/>
      <c r="V6" s="39"/>
      <c r="W6" s="39"/>
      <c r="X6" s="39"/>
      <c r="Y6" s="39"/>
      <c r="Z6" s="39"/>
      <c r="AA6" s="39"/>
      <c r="AB6" s="39"/>
      <c r="AC6" s="39"/>
      <c r="AD6" s="39"/>
      <c r="AE6" s="39"/>
      <c r="AF6" s="39"/>
      <c r="AG6" s="39"/>
      <c r="AH6" s="39"/>
      <c r="AI6" s="39"/>
      <c r="AJ6" s="39"/>
    </row>
    <row r="7" spans="1:37">
      <c r="A7" s="38"/>
      <c r="B7" s="46" t="s">
        <v>87</v>
      </c>
      <c r="C7" s="47">
        <f>+'Final Demand'!C32/1000</f>
        <v>0.80470000000000008</v>
      </c>
      <c r="D7" s="47">
        <v>23.248930058093379</v>
      </c>
      <c r="E7" s="47">
        <v>20.577208021534798</v>
      </c>
      <c r="F7" s="47">
        <f>+'Final Demand'!B8/1000</f>
        <v>0</v>
      </c>
      <c r="G7" s="47">
        <v>0</v>
      </c>
      <c r="H7" s="47">
        <f>+'Final Demand'!B9/1000</f>
        <v>2.8304885951971102</v>
      </c>
      <c r="I7" s="47">
        <f>+'Final Demand'!C34/1000</f>
        <v>0</v>
      </c>
      <c r="J7" s="96">
        <f>SUM(C7:I7)</f>
        <v>47.461326674825287</v>
      </c>
      <c r="K7" s="107" t="s">
        <v>209</v>
      </c>
      <c r="N7" s="97">
        <f>SUM(G47,G50,G54,G58,G60)</f>
        <v>47.461326674825287</v>
      </c>
      <c r="O7" s="99"/>
      <c r="Q7" s="39"/>
      <c r="R7" s="39"/>
      <c r="S7" s="39"/>
      <c r="T7" s="39"/>
      <c r="U7" s="39"/>
      <c r="V7" s="39"/>
      <c r="W7" s="39"/>
      <c r="X7" s="39"/>
      <c r="Y7" s="39"/>
      <c r="Z7" s="39"/>
      <c r="AA7" s="39"/>
      <c r="AB7" s="39"/>
      <c r="AC7" s="39"/>
      <c r="AD7" s="39"/>
      <c r="AE7" s="39"/>
      <c r="AF7" s="39"/>
      <c r="AG7" s="39"/>
      <c r="AH7" s="39"/>
      <c r="AI7" s="39"/>
      <c r="AJ7" s="39"/>
    </row>
    <row r="8" spans="1:37">
      <c r="A8" s="38"/>
      <c r="B8" s="40"/>
      <c r="C8" s="40"/>
      <c r="D8" s="40"/>
      <c r="E8" s="40"/>
      <c r="F8" s="40"/>
      <c r="G8" s="40"/>
      <c r="H8" s="40"/>
      <c r="I8" s="40"/>
      <c r="J8" s="40"/>
      <c r="K8" s="41"/>
      <c r="N8" s="39"/>
      <c r="O8" s="39"/>
      <c r="Q8" s="39"/>
      <c r="R8" s="39"/>
      <c r="S8" s="39"/>
      <c r="T8" s="39"/>
      <c r="U8" s="39"/>
      <c r="V8" s="39"/>
      <c r="W8" s="39"/>
      <c r="X8" s="39"/>
      <c r="Y8" s="39"/>
      <c r="Z8" s="39"/>
      <c r="AA8" s="39"/>
      <c r="AB8" s="39"/>
      <c r="AC8" s="39"/>
      <c r="AD8" s="39"/>
      <c r="AE8" s="39"/>
      <c r="AF8" s="39"/>
      <c r="AG8" s="39"/>
      <c r="AH8" s="39"/>
      <c r="AI8" s="39"/>
      <c r="AJ8" s="39"/>
    </row>
    <row r="9" spans="1:37">
      <c r="A9" s="50" t="s">
        <v>96</v>
      </c>
      <c r="B9" s="51" t="s">
        <v>97</v>
      </c>
      <c r="C9" s="48"/>
      <c r="D9" s="48"/>
      <c r="E9" s="48"/>
      <c r="F9" s="48"/>
      <c r="G9" s="48"/>
      <c r="H9" s="48"/>
      <c r="I9" s="48"/>
      <c r="J9" s="48"/>
      <c r="K9" s="48"/>
      <c r="L9" s="48"/>
      <c r="O9" s="41"/>
      <c r="P9" s="39"/>
      <c r="Q9" s="39"/>
      <c r="R9" s="39"/>
      <c r="S9" s="39"/>
      <c r="T9" s="39"/>
      <c r="U9" s="39"/>
      <c r="V9" s="39"/>
      <c r="W9" s="39"/>
      <c r="X9" s="39"/>
      <c r="Y9" s="39"/>
      <c r="Z9" s="39"/>
      <c r="AA9" s="39"/>
      <c r="AB9" s="39"/>
      <c r="AC9" s="39"/>
      <c r="AD9" s="39"/>
      <c r="AE9" s="39"/>
      <c r="AF9" s="39"/>
      <c r="AG9" s="39"/>
      <c r="AH9" s="39"/>
      <c r="AI9" s="39"/>
      <c r="AJ9" s="39"/>
      <c r="AK9" s="39"/>
    </row>
    <row r="10" spans="1:37">
      <c r="A10" s="52" t="s">
        <v>45</v>
      </c>
      <c r="B10" s="44" t="s">
        <v>98</v>
      </c>
      <c r="C10" s="48" t="s">
        <v>129</v>
      </c>
      <c r="D10" s="52"/>
      <c r="E10" s="48"/>
      <c r="F10" s="48"/>
      <c r="G10" s="48"/>
      <c r="H10" s="48"/>
      <c r="I10" s="48"/>
      <c r="J10" s="48"/>
      <c r="K10" s="48"/>
      <c r="L10" s="48"/>
      <c r="O10" s="41"/>
      <c r="P10" s="39"/>
      <c r="Q10" s="39"/>
      <c r="R10" s="39"/>
      <c r="S10" s="39"/>
      <c r="T10" s="39"/>
      <c r="U10" s="39"/>
      <c r="V10" s="39"/>
      <c r="W10" s="39"/>
      <c r="X10" s="39"/>
      <c r="Y10" s="39"/>
      <c r="Z10" s="39"/>
      <c r="AA10" s="39"/>
      <c r="AB10" s="39"/>
      <c r="AC10" s="39"/>
      <c r="AD10" s="39"/>
      <c r="AE10" s="39"/>
      <c r="AF10" s="39"/>
      <c r="AG10" s="39"/>
      <c r="AH10" s="39"/>
      <c r="AI10" s="39"/>
      <c r="AJ10" s="39"/>
      <c r="AK10" s="39"/>
    </row>
    <row r="11" spans="1:37">
      <c r="A11" s="39" t="s">
        <v>88</v>
      </c>
      <c r="B11" s="44" t="s">
        <v>125</v>
      </c>
      <c r="C11" s="48"/>
      <c r="D11" s="52"/>
      <c r="E11" s="48"/>
      <c r="F11" s="48"/>
      <c r="G11" s="48"/>
      <c r="H11" s="48"/>
      <c r="I11" s="48"/>
      <c r="J11" s="48"/>
      <c r="K11" s="48"/>
      <c r="L11" s="48"/>
      <c r="O11" s="41"/>
      <c r="P11" s="39"/>
      <c r="Q11" s="39"/>
      <c r="R11" s="39"/>
      <c r="S11" s="39"/>
      <c r="T11" s="39"/>
      <c r="U11" s="39"/>
      <c r="V11" s="39"/>
      <c r="W11" s="39"/>
      <c r="X11" s="39"/>
      <c r="Y11" s="39"/>
      <c r="Z11" s="39"/>
      <c r="AA11" s="39"/>
      <c r="AB11" s="39"/>
      <c r="AC11" s="39"/>
      <c r="AD11" s="39"/>
      <c r="AE11" s="39"/>
      <c r="AF11" s="39"/>
      <c r="AG11" s="39"/>
      <c r="AH11" s="39"/>
      <c r="AI11" s="39"/>
      <c r="AJ11" s="39"/>
      <c r="AK11" s="39"/>
    </row>
    <row r="12" spans="1:37">
      <c r="A12" s="39" t="s">
        <v>124</v>
      </c>
      <c r="B12" s="44" t="s">
        <v>126</v>
      </c>
      <c r="C12" s="48"/>
      <c r="D12" s="52"/>
      <c r="E12" s="48"/>
      <c r="F12" s="48"/>
      <c r="G12" s="48"/>
      <c r="H12" s="48"/>
      <c r="I12" s="48"/>
      <c r="J12" s="48"/>
      <c r="K12" s="48"/>
      <c r="L12" s="48"/>
      <c r="O12" s="41"/>
      <c r="P12" s="39"/>
      <c r="Q12" s="39"/>
      <c r="R12" s="39"/>
      <c r="S12" s="39"/>
      <c r="T12" s="39"/>
      <c r="U12" s="39"/>
      <c r="V12" s="39"/>
      <c r="W12" s="39"/>
      <c r="X12" s="39"/>
      <c r="Y12" s="39"/>
      <c r="Z12" s="39"/>
      <c r="AA12" s="39"/>
      <c r="AB12" s="39"/>
      <c r="AC12" s="39"/>
      <c r="AD12" s="39"/>
      <c r="AE12" s="39"/>
      <c r="AF12" s="39"/>
      <c r="AG12" s="39"/>
      <c r="AH12" s="39"/>
      <c r="AI12" s="39"/>
      <c r="AJ12" s="39"/>
      <c r="AK12" s="39"/>
    </row>
    <row r="13" spans="1:37">
      <c r="A13" s="39" t="s">
        <v>29</v>
      </c>
      <c r="B13" s="44" t="s">
        <v>127</v>
      </c>
      <c r="C13" s="48"/>
      <c r="D13" s="52"/>
      <c r="E13" s="48"/>
      <c r="F13" s="48"/>
      <c r="G13" s="48"/>
      <c r="H13" s="48"/>
      <c r="I13" s="48"/>
      <c r="J13" s="48"/>
      <c r="K13" s="48"/>
      <c r="L13" s="48"/>
      <c r="O13" s="41"/>
      <c r="P13" s="39"/>
      <c r="Q13" s="39"/>
      <c r="R13" s="39"/>
      <c r="S13" s="39"/>
      <c r="T13" s="39"/>
      <c r="U13" s="39"/>
      <c r="V13" s="39"/>
      <c r="W13" s="39"/>
      <c r="X13" s="39"/>
      <c r="Y13" s="39"/>
      <c r="Z13" s="39"/>
      <c r="AA13" s="39"/>
      <c r="AB13" s="39"/>
      <c r="AC13" s="39"/>
      <c r="AD13" s="39"/>
      <c r="AE13" s="39"/>
      <c r="AF13" s="39"/>
      <c r="AG13" s="39"/>
      <c r="AH13" s="39"/>
      <c r="AI13" s="39"/>
      <c r="AJ13" s="39"/>
      <c r="AK13" s="39"/>
    </row>
    <row r="14" spans="1:37">
      <c r="A14" s="39" t="s">
        <v>44</v>
      </c>
      <c r="B14" s="44" t="s">
        <v>99</v>
      </c>
      <c r="C14" s="48"/>
      <c r="D14" s="52"/>
      <c r="E14" s="48"/>
      <c r="F14" s="48"/>
      <c r="G14" s="48"/>
      <c r="H14" s="48"/>
      <c r="I14" s="48"/>
      <c r="J14" s="48"/>
      <c r="K14" s="48"/>
      <c r="L14" s="48"/>
      <c r="O14" s="41"/>
      <c r="P14" s="39"/>
      <c r="Q14" s="39"/>
      <c r="R14" s="39"/>
      <c r="S14" s="39"/>
      <c r="T14" s="39"/>
      <c r="U14" s="39"/>
      <c r="V14" s="39"/>
      <c r="W14" s="39"/>
      <c r="X14" s="39"/>
      <c r="Y14" s="39"/>
      <c r="Z14" s="39"/>
      <c r="AA14" s="39"/>
      <c r="AB14" s="39"/>
      <c r="AC14" s="39"/>
      <c r="AD14" s="39"/>
      <c r="AE14" s="39"/>
      <c r="AF14" s="39"/>
      <c r="AG14" s="39"/>
      <c r="AH14" s="39"/>
      <c r="AI14" s="39"/>
      <c r="AJ14" s="39"/>
      <c r="AK14" s="39"/>
    </row>
    <row r="15" spans="1:37">
      <c r="A15" s="53"/>
      <c r="B15" s="54"/>
      <c r="C15" s="54"/>
      <c r="D15" s="54"/>
      <c r="E15" s="54"/>
      <c r="F15" s="54"/>
      <c r="G15" s="54"/>
      <c r="H15" s="54"/>
      <c r="I15" s="54"/>
      <c r="J15" s="54"/>
      <c r="K15" s="54"/>
      <c r="L15" s="54"/>
      <c r="O15" s="41"/>
      <c r="X15" s="39"/>
      <c r="Y15" s="39"/>
      <c r="Z15" s="39"/>
      <c r="AA15" s="39"/>
      <c r="AB15" s="39"/>
      <c r="AC15" s="39"/>
      <c r="AD15" s="39"/>
      <c r="AE15" s="39"/>
      <c r="AF15" s="39"/>
      <c r="AG15" s="39"/>
      <c r="AH15" s="39"/>
      <c r="AI15" s="39"/>
      <c r="AJ15" s="39"/>
      <c r="AK15" s="39"/>
    </row>
    <row r="16" spans="1:37">
      <c r="A16" s="53"/>
      <c r="B16" s="54"/>
      <c r="C16" s="54"/>
      <c r="D16" s="54"/>
      <c r="E16" s="54"/>
      <c r="F16" s="54"/>
      <c r="G16" s="54"/>
      <c r="H16" s="54"/>
      <c r="I16" s="54"/>
      <c r="J16" s="54"/>
      <c r="K16" s="54"/>
      <c r="L16" s="54"/>
      <c r="O16" s="41"/>
      <c r="X16" s="39"/>
      <c r="Y16" s="39"/>
      <c r="Z16" s="39"/>
      <c r="AC16" s="39"/>
      <c r="AH16" s="39"/>
      <c r="AI16" s="39"/>
      <c r="AJ16" s="39"/>
      <c r="AK16" s="39"/>
    </row>
    <row r="17" spans="1:48">
      <c r="A17" s="39"/>
      <c r="B17" s="39"/>
      <c r="C17" s="43" t="s">
        <v>100</v>
      </c>
      <c r="D17" s="43"/>
      <c r="E17" s="43"/>
      <c r="F17" s="43"/>
      <c r="G17" s="43"/>
      <c r="H17" s="43"/>
      <c r="I17" s="43"/>
      <c r="J17" s="43"/>
      <c r="K17" s="54"/>
      <c r="L17" s="54"/>
      <c r="O17" s="41"/>
      <c r="X17" s="39"/>
      <c r="Y17" s="39"/>
      <c r="Z17" s="39"/>
      <c r="AC17" s="39"/>
      <c r="AH17" s="39"/>
      <c r="AI17" s="39"/>
      <c r="AJ17" s="39"/>
      <c r="AK17" s="39"/>
    </row>
    <row r="18" spans="1:48">
      <c r="A18" s="50" t="s">
        <v>101</v>
      </c>
      <c r="B18" s="50" t="s">
        <v>102</v>
      </c>
      <c r="C18" s="55" t="str">
        <f t="shared" ref="C18:I18" si="1">C5</f>
        <v>Coal</v>
      </c>
      <c r="D18" s="55" t="str">
        <f t="shared" si="1"/>
        <v>Oil Diesel</v>
      </c>
      <c r="E18" s="55" t="str">
        <f t="shared" si="1"/>
        <v>Electricity</v>
      </c>
      <c r="F18" s="55" t="str">
        <f t="shared" si="1"/>
        <v>Oil Gasoline</v>
      </c>
      <c r="G18" s="55" t="str">
        <f t="shared" si="1"/>
        <v>Oil HFO</v>
      </c>
      <c r="H18" s="55" t="str">
        <f t="shared" si="1"/>
        <v>Oil Paraffin</v>
      </c>
      <c r="I18" s="55" t="str">
        <f t="shared" si="1"/>
        <v>Oil LPG</v>
      </c>
      <c r="J18" s="57"/>
      <c r="K18" s="54"/>
      <c r="L18" s="54"/>
      <c r="O18" s="41"/>
      <c r="X18" s="39"/>
      <c r="Y18" s="39"/>
      <c r="Z18" s="39"/>
      <c r="AC18" s="39"/>
      <c r="AH18" s="39"/>
      <c r="AI18" s="39"/>
      <c r="AJ18" s="39"/>
    </row>
    <row r="19" spans="1:48">
      <c r="A19" s="56" t="str">
        <f>$A$5&amp;" - "&amp;A10</f>
        <v>Agriculture - Heating</v>
      </c>
      <c r="B19" s="57" t="str">
        <f>$B$5&amp;B10</f>
        <v>AH</v>
      </c>
      <c r="C19" s="58">
        <f>+'Final Demand'!B43</f>
        <v>1</v>
      </c>
      <c r="D19" s="58">
        <f>+'Final Demand'!C43</f>
        <v>0</v>
      </c>
      <c r="E19" s="58">
        <f>+'Final Demand'!D43</f>
        <v>0</v>
      </c>
      <c r="F19" s="58">
        <f>+'Final Demand'!F43</f>
        <v>0</v>
      </c>
      <c r="G19" s="58">
        <f>+'Final Demand'!G43</f>
        <v>0</v>
      </c>
      <c r="H19" s="58">
        <f>+'Final Demand'!H43</f>
        <v>1</v>
      </c>
      <c r="I19" s="58">
        <f>+'Final Demand'!I43</f>
        <v>0</v>
      </c>
      <c r="J19" s="58"/>
      <c r="K19" s="54"/>
      <c r="L19" s="54"/>
      <c r="O19" s="41"/>
      <c r="X19" s="39"/>
      <c r="Y19" s="39"/>
      <c r="Z19" s="39"/>
      <c r="AC19" s="39"/>
      <c r="AH19" s="39"/>
      <c r="AI19" s="39"/>
      <c r="AJ19" s="39"/>
    </row>
    <row r="20" spans="1:48">
      <c r="A20" s="56" t="str">
        <f>$A$5&amp;" - "&amp;A11</f>
        <v>Agriculture - Processing</v>
      </c>
      <c r="B20" s="57" t="str">
        <f>$B$5&amp;B11</f>
        <v>AP</v>
      </c>
      <c r="C20" s="58">
        <f>+'Final Demand'!B44</f>
        <v>0</v>
      </c>
      <c r="D20" s="58">
        <f>+'Final Demand'!C44</f>
        <v>0</v>
      </c>
      <c r="E20" s="58">
        <f>+'Final Demand'!D44</f>
        <v>0.22374358962437926</v>
      </c>
      <c r="F20" s="58">
        <f>+'Final Demand'!F44</f>
        <v>0</v>
      </c>
      <c r="G20" s="58">
        <f>+'Final Demand'!G44</f>
        <v>0</v>
      </c>
      <c r="H20" s="58">
        <f>+'Final Demand'!H44</f>
        <v>0</v>
      </c>
      <c r="I20" s="58">
        <f>+'Final Demand'!I44</f>
        <v>0</v>
      </c>
      <c r="J20" s="58"/>
      <c r="K20" s="54"/>
      <c r="L20" s="54"/>
      <c r="O20" s="41"/>
      <c r="X20" s="39"/>
      <c r="Y20" s="39"/>
      <c r="Z20" s="39"/>
      <c r="AC20" s="39"/>
      <c r="AH20" s="39"/>
      <c r="AI20" s="39"/>
      <c r="AJ20" s="39"/>
    </row>
    <row r="21" spans="1:48">
      <c r="A21" s="56" t="str">
        <f>$A$5&amp;" - "&amp;A12</f>
        <v>Agriculture - Traction</v>
      </c>
      <c r="B21" s="57" t="str">
        <f>$B$5&amp;B12</f>
        <v>AT</v>
      </c>
      <c r="C21" s="58">
        <f>+'Final Demand'!B45</f>
        <v>0</v>
      </c>
      <c r="D21" s="58">
        <f>+'Final Demand'!C45</f>
        <v>0.97392985318405745</v>
      </c>
      <c r="E21" s="58">
        <f>+'Final Demand'!D45</f>
        <v>0</v>
      </c>
      <c r="F21" s="58">
        <f>+'Final Demand'!F45</f>
        <v>0</v>
      </c>
      <c r="G21" s="58">
        <f>+'Final Demand'!G45</f>
        <v>0</v>
      </c>
      <c r="H21" s="58">
        <f>+'Final Demand'!H45</f>
        <v>0</v>
      </c>
      <c r="I21" s="58">
        <f>+'Final Demand'!I45</f>
        <v>0</v>
      </c>
      <c r="J21" s="58"/>
      <c r="K21" s="54"/>
      <c r="L21" s="54"/>
      <c r="O21" s="41"/>
      <c r="X21" s="39"/>
      <c r="Y21" s="39"/>
      <c r="Z21" s="39"/>
      <c r="AC21" s="39"/>
      <c r="AH21" s="39"/>
      <c r="AI21" s="39"/>
      <c r="AJ21" s="39"/>
    </row>
    <row r="22" spans="1:48">
      <c r="A22" s="56" t="str">
        <f>$A$5&amp;" - "&amp;A13</f>
        <v>Agriculture - Irrigation</v>
      </c>
      <c r="B22" s="57" t="str">
        <f>$B$5&amp;B13</f>
        <v>AI</v>
      </c>
      <c r="C22" s="58">
        <f>+'Final Demand'!B46</f>
        <v>0</v>
      </c>
      <c r="D22" s="58">
        <f>+'Final Demand'!C46</f>
        <v>2.6070146815942549E-2</v>
      </c>
      <c r="E22" s="58">
        <f>+'Final Demand'!D46</f>
        <v>0.28436308655430592</v>
      </c>
      <c r="F22" s="58">
        <f>+'Final Demand'!F46</f>
        <v>0</v>
      </c>
      <c r="G22" s="58">
        <f>+'Final Demand'!G46</f>
        <v>0</v>
      </c>
      <c r="H22" s="58">
        <f>+'Final Demand'!H46</f>
        <v>0</v>
      </c>
      <c r="I22" s="58">
        <f>+'Final Demand'!I46</f>
        <v>0</v>
      </c>
      <c r="J22" s="58"/>
      <c r="K22" s="54"/>
      <c r="L22" s="54"/>
      <c r="O22" s="41"/>
      <c r="X22" s="39"/>
      <c r="Y22" s="39"/>
      <c r="Z22" s="39"/>
      <c r="AC22" s="39"/>
      <c r="AH22" s="39"/>
      <c r="AI22" s="39"/>
      <c r="AJ22" s="39"/>
    </row>
    <row r="23" spans="1:48">
      <c r="A23" s="56" t="str">
        <f>$A$5&amp;" - "&amp;A14</f>
        <v>Agriculture - Other</v>
      </c>
      <c r="B23" s="57" t="str">
        <f>$B$5&amp;B14</f>
        <v>AO</v>
      </c>
      <c r="C23" s="58">
        <f>+'Final Demand'!B47</f>
        <v>0</v>
      </c>
      <c r="D23" s="58">
        <f>+'Final Demand'!C47</f>
        <v>0</v>
      </c>
      <c r="E23" s="58">
        <f>+'Final Demand'!D47</f>
        <v>0.49189332382131479</v>
      </c>
      <c r="F23" s="58">
        <f>+'Final Demand'!F47</f>
        <v>0</v>
      </c>
      <c r="G23" s="58">
        <f>+'Final Demand'!G47</f>
        <v>0</v>
      </c>
      <c r="H23" s="58">
        <f>+'Final Demand'!H47</f>
        <v>0</v>
      </c>
      <c r="I23" s="58">
        <f>+'Final Demand'!I47</f>
        <v>0</v>
      </c>
      <c r="J23" s="58"/>
      <c r="K23" s="54"/>
      <c r="L23" s="54"/>
      <c r="O23" s="41"/>
      <c r="X23" s="39"/>
      <c r="Y23" s="39"/>
      <c r="Z23" s="39"/>
      <c r="AC23" s="39"/>
      <c r="AH23" s="39"/>
      <c r="AI23" s="39"/>
      <c r="AJ23" s="39"/>
    </row>
    <row r="24" spans="1:48">
      <c r="A24" s="56" t="s">
        <v>26</v>
      </c>
      <c r="B24" s="57"/>
      <c r="C24" s="98">
        <f>SUM(C19:C23)</f>
        <v>1</v>
      </c>
      <c r="D24" s="98">
        <f t="shared" ref="D24:E24" si="2">SUM(D19:D23)</f>
        <v>1</v>
      </c>
      <c r="E24" s="98">
        <f t="shared" si="2"/>
        <v>1</v>
      </c>
      <c r="F24" s="98">
        <f>SUM(F19:F23)</f>
        <v>0</v>
      </c>
      <c r="G24" s="98">
        <f>SUM(G19:G23)</f>
        <v>0</v>
      </c>
      <c r="H24" s="98">
        <f>SUM(H19:H23)</f>
        <v>1</v>
      </c>
      <c r="I24" s="98">
        <f>SUM(I19:I23)</f>
        <v>0</v>
      </c>
      <c r="J24" s="98"/>
      <c r="K24" s="54"/>
      <c r="L24" s="54"/>
      <c r="O24" s="41"/>
      <c r="X24" s="39"/>
      <c r="Y24" s="39"/>
      <c r="Z24" s="39"/>
      <c r="AC24" s="39"/>
      <c r="AH24" s="39"/>
      <c r="AI24" s="39"/>
      <c r="AJ24" s="39"/>
    </row>
    <row r="25" spans="1:48" ht="15">
      <c r="A25" s="39"/>
      <c r="B25" s="39"/>
      <c r="C25" s="54"/>
      <c r="D25" s="54"/>
      <c r="E25" s="54"/>
      <c r="F25" s="54"/>
      <c r="G25" s="54"/>
      <c r="H25" s="54"/>
      <c r="I25" s="54"/>
      <c r="J25" s="54"/>
      <c r="K25" s="54"/>
      <c r="L25" s="54"/>
      <c r="O25" s="41"/>
      <c r="W25" s="120" t="s">
        <v>207</v>
      </c>
      <c r="X25" s="35"/>
      <c r="Y25" s="35"/>
      <c r="Z25" s="35"/>
      <c r="AA25" s="35"/>
      <c r="AC25" s="120"/>
      <c r="AD25" s="120" t="s">
        <v>104</v>
      </c>
      <c r="AE25" s="120"/>
      <c r="AF25" s="120"/>
      <c r="AH25" s="39"/>
      <c r="AI25" s="39"/>
      <c r="AJ25" s="39"/>
    </row>
    <row r="26" spans="1:48" ht="15">
      <c r="A26" s="50" t="s">
        <v>103</v>
      </c>
      <c r="B26" s="50" t="s">
        <v>102</v>
      </c>
      <c r="C26" s="55" t="str">
        <f>C18</f>
        <v>Coal</v>
      </c>
      <c r="D26" s="55" t="str">
        <f t="shared" ref="D26:E26" si="3">D18</f>
        <v>Oil Diesel</v>
      </c>
      <c r="E26" s="55" t="str">
        <f t="shared" si="3"/>
        <v>Electricity</v>
      </c>
      <c r="F26" s="55" t="str">
        <f>F18</f>
        <v>Oil Gasoline</v>
      </c>
      <c r="G26" s="55" t="str">
        <f>G18</f>
        <v>Oil HFO</v>
      </c>
      <c r="H26" s="55" t="str">
        <f>H18</f>
        <v>Oil Paraffin</v>
      </c>
      <c r="I26" s="55" t="str">
        <f>I18</f>
        <v>Oil LPG</v>
      </c>
      <c r="J26" s="55" t="s">
        <v>26</v>
      </c>
      <c r="K26" s="54"/>
      <c r="L26" s="54"/>
      <c r="O26" s="41"/>
      <c r="W26" s="120" t="s">
        <v>202</v>
      </c>
      <c r="X26" s="120" t="s">
        <v>203</v>
      </c>
      <c r="Y26" s="120" t="s">
        <v>204</v>
      </c>
      <c r="Z26" s="120" t="s">
        <v>205</v>
      </c>
      <c r="AA26" s="120" t="s">
        <v>206</v>
      </c>
      <c r="AC26" s="120" t="s">
        <v>217</v>
      </c>
      <c r="AD26" s="120" t="s">
        <v>202</v>
      </c>
      <c r="AE26" s="120" t="s">
        <v>218</v>
      </c>
      <c r="AF26" s="120">
        <v>2017</v>
      </c>
      <c r="AH26" s="39"/>
      <c r="AI26" s="39"/>
      <c r="AJ26" s="39"/>
    </row>
    <row r="27" spans="1:48">
      <c r="A27" s="56" t="str">
        <f t="shared" ref="A27:B31" si="4">A19</f>
        <v>Agriculture - Heating</v>
      </c>
      <c r="B27" s="57" t="str">
        <f t="shared" si="4"/>
        <v>AH</v>
      </c>
      <c r="C27" s="49">
        <f>C19*C$7</f>
        <v>0.80470000000000008</v>
      </c>
      <c r="D27" s="49">
        <f t="shared" ref="C27:E31" si="5">D19*D$7</f>
        <v>0</v>
      </c>
      <c r="E27" s="94">
        <f t="shared" ref="E27:I29" si="6">E19*E$7</f>
        <v>0</v>
      </c>
      <c r="F27" s="49">
        <f t="shared" si="6"/>
        <v>0</v>
      </c>
      <c r="G27" s="49">
        <f t="shared" si="6"/>
        <v>0</v>
      </c>
      <c r="H27" s="49">
        <f t="shared" si="6"/>
        <v>2.8304885951971102</v>
      </c>
      <c r="I27" s="49">
        <f t="shared" si="6"/>
        <v>0</v>
      </c>
      <c r="J27" s="59">
        <f>SUM(C27:I27)</f>
        <v>3.6351885951971101</v>
      </c>
      <c r="K27" s="54"/>
      <c r="L27" s="54"/>
      <c r="O27" s="41"/>
      <c r="W27" s="107" t="s">
        <v>120</v>
      </c>
      <c r="AC27" s="39" t="s">
        <v>120</v>
      </c>
      <c r="AD27" s="42" t="s">
        <v>219</v>
      </c>
      <c r="AE27" s="42" t="s">
        <v>220</v>
      </c>
      <c r="AF27" s="42" t="s">
        <v>221</v>
      </c>
      <c r="AH27" s="39"/>
      <c r="AI27" s="39"/>
      <c r="AJ27" s="39"/>
    </row>
    <row r="28" spans="1:48">
      <c r="A28" s="56" t="str">
        <f t="shared" si="4"/>
        <v>Agriculture - Processing</v>
      </c>
      <c r="B28" s="57" t="str">
        <f t="shared" si="4"/>
        <v>AP</v>
      </c>
      <c r="C28" s="49">
        <f t="shared" si="5"/>
        <v>0</v>
      </c>
      <c r="D28" s="49">
        <f t="shared" si="5"/>
        <v>0</v>
      </c>
      <c r="E28" s="94">
        <f t="shared" si="6"/>
        <v>4.6040183871857669</v>
      </c>
      <c r="F28" s="49">
        <f t="shared" si="6"/>
        <v>0</v>
      </c>
      <c r="G28" s="49">
        <f t="shared" si="6"/>
        <v>0</v>
      </c>
      <c r="H28" s="49">
        <f t="shared" si="6"/>
        <v>0</v>
      </c>
      <c r="I28" s="49">
        <f t="shared" si="6"/>
        <v>0</v>
      </c>
      <c r="J28" s="59">
        <f>SUM(C28:I28)</f>
        <v>4.6040183871857669</v>
      </c>
      <c r="K28" s="54"/>
      <c r="L28" s="54"/>
      <c r="O28" s="41"/>
      <c r="W28" s="107" t="s">
        <v>120</v>
      </c>
      <c r="AC28" s="39" t="s">
        <v>222</v>
      </c>
      <c r="AF28" s="42" t="s">
        <v>87</v>
      </c>
      <c r="AH28" s="39"/>
      <c r="AI28" s="39"/>
      <c r="AJ28" s="39"/>
    </row>
    <row r="29" spans="1:48">
      <c r="A29" s="56" t="str">
        <f t="shared" si="4"/>
        <v>Agriculture - Traction</v>
      </c>
      <c r="B29" s="57" t="str">
        <f t="shared" si="4"/>
        <v>AT</v>
      </c>
      <c r="C29" s="49">
        <f t="shared" si="5"/>
        <v>0</v>
      </c>
      <c r="D29" s="49">
        <f t="shared" si="5"/>
        <v>22.642827038165304</v>
      </c>
      <c r="E29" s="94">
        <f t="shared" si="6"/>
        <v>0</v>
      </c>
      <c r="F29" s="49">
        <f t="shared" si="6"/>
        <v>0</v>
      </c>
      <c r="G29" s="49">
        <f t="shared" si="6"/>
        <v>0</v>
      </c>
      <c r="H29" s="49">
        <f t="shared" si="6"/>
        <v>0</v>
      </c>
      <c r="I29" s="49">
        <f t="shared" si="6"/>
        <v>0</v>
      </c>
      <c r="J29" s="59">
        <f>SUM(C29:I29)</f>
        <v>22.642827038165304</v>
      </c>
      <c r="K29" s="54"/>
      <c r="L29" s="54"/>
      <c r="O29" s="41"/>
      <c r="W29" s="35" t="s">
        <v>192</v>
      </c>
      <c r="X29" s="35" t="s">
        <v>193</v>
      </c>
      <c r="Y29" s="78" t="s">
        <v>87</v>
      </c>
      <c r="Z29" s="35" t="s">
        <v>190</v>
      </c>
      <c r="AA29" s="35" t="s">
        <v>189</v>
      </c>
      <c r="AC29" s="39" t="s">
        <v>97</v>
      </c>
      <c r="AD29" s="42" t="str">
        <f>W29</f>
        <v>AH</v>
      </c>
      <c r="AE29" s="42" t="s">
        <v>87</v>
      </c>
      <c r="AF29" s="125">
        <f>H47</f>
        <v>2.5043970166379772</v>
      </c>
      <c r="AH29" s="39"/>
      <c r="AI29" s="39"/>
      <c r="AJ29" s="39"/>
    </row>
    <row r="30" spans="1:48">
      <c r="A30" s="56" t="str">
        <f t="shared" si="4"/>
        <v>Agriculture - Irrigation</v>
      </c>
      <c r="B30" s="57" t="str">
        <f t="shared" si="4"/>
        <v>AI</v>
      </c>
      <c r="C30" s="49">
        <f t="shared" si="5"/>
        <v>0</v>
      </c>
      <c r="D30" s="49">
        <f t="shared" si="5"/>
        <v>0.60610301992807414</v>
      </c>
      <c r="E30" s="94">
        <f t="shared" si="5"/>
        <v>5.851398385673658</v>
      </c>
      <c r="F30" s="49">
        <f t="shared" ref="F30:I31" si="7">F22*F$7</f>
        <v>0</v>
      </c>
      <c r="G30" s="49">
        <f t="shared" si="7"/>
        <v>0</v>
      </c>
      <c r="H30" s="49">
        <f t="shared" si="7"/>
        <v>0</v>
      </c>
      <c r="I30" s="49">
        <f t="shared" si="7"/>
        <v>0</v>
      </c>
      <c r="J30" s="59">
        <f>SUM(C30:I30)</f>
        <v>6.4575014056017324</v>
      </c>
      <c r="K30" s="54"/>
      <c r="L30" s="54"/>
      <c r="O30" s="41"/>
      <c r="W30" s="35" t="s">
        <v>194</v>
      </c>
      <c r="X30" s="35" t="s">
        <v>195</v>
      </c>
      <c r="Y30" s="78" t="s">
        <v>87</v>
      </c>
      <c r="Z30" s="35" t="s">
        <v>190</v>
      </c>
      <c r="AA30" s="35" t="s">
        <v>189</v>
      </c>
      <c r="AC30" s="39" t="s">
        <v>97</v>
      </c>
      <c r="AD30" s="42" t="str">
        <f t="shared" ref="AD30:AD33" si="8">W30</f>
        <v>AP</v>
      </c>
      <c r="AE30" s="42" t="s">
        <v>87</v>
      </c>
      <c r="AF30" s="125">
        <f>H50</f>
        <v>4.6040183871857669</v>
      </c>
      <c r="AH30" s="39"/>
      <c r="AI30" s="39"/>
      <c r="AJ30" s="39"/>
    </row>
    <row r="31" spans="1:48">
      <c r="A31" s="56" t="str">
        <f t="shared" si="4"/>
        <v>Agriculture - Other</v>
      </c>
      <c r="B31" s="57" t="str">
        <f t="shared" si="4"/>
        <v>AO</v>
      </c>
      <c r="C31" s="49">
        <f t="shared" si="5"/>
        <v>0</v>
      </c>
      <c r="D31" s="49">
        <f t="shared" si="5"/>
        <v>0</v>
      </c>
      <c r="E31" s="94">
        <f t="shared" si="5"/>
        <v>10.121791248675372</v>
      </c>
      <c r="F31" s="49">
        <f t="shared" si="7"/>
        <v>0</v>
      </c>
      <c r="G31" s="49">
        <f t="shared" si="7"/>
        <v>0</v>
      </c>
      <c r="H31" s="49">
        <f t="shared" si="7"/>
        <v>0</v>
      </c>
      <c r="I31" s="49">
        <f t="shared" si="7"/>
        <v>0</v>
      </c>
      <c r="J31" s="59">
        <f>SUM(C31:I31)</f>
        <v>10.121791248675372</v>
      </c>
      <c r="K31" s="54"/>
      <c r="L31" s="54"/>
      <c r="O31" s="41"/>
      <c r="W31" s="35" t="s">
        <v>196</v>
      </c>
      <c r="X31" s="35" t="s">
        <v>197</v>
      </c>
      <c r="Y31" s="78" t="s">
        <v>87</v>
      </c>
      <c r="Z31" s="35" t="s">
        <v>190</v>
      </c>
      <c r="AA31" s="35" t="s">
        <v>189</v>
      </c>
      <c r="AC31" s="39" t="s">
        <v>97</v>
      </c>
      <c r="AD31" s="42" t="str">
        <f t="shared" si="8"/>
        <v>AT</v>
      </c>
      <c r="AE31" s="42" t="s">
        <v>87</v>
      </c>
      <c r="AF31" s="125">
        <f>H54</f>
        <v>7.9249894633578561</v>
      </c>
      <c r="AH31" s="39"/>
      <c r="AI31" s="39"/>
      <c r="AJ31" s="39"/>
    </row>
    <row r="32" spans="1:48" s="62" customFormat="1" ht="12.75" customHeight="1">
      <c r="A32" s="113" t="str">
        <f>A24</f>
        <v>Total</v>
      </c>
      <c r="B32" s="114"/>
      <c r="C32" s="115">
        <f t="shared" ref="C32:E32" si="9">SUM(C27:C31)</f>
        <v>0.80470000000000008</v>
      </c>
      <c r="D32" s="115">
        <f t="shared" si="9"/>
        <v>23.248930058093379</v>
      </c>
      <c r="E32" s="116">
        <f t="shared" si="9"/>
        <v>20.577208021534798</v>
      </c>
      <c r="F32" s="115">
        <f>SUM(F27:F31)</f>
        <v>0</v>
      </c>
      <c r="G32" s="115">
        <f>SUM(G27:G31)</f>
        <v>0</v>
      </c>
      <c r="H32" s="115">
        <f>SUM(H27:H31)</f>
        <v>2.8304885951971102</v>
      </c>
      <c r="I32" s="115">
        <f>SUM(I27:I31)</f>
        <v>0</v>
      </c>
      <c r="J32" s="115">
        <f>SUM(J27:J31)</f>
        <v>47.461326674825287</v>
      </c>
      <c r="K32" s="54"/>
      <c r="L32" s="54"/>
      <c r="M32" s="42"/>
      <c r="N32" s="42"/>
      <c r="O32" s="41"/>
      <c r="P32" s="42"/>
      <c r="Q32" s="42"/>
      <c r="R32" s="42"/>
      <c r="S32" s="42"/>
      <c r="T32" s="42"/>
      <c r="U32" s="42"/>
      <c r="V32" s="42"/>
      <c r="W32" s="35" t="s">
        <v>198</v>
      </c>
      <c r="X32" s="35" t="s">
        <v>199</v>
      </c>
      <c r="Y32" s="78" t="s">
        <v>87</v>
      </c>
      <c r="Z32" s="35" t="s">
        <v>190</v>
      </c>
      <c r="AA32" s="35" t="s">
        <v>189</v>
      </c>
      <c r="AB32" s="39"/>
      <c r="AC32" s="39" t="s">
        <v>97</v>
      </c>
      <c r="AD32" s="42" t="str">
        <f t="shared" si="8"/>
        <v>AI</v>
      </c>
      <c r="AE32" s="39" t="s">
        <v>87</v>
      </c>
      <c r="AF32" s="71">
        <f>H58</f>
        <v>5.7709645233648006</v>
      </c>
      <c r="AG32" s="39"/>
      <c r="AH32" s="39"/>
      <c r="AI32" s="39"/>
      <c r="AJ32" s="39"/>
      <c r="AK32" s="39"/>
      <c r="AL32" s="39"/>
      <c r="AM32" s="39"/>
      <c r="AN32" s="39"/>
      <c r="AO32" s="39"/>
      <c r="AP32" s="39"/>
      <c r="AQ32" s="39"/>
      <c r="AR32" s="39"/>
      <c r="AS32" s="39"/>
      <c r="AT32" s="39"/>
      <c r="AU32" s="39"/>
      <c r="AV32" s="39"/>
    </row>
    <row r="33" spans="1:48">
      <c r="A33" s="111"/>
      <c r="B33" s="112"/>
      <c r="C33" s="54"/>
      <c r="D33" s="54"/>
      <c r="E33" s="54"/>
      <c r="F33" s="54"/>
      <c r="G33" s="54"/>
      <c r="H33" s="54"/>
      <c r="I33" s="54"/>
      <c r="J33" s="54"/>
      <c r="K33" s="54"/>
      <c r="L33" s="54"/>
      <c r="O33" s="41"/>
      <c r="W33" s="35" t="s">
        <v>200</v>
      </c>
      <c r="X33" s="35" t="s">
        <v>201</v>
      </c>
      <c r="Y33" s="78" t="s">
        <v>87</v>
      </c>
      <c r="Z33" s="35" t="s">
        <v>190</v>
      </c>
      <c r="AA33" s="35" t="s">
        <v>189</v>
      </c>
      <c r="AB33" s="39"/>
      <c r="AC33" s="39" t="s">
        <v>97</v>
      </c>
      <c r="AD33" s="42" t="str">
        <f t="shared" si="8"/>
        <v>AO</v>
      </c>
      <c r="AE33" s="39" t="s">
        <v>87</v>
      </c>
      <c r="AF33" s="71">
        <f>H60</f>
        <v>10.121791248675372</v>
      </c>
      <c r="AG33" s="39"/>
      <c r="AH33" s="39"/>
      <c r="AI33" s="39"/>
      <c r="AJ33" s="39"/>
      <c r="AK33" s="39"/>
      <c r="AL33" s="39"/>
      <c r="AM33" s="39"/>
      <c r="AN33" s="39"/>
      <c r="AO33" s="39"/>
      <c r="AP33" s="39"/>
      <c r="AQ33" s="39"/>
      <c r="AR33" s="39"/>
      <c r="AS33" s="39"/>
      <c r="AT33" s="39"/>
      <c r="AU33" s="39"/>
      <c r="AV33" s="39"/>
    </row>
    <row r="34" spans="1:48">
      <c r="A34" s="111"/>
      <c r="B34" s="112"/>
      <c r="C34" s="54"/>
      <c r="D34" s="54"/>
      <c r="E34" s="54"/>
      <c r="G34" s="54"/>
      <c r="H34" s="39"/>
      <c r="I34" s="85"/>
      <c r="J34" s="85">
        <v>2030</v>
      </c>
      <c r="K34" s="85">
        <v>2040</v>
      </c>
      <c r="L34" s="85">
        <v>2050</v>
      </c>
      <c r="M34" s="85">
        <v>2070</v>
      </c>
      <c r="N34" s="85"/>
      <c r="O34" s="85"/>
      <c r="P34" s="85">
        <v>2023</v>
      </c>
      <c r="Q34" s="85">
        <v>2030</v>
      </c>
      <c r="R34" s="85">
        <v>2040</v>
      </c>
      <c r="S34" s="85">
        <v>2050</v>
      </c>
      <c r="T34" s="85">
        <v>2070</v>
      </c>
      <c r="V34" s="39"/>
      <c r="W34" s="39"/>
      <c r="X34" s="39"/>
      <c r="Y34" s="39"/>
      <c r="Z34" s="39"/>
      <c r="AA34" s="39"/>
    </row>
    <row r="35" spans="1:48" ht="15.75">
      <c r="A35" s="39"/>
      <c r="B35" s="39"/>
      <c r="C35" s="48"/>
      <c r="D35" s="48"/>
      <c r="E35" s="48"/>
      <c r="F35" s="39"/>
      <c r="G35" s="39"/>
      <c r="H35" s="86" t="s">
        <v>135</v>
      </c>
      <c r="I35" s="86"/>
      <c r="J35" s="87">
        <v>0.5</v>
      </c>
      <c r="K35" s="87">
        <v>0.5</v>
      </c>
      <c r="L35" s="87">
        <v>1</v>
      </c>
      <c r="M35" s="87">
        <f>L35</f>
        <v>1</v>
      </c>
      <c r="N35" s="86" t="s">
        <v>131</v>
      </c>
      <c r="O35" s="86"/>
      <c r="P35" s="87">
        <v>0.5</v>
      </c>
      <c r="Q35" s="87">
        <v>0.5</v>
      </c>
      <c r="R35" s="87">
        <v>0.25</v>
      </c>
      <c r="S35" s="87">
        <v>0</v>
      </c>
      <c r="T35" s="87">
        <f>S35</f>
        <v>0</v>
      </c>
      <c r="V35" s="39"/>
      <c r="W35" s="39"/>
      <c r="Y35" s="39"/>
      <c r="Z35" s="39"/>
      <c r="AA35" s="39"/>
    </row>
    <row r="36" spans="1:48" ht="15">
      <c r="A36" s="39"/>
      <c r="B36" s="39"/>
      <c r="C36" s="48"/>
      <c r="D36" s="121" t="s">
        <v>104</v>
      </c>
      <c r="E36" s="39"/>
      <c r="F36" s="48"/>
      <c r="G36" s="39"/>
      <c r="H36" s="39"/>
      <c r="I36" s="39"/>
      <c r="J36" s="39"/>
      <c r="K36" s="39"/>
      <c r="L36" s="39"/>
      <c r="M36" s="39"/>
      <c r="N36" s="39"/>
      <c r="O36" s="39"/>
      <c r="P36" s="39"/>
      <c r="Q36" s="39"/>
      <c r="R36" s="39"/>
      <c r="S36" s="39"/>
      <c r="T36" s="39"/>
      <c r="U36" s="39"/>
      <c r="V36" s="39"/>
      <c r="W36" s="39"/>
      <c r="X36" s="39"/>
      <c r="Y36" s="39"/>
      <c r="Z36" s="39"/>
      <c r="AA36" s="39"/>
    </row>
    <row r="37" spans="1:48" ht="26.25" customHeight="1">
      <c r="A37" s="121" t="s">
        <v>105</v>
      </c>
      <c r="B37" s="121" t="s">
        <v>106</v>
      </c>
      <c r="C37" s="121" t="s">
        <v>107</v>
      </c>
      <c r="D37" s="121" t="s">
        <v>108</v>
      </c>
      <c r="E37" s="121" t="s">
        <v>121</v>
      </c>
      <c r="F37" s="118" t="s">
        <v>210</v>
      </c>
      <c r="G37" s="118" t="s">
        <v>114</v>
      </c>
      <c r="H37" s="118" t="s">
        <v>115</v>
      </c>
      <c r="I37" s="122" t="str">
        <f>"FLO_MARK~UP~"&amp;I39</f>
        <v>FLO_MARK~UP~2017</v>
      </c>
      <c r="J37" s="122" t="str">
        <f t="shared" ref="J37:M37" si="10">"FLO_MARK~UP~"&amp;J39</f>
        <v>FLO_MARK~UP~2030</v>
      </c>
      <c r="K37" s="122" t="str">
        <f t="shared" si="10"/>
        <v>FLO_MARK~UP~2040</v>
      </c>
      <c r="L37" s="122" t="str">
        <f t="shared" si="10"/>
        <v>FLO_MARK~UP~2050</v>
      </c>
      <c r="M37" s="122" t="str">
        <f t="shared" si="10"/>
        <v>FLO_MARK~UP~2070</v>
      </c>
      <c r="N37" s="118" t="s">
        <v>210</v>
      </c>
      <c r="O37" s="122" t="str">
        <f>"FLO_MARK~LO~"&amp;O39</f>
        <v>FLO_MARK~LO~2017</v>
      </c>
      <c r="P37" s="122" t="str">
        <f t="shared" ref="P37:T37" si="11">"FLO_MARK~LO~"&amp;P39</f>
        <v>FLO_MARK~LO~2023</v>
      </c>
      <c r="Q37" s="122" t="str">
        <f t="shared" si="11"/>
        <v>FLO_MARK~LO~2030</v>
      </c>
      <c r="R37" s="122" t="str">
        <f t="shared" si="11"/>
        <v>FLO_MARK~LO~2040</v>
      </c>
      <c r="S37" s="122" t="str">
        <f t="shared" si="11"/>
        <v>FLO_MARK~LO~2050</v>
      </c>
      <c r="T37" s="122" t="str">
        <f t="shared" si="11"/>
        <v>FLO_MARK~LO~2070</v>
      </c>
      <c r="U37" s="118" t="s">
        <v>210</v>
      </c>
      <c r="V37" s="39"/>
      <c r="W37" s="117" t="s">
        <v>172</v>
      </c>
      <c r="X37" s="118"/>
      <c r="Y37" s="118"/>
      <c r="Z37" s="118"/>
      <c r="AA37" s="118"/>
      <c r="AB37" s="118"/>
    </row>
    <row r="38" spans="1:48" ht="39.75" thickBot="1">
      <c r="A38" s="60" t="s">
        <v>216</v>
      </c>
      <c r="B38" s="61" t="s">
        <v>109</v>
      </c>
      <c r="C38" s="61" t="s">
        <v>110</v>
      </c>
      <c r="D38" s="61" t="s">
        <v>111</v>
      </c>
      <c r="E38" s="61" t="s">
        <v>86</v>
      </c>
      <c r="F38" s="61" t="s">
        <v>113</v>
      </c>
      <c r="G38" s="61" t="s">
        <v>114</v>
      </c>
      <c r="H38" s="61" t="s">
        <v>115</v>
      </c>
      <c r="I38" s="88" t="s">
        <v>132</v>
      </c>
      <c r="J38" s="88" t="s">
        <v>133</v>
      </c>
      <c r="K38" s="88" t="s">
        <v>133</v>
      </c>
      <c r="L38" s="88" t="s">
        <v>133</v>
      </c>
      <c r="M38" s="88" t="s">
        <v>133</v>
      </c>
      <c r="N38"/>
      <c r="O38" s="88" t="s">
        <v>132</v>
      </c>
      <c r="P38" s="88" t="s">
        <v>134</v>
      </c>
      <c r="Q38" s="88" t="s">
        <v>134</v>
      </c>
      <c r="R38" s="88" t="s">
        <v>134</v>
      </c>
      <c r="S38" s="88" t="s">
        <v>134</v>
      </c>
      <c r="T38" s="88" t="s">
        <v>134</v>
      </c>
      <c r="U38" s="61" t="s">
        <v>116</v>
      </c>
      <c r="V38" s="39"/>
      <c r="W38" s="119" t="s">
        <v>106</v>
      </c>
      <c r="X38" s="119" t="s">
        <v>105</v>
      </c>
      <c r="Y38" s="119" t="s">
        <v>173</v>
      </c>
      <c r="Z38" s="119" t="s">
        <v>174</v>
      </c>
      <c r="AA38" s="119" t="s">
        <v>175</v>
      </c>
      <c r="AB38" s="119" t="s">
        <v>176</v>
      </c>
    </row>
    <row r="39" spans="1:48">
      <c r="A39" s="123" t="s">
        <v>120</v>
      </c>
      <c r="B39" s="63"/>
      <c r="C39" s="63"/>
      <c r="D39" s="63"/>
      <c r="E39" s="64" t="s">
        <v>117</v>
      </c>
      <c r="F39" s="40" t="s">
        <v>118</v>
      </c>
      <c r="G39" s="40" t="s">
        <v>119</v>
      </c>
      <c r="H39" s="40" t="s">
        <v>119</v>
      </c>
      <c r="I39" s="85">
        <v>2017</v>
      </c>
      <c r="J39" s="85">
        <v>2030</v>
      </c>
      <c r="K39" s="85">
        <v>2040</v>
      </c>
      <c r="L39" s="85">
        <f>L34</f>
        <v>2050</v>
      </c>
      <c r="M39" s="85">
        <f>M34</f>
        <v>2070</v>
      </c>
      <c r="N39"/>
      <c r="O39" s="85">
        <v>2017</v>
      </c>
      <c r="P39" s="85">
        <f>P34</f>
        <v>2023</v>
      </c>
      <c r="Q39" s="85">
        <f>Q34</f>
        <v>2030</v>
      </c>
      <c r="R39" s="85">
        <f>R34</f>
        <v>2040</v>
      </c>
      <c r="S39" s="85">
        <f>S34</f>
        <v>2050</v>
      </c>
      <c r="T39" s="85">
        <f>T34</f>
        <v>2070</v>
      </c>
      <c r="U39" s="39"/>
      <c r="V39" s="39"/>
      <c r="W39" s="107" t="s">
        <v>120</v>
      </c>
    </row>
    <row r="40" spans="1:48">
      <c r="A40" s="124" t="s">
        <v>120</v>
      </c>
      <c r="B40" s="65"/>
      <c r="C40" s="66">
        <v>1</v>
      </c>
      <c r="D40" s="66">
        <f>C40+1</f>
        <v>2</v>
      </c>
      <c r="E40" s="66">
        <f>D40+1</f>
        <v>3</v>
      </c>
      <c r="F40" s="67"/>
      <c r="G40" s="54"/>
      <c r="H40" s="54"/>
      <c r="I40" s="85"/>
      <c r="J40" s="85"/>
      <c r="K40" s="85"/>
      <c r="L40" s="85"/>
      <c r="M40" s="85"/>
      <c r="N40"/>
      <c r="O40" s="85"/>
      <c r="P40" s="85"/>
      <c r="Q40" s="85"/>
      <c r="R40" s="85"/>
      <c r="S40" s="85"/>
      <c r="T40" s="85"/>
      <c r="U40" s="39"/>
      <c r="V40" s="39"/>
      <c r="W40" s="107" t="s">
        <v>120</v>
      </c>
    </row>
    <row r="41" spans="1:48">
      <c r="A41" s="65" t="str">
        <f>"*"&amp;A27</f>
        <v>*Agriculture - Heating</v>
      </c>
      <c r="B41" s="63"/>
      <c r="F41" s="39"/>
      <c r="G41" s="39"/>
      <c r="H41" s="39"/>
      <c r="I41" s="85"/>
      <c r="J41" s="85"/>
      <c r="K41" s="85"/>
      <c r="L41" s="85"/>
      <c r="M41" s="85"/>
      <c r="N41"/>
      <c r="O41" s="85"/>
      <c r="P41" s="85"/>
      <c r="Q41" s="85"/>
      <c r="R41" s="85"/>
      <c r="S41" s="85"/>
      <c r="T41" s="85"/>
      <c r="U41" s="39"/>
      <c r="V41" s="39"/>
      <c r="W41" s="107" t="s">
        <v>120</v>
      </c>
    </row>
    <row r="42" spans="1:48">
      <c r="A42" s="65" t="s">
        <v>177</v>
      </c>
      <c r="B42" s="65" t="str">
        <f>D42&amp;RIGHT(C42,3)&amp;"-E"</f>
        <v>AHCOA-E</v>
      </c>
      <c r="C42" s="68" t="str">
        <f>$C$6</f>
        <v>AGRCOA</v>
      </c>
      <c r="D42" s="68" t="str">
        <f>$B$27</f>
        <v>AH</v>
      </c>
      <c r="E42" s="69">
        <f>+'Final Demand'!D32</f>
        <v>0.65</v>
      </c>
      <c r="F42" s="80">
        <f>SUMIF($C$6:$I$6,C42,$C$19:$I$19)</f>
        <v>1</v>
      </c>
      <c r="G42" s="70">
        <f>F42*SUMIF($C$6:$I$6,C42,$C$27:$I$27)</f>
        <v>0.80470000000000008</v>
      </c>
      <c r="H42" s="70">
        <f>G42*E42</f>
        <v>0.52305500000000005</v>
      </c>
      <c r="I42" s="89">
        <f>H42/SUMIF($D$42:$D$61,$D42,$H$42:$H$61)</f>
        <v>0.20885466502518607</v>
      </c>
      <c r="J42" s="90">
        <f t="shared" ref="J42:M46" si="12">MIN(1,$I42+J$35)</f>
        <v>0.70885466502518613</v>
      </c>
      <c r="K42" s="90">
        <f t="shared" si="12"/>
        <v>0.70885466502518613</v>
      </c>
      <c r="L42" s="90">
        <f t="shared" si="12"/>
        <v>1</v>
      </c>
      <c r="M42" s="90">
        <f t="shared" si="12"/>
        <v>1</v>
      </c>
      <c r="N42"/>
      <c r="O42" s="89">
        <f>I42</f>
        <v>0.20885466502518607</v>
      </c>
      <c r="P42" s="90">
        <f>O42</f>
        <v>0.20885466502518607</v>
      </c>
      <c r="Q42" s="90">
        <f t="shared" ref="Q42:T46" si="13">$O42*Q$35</f>
        <v>0.10442733251259304</v>
      </c>
      <c r="R42" s="90">
        <f t="shared" si="13"/>
        <v>5.2213666256296518E-2</v>
      </c>
      <c r="S42" s="90">
        <f t="shared" si="13"/>
        <v>0</v>
      </c>
      <c r="T42" s="90">
        <f t="shared" si="13"/>
        <v>0</v>
      </c>
      <c r="U42" s="70"/>
      <c r="V42" s="39"/>
      <c r="W42" s="35" t="str">
        <f>B42</f>
        <v>AHCOA-E</v>
      </c>
      <c r="X42" s="35" t="str">
        <f>A42</f>
        <v>Agriculture - Heating-Coal - Existing</v>
      </c>
      <c r="Y42" s="35" t="s">
        <v>87</v>
      </c>
      <c r="Z42" s="35" t="s">
        <v>188</v>
      </c>
      <c r="AA42" s="35" t="s">
        <v>122</v>
      </c>
      <c r="AB42" s="35" t="s">
        <v>191</v>
      </c>
    </row>
    <row r="43" spans="1:48">
      <c r="A43" s="65" t="s">
        <v>178</v>
      </c>
      <c r="B43" s="65" t="str">
        <f>D43&amp;RIGHT(C43,3)&amp;"-E"</f>
        <v>AHOHF-E</v>
      </c>
      <c r="C43" s="68" t="str">
        <f>+G6</f>
        <v>AGROHF</v>
      </c>
      <c r="D43" s="68" t="str">
        <f>$B$27</f>
        <v>AH</v>
      </c>
      <c r="E43" s="69">
        <f>+'Final Demand'!D33</f>
        <v>0.7</v>
      </c>
      <c r="F43" s="80">
        <f>SUMIF($C$6:$I$6,C43,$C$19:$I$19)</f>
        <v>0</v>
      </c>
      <c r="G43" s="70">
        <f>F43*SUMIF($C$6:$I$6,C43,$C$27:$I$27)</f>
        <v>0</v>
      </c>
      <c r="H43" s="70">
        <f>G43*E43</f>
        <v>0</v>
      </c>
      <c r="I43" s="89">
        <f>H43/SUMIF($D$42:$D$61,$D43,$H$42:$H$61)</f>
        <v>0</v>
      </c>
      <c r="J43" s="90">
        <f t="shared" si="12"/>
        <v>0.5</v>
      </c>
      <c r="K43" s="90">
        <f t="shared" si="12"/>
        <v>0.5</v>
      </c>
      <c r="L43" s="90">
        <f t="shared" si="12"/>
        <v>1</v>
      </c>
      <c r="M43" s="90">
        <f t="shared" si="12"/>
        <v>1</v>
      </c>
      <c r="N43"/>
      <c r="O43" s="89">
        <f>I43</f>
        <v>0</v>
      </c>
      <c r="P43" s="90">
        <f t="shared" ref="P43:P60" si="14">O43</f>
        <v>0</v>
      </c>
      <c r="Q43" s="90">
        <f t="shared" si="13"/>
        <v>0</v>
      </c>
      <c r="R43" s="90">
        <f t="shared" si="13"/>
        <v>0</v>
      </c>
      <c r="S43" s="90">
        <f t="shared" si="13"/>
        <v>0</v>
      </c>
      <c r="T43" s="90">
        <f t="shared" si="13"/>
        <v>0</v>
      </c>
      <c r="U43" s="39"/>
      <c r="V43" s="39"/>
      <c r="W43" s="35" t="str">
        <f t="shared" ref="W43:W60" si="15">B43</f>
        <v>AHOHF-E</v>
      </c>
      <c r="X43" s="35" t="str">
        <f t="shared" ref="X43:X60" si="16">A43</f>
        <v>Agriculture - Heating - Oil HFO- Existing</v>
      </c>
      <c r="Y43" s="35" t="s">
        <v>87</v>
      </c>
      <c r="Z43" s="35" t="s">
        <v>188</v>
      </c>
      <c r="AA43" s="35" t="s">
        <v>122</v>
      </c>
      <c r="AB43" s="35" t="s">
        <v>191</v>
      </c>
    </row>
    <row r="44" spans="1:48">
      <c r="A44" s="65" t="s">
        <v>179</v>
      </c>
      <c r="B44" s="65" t="str">
        <f>D44&amp;RIGHT(C44,3)&amp;"-E"</f>
        <v>AHOKE-E</v>
      </c>
      <c r="C44" s="68" t="str">
        <f>$H$6</f>
        <v>AGROKE</v>
      </c>
      <c r="D44" s="68" t="str">
        <f>$B$27</f>
        <v>AH</v>
      </c>
      <c r="E44" s="69">
        <f>+'Final Demand'!D35</f>
        <v>0.7</v>
      </c>
      <c r="F44" s="80">
        <f>SUMIF($C$6:$I$6,C44,$C$19:$I$19)</f>
        <v>1</v>
      </c>
      <c r="G44" s="70">
        <f>F44*SUMIF($C$6:$I$6,C44,$C$27:$I$27)</f>
        <v>2.8304885951971102</v>
      </c>
      <c r="H44" s="70">
        <f>G44*E44</f>
        <v>1.9813420166379769</v>
      </c>
      <c r="I44" s="89">
        <f>H44/SUMIF($D$42:$D$61,$D44,$H$42:$H$61)</f>
        <v>0.79114533497481387</v>
      </c>
      <c r="J44" s="90">
        <f t="shared" si="12"/>
        <v>1</v>
      </c>
      <c r="K44" s="90">
        <f t="shared" si="12"/>
        <v>1</v>
      </c>
      <c r="L44" s="90">
        <f t="shared" si="12"/>
        <v>1</v>
      </c>
      <c r="M44" s="90">
        <f t="shared" si="12"/>
        <v>1</v>
      </c>
      <c r="N44"/>
      <c r="O44" s="89">
        <f>I44</f>
        <v>0.79114533497481387</v>
      </c>
      <c r="P44" s="90">
        <f t="shared" si="14"/>
        <v>0.79114533497481387</v>
      </c>
      <c r="Q44" s="90">
        <f t="shared" si="13"/>
        <v>0.39557266748740694</v>
      </c>
      <c r="R44" s="90">
        <f t="shared" si="13"/>
        <v>0.19778633374370347</v>
      </c>
      <c r="S44" s="90">
        <f t="shared" si="13"/>
        <v>0</v>
      </c>
      <c r="T44" s="90">
        <f t="shared" si="13"/>
        <v>0</v>
      </c>
      <c r="U44" s="71"/>
      <c r="V44" s="39"/>
      <c r="W44" s="35" t="str">
        <f t="shared" si="15"/>
        <v>AHOKE-E</v>
      </c>
      <c r="X44" s="35" t="str">
        <f t="shared" si="16"/>
        <v>Agriculture - Heating - Oil Paraffin- Existing</v>
      </c>
      <c r="Y44" s="35" t="s">
        <v>87</v>
      </c>
      <c r="Z44" s="35" t="s">
        <v>188</v>
      </c>
      <c r="AA44" s="35" t="s">
        <v>122</v>
      </c>
      <c r="AB44" s="35" t="s">
        <v>191</v>
      </c>
    </row>
    <row r="45" spans="1:48" ht="14.25" customHeight="1">
      <c r="A45" s="65" t="s">
        <v>180</v>
      </c>
      <c r="B45" s="65" t="str">
        <f>D45&amp;RIGHT(C45,3)&amp;"-E"</f>
        <v>AHOLP-E</v>
      </c>
      <c r="C45" s="68" t="str">
        <f>$I$6</f>
        <v>AGROLP</v>
      </c>
      <c r="D45" s="68" t="str">
        <f>$B$27</f>
        <v>AH</v>
      </c>
      <c r="E45" s="69">
        <f>'Final Demand'!D34</f>
        <v>0.75</v>
      </c>
      <c r="F45" s="80">
        <f>SUMIF($C$6:$I$6,C45,$C$19:$I$19)</f>
        <v>0</v>
      </c>
      <c r="G45" s="100">
        <f>F45*SUMIF($C$6:$I$6,C45,$C$27:$I$27)</f>
        <v>0</v>
      </c>
      <c r="H45" s="100">
        <f>G45*E45</f>
        <v>0</v>
      </c>
      <c r="I45" s="104">
        <f>H45/SUMIF($D$42:$D$61,$D45,$H$42:$H$61)</f>
        <v>0</v>
      </c>
      <c r="J45" s="90">
        <f t="shared" si="12"/>
        <v>0.5</v>
      </c>
      <c r="K45" s="90">
        <f t="shared" si="12"/>
        <v>0.5</v>
      </c>
      <c r="L45" s="90">
        <f t="shared" si="12"/>
        <v>1</v>
      </c>
      <c r="M45" s="90">
        <f t="shared" si="12"/>
        <v>1</v>
      </c>
      <c r="N45"/>
      <c r="O45" s="104">
        <f>I45</f>
        <v>0</v>
      </c>
      <c r="P45" s="90">
        <f t="shared" si="14"/>
        <v>0</v>
      </c>
      <c r="Q45" s="90">
        <f t="shared" si="13"/>
        <v>0</v>
      </c>
      <c r="R45" s="90">
        <f t="shared" si="13"/>
        <v>0</v>
      </c>
      <c r="S45" s="90">
        <f t="shared" si="13"/>
        <v>0</v>
      </c>
      <c r="T45" s="90">
        <f t="shared" si="13"/>
        <v>0</v>
      </c>
      <c r="U45" s="71"/>
      <c r="V45" s="39"/>
      <c r="W45" s="35" t="str">
        <f t="shared" si="15"/>
        <v>AHOLP-E</v>
      </c>
      <c r="X45" s="35" t="str">
        <f t="shared" si="16"/>
        <v>Agriculture - Heating - Oil LPG- Existing</v>
      </c>
      <c r="Y45" s="35" t="s">
        <v>87</v>
      </c>
      <c r="Z45" s="35" t="s">
        <v>188</v>
      </c>
      <c r="AA45" s="35" t="s">
        <v>122</v>
      </c>
      <c r="AB45" s="35" t="s">
        <v>191</v>
      </c>
    </row>
    <row r="46" spans="1:48">
      <c r="A46" s="65" t="s">
        <v>181</v>
      </c>
      <c r="B46" s="65" t="str">
        <f>D46&amp;RIGHT(C46,3)&amp;"-E"</f>
        <v>AHELC-E</v>
      </c>
      <c r="C46" s="68" t="str">
        <f>$E$6</f>
        <v>AGRELC</v>
      </c>
      <c r="D46" s="68" t="str">
        <f>$B$27</f>
        <v>AH</v>
      </c>
      <c r="E46" s="69">
        <f>+'Final Demand'!D34</f>
        <v>0.75</v>
      </c>
      <c r="F46" s="80">
        <v>1</v>
      </c>
      <c r="G46" s="70">
        <f>F46*SUMIF($C$6:$I$6,C46,$C$27:$I$27)</f>
        <v>0</v>
      </c>
      <c r="H46" s="70">
        <f>G46*E46</f>
        <v>0</v>
      </c>
      <c r="I46" s="89">
        <f>H46/SUMIF($D$42:$D$61,$D46,$H$42:$H$61)</f>
        <v>0</v>
      </c>
      <c r="J46" s="90">
        <f t="shared" si="12"/>
        <v>0.5</v>
      </c>
      <c r="K46" s="90">
        <f t="shared" si="12"/>
        <v>0.5</v>
      </c>
      <c r="L46" s="90">
        <f t="shared" si="12"/>
        <v>1</v>
      </c>
      <c r="M46" s="90">
        <f t="shared" si="12"/>
        <v>1</v>
      </c>
      <c r="N46"/>
      <c r="O46" s="89">
        <f>I46</f>
        <v>0</v>
      </c>
      <c r="P46" s="90">
        <f t="shared" si="14"/>
        <v>0</v>
      </c>
      <c r="Q46" s="90">
        <f t="shared" si="13"/>
        <v>0</v>
      </c>
      <c r="R46" s="90">
        <f t="shared" si="13"/>
        <v>0</v>
      </c>
      <c r="S46" s="90">
        <f t="shared" si="13"/>
        <v>0</v>
      </c>
      <c r="T46" s="90">
        <f t="shared" si="13"/>
        <v>0</v>
      </c>
      <c r="U46" s="39"/>
      <c r="V46" s="39"/>
      <c r="W46" s="35" t="str">
        <f t="shared" si="15"/>
        <v>AHELC-E</v>
      </c>
      <c r="X46" s="35" t="str">
        <f t="shared" si="16"/>
        <v>Agriculture - Heating - Electricity - Room - Existing</v>
      </c>
      <c r="Y46" s="35" t="s">
        <v>87</v>
      </c>
      <c r="Z46" s="35" t="s">
        <v>188</v>
      </c>
      <c r="AA46" s="35" t="s">
        <v>189</v>
      </c>
      <c r="AB46" s="35" t="s">
        <v>191</v>
      </c>
    </row>
    <row r="47" spans="1:48">
      <c r="A47" s="72" t="s">
        <v>215</v>
      </c>
      <c r="B47" s="65"/>
      <c r="C47" s="73"/>
      <c r="D47" s="73"/>
      <c r="E47" s="74"/>
      <c r="F47" s="75"/>
      <c r="G47" s="76">
        <f>SUM(G42:G46)</f>
        <v>3.6351885951971101</v>
      </c>
      <c r="H47" s="76">
        <f>SUM(H42:H46)</f>
        <v>2.5043970166379772</v>
      </c>
      <c r="I47" s="89"/>
      <c r="J47" s="90"/>
      <c r="K47" s="90"/>
      <c r="L47" s="90"/>
      <c r="M47" s="90"/>
      <c r="N47"/>
      <c r="O47" s="89"/>
      <c r="P47" s="90"/>
      <c r="Q47" s="90"/>
      <c r="R47" s="90"/>
      <c r="S47" s="90"/>
      <c r="T47" s="90"/>
      <c r="U47" s="39"/>
      <c r="V47" s="39"/>
      <c r="W47" s="35" t="s">
        <v>120</v>
      </c>
      <c r="X47" s="35"/>
    </row>
    <row r="48" spans="1:48">
      <c r="A48" s="65" t="s">
        <v>213</v>
      </c>
      <c r="B48" s="65"/>
      <c r="C48" s="73"/>
      <c r="D48" s="73"/>
      <c r="E48" s="63"/>
      <c r="F48" s="77"/>
      <c r="G48" s="77"/>
      <c r="H48" s="39"/>
      <c r="I48" s="89"/>
      <c r="J48" s="90"/>
      <c r="K48" s="90"/>
      <c r="L48" s="90"/>
      <c r="M48" s="90"/>
      <c r="N48"/>
      <c r="O48" s="89"/>
      <c r="P48" s="90"/>
      <c r="Q48" s="90"/>
      <c r="R48" s="90"/>
      <c r="S48" s="90"/>
      <c r="T48" s="90"/>
      <c r="U48" s="39"/>
      <c r="V48" s="39"/>
      <c r="W48" s="35" t="s">
        <v>120</v>
      </c>
      <c r="X48" s="35"/>
    </row>
    <row r="49" spans="1:36">
      <c r="A49" s="65" t="s">
        <v>182</v>
      </c>
      <c r="B49" s="65" t="str">
        <f>D49&amp;RIGHT(C49,3)&amp;"-E"</f>
        <v>APELC-E</v>
      </c>
      <c r="C49" s="68" t="str">
        <f>$E$6</f>
        <v>AGRELC</v>
      </c>
      <c r="D49" s="68" t="str">
        <f>$B$28</f>
        <v>AP</v>
      </c>
      <c r="E49" s="69">
        <f>+'Final Demand'!D36</f>
        <v>1</v>
      </c>
      <c r="F49" s="80">
        <v>1</v>
      </c>
      <c r="G49" s="70">
        <f>F49*SUMIF($C$6:$I$6,C49,$C$28:$I$28)</f>
        <v>4.6040183871857669</v>
      </c>
      <c r="H49" s="70">
        <f>G49*E49</f>
        <v>4.6040183871857669</v>
      </c>
      <c r="I49" s="89">
        <f>H49/SUMIF($D$42:$D$61,$D49,$H$42:$H$61)</f>
        <v>1</v>
      </c>
      <c r="J49" s="90">
        <f>MIN(1,$I49+J$35)</f>
        <v>1</v>
      </c>
      <c r="K49" s="90">
        <f>MIN(1,$I49+K$35)</f>
        <v>1</v>
      </c>
      <c r="L49" s="90">
        <f>MIN(1,$I49+L$35)</f>
        <v>1</v>
      </c>
      <c r="M49" s="90">
        <f>MIN(1,$I49+M$35)</f>
        <v>1</v>
      </c>
      <c r="N49" s="85"/>
      <c r="O49" s="89">
        <f>I49</f>
        <v>1</v>
      </c>
      <c r="P49" s="90">
        <f t="shared" si="14"/>
        <v>1</v>
      </c>
      <c r="Q49" s="90">
        <f>$O49*Q$35</f>
        <v>0.5</v>
      </c>
      <c r="R49" s="90">
        <f>$O49*R$35</f>
        <v>0.25</v>
      </c>
      <c r="S49" s="90">
        <f>$O49*S$35</f>
        <v>0</v>
      </c>
      <c r="T49" s="90">
        <f>$O49*T$35</f>
        <v>0</v>
      </c>
      <c r="V49" s="39"/>
      <c r="W49" s="35" t="str">
        <f t="shared" si="15"/>
        <v>APELC-E</v>
      </c>
      <c r="X49" s="35" t="str">
        <f t="shared" si="16"/>
        <v>Agriculture - Processing - Electricity - Existing</v>
      </c>
      <c r="Y49" s="35" t="s">
        <v>87</v>
      </c>
      <c r="Z49" s="35" t="s">
        <v>188</v>
      </c>
      <c r="AA49" s="35" t="s">
        <v>189</v>
      </c>
      <c r="AB49" s="35" t="s">
        <v>191</v>
      </c>
    </row>
    <row r="50" spans="1:36">
      <c r="A50" s="72" t="s">
        <v>215</v>
      </c>
      <c r="F50" s="91"/>
      <c r="G50" s="76">
        <f>SUM(G49:G49)</f>
        <v>4.6040183871857669</v>
      </c>
      <c r="H50" s="76">
        <f>SUM(H49:H49)</f>
        <v>4.6040183871857669</v>
      </c>
      <c r="I50" s="89"/>
      <c r="J50" s="90"/>
      <c r="K50" s="90"/>
      <c r="L50" s="90"/>
      <c r="M50" s="90"/>
      <c r="N50" s="85"/>
      <c r="O50" s="85"/>
      <c r="P50" s="90">
        <f t="shared" si="14"/>
        <v>0</v>
      </c>
      <c r="Q50" s="90"/>
      <c r="R50" s="90"/>
      <c r="S50" s="90"/>
      <c r="T50" s="90"/>
      <c r="V50" s="39"/>
      <c r="W50" s="35" t="s">
        <v>120</v>
      </c>
      <c r="X50" s="35"/>
    </row>
    <row r="51" spans="1:36">
      <c r="A51" s="65" t="s">
        <v>214</v>
      </c>
      <c r="B51" s="65"/>
      <c r="C51" s="73"/>
      <c r="D51" s="73"/>
      <c r="E51" s="63"/>
      <c r="F51" s="77"/>
      <c r="G51" s="77"/>
      <c r="H51" s="39"/>
      <c r="I51" s="89"/>
      <c r="J51" s="90"/>
      <c r="K51" s="90"/>
      <c r="L51" s="90"/>
      <c r="M51" s="90"/>
      <c r="N51"/>
      <c r="O51" s="89"/>
      <c r="P51" s="90">
        <f t="shared" si="14"/>
        <v>0</v>
      </c>
      <c r="Q51" s="90"/>
      <c r="R51" s="90"/>
      <c r="S51" s="90"/>
      <c r="T51" s="90"/>
      <c r="U51" s="39"/>
      <c r="V51" s="39"/>
      <c r="W51" s="35" t="s">
        <v>120</v>
      </c>
      <c r="X51" s="35"/>
    </row>
    <row r="52" spans="1:36">
      <c r="A52" s="65" t="s">
        <v>183</v>
      </c>
      <c r="B52" s="65" t="str">
        <f>D52&amp;RIGHT(C52,3)&amp;"-E"</f>
        <v>ATODS-E</v>
      </c>
      <c r="C52" s="68" t="str">
        <f>+D6</f>
        <v>AGRODS</v>
      </c>
      <c r="D52" s="68" t="str">
        <f>$B$29</f>
        <v>AT</v>
      </c>
      <c r="E52" s="69">
        <f>+'Final Demand'!D27</f>
        <v>0.35</v>
      </c>
      <c r="F52" s="80">
        <v>1</v>
      </c>
      <c r="G52" s="70">
        <f>F52*SUMIF($C$6:$I$6,C52,$C$29:$I$29)</f>
        <v>22.642827038165304</v>
      </c>
      <c r="H52" s="70">
        <f>G52*E52</f>
        <v>7.9249894633578561</v>
      </c>
      <c r="I52" s="89">
        <f>H52/SUMIF($D$42:$D$61,$D52,$H$42:$H$61)</f>
        <v>1</v>
      </c>
      <c r="J52" s="90">
        <f t="shared" ref="J52:M53" si="17">MIN(1,$I52+J$35)</f>
        <v>1</v>
      </c>
      <c r="K52" s="90">
        <f t="shared" si="17"/>
        <v>1</v>
      </c>
      <c r="L52" s="90">
        <f t="shared" si="17"/>
        <v>1</v>
      </c>
      <c r="M52" s="90">
        <f t="shared" si="17"/>
        <v>1</v>
      </c>
      <c r="N52"/>
      <c r="O52" s="89">
        <f>I52</f>
        <v>1</v>
      </c>
      <c r="P52" s="90">
        <f t="shared" si="14"/>
        <v>1</v>
      </c>
      <c r="Q52" s="90">
        <f t="shared" ref="Q52:T53" si="18">$O52*Q$35</f>
        <v>0.5</v>
      </c>
      <c r="R52" s="90">
        <f t="shared" si="18"/>
        <v>0.25</v>
      </c>
      <c r="S52" s="90">
        <f t="shared" si="18"/>
        <v>0</v>
      </c>
      <c r="T52" s="90">
        <f t="shared" si="18"/>
        <v>0</v>
      </c>
      <c r="V52" s="39"/>
      <c r="W52" s="35" t="str">
        <f t="shared" si="15"/>
        <v>ATODS-E</v>
      </c>
      <c r="X52" s="35" t="str">
        <f t="shared" si="16"/>
        <v>Agriculture - Traction - Oil Diesel - Existing</v>
      </c>
      <c r="Y52" s="35" t="s">
        <v>87</v>
      </c>
      <c r="Z52" s="35" t="s">
        <v>188</v>
      </c>
      <c r="AA52" s="35" t="s">
        <v>122</v>
      </c>
      <c r="AB52" s="35" t="s">
        <v>191</v>
      </c>
    </row>
    <row r="53" spans="1:36">
      <c r="A53" s="65" t="s">
        <v>184</v>
      </c>
      <c r="B53" s="65" t="str">
        <f>D53&amp;RIGHT(C53,3)&amp;"-E"</f>
        <v>ATELC-E</v>
      </c>
      <c r="C53" s="68" t="str">
        <f>+E6</f>
        <v>AGRELC</v>
      </c>
      <c r="D53" s="68" t="str">
        <f>$B$29</f>
        <v>AT</v>
      </c>
      <c r="E53" s="69">
        <f>+'Final Demand'!D30</f>
        <v>0.95</v>
      </c>
      <c r="F53" s="80">
        <v>1</v>
      </c>
      <c r="G53" s="70">
        <f>F53*SUMIF($C$6:$I$6,C53,$C$29:$I$29)</f>
        <v>0</v>
      </c>
      <c r="H53" s="70">
        <f>G53*E53</f>
        <v>0</v>
      </c>
      <c r="I53" s="89">
        <f>H53/SUMIF($D$42:$D$61,$D53,$H$42:$H$61)</f>
        <v>0</v>
      </c>
      <c r="J53" s="90">
        <f t="shared" si="17"/>
        <v>0.5</v>
      </c>
      <c r="K53" s="90">
        <f t="shared" si="17"/>
        <v>0.5</v>
      </c>
      <c r="L53" s="90">
        <f t="shared" si="17"/>
        <v>1</v>
      </c>
      <c r="M53" s="90">
        <f t="shared" si="17"/>
        <v>1</v>
      </c>
      <c r="N53"/>
      <c r="O53" s="89">
        <f>I53</f>
        <v>0</v>
      </c>
      <c r="P53" s="90">
        <f t="shared" si="14"/>
        <v>0</v>
      </c>
      <c r="Q53" s="90">
        <f t="shared" si="18"/>
        <v>0</v>
      </c>
      <c r="R53" s="90">
        <f t="shared" si="18"/>
        <v>0</v>
      </c>
      <c r="S53" s="90">
        <f t="shared" si="18"/>
        <v>0</v>
      </c>
      <c r="T53" s="90">
        <f t="shared" si="18"/>
        <v>0</v>
      </c>
      <c r="V53" s="39"/>
      <c r="W53" s="35" t="str">
        <f t="shared" si="15"/>
        <v>ATELC-E</v>
      </c>
      <c r="X53" s="35" t="str">
        <f t="shared" si="16"/>
        <v>Agriculture - Traction - Electricity - Existing</v>
      </c>
      <c r="Y53" s="35" t="s">
        <v>87</v>
      </c>
      <c r="Z53" s="35" t="s">
        <v>188</v>
      </c>
      <c r="AA53" s="35" t="s">
        <v>189</v>
      </c>
      <c r="AB53" s="35" t="s">
        <v>191</v>
      </c>
    </row>
    <row r="54" spans="1:36">
      <c r="A54" s="72" t="s">
        <v>215</v>
      </c>
      <c r="F54" s="91"/>
      <c r="G54" s="76">
        <f>SUM(G52:G53)</f>
        <v>22.642827038165304</v>
      </c>
      <c r="H54" s="76">
        <f>SUM(H52:H53)</f>
        <v>7.9249894633578561</v>
      </c>
      <c r="I54" s="89"/>
      <c r="J54" s="90"/>
      <c r="K54" s="90"/>
      <c r="L54" s="90"/>
      <c r="M54" s="90"/>
      <c r="N54"/>
      <c r="O54"/>
      <c r="P54" s="90"/>
      <c r="Q54" s="90"/>
      <c r="R54" s="90"/>
      <c r="S54" s="90"/>
      <c r="T54" s="90"/>
      <c r="V54" s="39"/>
      <c r="W54" s="35" t="s">
        <v>120</v>
      </c>
      <c r="X54" s="35"/>
    </row>
    <row r="55" spans="1:36">
      <c r="A55" s="65" t="s">
        <v>211</v>
      </c>
      <c r="B55" s="65"/>
      <c r="C55" s="73"/>
      <c r="D55" s="73"/>
      <c r="E55" s="63"/>
      <c r="F55" s="77"/>
      <c r="G55" s="77"/>
      <c r="H55" s="39"/>
      <c r="I55" s="89"/>
      <c r="J55" s="90"/>
      <c r="K55" s="90"/>
      <c r="L55" s="90"/>
      <c r="M55" s="90"/>
      <c r="N55" s="85"/>
      <c r="O55" s="85"/>
      <c r="P55" s="90"/>
      <c r="Q55" s="90"/>
      <c r="R55" s="90"/>
      <c r="S55" s="90"/>
      <c r="T55" s="90"/>
      <c r="U55" s="39"/>
      <c r="V55" s="39"/>
      <c r="W55" s="35" t="s">
        <v>120</v>
      </c>
      <c r="X55" s="35"/>
    </row>
    <row r="56" spans="1:36">
      <c r="A56" s="65" t="s">
        <v>185</v>
      </c>
      <c r="B56" s="65" t="str">
        <f>D56&amp;RIGHT(C56,3)&amp;"-E"</f>
        <v>AIODS-E</v>
      </c>
      <c r="C56" s="68" t="str">
        <f>$D$6</f>
        <v>AGRODS</v>
      </c>
      <c r="D56" s="68" t="str">
        <f>$B$30</f>
        <v>AI</v>
      </c>
      <c r="E56" s="69">
        <f>+'Final Demand'!D29</f>
        <v>0.35</v>
      </c>
      <c r="F56" s="80">
        <v>1</v>
      </c>
      <c r="G56" s="70">
        <f>F56*SUMIF($C$6:$I$6,C56,$C$30:$I$30)</f>
        <v>0.60610301992807414</v>
      </c>
      <c r="H56" s="70">
        <f>G56*E56</f>
        <v>0.21213605697482593</v>
      </c>
      <c r="I56" s="89">
        <f>H56/SUMIF($D$42:$D$61,$D56,$H$42:$H$61)</f>
        <v>3.6759203096112351E-2</v>
      </c>
      <c r="J56" s="90">
        <f t="shared" ref="J56:M57" si="19">MIN(1,$I56+J$35)</f>
        <v>0.53675920309611236</v>
      </c>
      <c r="K56" s="90">
        <f t="shared" si="19"/>
        <v>0.53675920309611236</v>
      </c>
      <c r="L56" s="90">
        <f t="shared" si="19"/>
        <v>1</v>
      </c>
      <c r="M56" s="90">
        <f t="shared" si="19"/>
        <v>1</v>
      </c>
      <c r="N56"/>
      <c r="O56" s="89">
        <f>I56</f>
        <v>3.6759203096112351E-2</v>
      </c>
      <c r="P56" s="90">
        <f t="shared" si="14"/>
        <v>3.6759203096112351E-2</v>
      </c>
      <c r="Q56" s="90">
        <f t="shared" ref="Q56:T57" si="20">$O56*Q$35</f>
        <v>1.8379601548056176E-2</v>
      </c>
      <c r="R56" s="90">
        <f t="shared" si="20"/>
        <v>9.1898007740280879E-3</v>
      </c>
      <c r="S56" s="90">
        <f t="shared" si="20"/>
        <v>0</v>
      </c>
      <c r="T56" s="90">
        <f t="shared" si="20"/>
        <v>0</v>
      </c>
      <c r="U56" s="105"/>
      <c r="V56" s="39"/>
      <c r="W56" s="35" t="str">
        <f t="shared" si="15"/>
        <v>AIODS-E</v>
      </c>
      <c r="X56" s="35" t="str">
        <f t="shared" si="16"/>
        <v>Agriculture - Irrigation - Oil Diesel - Existing</v>
      </c>
      <c r="Y56" s="35" t="s">
        <v>87</v>
      </c>
      <c r="Z56" s="35" t="s">
        <v>188</v>
      </c>
      <c r="AA56" s="35" t="s">
        <v>122</v>
      </c>
      <c r="AB56" s="35" t="s">
        <v>191</v>
      </c>
    </row>
    <row r="57" spans="1:36">
      <c r="A57" s="65" t="s">
        <v>186</v>
      </c>
      <c r="B57" s="65" t="str">
        <f>D57&amp;RIGHT(C57,3)&amp;"-E"</f>
        <v>AIELC-E</v>
      </c>
      <c r="C57" s="68" t="str">
        <f>$E$6</f>
        <v>AGRELC</v>
      </c>
      <c r="D57" s="68" t="str">
        <f>$B$30</f>
        <v>AI</v>
      </c>
      <c r="E57" s="69">
        <f>+'Final Demand'!D30</f>
        <v>0.95</v>
      </c>
      <c r="F57" s="80">
        <v>1</v>
      </c>
      <c r="G57" s="70">
        <f>F57*SUMIF($C$6:$I$6,C57,$C$30:$I$30)</f>
        <v>5.851398385673658</v>
      </c>
      <c r="H57" s="70">
        <f>G57*E57</f>
        <v>5.5588284663899747</v>
      </c>
      <c r="I57" s="89">
        <f>H57/SUMIF($D$42:$D$61,$D57,$H$42:$H$61)*1.02</f>
        <v>0.98250561284196536</v>
      </c>
      <c r="J57" s="90">
        <f t="shared" si="19"/>
        <v>1</v>
      </c>
      <c r="K57" s="90">
        <f t="shared" si="19"/>
        <v>1</v>
      </c>
      <c r="L57" s="90">
        <f t="shared" si="19"/>
        <v>1</v>
      </c>
      <c r="M57" s="90">
        <f t="shared" si="19"/>
        <v>1</v>
      </c>
      <c r="N57"/>
      <c r="O57" s="89">
        <f>I57/1.02</f>
        <v>0.96324079690388764</v>
      </c>
      <c r="P57" s="90">
        <f t="shared" si="14"/>
        <v>0.96324079690388764</v>
      </c>
      <c r="Q57" s="90">
        <f t="shared" si="20"/>
        <v>0.48162039845194382</v>
      </c>
      <c r="R57" s="90">
        <f t="shared" si="20"/>
        <v>0.24081019922597191</v>
      </c>
      <c r="S57" s="90">
        <f t="shared" si="20"/>
        <v>0</v>
      </c>
      <c r="T57" s="90">
        <f t="shared" si="20"/>
        <v>0</v>
      </c>
      <c r="U57" s="105"/>
      <c r="V57" s="39"/>
      <c r="W57" s="35" t="str">
        <f t="shared" si="15"/>
        <v>AIELC-E</v>
      </c>
      <c r="X57" s="35" t="str">
        <f t="shared" si="16"/>
        <v>Agriculture - Irrigation - Electricity - Existing</v>
      </c>
      <c r="Y57" s="35" t="s">
        <v>87</v>
      </c>
      <c r="Z57" s="35" t="s">
        <v>188</v>
      </c>
      <c r="AA57" s="35" t="s">
        <v>189</v>
      </c>
      <c r="AB57" s="35" t="s">
        <v>191</v>
      </c>
    </row>
    <row r="58" spans="1:36">
      <c r="A58" s="72" t="s">
        <v>215</v>
      </c>
      <c r="F58" s="91"/>
      <c r="G58" s="76">
        <f>SUM(G56:G57)</f>
        <v>6.4575014056017324</v>
      </c>
      <c r="H58" s="76">
        <f>SUM(H56:H57)</f>
        <v>5.7709645233648006</v>
      </c>
      <c r="I58" s="89"/>
      <c r="J58" s="90"/>
      <c r="K58" s="90"/>
      <c r="L58" s="90"/>
      <c r="M58" s="90"/>
      <c r="N58"/>
      <c r="O58" s="89"/>
      <c r="P58" s="90"/>
      <c r="Q58" s="90"/>
      <c r="R58" s="90"/>
      <c r="S58" s="90"/>
      <c r="T58" s="90"/>
      <c r="V58" s="39"/>
      <c r="W58" s="35" t="s">
        <v>120</v>
      </c>
      <c r="X58" s="35"/>
      <c r="Y58" s="39"/>
      <c r="Z58" s="39"/>
      <c r="AA58" s="39"/>
    </row>
    <row r="59" spans="1:36">
      <c r="A59" s="65" t="s">
        <v>212</v>
      </c>
      <c r="B59" s="65"/>
      <c r="C59" s="73"/>
      <c r="D59" s="73"/>
      <c r="E59" s="63"/>
      <c r="F59" s="77"/>
      <c r="G59" s="77"/>
      <c r="H59" s="39"/>
      <c r="I59" s="89"/>
      <c r="J59" s="90"/>
      <c r="K59" s="90"/>
      <c r="L59" s="90"/>
      <c r="M59" s="90"/>
      <c r="N59"/>
      <c r="O59" s="89"/>
      <c r="P59" s="90"/>
      <c r="Q59" s="90"/>
      <c r="R59" s="90"/>
      <c r="S59" s="90"/>
      <c r="T59" s="90"/>
      <c r="U59" s="39"/>
      <c r="V59" s="39"/>
      <c r="W59" s="35" t="s">
        <v>120</v>
      </c>
      <c r="X59" s="35"/>
      <c r="Y59" s="39"/>
      <c r="Z59" s="39"/>
      <c r="AA59" s="39"/>
    </row>
    <row r="60" spans="1:36">
      <c r="A60" s="65" t="s">
        <v>187</v>
      </c>
      <c r="B60" s="65" t="str">
        <f>D60&amp;RIGHT(C60,3)&amp;"-E"</f>
        <v>AOELC-E</v>
      </c>
      <c r="C60" s="68" t="str">
        <f>$E$6</f>
        <v>AGRELC</v>
      </c>
      <c r="D60" s="68" t="str">
        <f>$B$31</f>
        <v>AO</v>
      </c>
      <c r="E60" s="69">
        <f>+'Final Demand'!D37</f>
        <v>1</v>
      </c>
      <c r="F60" s="80">
        <v>1</v>
      </c>
      <c r="G60" s="70">
        <f>F60*SUMIF($C$6:$I$6,C60,$C$31:$I$31)</f>
        <v>10.121791248675372</v>
      </c>
      <c r="H60" s="70">
        <f>G60*E60</f>
        <v>10.121791248675372</v>
      </c>
      <c r="I60" s="89">
        <f>H60/SUMIF($D$42:$D$61,$D60,$H$42:$H$61)</f>
        <v>1</v>
      </c>
      <c r="J60" s="90">
        <f>MIN(1,$I60+J$35)</f>
        <v>1</v>
      </c>
      <c r="K60" s="90">
        <f>MIN(1,$I60+K$35)</f>
        <v>1</v>
      </c>
      <c r="L60" s="90">
        <f>MIN(1,$I60+L$35)</f>
        <v>1</v>
      </c>
      <c r="M60" s="90">
        <f>MIN(1,$I60+M$35)</f>
        <v>1</v>
      </c>
      <c r="N60"/>
      <c r="O60" s="89">
        <f>I60</f>
        <v>1</v>
      </c>
      <c r="P60" s="90">
        <f t="shared" si="14"/>
        <v>1</v>
      </c>
      <c r="Q60" s="90">
        <f>$O60*Q$35</f>
        <v>0.5</v>
      </c>
      <c r="R60" s="90">
        <f>$O60*R$35</f>
        <v>0.25</v>
      </c>
      <c r="S60" s="90">
        <f>$O60*S$35</f>
        <v>0</v>
      </c>
      <c r="T60" s="90">
        <f>$O60*T$35</f>
        <v>0</v>
      </c>
      <c r="V60" s="39"/>
      <c r="W60" s="35" t="str">
        <f t="shared" si="15"/>
        <v>AOELC-E</v>
      </c>
      <c r="X60" s="35" t="str">
        <f t="shared" si="16"/>
        <v>Agriculture - Other - Electricity - Existing</v>
      </c>
      <c r="Y60" s="35" t="s">
        <v>87</v>
      </c>
      <c r="Z60" s="35" t="s">
        <v>188</v>
      </c>
      <c r="AA60" s="35" t="s">
        <v>189</v>
      </c>
      <c r="AB60" s="35" t="s">
        <v>191</v>
      </c>
    </row>
    <row r="61" spans="1:36">
      <c r="A61" s="72" t="s">
        <v>215</v>
      </c>
      <c r="B61" s="65"/>
      <c r="C61" s="68"/>
      <c r="D61" s="68"/>
      <c r="E61" s="69"/>
      <c r="F61" s="80"/>
      <c r="G61" s="76"/>
      <c r="H61" s="76">
        <f>SUM(H42:H60)</f>
        <v>51.730530029768182</v>
      </c>
      <c r="I61" s="89"/>
      <c r="J61" s="90"/>
      <c r="K61" s="90"/>
      <c r="L61" s="90"/>
      <c r="M61" s="90"/>
      <c r="N61"/>
      <c r="O61" s="89"/>
      <c r="P61" s="90"/>
      <c r="Q61" s="90"/>
      <c r="R61" s="90"/>
      <c r="S61" s="90"/>
      <c r="T61" s="90"/>
      <c r="V61" s="39"/>
      <c r="Y61" s="39"/>
      <c r="Z61" s="39"/>
      <c r="AA61" s="39"/>
    </row>
    <row r="62" spans="1:36">
      <c r="AJ62" s="70" t="str">
        <f t="shared" ref="AJ62:AJ65" si="21">IFERROR(INDEX($L$27:$R$32,MATCH($D62,$B$27:$B$31,0),MATCH($C62,$L$25:$R$25,0)),"")</f>
        <v/>
      </c>
    </row>
    <row r="63" spans="1:36">
      <c r="AJ63" s="70" t="str">
        <f t="shared" si="21"/>
        <v/>
      </c>
    </row>
    <row r="64" spans="1:36">
      <c r="AJ64" s="70" t="str">
        <f t="shared" si="21"/>
        <v/>
      </c>
    </row>
    <row r="65" spans="36:36">
      <c r="AJ65" s="70" t="str">
        <f t="shared" si="21"/>
        <v/>
      </c>
    </row>
  </sheetData>
  <mergeCells count="1">
    <mergeCell ref="B1:D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3"/>
  <dimension ref="A1"/>
  <sheetViews>
    <sheetView workbookViewId="0">
      <selection activeCell="C5" sqref="A1:C5"/>
    </sheetView>
  </sheetViews>
  <sheetFormatPr defaultRowHeight="12.7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O59"/>
  <sheetViews>
    <sheetView zoomScale="125" zoomScaleNormal="80" workbookViewId="0">
      <selection activeCell="I16" sqref="I16"/>
    </sheetView>
  </sheetViews>
  <sheetFormatPr defaultColWidth="11.42578125" defaultRowHeight="12.75"/>
  <cols>
    <col min="2" max="2" width="11.85546875" customWidth="1"/>
    <col min="3" max="3" width="9.42578125" customWidth="1"/>
    <col min="4" max="4" width="7.28515625" customWidth="1"/>
    <col min="5" max="5" width="6" customWidth="1"/>
    <col min="6" max="6" width="5.85546875" customWidth="1"/>
    <col min="7" max="7" width="10.7109375" customWidth="1"/>
    <col min="8" max="8" width="3.85546875" customWidth="1"/>
    <col min="9" max="9" width="18.28515625" customWidth="1"/>
    <col min="10" max="10" width="3.7109375" customWidth="1"/>
    <col min="11" max="11" width="11.28515625" customWidth="1"/>
    <col min="13" max="13" width="12.7109375" bestFit="1" customWidth="1"/>
    <col min="14" max="14" width="12.7109375" customWidth="1"/>
    <col min="15" max="15" width="10.140625" customWidth="1"/>
  </cols>
  <sheetData>
    <row r="1" spans="1:15" s="15" customFormat="1" ht="15.75">
      <c r="A1" s="1" t="s">
        <v>54</v>
      </c>
      <c r="B1" s="1" t="s">
        <v>28</v>
      </c>
    </row>
    <row r="2" spans="1:15" ht="15.75">
      <c r="A2" s="1"/>
    </row>
    <row r="3" spans="1:15" s="5" customFormat="1" ht="30.2" customHeight="1">
      <c r="A3" s="12" t="s">
        <v>55</v>
      </c>
      <c r="B3" s="11" t="s">
        <v>64</v>
      </c>
      <c r="C3" s="2" t="s">
        <v>65</v>
      </c>
      <c r="D3" s="3" t="s">
        <v>58</v>
      </c>
      <c r="E3" s="10" t="s">
        <v>59</v>
      </c>
      <c r="F3" s="9" t="s">
        <v>56</v>
      </c>
      <c r="G3" s="4" t="s">
        <v>60</v>
      </c>
      <c r="I3" s="6" t="s">
        <v>57</v>
      </c>
      <c r="K3" s="6" t="s">
        <v>61</v>
      </c>
      <c r="L3" s="7" t="s">
        <v>62</v>
      </c>
      <c r="M3" s="6" t="s">
        <v>23</v>
      </c>
      <c r="N3" s="6" t="s">
        <v>24</v>
      </c>
      <c r="O3" s="7" t="s">
        <v>63</v>
      </c>
    </row>
    <row r="6" spans="1:15">
      <c r="I6" t="s">
        <v>66</v>
      </c>
    </row>
    <row r="8" spans="1:15">
      <c r="I8" t="s">
        <v>0</v>
      </c>
    </row>
    <row r="11" spans="1:15">
      <c r="I11" t="s">
        <v>67</v>
      </c>
    </row>
    <row r="13" spans="1:15">
      <c r="I13" t="s">
        <v>68</v>
      </c>
    </row>
    <row r="15" spans="1:15">
      <c r="I15" t="s">
        <v>1</v>
      </c>
    </row>
    <row r="18" spans="9:9">
      <c r="I18" t="s">
        <v>50</v>
      </c>
    </row>
    <row r="20" spans="9:9">
      <c r="I20" t="s">
        <v>51</v>
      </c>
    </row>
    <row r="22" spans="9:9">
      <c r="I22" t="s">
        <v>52</v>
      </c>
    </row>
    <row r="24" spans="9:9">
      <c r="I24" t="s">
        <v>53</v>
      </c>
    </row>
    <row r="27" spans="9:9">
      <c r="I27" t="s">
        <v>27</v>
      </c>
    </row>
    <row r="29" spans="9:9">
      <c r="I29" t="s">
        <v>74</v>
      </c>
    </row>
    <row r="59" spans="9:9">
      <c r="I59" s="8"/>
    </row>
  </sheetData>
  <sheetProtection selectLockedCells="1" selectUnlockedCells="1"/>
  <phoneticPr fontId="7" type="noConversion"/>
  <pageMargins left="0.78749999999999998" right="0.78749999999999998" top="1.0527777777777778" bottom="1.0527777777777778" header="0.78749999999999998" footer="0.78749999999999998"/>
  <pageSetup paperSize="9" orientation="portrait" horizontalDpi="300" verticalDpi="300"/>
  <headerFooter alignWithMargins="0">
    <oddHeader>&amp;C&amp;"Times New Roman,Regular"&amp;12&amp;A</oddHeader>
    <oddFooter>&amp;C&amp;"Times New Roman,Regular"&amp;12Page &amp;P</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3:I19"/>
  <sheetViews>
    <sheetView topLeftCell="B1" zoomScaleNormal="100" workbookViewId="0">
      <selection activeCell="E11" sqref="E11"/>
    </sheetView>
  </sheetViews>
  <sheetFormatPr defaultColWidth="11.42578125" defaultRowHeight="12.75"/>
  <cols>
    <col min="2" max="2" width="39.140625" customWidth="1"/>
  </cols>
  <sheetData>
    <row r="3" spans="2:9">
      <c r="B3" s="17"/>
      <c r="C3" s="18">
        <v>2000</v>
      </c>
      <c r="D3" s="18">
        <v>2001</v>
      </c>
      <c r="E3" s="18">
        <v>2002</v>
      </c>
      <c r="F3" s="18">
        <v>2003</v>
      </c>
      <c r="G3" s="18">
        <v>2004</v>
      </c>
      <c r="H3" s="18">
        <v>2005</v>
      </c>
      <c r="I3" s="18">
        <v>2006</v>
      </c>
    </row>
    <row r="4" spans="2:9">
      <c r="B4" s="17" t="s">
        <v>14</v>
      </c>
      <c r="C4" s="17">
        <v>1.5</v>
      </c>
      <c r="D4" s="17">
        <v>1.5</v>
      </c>
      <c r="E4" s="17">
        <v>1.52</v>
      </c>
      <c r="F4" s="17">
        <v>1.54</v>
      </c>
      <c r="G4" s="17">
        <v>1.56</v>
      </c>
      <c r="H4" s="17">
        <v>1.58</v>
      </c>
      <c r="I4" s="17">
        <v>1.6</v>
      </c>
    </row>
    <row r="5" spans="2:9">
      <c r="B5" s="17" t="s">
        <v>15</v>
      </c>
      <c r="C5" s="17">
        <v>1.57</v>
      </c>
      <c r="D5" s="17">
        <v>1.57</v>
      </c>
      <c r="E5" s="17">
        <v>1.59</v>
      </c>
      <c r="F5" s="17">
        <v>1.61</v>
      </c>
      <c r="G5" s="17">
        <v>1.63</v>
      </c>
      <c r="H5" s="17">
        <v>1.65</v>
      </c>
      <c r="I5" s="17">
        <v>1.67</v>
      </c>
    </row>
    <row r="6" spans="2:9">
      <c r="B6" s="17" t="s">
        <v>16</v>
      </c>
      <c r="C6" s="17">
        <v>0.13</v>
      </c>
      <c r="D6" s="17">
        <v>0.13</v>
      </c>
      <c r="E6" s="17">
        <v>0.13</v>
      </c>
      <c r="F6" s="17">
        <v>0.13</v>
      </c>
      <c r="G6" s="17">
        <v>0.14000000000000001</v>
      </c>
      <c r="H6" s="17">
        <v>0.14000000000000001</v>
      </c>
      <c r="I6" s="17">
        <v>0.14000000000000001</v>
      </c>
    </row>
    <row r="7" spans="2:9">
      <c r="B7" s="17" t="s">
        <v>17</v>
      </c>
      <c r="C7" s="17">
        <v>2.4</v>
      </c>
      <c r="D7" s="17">
        <v>2.4</v>
      </c>
      <c r="E7" s="17">
        <v>2.4300000000000002</v>
      </c>
      <c r="F7" s="17">
        <v>2.46</v>
      </c>
      <c r="G7" s="17">
        <v>2.4900000000000002</v>
      </c>
      <c r="H7" s="17">
        <v>2.52</v>
      </c>
      <c r="I7" s="17">
        <v>2.56</v>
      </c>
    </row>
    <row r="8" spans="2:9">
      <c r="B8" s="17" t="s">
        <v>38</v>
      </c>
      <c r="C8" s="17">
        <v>0</v>
      </c>
      <c r="D8" s="17">
        <v>0</v>
      </c>
      <c r="E8" s="17">
        <v>0</v>
      </c>
      <c r="F8" s="17">
        <v>0</v>
      </c>
      <c r="G8" s="17">
        <v>0</v>
      </c>
      <c r="H8" s="17">
        <v>0</v>
      </c>
      <c r="I8" s="17">
        <v>0</v>
      </c>
    </row>
    <row r="9" spans="2:9">
      <c r="B9" s="17" t="s">
        <v>18</v>
      </c>
      <c r="C9" s="17">
        <v>1</v>
      </c>
      <c r="D9" s="17">
        <v>1</v>
      </c>
      <c r="E9" s="17">
        <v>1.01</v>
      </c>
      <c r="F9" s="17">
        <v>1.02</v>
      </c>
      <c r="G9" s="17">
        <v>1.04</v>
      </c>
      <c r="H9" s="17">
        <v>1.05</v>
      </c>
      <c r="I9" s="17">
        <v>1.06</v>
      </c>
    </row>
    <row r="10" spans="2:9">
      <c r="B10" s="17" t="s">
        <v>19</v>
      </c>
      <c r="C10" s="17">
        <v>6.34</v>
      </c>
      <c r="D10" s="17">
        <v>6.34</v>
      </c>
      <c r="E10" s="17">
        <v>6.42</v>
      </c>
      <c r="F10" s="17">
        <v>6.5</v>
      </c>
      <c r="G10" s="17">
        <v>6.58</v>
      </c>
      <c r="H10" s="17">
        <v>6.66</v>
      </c>
      <c r="I10" s="17">
        <v>6.74</v>
      </c>
    </row>
    <row r="11" spans="2:9">
      <c r="B11" s="17" t="s">
        <v>20</v>
      </c>
      <c r="C11" s="17">
        <v>1</v>
      </c>
      <c r="D11" s="17">
        <v>1</v>
      </c>
      <c r="E11" s="17">
        <v>1.01</v>
      </c>
      <c r="F11" s="17">
        <v>1.02</v>
      </c>
      <c r="G11" s="17">
        <v>1.04</v>
      </c>
      <c r="H11" s="17">
        <v>1.05</v>
      </c>
      <c r="I11" s="17">
        <v>1.06</v>
      </c>
    </row>
    <row r="12" spans="2:9">
      <c r="B12" s="17" t="s">
        <v>21</v>
      </c>
      <c r="C12" s="17">
        <v>9.84</v>
      </c>
      <c r="D12" s="17">
        <v>9.84</v>
      </c>
      <c r="E12" s="17">
        <v>9.9600000000000009</v>
      </c>
      <c r="F12" s="17">
        <v>10.09</v>
      </c>
      <c r="G12" s="17">
        <v>10.210000000000001</v>
      </c>
      <c r="H12" s="17">
        <v>10.34</v>
      </c>
      <c r="I12" s="17">
        <v>10.47</v>
      </c>
    </row>
    <row r="13" spans="2:9">
      <c r="B13" s="17" t="s">
        <v>39</v>
      </c>
      <c r="C13" s="17">
        <v>5.69</v>
      </c>
      <c r="D13" s="17">
        <v>5.69</v>
      </c>
      <c r="E13" s="17">
        <v>5.76</v>
      </c>
      <c r="F13" s="17">
        <v>5.83</v>
      </c>
      <c r="G13" s="17">
        <v>5.91</v>
      </c>
      <c r="H13" s="17">
        <v>5.98</v>
      </c>
      <c r="I13" s="17">
        <v>6.05</v>
      </c>
    </row>
    <row r="14" spans="2:9">
      <c r="B14" s="17" t="s">
        <v>40</v>
      </c>
      <c r="C14" s="17">
        <v>0</v>
      </c>
      <c r="D14" s="17">
        <v>0</v>
      </c>
      <c r="E14" s="17">
        <v>0</v>
      </c>
      <c r="F14" s="17">
        <v>0</v>
      </c>
      <c r="G14" s="17">
        <v>0</v>
      </c>
      <c r="H14" s="17">
        <v>0</v>
      </c>
      <c r="I14" s="17">
        <v>0</v>
      </c>
    </row>
    <row r="15" spans="2:9">
      <c r="B15" s="17" t="s">
        <v>41</v>
      </c>
      <c r="C15" s="17">
        <v>0</v>
      </c>
      <c r="D15" s="17">
        <v>0</v>
      </c>
      <c r="E15" s="17">
        <v>0</v>
      </c>
      <c r="F15" s="17">
        <v>0</v>
      </c>
      <c r="G15" s="17">
        <v>0</v>
      </c>
      <c r="H15" s="17">
        <v>0</v>
      </c>
      <c r="I15" s="17">
        <v>0</v>
      </c>
    </row>
    <row r="16" spans="2:9">
      <c r="B16" s="17" t="s">
        <v>22</v>
      </c>
      <c r="C16" s="17">
        <v>41.5</v>
      </c>
      <c r="D16" s="17">
        <v>41.5</v>
      </c>
      <c r="E16" s="17">
        <v>42.02</v>
      </c>
      <c r="F16" s="17">
        <v>42.54</v>
      </c>
      <c r="G16" s="17">
        <v>43.08</v>
      </c>
      <c r="H16" s="17">
        <v>43.62</v>
      </c>
      <c r="I16" s="17">
        <v>44.16</v>
      </c>
    </row>
    <row r="17" spans="2:9">
      <c r="B17" s="17" t="s">
        <v>25</v>
      </c>
      <c r="C17" s="17">
        <v>1.82</v>
      </c>
      <c r="D17" s="17">
        <v>1.82</v>
      </c>
      <c r="E17" s="17">
        <v>1.84</v>
      </c>
      <c r="F17" s="17">
        <v>1.87</v>
      </c>
      <c r="G17" s="17">
        <v>1.89</v>
      </c>
      <c r="H17" s="17">
        <v>1.91</v>
      </c>
      <c r="I17" s="17">
        <v>1.94</v>
      </c>
    </row>
    <row r="18" spans="2:9">
      <c r="B18" s="17" t="s">
        <v>26</v>
      </c>
      <c r="C18" s="17">
        <v>72.790000000000006</v>
      </c>
      <c r="D18" s="17">
        <v>72.790000000000006</v>
      </c>
      <c r="E18" s="17">
        <v>73.7</v>
      </c>
      <c r="F18" s="17">
        <v>74.62</v>
      </c>
      <c r="G18" s="17">
        <v>75.55</v>
      </c>
      <c r="H18" s="17">
        <v>76.5</v>
      </c>
      <c r="I18" s="17">
        <v>77.45</v>
      </c>
    </row>
    <row r="19" spans="2:9">
      <c r="B19" s="17"/>
      <c r="C19" s="17"/>
      <c r="D19" s="17"/>
      <c r="E19" s="17"/>
      <c r="F19" s="17"/>
      <c r="G19" s="17"/>
      <c r="H19" s="17"/>
      <c r="I19" s="17"/>
    </row>
  </sheetData>
  <phoneticPr fontId="7" type="noConversion"/>
  <pageMargins left="0.75" right="0.75" top="1" bottom="1" header="0.5" footer="0.5"/>
  <pageSetup paperSize="10" orientation="portrait" horizontalDpi="4294967292" verticalDpi="4294967292"/>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dimension ref="B3:C12"/>
  <sheetViews>
    <sheetView workbookViewId="0">
      <selection activeCell="C9" sqref="C9"/>
    </sheetView>
  </sheetViews>
  <sheetFormatPr defaultRowHeight="12.75"/>
  <cols>
    <col min="2" max="2" width="24.5703125" customWidth="1"/>
    <col min="3" max="3" width="26.42578125" customWidth="1"/>
  </cols>
  <sheetData>
    <row r="3" spans="2:3">
      <c r="B3" s="16" t="s">
        <v>69</v>
      </c>
      <c r="C3" s="18" t="s">
        <v>157</v>
      </c>
    </row>
    <row r="4" spans="2:3">
      <c r="B4" s="18" t="s">
        <v>70</v>
      </c>
      <c r="C4" s="17"/>
    </row>
    <row r="5" spans="2:3">
      <c r="B5" s="17" t="s">
        <v>71</v>
      </c>
      <c r="C5" s="19">
        <v>804.7</v>
      </c>
    </row>
    <row r="6" spans="2:3">
      <c r="B6" s="17" t="s">
        <v>72</v>
      </c>
      <c r="C6" s="19">
        <v>0</v>
      </c>
    </row>
    <row r="7" spans="2:3">
      <c r="B7" s="17" t="s">
        <v>73</v>
      </c>
      <c r="C7" s="19">
        <v>0</v>
      </c>
    </row>
    <row r="8" spans="2:3">
      <c r="B8" s="17" t="s">
        <v>10</v>
      </c>
      <c r="C8" s="19">
        <v>2830.48859519711</v>
      </c>
    </row>
    <row r="9" spans="2:3">
      <c r="B9" s="17" t="s">
        <v>11</v>
      </c>
      <c r="C9" s="19">
        <v>27936.051431163502</v>
      </c>
    </row>
    <row r="10" spans="2:3">
      <c r="B10" s="17" t="s">
        <v>12</v>
      </c>
      <c r="C10" s="19">
        <v>0</v>
      </c>
    </row>
    <row r="11" spans="2:3">
      <c r="B11" s="17" t="s">
        <v>55</v>
      </c>
      <c r="C11" s="19">
        <v>17140.014275167501</v>
      </c>
    </row>
    <row r="12" spans="2:3">
      <c r="B12" s="20" t="s">
        <v>13</v>
      </c>
      <c r="C12" s="21">
        <f>SUM(C5:C11)</f>
        <v>48711.254301528112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2:J76"/>
  <sheetViews>
    <sheetView zoomScale="110" zoomScaleNormal="110" workbookViewId="0">
      <selection activeCell="E27" sqref="E27:E35"/>
    </sheetView>
  </sheetViews>
  <sheetFormatPr defaultColWidth="10.85546875" defaultRowHeight="12.75"/>
  <cols>
    <col min="1" max="1" width="39.140625" customWidth="1"/>
    <col min="2" max="2" width="36.28515625" customWidth="1"/>
    <col min="3" max="3" width="27" customWidth="1"/>
    <col min="4" max="4" width="23.7109375" customWidth="1"/>
    <col min="6" max="6" width="14.28515625" customWidth="1"/>
    <col min="7" max="9" width="13.7109375" customWidth="1"/>
  </cols>
  <sheetData>
    <row r="2" spans="1:10">
      <c r="A2" s="15"/>
    </row>
    <row r="4" spans="1:10">
      <c r="A4" s="16" t="s">
        <v>69</v>
      </c>
      <c r="B4" s="18" t="s">
        <v>156</v>
      </c>
    </row>
    <row r="5" spans="1:10">
      <c r="A5" s="18" t="s">
        <v>70</v>
      </c>
      <c r="B5" s="17"/>
      <c r="G5" s="13"/>
      <c r="H5" s="13"/>
      <c r="I5" s="13"/>
    </row>
    <row r="6" spans="1:10">
      <c r="A6" s="17" t="s">
        <v>71</v>
      </c>
      <c r="B6" s="19">
        <v>804.7</v>
      </c>
      <c r="G6" s="13"/>
      <c r="H6" s="13"/>
      <c r="I6" s="13"/>
    </row>
    <row r="7" spans="1:10">
      <c r="A7" s="17" t="s">
        <v>72</v>
      </c>
      <c r="B7" s="19">
        <v>0</v>
      </c>
      <c r="G7" s="13"/>
      <c r="H7" s="13"/>
      <c r="I7" s="13"/>
    </row>
    <row r="8" spans="1:10">
      <c r="A8" s="17" t="s">
        <v>73</v>
      </c>
      <c r="B8" s="19">
        <v>0</v>
      </c>
      <c r="G8" s="13"/>
      <c r="H8" s="13"/>
      <c r="I8" s="13"/>
    </row>
    <row r="9" spans="1:10">
      <c r="A9" s="17" t="s">
        <v>10</v>
      </c>
      <c r="B9" s="19">
        <v>2830.48859519711</v>
      </c>
      <c r="G9" s="13"/>
      <c r="H9" s="13"/>
      <c r="I9" s="13"/>
    </row>
    <row r="10" spans="1:10">
      <c r="A10" s="17" t="s">
        <v>11</v>
      </c>
      <c r="B10" s="19">
        <v>27936.051431163502</v>
      </c>
      <c r="G10" s="13"/>
      <c r="H10" s="13"/>
      <c r="I10" s="13"/>
    </row>
    <row r="11" spans="1:10">
      <c r="A11" s="17" t="s">
        <v>12</v>
      </c>
      <c r="B11" s="19">
        <v>0</v>
      </c>
      <c r="G11" s="13"/>
      <c r="H11" s="13"/>
      <c r="I11" s="13"/>
    </row>
    <row r="12" spans="1:10">
      <c r="A12" s="17" t="s">
        <v>55</v>
      </c>
      <c r="B12" s="19">
        <v>17140.014275167501</v>
      </c>
      <c r="G12" s="13"/>
      <c r="H12" s="13"/>
      <c r="I12" s="13"/>
      <c r="J12" s="13"/>
    </row>
    <row r="13" spans="1:10">
      <c r="A13" s="20" t="s">
        <v>13</v>
      </c>
      <c r="B13" s="21">
        <f>SUM(B6:B12)</f>
        <v>48711.254301528112</v>
      </c>
      <c r="G13" s="13"/>
      <c r="H13" s="13"/>
      <c r="I13" s="14"/>
    </row>
    <row r="16" spans="1:10">
      <c r="A16" s="17"/>
      <c r="B16" s="18" t="s">
        <v>152</v>
      </c>
      <c r="C16" s="95" t="s">
        <v>155</v>
      </c>
      <c r="D16" t="s">
        <v>90</v>
      </c>
    </row>
    <row r="17" spans="1:10">
      <c r="A17" s="17" t="s">
        <v>47</v>
      </c>
      <c r="B17" s="92">
        <v>59.52227243382827</v>
      </c>
      <c r="C17" s="19">
        <f t="shared" ref="C17:C22" si="0">(B17/100)*$B$13</f>
        <v>28994.045491290457</v>
      </c>
      <c r="D17" s="33">
        <f>C17+C61</f>
        <v>29023.938426997709</v>
      </c>
    </row>
    <row r="18" spans="1:10">
      <c r="A18" s="17" t="s">
        <v>48</v>
      </c>
      <c r="B18" s="92">
        <v>11.439638476436413</v>
      </c>
      <c r="C18" s="19">
        <f t="shared" si="0"/>
        <v>5572.3913894323969</v>
      </c>
      <c r="D18" s="33">
        <f>C18+C61</f>
        <v>5602.2843251396489</v>
      </c>
    </row>
    <row r="19" spans="1:10">
      <c r="A19" s="17" t="s">
        <v>31</v>
      </c>
      <c r="B19" s="92">
        <v>7.7081988379599746</v>
      </c>
      <c r="C19" s="19">
        <f t="shared" si="0"/>
        <v>3754.760338026118</v>
      </c>
      <c r="D19" s="33">
        <f>B59</f>
        <v>3635.1885951971099</v>
      </c>
    </row>
    <row r="20" spans="1:10">
      <c r="A20" s="17" t="s">
        <v>32</v>
      </c>
      <c r="B20" s="92">
        <v>7.8114912846998061</v>
      </c>
      <c r="C20" s="19">
        <f t="shared" si="0"/>
        <v>3805.0753844318278</v>
      </c>
      <c r="D20" s="33">
        <f>C20+C61</f>
        <v>3834.9683201390799</v>
      </c>
    </row>
    <row r="21" spans="1:10">
      <c r="A21" s="17" t="s">
        <v>49</v>
      </c>
      <c r="B21" s="92">
        <v>13.518398967075532</v>
      </c>
      <c r="C21" s="19">
        <f t="shared" si="0"/>
        <v>6584.981698347312</v>
      </c>
      <c r="D21" s="33">
        <f>C21+C61</f>
        <v>6614.874634054564</v>
      </c>
    </row>
    <row r="22" spans="1:10">
      <c r="A22" s="18" t="s">
        <v>30</v>
      </c>
      <c r="B22" s="22">
        <f>SUM(B17:B21)</f>
        <v>99.999999999999986</v>
      </c>
      <c r="C22" s="19">
        <f t="shared" si="0"/>
        <v>48711.254301528104</v>
      </c>
      <c r="D22" s="34">
        <f>SUM(D17:D21)</f>
        <v>48711.254301528112</v>
      </c>
    </row>
    <row r="23" spans="1:10">
      <c r="B23" t="s">
        <v>75</v>
      </c>
      <c r="I23" s="93"/>
      <c r="J23" s="84" t="s">
        <v>151</v>
      </c>
    </row>
    <row r="25" spans="1:10">
      <c r="I25" s="15" t="s">
        <v>148</v>
      </c>
    </row>
    <row r="26" spans="1:10">
      <c r="A26" s="17"/>
      <c r="B26" s="18" t="s">
        <v>158</v>
      </c>
      <c r="C26" s="18" t="s">
        <v>159</v>
      </c>
      <c r="D26" s="18" t="s">
        <v>79</v>
      </c>
      <c r="E26" s="81" t="s">
        <v>112</v>
      </c>
    </row>
    <row r="27" spans="1:10" ht="14.25">
      <c r="A27" s="17" t="s">
        <v>76</v>
      </c>
      <c r="B27" s="17">
        <v>1</v>
      </c>
      <c r="C27" s="22">
        <f>+B10-C29</f>
        <v>27207.754468895346</v>
      </c>
      <c r="D27" s="82">
        <v>0.35</v>
      </c>
      <c r="E27">
        <v>15</v>
      </c>
      <c r="I27" s="84" t="s">
        <v>141</v>
      </c>
      <c r="J27" s="84" t="s">
        <v>154</v>
      </c>
    </row>
    <row r="28" spans="1:10" ht="14.25">
      <c r="A28" s="17" t="s">
        <v>77</v>
      </c>
      <c r="B28" s="17">
        <v>0</v>
      </c>
      <c r="C28" s="22">
        <f>+B8-C31</f>
        <v>0</v>
      </c>
      <c r="D28" s="82">
        <v>0.25</v>
      </c>
      <c r="E28">
        <v>15</v>
      </c>
      <c r="F28" s="33">
        <f>SUM(C27:C28)</f>
        <v>27207.754468895346</v>
      </c>
      <c r="I28" t="s">
        <v>142</v>
      </c>
      <c r="J28" s="84" t="s">
        <v>143</v>
      </c>
    </row>
    <row r="29" spans="1:10" ht="14.25">
      <c r="A29" s="17" t="s">
        <v>36</v>
      </c>
      <c r="B29" s="106">
        <v>0.13</v>
      </c>
      <c r="C29" s="22">
        <f>B29*D18</f>
        <v>728.2969622681544</v>
      </c>
      <c r="D29" s="82">
        <v>0.35</v>
      </c>
      <c r="E29">
        <v>15</v>
      </c>
      <c r="I29" t="s">
        <v>144</v>
      </c>
      <c r="J29" s="84" t="s">
        <v>149</v>
      </c>
    </row>
    <row r="30" spans="1:10" ht="14.25">
      <c r="A30" s="23" t="s">
        <v>35</v>
      </c>
      <c r="B30" s="106">
        <v>0.87</v>
      </c>
      <c r="C30" s="31">
        <f>B30*D18</f>
        <v>4873.987362871495</v>
      </c>
      <c r="D30" s="82">
        <v>0.95</v>
      </c>
      <c r="E30">
        <v>15</v>
      </c>
      <c r="I30" s="84" t="s">
        <v>145</v>
      </c>
      <c r="J30" t="s">
        <v>146</v>
      </c>
    </row>
    <row r="31" spans="1:10" ht="14.25">
      <c r="A31" s="17" t="s">
        <v>37</v>
      </c>
      <c r="B31" s="106">
        <v>0</v>
      </c>
      <c r="C31" s="22">
        <f>B31*D18</f>
        <v>0</v>
      </c>
      <c r="D31" s="82">
        <v>0.25</v>
      </c>
      <c r="E31">
        <v>15</v>
      </c>
      <c r="F31" s="33">
        <f>SUM(C29:C31)</f>
        <v>5602.2843251396498</v>
      </c>
      <c r="I31" s="84" t="s">
        <v>150</v>
      </c>
      <c r="J31" t="s">
        <v>147</v>
      </c>
    </row>
    <row r="32" spans="1:10">
      <c r="A32" s="17" t="s">
        <v>14</v>
      </c>
      <c r="B32" s="17"/>
      <c r="C32" s="19">
        <f>B6</f>
        <v>804.7</v>
      </c>
      <c r="D32" s="83">
        <v>0.65</v>
      </c>
      <c r="E32">
        <v>15</v>
      </c>
    </row>
    <row r="33" spans="1:9">
      <c r="A33" s="17" t="s">
        <v>15</v>
      </c>
      <c r="B33" s="17"/>
      <c r="C33" s="19">
        <f>B11</f>
        <v>0</v>
      </c>
      <c r="D33" s="83">
        <v>0.7</v>
      </c>
      <c r="E33">
        <v>15</v>
      </c>
    </row>
    <row r="34" spans="1:9">
      <c r="A34" s="17" t="s">
        <v>16</v>
      </c>
      <c r="B34" s="17"/>
      <c r="C34" s="19">
        <f>B7</f>
        <v>0</v>
      </c>
      <c r="D34" s="83">
        <v>0.75</v>
      </c>
      <c r="E34">
        <v>15</v>
      </c>
    </row>
    <row r="35" spans="1:9">
      <c r="A35" s="17" t="s">
        <v>17</v>
      </c>
      <c r="B35" s="17"/>
      <c r="C35" s="19">
        <f>B9</f>
        <v>2830.48859519711</v>
      </c>
      <c r="D35" s="83">
        <v>0.7</v>
      </c>
      <c r="E35">
        <v>15</v>
      </c>
      <c r="F35" s="33">
        <f>SUM(C32:C35)</f>
        <v>3635.1885951971099</v>
      </c>
    </row>
    <row r="36" spans="1:9">
      <c r="A36" s="17" t="s">
        <v>34</v>
      </c>
      <c r="B36" s="17"/>
      <c r="C36" s="19">
        <f>D20</f>
        <v>3834.9683201390799</v>
      </c>
      <c r="D36" s="82">
        <f>1</f>
        <v>1</v>
      </c>
      <c r="E36">
        <v>15</v>
      </c>
    </row>
    <row r="37" spans="1:9">
      <c r="A37" s="17" t="s">
        <v>21</v>
      </c>
      <c r="B37" s="17"/>
      <c r="C37" s="19">
        <f>+B12-C36-C30</f>
        <v>8431.0585921569254</v>
      </c>
      <c r="D37" s="82">
        <f>1</f>
        <v>1</v>
      </c>
      <c r="E37">
        <v>15</v>
      </c>
      <c r="F37" s="79">
        <f>SUM(F28:F35)+C36+C37</f>
        <v>48711.254301528112</v>
      </c>
    </row>
    <row r="38" spans="1:9">
      <c r="A38" s="18" t="s">
        <v>26</v>
      </c>
      <c r="B38" s="18"/>
      <c r="C38" s="18">
        <f>SUM(C27:C37)</f>
        <v>48711.254301528112</v>
      </c>
      <c r="D38" s="82"/>
    </row>
    <row r="41" spans="1:9">
      <c r="A41" t="s">
        <v>130</v>
      </c>
    </row>
    <row r="42" spans="1:9">
      <c r="A42" s="17"/>
      <c r="B42" s="18" t="str">
        <f>+AGR!C5</f>
        <v>Coal</v>
      </c>
      <c r="C42" s="18" t="str">
        <f>+AGR!D5</f>
        <v>Oil Diesel</v>
      </c>
      <c r="D42" s="18" t="str">
        <f>+AGR!E5</f>
        <v>Electricity</v>
      </c>
      <c r="E42" s="18" t="e">
        <f>+AGR!#REF!</f>
        <v>#REF!</v>
      </c>
      <c r="F42" s="18" t="str">
        <f>+AGR!F5</f>
        <v>Oil Gasoline</v>
      </c>
      <c r="G42" s="18" t="str">
        <f>+AGR!G5</f>
        <v>Oil HFO</v>
      </c>
      <c r="H42" s="18" t="str">
        <f>+AGR!H5</f>
        <v>Oil Paraffin</v>
      </c>
      <c r="I42" s="18" t="str">
        <f>+AGR!I5</f>
        <v>Oil LPG</v>
      </c>
    </row>
    <row r="43" spans="1:9">
      <c r="A43" s="18" t="s">
        <v>45</v>
      </c>
      <c r="B43" s="32">
        <f>+C32/B6</f>
        <v>1</v>
      </c>
      <c r="C43" s="32"/>
      <c r="D43" s="32"/>
      <c r="E43" s="32"/>
      <c r="F43" s="32"/>
      <c r="G43" s="32">
        <v>0</v>
      </c>
      <c r="H43" s="32">
        <f>+C35/B9</f>
        <v>1</v>
      </c>
      <c r="I43" s="32">
        <v>0</v>
      </c>
    </row>
    <row r="44" spans="1:9">
      <c r="A44" s="18" t="s">
        <v>88</v>
      </c>
      <c r="B44" s="32"/>
      <c r="C44" s="32"/>
      <c r="D44" s="32">
        <f>+C36/B12</f>
        <v>0.22374358962437926</v>
      </c>
      <c r="E44" s="32"/>
      <c r="F44" s="32"/>
      <c r="G44" s="32"/>
      <c r="H44" s="32"/>
      <c r="I44" s="32"/>
    </row>
    <row r="45" spans="1:9">
      <c r="A45" s="18" t="s">
        <v>124</v>
      </c>
      <c r="B45" s="32"/>
      <c r="C45" s="32">
        <f>+C27/B10</f>
        <v>0.97392985318405745</v>
      </c>
      <c r="D45" s="32"/>
      <c r="E45" s="32"/>
      <c r="F45" s="32">
        <v>0</v>
      </c>
      <c r="G45" s="32"/>
      <c r="H45" s="32"/>
      <c r="I45" s="32"/>
    </row>
    <row r="46" spans="1:9">
      <c r="A46" s="18" t="s">
        <v>29</v>
      </c>
      <c r="B46" s="32"/>
      <c r="C46" s="32">
        <f>+C29/B10</f>
        <v>2.6070146815942549E-2</v>
      </c>
      <c r="D46" s="32">
        <f>+C30/B12</f>
        <v>0.28436308655430592</v>
      </c>
      <c r="E46" s="32"/>
      <c r="F46" s="32">
        <v>0</v>
      </c>
      <c r="G46" s="32"/>
      <c r="H46" s="32"/>
      <c r="I46" s="32"/>
    </row>
    <row r="47" spans="1:9">
      <c r="A47" s="18" t="s">
        <v>44</v>
      </c>
      <c r="B47" s="32"/>
      <c r="C47" s="32"/>
      <c r="D47" s="32">
        <f>+C37/B12</f>
        <v>0.49189332382131479</v>
      </c>
      <c r="E47" s="32"/>
      <c r="F47" s="32"/>
      <c r="G47" s="32"/>
      <c r="H47" s="32"/>
      <c r="I47" s="32"/>
    </row>
    <row r="59" spans="1:3">
      <c r="A59" s="101" t="s">
        <v>78</v>
      </c>
      <c r="B59" s="102">
        <f>SUM(C32:C35)</f>
        <v>3635.1885951971099</v>
      </c>
    </row>
    <row r="60" spans="1:3">
      <c r="A60" s="101"/>
      <c r="B60" s="102">
        <f>C19</f>
        <v>3754.760338026118</v>
      </c>
    </row>
    <row r="61" spans="1:3">
      <c r="A61" s="101"/>
      <c r="B61" s="103">
        <f>B60-B59</f>
        <v>119.57174282900814</v>
      </c>
      <c r="C61" s="101">
        <f>B61/4</f>
        <v>29.892935707252036</v>
      </c>
    </row>
    <row r="64" spans="1:3">
      <c r="A64" s="17"/>
      <c r="B64" s="18" t="s">
        <v>85</v>
      </c>
    </row>
    <row r="65" spans="1:2">
      <c r="A65" s="17" t="s">
        <v>80</v>
      </c>
      <c r="B65" s="19">
        <f>C27*D27</f>
        <v>9522.7140641133701</v>
      </c>
    </row>
    <row r="66" spans="1:2">
      <c r="A66" s="17" t="s">
        <v>81</v>
      </c>
      <c r="B66" s="19">
        <f t="shared" ref="B66:B75" si="1">C28*D28</f>
        <v>0</v>
      </c>
    </row>
    <row r="67" spans="1:2">
      <c r="A67" s="17" t="s">
        <v>82</v>
      </c>
      <c r="B67" s="19">
        <f t="shared" si="1"/>
        <v>254.90393679385403</v>
      </c>
    </row>
    <row r="68" spans="1:2">
      <c r="A68" s="17" t="s">
        <v>83</v>
      </c>
      <c r="B68" s="19">
        <f t="shared" si="1"/>
        <v>4630.2879947279198</v>
      </c>
    </row>
    <row r="69" spans="1:2">
      <c r="A69" s="17" t="s">
        <v>84</v>
      </c>
      <c r="B69" s="19">
        <f t="shared" si="1"/>
        <v>0</v>
      </c>
    </row>
    <row r="70" spans="1:2">
      <c r="A70" s="17" t="s">
        <v>14</v>
      </c>
      <c r="B70" s="19">
        <f t="shared" si="1"/>
        <v>523.05500000000006</v>
      </c>
    </row>
    <row r="71" spans="1:2">
      <c r="A71" s="17" t="s">
        <v>15</v>
      </c>
      <c r="B71" s="19">
        <f t="shared" si="1"/>
        <v>0</v>
      </c>
    </row>
    <row r="72" spans="1:2">
      <c r="A72" s="17" t="s">
        <v>16</v>
      </c>
      <c r="B72" s="19">
        <f t="shared" si="1"/>
        <v>0</v>
      </c>
    </row>
    <row r="73" spans="1:2">
      <c r="A73" s="17" t="s">
        <v>17</v>
      </c>
      <c r="B73" s="19">
        <f t="shared" si="1"/>
        <v>1981.3420166379769</v>
      </c>
    </row>
    <row r="74" spans="1:2">
      <c r="A74" s="17" t="s">
        <v>33</v>
      </c>
      <c r="B74" s="19">
        <f t="shared" si="1"/>
        <v>3834.9683201390799</v>
      </c>
    </row>
    <row r="75" spans="1:2">
      <c r="A75" s="17" t="s">
        <v>21</v>
      </c>
      <c r="B75" s="19">
        <f t="shared" si="1"/>
        <v>8431.0585921569254</v>
      </c>
    </row>
    <row r="76" spans="1:2">
      <c r="A76" s="17" t="s">
        <v>26</v>
      </c>
      <c r="B76" s="19">
        <f>SUM(B65:B75)</f>
        <v>29178.329924569127</v>
      </c>
    </row>
  </sheetData>
  <phoneticPr fontId="7" type="noConversion"/>
  <pageMargins left="0.75" right="0.75" top="1" bottom="1" header="0.5" footer="0.5"/>
  <pageSetup paperSize="10" orientation="portrait" horizontalDpi="4294967292" verticalDpi="4294967292"/>
  <headerFooter alignWithMargins="0"/>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Change Log</vt:lpstr>
      <vt:lpstr>AGR</vt:lpstr>
      <vt:lpstr>Index</vt:lpstr>
      <vt:lpstr>AGRIC RES</vt:lpstr>
      <vt:lpstr>Appendix 2</vt:lpstr>
      <vt:lpstr>Appendix 7</vt:lpstr>
      <vt:lpstr>Final Demand</vt:lpstr>
      <vt:lpstr>'Change Log'!Print_Area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bruno merven</dc:creator>
  <cp:lastModifiedBy>Bruno</cp:lastModifiedBy>
  <dcterms:created xsi:type="dcterms:W3CDTF">2011-01-19T05:36:15Z</dcterms:created>
  <dcterms:modified xsi:type="dcterms:W3CDTF">2023-09-07T10:16:18Z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aveCode">
    <vt:r8>189813554286956</vt:r8>
  </property>
</Properties>
</file>